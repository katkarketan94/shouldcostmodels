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lculator" sheetId="2" state="visible" r:id="rId4"/>
    <sheet name="Summary" sheetId="3" state="visible" r:id="rId5"/>
    <sheet name="Assumptions &amp; Ref" sheetId="4" state="visible" r:id="rId6"/>
  </sheets>
  <definedNames>
    <definedName function="false" hidden="false" name="r_airCp" vbProcedure="false">Calculator!$B$44</definedName>
    <definedName function="false" hidden="false" name="r_airRho" vbProcedure="false">Calculator!$B$45</definedName>
    <definedName function="false" hidden="false" name="r_airRise" vbProcedure="false">Calculator!$B$46</definedName>
    <definedName function="false" hidden="false" name="r_assyPct" vbProcedure="false">Calculator!$B$82</definedName>
    <definedName function="false" hidden="false" name="r_atcFixed" vbProcedure="false">Calculator!$B$78</definedName>
    <definedName function="false" hidden="false" name="r_atcTube" vbProcedure="false">Calculator!$B$77</definedName>
    <definedName function="false" hidden="false" name="r_avm" vbProcedure="false">Calculator!$B$80</definedName>
    <definedName function="false" hidden="false" name="r_bphe" vbProcedure="false">Calculator!$B$65</definedName>
    <definedName function="false" hidden="false" name="r_ca" vbProcedure="false">Calculator!$B$55</definedName>
    <definedName function="false" hidden="false" name="r_carnotCap" vbProcedure="false">Calculator!$B$43</definedName>
    <definedName function="false" hidden="false" name="r_coilFace" vbProcedure="false">Calculator!$B$66</definedName>
    <definedName function="false" hidden="false" name="r_cpw" vbProcedure="false">Calculator!$B$33</definedName>
    <definedName function="false" hidden="false" name="r_cuTube" vbProcedure="false">Calculator!$B$62</definedName>
    <definedName function="false" hidden="false" name="r_dutyPct" vbProcedure="false">Calculator!$B$85</definedName>
    <definedName function="false" hidden="false" name="r_ecPct" vbProcedure="false">Calculator!$B$89</definedName>
    <definedName function="false" hidden="false" name="r_faceV" vbProcedure="false">Calculator!$B$47</definedName>
    <definedName function="false" hidden="false" name="r_fanAC" vbProcedure="false">Calculator!$B$67</definedName>
    <definedName function="false" hidden="false" name="r_fanFlow" vbProcedure="false">Calculator!$B$48</definedName>
    <definedName function="false" hidden="false" name="r_fill" vbProcedure="false">Calculator!$B$39</definedName>
    <definedName function="false" hidden="false" name="r_floodFac" vbProcedure="false">Calculator!$B$41</definedName>
    <definedName function="false" hidden="false" name="r_frameKg" vbProcedure="false">Calculator!$B$68</definedName>
    <definedName function="false" hidden="false" name="r_insul" vbProcedure="false">Calculator!$B$64</definedName>
    <definedName function="false" hidden="false" name="r_Lmax" vbProcedure="false">Calculator!$B$42</definedName>
    <definedName function="false" hidden="false" name="r_logPct" vbProcedure="false">Calculator!$B$84</definedName>
    <definedName function="false" hidden="false" name="r_marginPct" vbProcedure="false">Calculator!$B$88</definedName>
    <definedName function="false" hidden="false" name="r_motEff" vbProcedure="false">Calculator!$B$49</definedName>
    <definedName function="false" hidden="false" name="r_motHT" vbProcedure="false">Calculator!$B$69</definedName>
    <definedName function="false" hidden="false" name="r_motLT" vbProcedure="false">Calculator!$B$70</definedName>
    <definedName function="false" hidden="false" name="r_motMargin" vbProcedure="false">Calculator!$B$50</definedName>
    <definedName function="false" hidden="false" name="r_ohPct" vbProcedure="false">Calculator!$B$86</definedName>
    <definedName function="false" hidden="false" name="r_pDesC" vbProcedure="false">Calculator!$B$53</definedName>
    <definedName function="false" hidden="false" name="r_pDesE" vbProcedure="false">Calculator!$B$52</definedName>
    <definedName function="false" hidden="false" name="r_pipePct" vbProcedure="false">Calculator!$B$79</definedName>
    <definedName function="false" hidden="false" name="r_pitch" vbProcedure="false">Calculator!$B$38</definedName>
    <definedName function="false" hidden="false" name="r_refrig" vbProcedure="false">Calculator!$B$76</definedName>
    <definedName function="false" hidden="false" name="r_rhoSt" vbProcedure="false">Calculator!$B$60</definedName>
    <definedName function="false" hidden="false" name="r_shellClr" vbProcedure="false">Calculator!$B$40</definedName>
    <definedName function="false" hidden="false" name="r_steelFab" vbProcedure="false">Calculator!$B$63</definedName>
    <definedName function="false" hidden="false" name="r_stress" vbProcedure="false">Calculator!$B$54</definedName>
    <definedName function="false" hidden="false" name="r_supFac" vbProcedure="false">Calculator!$B$59</definedName>
    <definedName function="false" hidden="false" name="r_swgrHT" vbProcedure="false">Calculator!$B$73</definedName>
    <definedName function="false" hidden="false" name="r_swgrLTbase" vbProcedure="false">Calculator!$B$74</definedName>
    <definedName function="false" hidden="false" name="r_swgrLTkw" vbProcedure="false">Calculator!$B$75</definedName>
    <definedName function="false" hidden="false" name="r_testPct" vbProcedure="false">Calculator!$B$83</definedName>
    <definedName function="false" hidden="false" name="r_tmin" vbProcedure="false">Calculator!$B$56</definedName>
    <definedName function="false" hidden="false" name="r_tsheet" vbProcedure="false">Calculator!$B$57</definedName>
    <definedName function="false" hidden="false" name="r_tubeAi" vbProcedure="false">Calculator!$B$36</definedName>
    <definedName function="false" hidden="false" name="r_tubeKgM" vbProcedure="false">Calculator!$B$37</definedName>
    <definedName function="false" hidden="false" name="r_tubeOD" vbProcedure="false">Calculator!$B$34</definedName>
    <definedName function="false" hidden="false" name="r_tubeWall" vbProcedure="false">Calculator!$B$35</definedName>
    <definedName function="false" hidden="false" name="r_vfdHT" vbProcedure="false">Calculator!$B$71</definedName>
    <definedName function="false" hidden="false" name="r_vfdLT" vbProcedure="false">Calculator!$B$72</definedName>
    <definedName function="false" hidden="false" name="r_warrPct" vbProcedure="false">Calculator!$B$87</definedName>
    <definedName function="false" hidden="false" name="r_wbFac" vbProcedure="false">Calculator!$B$58</definedName>
    <definedName function="false" hidden="false" name="tt_cdPass" vbProcedure="false">'Assumptions &amp; Ref'!$L$6:$L$10</definedName>
    <definedName function="false" hidden="false" name="tt_cls" vbProcedure="false">'Assumptions &amp; Ref'!$D$6:$D$10</definedName>
    <definedName function="false" hidden="false" name="tt_code" vbProcedure="false">'Assumptions &amp; Ref'!$B$6:$B$10</definedName>
    <definedName function="false" hidden="false" name="tt_compN" vbProcedure="false">'Assumptions &amp; Ref'!$Q$6:$Q$10</definedName>
    <definedName function="false" hidden="false" name="tt_compPref" vbProcedure="false">'Assumptions &amp; Ref'!$P$6:$P$10</definedName>
    <definedName function="false" hidden="false" name="tt_compRate" vbProcedure="false">'Assumptions &amp; Ref'!$O$6:$O$10</definedName>
    <definedName function="false" hidden="false" name="tt_condApp" vbProcedure="false">'Assumptions &amp; Ref'!$H$6:$H$10</definedName>
    <definedName function="false" hidden="false" name="tt_ctl" vbProcedure="false">'Assumptions &amp; Ref'!$T$6:$T$10</definedName>
    <definedName function="false" hidden="false" name="tt_evapApp" vbProcedure="false">'Assumptions &amp; Ref'!$G$6:$G$10</definedName>
    <definedName function="false" hidden="false" name="tt_evPass" vbProcedure="false">'Assumptions &amp; Ref'!$K$6:$K$10</definedName>
    <definedName function="false" hidden="false" name="tt_evtype" vbProcedure="false">'Assumptions &amp; Ref'!$N$6:$N$10</definedName>
    <definedName function="false" hidden="false" name="tt_lube" vbProcedure="false">'Assumptions &amp; Ref'!$S$6:$S$10</definedName>
    <definedName function="false" hidden="false" name="tt_maxTR" vbProcedure="false">'Assumptions &amp; Ref'!$F$6:$F$10</definedName>
    <definedName function="false" hidden="false" name="tt_motSep" vbProcedure="false">'Assumptions &amp; Ref'!$R$6:$R$10</definedName>
    <definedName function="false" hidden="false" name="tt_name" vbProcedure="false">'Assumptions &amp; Ref'!$A$6:$A$10</definedName>
    <definedName function="false" hidden="false" name="tt_refKg" vbProcedure="false">'Assumptions &amp; Ref'!$U$6:$U$10</definedName>
    <definedName function="false" hidden="false" name="tt_Uc" vbProcedure="false">'Assumptions &amp; Ref'!$J$6:$J$10</definedName>
    <definedName function="false" hidden="false" name="tt_Ue" vbProcedure="false">'Assumptions &amp; Ref'!$I$6:$I$10</definedName>
    <definedName function="false" hidden="false" name="tt_vel" vbProcedure="false">'Assumptions &amp; Ref'!$M$6:$M$10</definedName>
    <definedName function="false" hidden="false" name="tt_volt" vbProcedure="false">'Assumptions &amp; Ref'!$E$6:$E$10</definedName>
    <definedName function="false" hidden="false" name="tt_wc" vbProcedure="false">'Assumptions &amp; Ref'!$C$6:$C$10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<sst xmlns="http://schemas.openxmlformats.org/spreadsheetml/2006/main" count="504" uniqueCount="325">
  <si>
    <t xml:space="preserve">Chiller should-cost model</t>
  </si>
  <si>
    <t xml:space="preserve">Purpose</t>
  </si>
  <si>
    <t xml:space="preserve">Bottom-up should-cost of a chiller from duty to supply price. Built to test against orders and BOQs (first point: D2 TKM, ME.HVAC.HS.1.1, 1,500 TR water-cooled centrifugal, 6.6 kV with VFD). Covers five types: water-cooled centrifugal HT and LT, water-cooled screw, air-cooled screw, air-cooled scroll.</t>
  </si>
  <si>
    <t xml:space="preserve">How to use</t>
  </si>
  <si>
    <t xml:space="preserve">Add or edit a row on Calculator (yellow cells): type, TR, chilled-water in/out, condenser-water in (or ambient dry-bulb for air-cooled) and range, full-load COP, VFD, ATC, fouling. Enter observed supply and E&amp;C per unit when known; the back-test columns then show the gap. Summary shows the cost stack for any row. Rates sit on the Calculator tab from row 30; the type table sits on Assumptions &amp; Ref.</t>
  </si>
  <si>
    <t xml:space="preserve">Method</t>
  </si>
  <si>
    <t xml:space="preserve">1) Duty: evaporator kW = TR x 3.517; shaft kW = duty / COP; heat rejected = duty + shaft. 2) Temperatures: evaporating temp = CHW out minus evap approach; condensing temp from CW out (or ambient) plus approach; Carnot fraction is checked against a ceiling. 3) Heat exchangers: LMTD, fouled U (clean U with fouling resistance), surface area; tubes per pass from flow and velocity; tube length from area; shell diameter from tube count at set pitch; shell thickness from design pressure; steel mass of shell, tubesheets, water boxes and supports. Air-cooled: coil face area from air flow and face velocity. 4) Priced build-up: tubes (mass x rate), fabricated steel, insulation, compressor (power-law on shaft kW), motor, VFD, switchgear, lube, refrigerant, controls, ATC, piping allowance. 5) Stack: assembly and test, logistics, duty, overheads, guarantee provision, OEM margin; E&amp;C as % of supply.</t>
  </si>
  <si>
    <t xml:space="preserve">Status of numbers</t>
  </si>
  <si>
    <t xml:space="preserve">Every rate and type parameter is an engineering-first placeholder, not a quote or a verified market price. The compressor assembly line is the largest unknown. Calibrate in this order: compressor rate and exponent, tube and shell parameters from an OEM selection, VFD and motor rates, then margin.</t>
  </si>
  <si>
    <t xml:space="preserve">Conventions</t>
  </si>
  <si>
    <t xml:space="preserve">Blue on yellow = input or typed assumption; black = formula; green font = link from another sheet; green fill = key result. Rupees, ex-GST. Supply scope follows the BOQ header: basic + packing and forwarding + transport + transit insurance + unloading.</t>
  </si>
  <si>
    <t xml:space="preserve">Limits</t>
  </si>
  <si>
    <t xml:space="preserve">Not modelled: part-load / IPLV performance, water-side pressure drop limits (BOQ: 20 ft evap, 35 ft cond), noise treatment, magnetic-bearing or oil-free premiums, brand and service-network premium beyond the margin line, 3-year AMC (BOQ HS.1.4, quantity on request), chiller plant manager (HS.1.2), pumps, piping.</t>
  </si>
  <si>
    <t xml:space="preserve">Checks column</t>
  </si>
  <si>
    <t xml:space="preserve">Flags TR above the type's practical max, tube length over the limit, COP above the Carnot-fraction ceiling for the lift, and implausible temperatures. A flag is an input-sanity warning, not an error.</t>
  </si>
  <si>
    <t xml:space="preserve">Chiller should-cost: batch calculator</t>
  </si>
  <si>
    <t xml:space="preserve">One row per chiller configuration. Edit yellow cells (inputs, and rates in the master block from row 30). Results in groups 8-9. Amounts in Indian rupees, ex-GST, supply scope as BOQ (basic + P&amp;F + freight + insurance).</t>
  </si>
  <si>
    <t xml:space="preserve">Colour code: blue on yellow = input or typed assumption; black = formula; green fill = key result. Rows 9-12 are illustrative duties, not orders; overwrite them. Column G is CW inlet for water-cooled and ambient dry-bulb for air-cooled.</t>
  </si>
  <si>
    <t xml:space="preserve">1 Configuration (inputs)</t>
  </si>
  <si>
    <t xml:space="preserve">2 Type lookups</t>
  </si>
  <si>
    <t xml:space="preserve">3 Thermal duty</t>
  </si>
  <si>
    <t xml:space="preserve">4 Evaporator</t>
  </si>
  <si>
    <t xml:space="preserve">5 Condenser (water / air)</t>
  </si>
  <si>
    <t xml:space="preserve">6 Drive</t>
  </si>
  <si>
    <t xml:space="preserve">7 Priced build-up, Rs per unit</t>
  </si>
  <si>
    <t xml:space="preserve">8 Stack and result</t>
  </si>
  <si>
    <t xml:space="preserve">9 Back-test vs observed</t>
  </si>
  <si>
    <t xml:space="preserve">Ref / tag</t>
  </si>
  <si>
    <t xml:space="preserve">Chiller type</t>
  </si>
  <si>
    <t xml:space="preserve">Capacity per unit</t>
  </si>
  <si>
    <t xml:space="preserve">Units</t>
  </si>
  <si>
    <t xml:space="preserve">CHW in</t>
  </si>
  <si>
    <t xml:space="preserve">CHW out</t>
  </si>
  <si>
    <t xml:space="preserve">CW in (WC) / ambient DB (AC)</t>
  </si>
  <si>
    <t xml:space="preserve">CW range (WC only)</t>
  </si>
  <si>
    <t xml:space="preserve">Full-load COP</t>
  </si>
  <si>
    <t xml:space="preserve">VFD</t>
  </si>
  <si>
    <t xml:space="preserve">Auto tube cleaning</t>
  </si>
  <si>
    <t xml:space="preserve">Evap fouling</t>
  </si>
  <si>
    <t xml:space="preserve">Cond fouling</t>
  </si>
  <si>
    <t xml:space="preserve">Observed supply per unit</t>
  </si>
  <si>
    <t xml:space="preserve">Observed E&amp;C per unit</t>
  </si>
  <si>
    <t xml:space="preserve">Source / note</t>
  </si>
  <si>
    <t xml:space="preserve">Type row</t>
  </si>
  <si>
    <t xml:space="preserve">Water-cooled</t>
  </si>
  <si>
    <t xml:space="preserve">HT motor</t>
  </si>
  <si>
    <t xml:space="preserve">BPHE evap</t>
  </si>
  <si>
    <t xml:space="preserve">Evaporator duty</t>
  </si>
  <si>
    <t xml:space="preserve">Compressor shaft power</t>
  </si>
  <si>
    <t xml:space="preserve">Heat rejected</t>
  </si>
  <si>
    <t xml:space="preserve">Evaporating temp</t>
  </si>
  <si>
    <t xml:space="preserve">Condensing temp</t>
  </si>
  <si>
    <t xml:space="preserve">Carnot COP</t>
  </si>
  <si>
    <t xml:space="preserve">COP as fraction of Carnot</t>
  </si>
  <si>
    <t xml:space="preserve">LMTD evaporator</t>
  </si>
  <si>
    <t xml:space="preserve">LMTD condenser (WC)</t>
  </si>
  <si>
    <t xml:space="preserve">U evap, fouled</t>
  </si>
  <si>
    <t xml:space="preserve">Evap surface</t>
  </si>
  <si>
    <t xml:space="preserve">CHW flow</t>
  </si>
  <si>
    <t xml:space="preserve">Tubes per pass</t>
  </si>
  <si>
    <t xml:space="preserve">Total tubes</t>
  </si>
  <si>
    <t xml:space="preserve">Tube length</t>
  </si>
  <si>
    <t xml:space="preserve">Shell ID</t>
  </si>
  <si>
    <t xml:space="preserve">Shell thickness</t>
  </si>
  <si>
    <t xml:space="preserve">Steel (shell, tubesheets, boxes, supports)</t>
  </si>
  <si>
    <t xml:space="preserve">U cond, fouled</t>
  </si>
  <si>
    <t xml:space="preserve">Cond surface</t>
  </si>
  <si>
    <t xml:space="preserve">CW flow</t>
  </si>
  <si>
    <t xml:space="preserve">Air flow (AC)</t>
  </si>
  <si>
    <t xml:space="preserve">Coil face area (AC)</t>
  </si>
  <si>
    <t xml:space="preserve">Condenser fans (AC)</t>
  </si>
  <si>
    <t xml:space="preserve">Motor rated (separate)</t>
  </si>
  <si>
    <t xml:space="preserve">Drive / VFD basis</t>
  </si>
  <si>
    <t xml:space="preserve">Evap tubes</t>
  </si>
  <si>
    <t xml:space="preserve">Evap shell, tubesheets, water boxes</t>
  </si>
  <si>
    <t xml:space="preserve">Evap insulation</t>
  </si>
  <si>
    <t xml:space="preserve">Evap brazed plate (scroll)</t>
  </si>
  <si>
    <t xml:space="preserve">Cond tubes</t>
  </si>
  <si>
    <t xml:space="preserve">Cond shell, tubesheets, water boxes</t>
  </si>
  <si>
    <t xml:space="preserve">Air-cooled coil, fans, frame</t>
  </si>
  <si>
    <t xml:space="preserve">Compressor assembly</t>
  </si>
  <si>
    <t xml:space="preserve">Compressor motor</t>
  </si>
  <si>
    <t xml:space="preserve">Switchgear / starter</t>
  </si>
  <si>
    <t xml:space="preserve">Lube and oil system</t>
  </si>
  <si>
    <t xml:space="preserve">Refrigerant charge</t>
  </si>
  <si>
    <t xml:space="preserve">Controls panel</t>
  </si>
  <si>
    <t xml:space="preserve">Refrigerant piping, valves, instruments</t>
  </si>
  <si>
    <t xml:space="preserve">Anti-vibration, base, misc</t>
  </si>
  <si>
    <t xml:space="preserve">Material subtotal</t>
  </si>
  <si>
    <t xml:space="preserve">Assembly and test</t>
  </si>
  <si>
    <t xml:space="preserve">Factory performance test</t>
  </si>
  <si>
    <t xml:space="preserve">P&amp;F, freight, insurance</t>
  </si>
  <si>
    <t xml:space="preserve">Customs duty</t>
  </si>
  <si>
    <t xml:space="preserve">Direct cost</t>
  </si>
  <si>
    <t xml:space="preserve">Overheads</t>
  </si>
  <si>
    <t xml:space="preserve">Guarantee provision</t>
  </si>
  <si>
    <t xml:space="preserve">OEM margin</t>
  </si>
  <si>
    <t xml:space="preserve">SHOULD-COST SUPPLY per unit</t>
  </si>
  <si>
    <t xml:space="preserve">Supply per TR</t>
  </si>
  <si>
    <t xml:space="preserve">E&amp;C per unit</t>
  </si>
  <si>
    <t xml:space="preserve">Supply + E&amp;C, all units</t>
  </si>
  <si>
    <t xml:space="preserve">Group: heat exchangers</t>
  </si>
  <si>
    <t xml:space="preserve">Group: compressor and drive</t>
  </si>
  <si>
    <t xml:space="preserve">Group: refrigerant, controls, ATC, piping</t>
  </si>
  <si>
    <t xml:space="preserve">Group: assembly and test</t>
  </si>
  <si>
    <t xml:space="preserve">Group: logistics and duty</t>
  </si>
  <si>
    <t xml:space="preserve">Group: overheads, guarantee, margin</t>
  </si>
  <si>
    <t xml:space="preserve">Stack check</t>
  </si>
  <si>
    <t xml:space="preserve">Observed supply per TR</t>
  </si>
  <si>
    <t xml:space="preserve">Model minus observed, per unit</t>
  </si>
  <si>
    <t xml:space="preserve">Model vs observed</t>
  </si>
  <si>
    <t xml:space="preserve">E&amp;C model vs observed</t>
  </si>
  <si>
    <t xml:space="preserve">Checks</t>
  </si>
  <si>
    <t xml:space="preserve">TR</t>
  </si>
  <si>
    <t xml:space="preserve">nos</t>
  </si>
  <si>
    <t xml:space="preserve">deg C</t>
  </si>
  <si>
    <t xml:space="preserve">K</t>
  </si>
  <si>
    <t xml:space="preserve">kW/kW</t>
  </si>
  <si>
    <t xml:space="preserve">Yes/No</t>
  </si>
  <si>
    <t xml:space="preserve">m2K/kW</t>
  </si>
  <si>
    <t xml:space="preserve">Rs</t>
  </si>
  <si>
    <t xml:space="preserve">#</t>
  </si>
  <si>
    <t xml:space="preserve">1/0</t>
  </si>
  <si>
    <t xml:space="preserve">kW</t>
  </si>
  <si>
    <t xml:space="preserve">kW/m2K</t>
  </si>
  <si>
    <t xml:space="preserve">m2</t>
  </si>
  <si>
    <t xml:space="preserve">m3/h</t>
  </si>
  <si>
    <t xml:space="preserve">m</t>
  </si>
  <si>
    <t xml:space="preserve">mm</t>
  </si>
  <si>
    <t xml:space="preserve">kg</t>
  </si>
  <si>
    <t xml:space="preserve">m3/s</t>
  </si>
  <si>
    <t xml:space="preserve">Rs/TR</t>
  </si>
  <si>
    <t xml:space="preserve">%</t>
  </si>
  <si>
    <t xml:space="preserve">D2 TKM chiller, BOQ ME.HVAC.HS.1.1</t>
  </si>
  <si>
    <t xml:space="preserve">Water-cooled centrifugal, HT 6.6 kV</t>
  </si>
  <si>
    <t xml:space="preserve">Yes</t>
  </si>
  <si>
    <t xml:space="preserve">D2 TKM BOQ (Package 2D, Bidkin). 5 nos; COP min 6.5; CHW 17/7; CW 30/35; 6.6 kV VFD; ATC; 2-yr guarantee.</t>
  </si>
  <si>
    <t xml:space="preserve">Illustrative: 400 TR LT centrifugal</t>
  </si>
  <si>
    <t xml:space="preserve">Water-cooled centrifugal, LT 415 V</t>
  </si>
  <si>
    <t xml:space="preserve">No</t>
  </si>
  <si>
    <t xml:space="preserve">Illustrative duty. Not an actual order.</t>
  </si>
  <si>
    <t xml:space="preserve">Illustrative: 250 TR water-cooled screw</t>
  </si>
  <si>
    <t xml:space="preserve">Water-cooled screw, LT 415 V</t>
  </si>
  <si>
    <t xml:space="preserve">Illustrative: 150 TR air-cooled screw</t>
  </si>
  <si>
    <t xml:space="preserve">Air-cooled screw, LT 415 V</t>
  </si>
  <si>
    <t xml:space="preserve">Illustrative duty. Not an actual order. Col G = ambient DB.</t>
  </si>
  <si>
    <t xml:space="preserve">Illustrative: 60 TR air-cooled scroll</t>
  </si>
  <si>
    <t xml:space="preserve">Air-cooled scroll, LT 415 V (modular)</t>
  </si>
  <si>
    <t xml:space="preserve">Material master and rates (edit here; blue on yellow). Every named cell is r_...</t>
  </si>
  <si>
    <t xml:space="preserve">Item</t>
  </si>
  <si>
    <t xml:space="preserve">Value</t>
  </si>
  <si>
    <t xml:space="preserve">Unit</t>
  </si>
  <si>
    <t xml:space="preserve">Basis / status</t>
  </si>
  <si>
    <t xml:space="preserve">Geometry and thermal constants</t>
  </si>
  <si>
    <t xml:space="preserve">Specific heat of water</t>
  </si>
  <si>
    <t xml:space="preserve">kJ/kgK</t>
  </si>
  <si>
    <t xml:space="preserve">Physical constant</t>
  </si>
  <si>
    <t xml:space="preserve">Tube outside diameter</t>
  </si>
  <si>
    <t xml:space="preserve">3/4 inch enhanced copper tube, common in chiller bundles</t>
  </si>
  <si>
    <t xml:space="preserve">Tube wall thickness</t>
  </si>
  <si>
    <t xml:space="preserve">Assumption</t>
  </si>
  <si>
    <t xml:space="preserve">Tube flow area (inside)</t>
  </si>
  <si>
    <t xml:space="preserve">Formula</t>
  </si>
  <si>
    <t xml:space="preserve">Enhanced copper tube mass</t>
  </si>
  <si>
    <t xml:space="preserve">kg/m</t>
  </si>
  <si>
    <t xml:space="preserve">Assumption incl. integral fins</t>
  </si>
  <si>
    <t xml:space="preserve">Tube pitch ratio (pitch / OD)</t>
  </si>
  <si>
    <t xml:space="preserve">x</t>
  </si>
  <si>
    <t xml:space="preserve">Triangular layout</t>
  </si>
  <si>
    <t xml:space="preserve">Bundle fill factor</t>
  </si>
  <si>
    <t xml:space="preserve">Shell clearance added to bundle diameter</t>
  </si>
  <si>
    <t xml:space="preserve">Flooded-evaporator shell oversize (vapour disengagement)</t>
  </si>
  <si>
    <t xml:space="preserve">Maximum tube length before flag</t>
  </si>
  <si>
    <t xml:space="preserve">Practicality limit, flag only</t>
  </si>
  <si>
    <t xml:space="preserve">Max credible fraction of Carnot COP at full load</t>
  </si>
  <si>
    <t xml:space="preserve">Flag only; assumption, check with OEM data</t>
  </si>
  <si>
    <t xml:space="preserve">Specific heat of air</t>
  </si>
  <si>
    <t xml:space="preserve">Air density at coil</t>
  </si>
  <si>
    <t xml:space="preserve">kg/m3</t>
  </si>
  <si>
    <t xml:space="preserve">At about 40 C</t>
  </si>
  <si>
    <t xml:space="preserve">Air temperature rise across condenser coil</t>
  </si>
  <si>
    <t xml:space="preserve">Coil face velocity</t>
  </si>
  <si>
    <t xml:space="preserve">m/s</t>
  </si>
  <si>
    <t xml:space="preserve">Air per condenser fan</t>
  </si>
  <si>
    <t xml:space="preserve">Motor efficiency</t>
  </si>
  <si>
    <t xml:space="preserve">Motor sizing margin on shaft power</t>
  </si>
  <si>
    <t xml:space="preserve">Pressure shell and fabrication</t>
  </si>
  <si>
    <t xml:space="preserve">Evaporator design pressure</t>
  </si>
  <si>
    <t xml:space="preserve">bar</t>
  </si>
  <si>
    <t xml:space="preserve">HFC-134a class, assumption</t>
  </si>
  <si>
    <t xml:space="preserve">Condenser design pressure</t>
  </si>
  <si>
    <t xml:space="preserve">Allowable stress x joint efficiency</t>
  </si>
  <si>
    <t xml:space="preserve">MPa</t>
  </si>
  <si>
    <t xml:space="preserve">138 MPa x 0.85, assumption</t>
  </si>
  <si>
    <t xml:space="preserve">Corrosion allowance</t>
  </si>
  <si>
    <t xml:space="preserve">Minimum shell thickness</t>
  </si>
  <si>
    <t xml:space="preserve">Tubesheet thickness</t>
  </si>
  <si>
    <t xml:space="preserve">Water boxes and covers as multiple of tubesheet steel</t>
  </si>
  <si>
    <t xml:space="preserve">Supports and saddles as share of steel</t>
  </si>
  <si>
    <t xml:space="preserve">Steel density</t>
  </si>
  <si>
    <t xml:space="preserve">Material and bought-out rates (UNVERIFIED placeholders)</t>
  </si>
  <si>
    <t xml:space="preserve">Enhanced copper tube, supplied</t>
  </si>
  <si>
    <t xml:space="preserve">Rs/kg</t>
  </si>
  <si>
    <t xml:space="preserve">Placeholder; replace with MCX copper + tube conversion</t>
  </si>
  <si>
    <t xml:space="preserve">Fabricated pressure-vessel steel</t>
  </si>
  <si>
    <t xml:space="preserve">Placeholder; plate + fabrication + testing</t>
  </si>
  <si>
    <t xml:space="preserve">Evaporator insulation 25 mm nitrile, laminated</t>
  </si>
  <si>
    <t xml:space="preserve">Rs/m2</t>
  </si>
  <si>
    <t xml:space="preserve">Placeholder</t>
  </si>
  <si>
    <t xml:space="preserve">Brazed plate heat exchanger</t>
  </si>
  <si>
    <t xml:space="preserve">Air-cooled condenser coil (Cu tube, Al fin)</t>
  </si>
  <si>
    <t xml:space="preserve">Rs/m2 face</t>
  </si>
  <si>
    <t xml:space="preserve">Condenser fan with EC motor</t>
  </si>
  <si>
    <t xml:space="preserve">Rs each</t>
  </si>
  <si>
    <t xml:space="preserve">Frame and casing steel for air-cooled unit</t>
  </si>
  <si>
    <t xml:space="preserve">kg/m2 face</t>
  </si>
  <si>
    <t xml:space="preserve">Compressor motor 6.6 kV open TEWAC</t>
  </si>
  <si>
    <t xml:space="preserve">Rs/kW</t>
  </si>
  <si>
    <t xml:space="preserve">Compressor motor 415 V</t>
  </si>
  <si>
    <t xml:space="preserve">Medium-voltage VFD, 6.6 kV</t>
  </si>
  <si>
    <t xml:space="preserve">LV VFD, 415 V</t>
  </si>
  <si>
    <t xml:space="preserve">HT switchgear, VCB panel, protection, control transformer</t>
  </si>
  <si>
    <t xml:space="preserve">Rs/unit</t>
  </si>
  <si>
    <t xml:space="preserve">Placeholder; BOQ calls for VCB with PS-class CTs</t>
  </si>
  <si>
    <t xml:space="preserve">LV starter panel, fixed</t>
  </si>
  <si>
    <t xml:space="preserve">LV starter panel, per kW</t>
  </si>
  <si>
    <t xml:space="preserve">Refrigerant HFC-134a, supplied</t>
  </si>
  <si>
    <t xml:space="preserve">Automatic tube cleaning, per condenser tube</t>
  </si>
  <si>
    <t xml:space="preserve">Rs/tube</t>
  </si>
  <si>
    <t xml:space="preserve">Automatic tube cleaning, fixed (tanks, arrester, PLC panel)</t>
  </si>
  <si>
    <t xml:space="preserve">Refrigerant piping, valves, relief, instruments, flow switches</t>
  </si>
  <si>
    <t xml:space="preserve">of HX + compressor</t>
  </si>
  <si>
    <t xml:space="preserve">Anti-vibration mounts, base frame, misc</t>
  </si>
  <si>
    <t xml:space="preserve">Conversion, logistics and commercial stack (UNVERIFIED)</t>
  </si>
  <si>
    <t xml:space="preserve">Assembly, piping fabrication, leak and pressure test</t>
  </si>
  <si>
    <t xml:space="preserve">of material</t>
  </si>
  <si>
    <t xml:space="preserve">Factory performance test (AHRI test bed)</t>
  </si>
  <si>
    <t xml:space="preserve">Packing, forwarding, freight, insurance to site</t>
  </si>
  <si>
    <t xml:space="preserve">of material + conversion</t>
  </si>
  <si>
    <t xml:space="preserve">BOQ rate includes P&amp;F, sea freight, port, transit insurance</t>
  </si>
  <si>
    <t xml:space="preserve">Customs duty on imported content</t>
  </si>
  <si>
    <t xml:space="preserve">Set above 0 if the OEM supplies an imported unit</t>
  </si>
  <si>
    <t xml:space="preserve">of direct</t>
  </si>
  <si>
    <t xml:space="preserve">Guarantee provision (24 months, spares, uptime)</t>
  </si>
  <si>
    <t xml:space="preserve">BOQ requires 2-year guarantee incl. spares</t>
  </si>
  <si>
    <t xml:space="preserve">of direct + OH + guarantee</t>
  </si>
  <si>
    <t xml:space="preserve">Erection, positioning, commissioning (E&amp;C)</t>
  </si>
  <si>
    <t xml:space="preserve">of supply</t>
  </si>
  <si>
    <t xml:space="preserve">Single point: D2 TKM BOQ Rs 3.15 lakh on Rs 3.93 crore</t>
  </si>
  <si>
    <t xml:space="preserve">Chiller should-cost: summary</t>
  </si>
  <si>
    <t xml:space="preserve">Configuration row to show (1-20)</t>
  </si>
  <si>
    <t xml:space="preserve">Key results</t>
  </si>
  <si>
    <t xml:space="preserve">Type</t>
  </si>
  <si>
    <t xml:space="preserve">Capacity per unit (TR)</t>
  </si>
  <si>
    <t xml:space="preserve">Compressor shaft power (kW)</t>
  </si>
  <si>
    <t xml:space="preserve">Heat rejected (kW)</t>
  </si>
  <si>
    <t xml:space="preserve">Evaporating / condensing temp (C)</t>
  </si>
  <si>
    <t xml:space="preserve">Evaporator surface (m2)</t>
  </si>
  <si>
    <t xml:space="preserve">Condenser surface (m2), water-cooled</t>
  </si>
  <si>
    <t xml:space="preserve">Evap tubes x length (nos x m)</t>
  </si>
  <si>
    <t xml:space="preserve">Cond tubes x length (nos x m)</t>
  </si>
  <si>
    <t xml:space="preserve">Should-cost supply per unit (Rs)</t>
  </si>
  <si>
    <t xml:space="preserve">Supply per TR (Rs)</t>
  </si>
  <si>
    <t xml:space="preserve">Supply, all units (Rs crore)</t>
  </si>
  <si>
    <t xml:space="preserve">Observed supply per unit (Rs)</t>
  </si>
  <si>
    <t xml:space="preserve">Cost stack, per unit</t>
  </si>
  <si>
    <t xml:space="preserve">Cost group</t>
  </si>
  <si>
    <t xml:space="preserve">Share</t>
  </si>
  <si>
    <t xml:space="preserve">Heat exchangers (tubes, shells, boxes, coil, BPHE)</t>
  </si>
  <si>
    <t xml:space="preserve">Compressor and drive (compressor, motor, VFD, switchgear, lube)</t>
  </si>
  <si>
    <t xml:space="preserve">Refrigerant, controls, ATC, piping, misc</t>
  </si>
  <si>
    <t xml:space="preserve">Assembly and factory test</t>
  </si>
  <si>
    <t xml:space="preserve">Logistics and duty</t>
  </si>
  <si>
    <t xml:space="preserve">Overheads, guarantee, margin</t>
  </si>
  <si>
    <t xml:space="preserve">Check against Calculator</t>
  </si>
  <si>
    <t xml:space="preserve">All configurations</t>
  </si>
  <si>
    <t xml:space="preserve">Model supply per unit (Rs)</t>
  </si>
  <si>
    <t xml:space="preserve">Model Rs/TR</t>
  </si>
  <si>
    <t xml:space="preserve">Observed per unit (Rs)</t>
  </si>
  <si>
    <t xml:space="preserve">Observed Rs/TR</t>
  </si>
  <si>
    <t xml:space="preserve">Assumptions &amp; reference: chiller type table</t>
  </si>
  <si>
    <t xml:space="preserve">Every value is an engineering-first assumption (blue on yellow = editable). Replace with OEM selection data as it arrives. Rows 6-10 feed the Calculator by type name.</t>
  </si>
  <si>
    <t xml:space="preserve">Code</t>
  </si>
  <si>
    <t xml:space="preserve">Water-cooled (1) / air-cooled (0)</t>
  </si>
  <si>
    <t xml:space="preserve">Compressor class</t>
  </si>
  <si>
    <t xml:space="preserve">Motor voltage class</t>
  </si>
  <si>
    <t xml:space="preserve">Max TR per unit (flag only)</t>
  </si>
  <si>
    <t xml:space="preserve">Evap approach, CHW out to evap temp (K)</t>
  </si>
  <si>
    <t xml:space="preserve">Cond approach (K): WC = cond temp minus CW out; AC = cond temp minus ambient DB</t>
  </si>
  <si>
    <t xml:space="preserve">U clean, evaporator (kW/m2K, outside-tube basis)</t>
  </si>
  <si>
    <t xml:space="preserve">U clean, water condenser (kW/m2K)</t>
  </si>
  <si>
    <t xml:space="preserve">Evap tube passes</t>
  </si>
  <si>
    <t xml:space="preserve">Cond tube passes</t>
  </si>
  <si>
    <t xml:space="preserve">Tube-side velocity (m/s)</t>
  </si>
  <si>
    <t xml:space="preserve">Evap construction</t>
  </si>
  <si>
    <t xml:space="preserve">Compressor assembly Rs/kW shaft at reference</t>
  </si>
  <si>
    <t xml:space="preserve">Reference shaft kW</t>
  </si>
  <si>
    <t xml:space="preserve">Scale exponent</t>
  </si>
  <si>
    <t xml:space="preserve">Motor priced separately (1) / inside compressor (0)</t>
  </si>
  <si>
    <t xml:space="preserve">Lube / oil system lump (Rs per unit)</t>
  </si>
  <si>
    <t xml:space="preserve">Controls panel lump (Rs per unit)</t>
  </si>
  <si>
    <t xml:space="preserve">Refrigerant charge (kg per TR)</t>
  </si>
  <si>
    <t xml:space="preserve">WCC-HT</t>
  </si>
  <si>
    <t xml:space="preserve">Centrifugal</t>
  </si>
  <si>
    <t xml:space="preserve">HT</t>
  </si>
  <si>
    <t xml:space="preserve">S&amp;T</t>
  </si>
  <si>
    <t xml:space="preserve">WCC-LT</t>
  </si>
  <si>
    <t xml:space="preserve">LT</t>
  </si>
  <si>
    <t xml:space="preserve">WCS</t>
  </si>
  <si>
    <t xml:space="preserve">Screw</t>
  </si>
  <si>
    <t xml:space="preserve">ACS</t>
  </si>
  <si>
    <t xml:space="preserve">ACSc</t>
  </si>
  <si>
    <t xml:space="preserve">Scroll</t>
  </si>
  <si>
    <t xml:space="preserve">BPHE</t>
  </si>
  <si>
    <t xml:space="preserve">How to read the type table</t>
  </si>
  <si>
    <t xml:space="preserve">Approaches and U values</t>
  </si>
  <si>
    <t xml:space="preserve">Typical-range engineering assumptions for flooded S&amp;T centrifugal, flooded/DX S&amp;T screw, finned-coil air-cooled and brazed-plate scroll evaporators. They are not OEM data. Selection software output (tube count, length, surface area) from any chiller offer should replace them first.</t>
  </si>
  <si>
    <t xml:space="preserve">Compressor assembly rate</t>
  </si>
  <si>
    <t xml:space="preserve">Centrifugal (impellers, gear, guide vanes, bearings, casing) and screw compressors are OEM-proprietary. They are priced as Rs/kW shaft power at a reference size, scaled by a power law. This is the weakest line in the model; back-test first against it.</t>
  </si>
  <si>
    <t xml:space="preserve">Rates</t>
  </si>
  <si>
    <t xml:space="preserve">All rates on the Calculator tab (copper, plate, VFD, motor, refrigerant, lumps, mark-ups) are unverified placeholders. A web check for MCX copper and BigMint plate prices returned no usable figures, so none is cited. Update from live sources before relying on absolute numbers.</t>
  </si>
  <si>
    <t xml:space="preserve">E&amp;C</t>
  </si>
  <si>
    <t xml:space="preserve">Erection and commissioning is a percentage of supply, set from the single D2 TKM BOQ point (Rs 3.15 lakh on Rs 3.93 crore per unit). Treat as one data point.</t>
  </si>
  <si>
    <t xml:space="preserve">Out of scope</t>
  </si>
  <si>
    <t xml:space="preserve">3-year AMC, chiller plant manager / optimiser, chilled and condenser water pumps, piping, valves and electrical power cabling are separate BOQ lines and are not in this model.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</si>
</sst>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@"/>
    <numFmt numFmtId="166" formatCode="#,##0"/>
    <numFmt numFmtId="167" formatCode="0"/>
    <numFmt numFmtId="168" formatCode="0.0"/>
    <numFmt numFmtId="169" formatCode="0.00"/>
    <numFmt numFmtId="170" formatCode="0.0000"/>
    <numFmt numFmtId="171" formatCode="0.0%"/>
    <numFmt numFmtId="172" formatCode="#,##0.0"/>
    <numFmt numFmtId="173" formatCode="#,##0.00"/>
    <numFmt numFmtId="174" formatCode="0.000"/>
    <numFmt numFmtId="175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83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AACEF"/>
        <bgColor rgb="FF00CCFF"/>
      </patternFill>
    </fill>
    <fill>
      <patternFill patternType="solid">
        <fgColor rgb="FF16283C"/>
        <bgColor rgb="FF003366"/>
      </patternFill>
    </fill>
    <fill>
      <patternFill patternType="solid">
        <fgColor rgb="FFFFFF99"/>
        <bgColor rgb="FFFFFFCC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2AACEF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83C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  <c r="B3" s="3" t="s">
        <v>2</v>
      </c>
    </row>
    <row r="4" customFormat="false" ht="60" hidden="false" customHeight="true" outlineLevel="0" collapsed="false">
      <c r="A4" s="2" t="s">
        <v>3</v>
      </c>
      <c r="B4" s="3" t="s">
        <v>4</v>
      </c>
    </row>
    <row r="5" customFormat="false" ht="135" hidden="false" customHeight="true" outlineLevel="0" collapsed="false">
      <c r="A5" s="2" t="s">
        <v>5</v>
      </c>
      <c r="B5" s="3" t="s">
        <v>6</v>
      </c>
    </row>
    <row r="6" customFormat="false" ht="45" hidden="false" customHeight="true" outlineLevel="0" collapsed="false">
      <c r="A6" s="2" t="s">
        <v>7</v>
      </c>
      <c r="B6" s="3" t="s">
        <v>8</v>
      </c>
    </row>
    <row r="7" customFormat="false" ht="45" hidden="false" customHeight="true" outlineLevel="0" collapsed="false">
      <c r="A7" s="2" t="s">
        <v>9</v>
      </c>
      <c r="B7" s="3" t="s">
        <v>10</v>
      </c>
    </row>
    <row r="8" customFormat="false" ht="45" hidden="false" customHeight="true" outlineLevel="0" collapsed="false">
      <c r="A8" s="2" t="s">
        <v>11</v>
      </c>
      <c r="B8" s="3" t="s">
        <v>12</v>
      </c>
    </row>
    <row r="9" customFormat="false" ht="30" hidden="false" customHeight="true" outlineLevel="0" collapsed="false">
      <c r="A9" s="2" t="s">
        <v>13</v>
      </c>
      <c r="B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P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3" min="11" style="0" width="9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40"/>
    <col collapsed="false" customWidth="true" hidden="false" outlineLevel="0" max="17" min="17" style="0" width="7"/>
    <col collapsed="false" customWidth="true" hidden="false" outlineLevel="0" max="20" min="18" style="0" width="8"/>
    <col collapsed="false" customWidth="true" hidden="false" outlineLevel="0" max="88" min="21" style="0" width="12"/>
    <col collapsed="false" customWidth="true" hidden="false" outlineLevel="0" max="89" min="89" style="0" width="10"/>
    <col collapsed="false" customWidth="true" hidden="false" outlineLevel="0" max="93" min="90" style="0" width="12"/>
    <col collapsed="false" customWidth="true" hidden="false" outlineLevel="0" max="94" min="94" style="0" width="44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4" t="s">
        <v>16</v>
      </c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5" t="s">
        <v>18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5" t="s">
        <v>19</v>
      </c>
      <c r="R5" s="6"/>
      <c r="S5" s="6"/>
      <c r="T5" s="6"/>
      <c r="U5" s="5" t="s">
        <v>20</v>
      </c>
      <c r="V5" s="6"/>
      <c r="W5" s="6"/>
      <c r="X5" s="6"/>
      <c r="Y5" s="6"/>
      <c r="Z5" s="6"/>
      <c r="AA5" s="6"/>
      <c r="AB5" s="6"/>
      <c r="AC5" s="6"/>
      <c r="AD5" s="5" t="s">
        <v>21</v>
      </c>
      <c r="AE5" s="6"/>
      <c r="AF5" s="6"/>
      <c r="AG5" s="6"/>
      <c r="AH5" s="6"/>
      <c r="AI5" s="6"/>
      <c r="AJ5" s="6"/>
      <c r="AK5" s="6"/>
      <c r="AL5" s="6"/>
      <c r="AM5" s="5" t="s">
        <v>22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5" t="s">
        <v>23</v>
      </c>
      <c r="AZ5" s="6"/>
      <c r="BA5" s="5" t="s">
        <v>24</v>
      </c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5" t="s">
        <v>25</v>
      </c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5" t="s">
        <v>26</v>
      </c>
      <c r="CM5" s="6"/>
      <c r="CN5" s="6"/>
      <c r="CO5" s="6"/>
      <c r="CP5" s="6"/>
    </row>
    <row r="6" customFormat="false" ht="57.75" hidden="false" customHeight="true" outlineLevel="0" collapsed="false">
      <c r="A6" s="7" t="s">
        <v>27</v>
      </c>
      <c r="B6" s="7" t="s">
        <v>28</v>
      </c>
      <c r="C6" s="7" t="s">
        <v>29</v>
      </c>
      <c r="D6" s="7" t="s">
        <v>30</v>
      </c>
      <c r="E6" s="7" t="s">
        <v>31</v>
      </c>
      <c r="F6" s="7" t="s">
        <v>32</v>
      </c>
      <c r="G6" s="7" t="s">
        <v>33</v>
      </c>
      <c r="H6" s="7" t="s">
        <v>34</v>
      </c>
      <c r="I6" s="7" t="s">
        <v>35</v>
      </c>
      <c r="J6" s="7" t="s">
        <v>36</v>
      </c>
      <c r="K6" s="7" t="s">
        <v>37</v>
      </c>
      <c r="L6" s="7" t="s">
        <v>38</v>
      </c>
      <c r="M6" s="7" t="s">
        <v>39</v>
      </c>
      <c r="N6" s="7" t="s">
        <v>40</v>
      </c>
      <c r="O6" s="7" t="s">
        <v>41</v>
      </c>
      <c r="P6" s="7" t="s">
        <v>42</v>
      </c>
      <c r="Q6" s="7" t="s">
        <v>43</v>
      </c>
      <c r="R6" s="7" t="s">
        <v>44</v>
      </c>
      <c r="S6" s="7" t="s">
        <v>45</v>
      </c>
      <c r="T6" s="7" t="s">
        <v>46</v>
      </c>
      <c r="U6" s="7" t="s">
        <v>47</v>
      </c>
      <c r="V6" s="7" t="s">
        <v>48</v>
      </c>
      <c r="W6" s="7" t="s">
        <v>49</v>
      </c>
      <c r="X6" s="7" t="s">
        <v>50</v>
      </c>
      <c r="Y6" s="7" t="s">
        <v>51</v>
      </c>
      <c r="Z6" s="7" t="s">
        <v>52</v>
      </c>
      <c r="AA6" s="7" t="s">
        <v>53</v>
      </c>
      <c r="AB6" s="7" t="s">
        <v>54</v>
      </c>
      <c r="AC6" s="7" t="s">
        <v>55</v>
      </c>
      <c r="AD6" s="7" t="s">
        <v>56</v>
      </c>
      <c r="AE6" s="7" t="s">
        <v>57</v>
      </c>
      <c r="AF6" s="7" t="s">
        <v>58</v>
      </c>
      <c r="AG6" s="7" t="s">
        <v>59</v>
      </c>
      <c r="AH6" s="7" t="s">
        <v>60</v>
      </c>
      <c r="AI6" s="7" t="s">
        <v>61</v>
      </c>
      <c r="AJ6" s="7" t="s">
        <v>62</v>
      </c>
      <c r="AK6" s="7" t="s">
        <v>63</v>
      </c>
      <c r="AL6" s="7" t="s">
        <v>64</v>
      </c>
      <c r="AM6" s="7" t="s">
        <v>65</v>
      </c>
      <c r="AN6" s="7" t="s">
        <v>66</v>
      </c>
      <c r="AO6" s="7" t="s">
        <v>67</v>
      </c>
      <c r="AP6" s="7" t="s">
        <v>59</v>
      </c>
      <c r="AQ6" s="7" t="s">
        <v>60</v>
      </c>
      <c r="AR6" s="7" t="s">
        <v>61</v>
      </c>
      <c r="AS6" s="7" t="s">
        <v>62</v>
      </c>
      <c r="AT6" s="7" t="s">
        <v>63</v>
      </c>
      <c r="AU6" s="7" t="s">
        <v>64</v>
      </c>
      <c r="AV6" s="7" t="s">
        <v>68</v>
      </c>
      <c r="AW6" s="7" t="s">
        <v>69</v>
      </c>
      <c r="AX6" s="7" t="s">
        <v>70</v>
      </c>
      <c r="AY6" s="7" t="s">
        <v>71</v>
      </c>
      <c r="AZ6" s="7" t="s">
        <v>72</v>
      </c>
      <c r="BA6" s="7" t="s">
        <v>73</v>
      </c>
      <c r="BB6" s="7" t="s">
        <v>74</v>
      </c>
      <c r="BC6" s="7" t="s">
        <v>75</v>
      </c>
      <c r="BD6" s="7" t="s">
        <v>76</v>
      </c>
      <c r="BE6" s="7" t="s">
        <v>77</v>
      </c>
      <c r="BF6" s="7" t="s">
        <v>78</v>
      </c>
      <c r="BG6" s="7" t="s">
        <v>79</v>
      </c>
      <c r="BH6" s="7" t="s">
        <v>80</v>
      </c>
      <c r="BI6" s="7" t="s">
        <v>81</v>
      </c>
      <c r="BJ6" s="7" t="s">
        <v>36</v>
      </c>
      <c r="BK6" s="7" t="s">
        <v>82</v>
      </c>
      <c r="BL6" s="7" t="s">
        <v>83</v>
      </c>
      <c r="BM6" s="7" t="s">
        <v>84</v>
      </c>
      <c r="BN6" s="7" t="s">
        <v>85</v>
      </c>
      <c r="BO6" s="7" t="s">
        <v>37</v>
      </c>
      <c r="BP6" s="7" t="s">
        <v>86</v>
      </c>
      <c r="BQ6" s="7" t="s">
        <v>87</v>
      </c>
      <c r="BR6" s="7" t="s">
        <v>88</v>
      </c>
      <c r="BS6" s="7" t="s">
        <v>89</v>
      </c>
      <c r="BT6" s="7" t="s">
        <v>90</v>
      </c>
      <c r="BU6" s="7" t="s">
        <v>91</v>
      </c>
      <c r="BV6" s="7" t="s">
        <v>92</v>
      </c>
      <c r="BW6" s="7" t="s">
        <v>93</v>
      </c>
      <c r="BX6" s="7" t="s">
        <v>94</v>
      </c>
      <c r="BY6" s="7" t="s">
        <v>95</v>
      </c>
      <c r="BZ6" s="7" t="s">
        <v>96</v>
      </c>
      <c r="CA6" s="7" t="s">
        <v>97</v>
      </c>
      <c r="CB6" s="7" t="s">
        <v>98</v>
      </c>
      <c r="CC6" s="7" t="s">
        <v>99</v>
      </c>
      <c r="CD6" s="7" t="s">
        <v>100</v>
      </c>
      <c r="CE6" s="7" t="s">
        <v>101</v>
      </c>
      <c r="CF6" s="7" t="s">
        <v>102</v>
      </c>
      <c r="CG6" s="7" t="s">
        <v>103</v>
      </c>
      <c r="CH6" s="7" t="s">
        <v>104</v>
      </c>
      <c r="CI6" s="7" t="s">
        <v>105</v>
      </c>
      <c r="CJ6" s="7" t="s">
        <v>106</v>
      </c>
      <c r="CK6" s="7" t="s">
        <v>107</v>
      </c>
      <c r="CL6" s="7" t="s">
        <v>108</v>
      </c>
      <c r="CM6" s="7" t="s">
        <v>109</v>
      </c>
      <c r="CN6" s="7" t="s">
        <v>110</v>
      </c>
      <c r="CO6" s="7" t="s">
        <v>111</v>
      </c>
      <c r="CP6" s="7" t="s">
        <v>112</v>
      </c>
    </row>
    <row r="7" customFormat="false" ht="15" hidden="false" customHeight="false" outlineLevel="0" collapsed="false">
      <c r="A7" s="8"/>
      <c r="B7" s="8"/>
      <c r="C7" s="8" t="s">
        <v>113</v>
      </c>
      <c r="D7" s="8" t="s">
        <v>114</v>
      </c>
      <c r="E7" s="8" t="s">
        <v>115</v>
      </c>
      <c r="F7" s="8" t="s">
        <v>115</v>
      </c>
      <c r="G7" s="8" t="s">
        <v>115</v>
      </c>
      <c r="H7" s="8" t="s">
        <v>116</v>
      </c>
      <c r="I7" s="8" t="s">
        <v>117</v>
      </c>
      <c r="J7" s="8" t="s">
        <v>118</v>
      </c>
      <c r="K7" s="8" t="s">
        <v>118</v>
      </c>
      <c r="L7" s="8" t="s">
        <v>119</v>
      </c>
      <c r="M7" s="8" t="s">
        <v>119</v>
      </c>
      <c r="N7" s="8" t="s">
        <v>120</v>
      </c>
      <c r="O7" s="8" t="s">
        <v>120</v>
      </c>
      <c r="P7" s="8"/>
      <c r="Q7" s="8" t="s">
        <v>121</v>
      </c>
      <c r="R7" s="8" t="s">
        <v>122</v>
      </c>
      <c r="S7" s="8" t="s">
        <v>122</v>
      </c>
      <c r="T7" s="8" t="s">
        <v>122</v>
      </c>
      <c r="U7" s="8" t="s">
        <v>123</v>
      </c>
      <c r="V7" s="8" t="s">
        <v>123</v>
      </c>
      <c r="W7" s="8" t="s">
        <v>123</v>
      </c>
      <c r="X7" s="8" t="s">
        <v>115</v>
      </c>
      <c r="Y7" s="8" t="s">
        <v>115</v>
      </c>
      <c r="Z7" s="8"/>
      <c r="AA7" s="8"/>
      <c r="AB7" s="8" t="s">
        <v>116</v>
      </c>
      <c r="AC7" s="8" t="s">
        <v>116</v>
      </c>
      <c r="AD7" s="8" t="s">
        <v>124</v>
      </c>
      <c r="AE7" s="8" t="s">
        <v>125</v>
      </c>
      <c r="AF7" s="8" t="s">
        <v>126</v>
      </c>
      <c r="AG7" s="8" t="s">
        <v>114</v>
      </c>
      <c r="AH7" s="8" t="s">
        <v>114</v>
      </c>
      <c r="AI7" s="8" t="s">
        <v>127</v>
      </c>
      <c r="AJ7" s="8" t="s">
        <v>127</v>
      </c>
      <c r="AK7" s="8" t="s">
        <v>128</v>
      </c>
      <c r="AL7" s="8" t="s">
        <v>129</v>
      </c>
      <c r="AM7" s="8" t="s">
        <v>124</v>
      </c>
      <c r="AN7" s="8" t="s">
        <v>125</v>
      </c>
      <c r="AO7" s="8" t="s">
        <v>126</v>
      </c>
      <c r="AP7" s="8" t="s">
        <v>114</v>
      </c>
      <c r="AQ7" s="8" t="s">
        <v>114</v>
      </c>
      <c r="AR7" s="8" t="s">
        <v>127</v>
      </c>
      <c r="AS7" s="8" t="s">
        <v>127</v>
      </c>
      <c r="AT7" s="8" t="s">
        <v>128</v>
      </c>
      <c r="AU7" s="8" t="s">
        <v>129</v>
      </c>
      <c r="AV7" s="8" t="s">
        <v>130</v>
      </c>
      <c r="AW7" s="8" t="s">
        <v>125</v>
      </c>
      <c r="AX7" s="8" t="s">
        <v>114</v>
      </c>
      <c r="AY7" s="8" t="s">
        <v>123</v>
      </c>
      <c r="AZ7" s="8" t="s">
        <v>123</v>
      </c>
      <c r="BA7" s="8" t="s">
        <v>120</v>
      </c>
      <c r="BB7" s="8" t="s">
        <v>120</v>
      </c>
      <c r="BC7" s="8" t="s">
        <v>120</v>
      </c>
      <c r="BD7" s="8" t="s">
        <v>120</v>
      </c>
      <c r="BE7" s="8" t="s">
        <v>120</v>
      </c>
      <c r="BF7" s="8" t="s">
        <v>120</v>
      </c>
      <c r="BG7" s="8" t="s">
        <v>120</v>
      </c>
      <c r="BH7" s="8" t="s">
        <v>120</v>
      </c>
      <c r="BI7" s="8" t="s">
        <v>120</v>
      </c>
      <c r="BJ7" s="8" t="s">
        <v>120</v>
      </c>
      <c r="BK7" s="8" t="s">
        <v>120</v>
      </c>
      <c r="BL7" s="8" t="s">
        <v>120</v>
      </c>
      <c r="BM7" s="8" t="s">
        <v>120</v>
      </c>
      <c r="BN7" s="8" t="s">
        <v>120</v>
      </c>
      <c r="BO7" s="8" t="s">
        <v>120</v>
      </c>
      <c r="BP7" s="8" t="s">
        <v>120</v>
      </c>
      <c r="BQ7" s="8" t="s">
        <v>120</v>
      </c>
      <c r="BR7" s="8" t="s">
        <v>120</v>
      </c>
      <c r="BS7" s="8" t="s">
        <v>120</v>
      </c>
      <c r="BT7" s="8" t="s">
        <v>120</v>
      </c>
      <c r="BU7" s="8" t="s">
        <v>120</v>
      </c>
      <c r="BV7" s="8" t="s">
        <v>120</v>
      </c>
      <c r="BW7" s="8" t="s">
        <v>120</v>
      </c>
      <c r="BX7" s="8" t="s">
        <v>120</v>
      </c>
      <c r="BY7" s="8" t="s">
        <v>120</v>
      </c>
      <c r="BZ7" s="8" t="s">
        <v>120</v>
      </c>
      <c r="CA7" s="8" t="s">
        <v>120</v>
      </c>
      <c r="CB7" s="8" t="s">
        <v>131</v>
      </c>
      <c r="CC7" s="8" t="s">
        <v>120</v>
      </c>
      <c r="CD7" s="8" t="s">
        <v>120</v>
      </c>
      <c r="CE7" s="8" t="s">
        <v>120</v>
      </c>
      <c r="CF7" s="8" t="s">
        <v>120</v>
      </c>
      <c r="CG7" s="8" t="s">
        <v>120</v>
      </c>
      <c r="CH7" s="8" t="s">
        <v>120</v>
      </c>
      <c r="CI7" s="8" t="s">
        <v>120</v>
      </c>
      <c r="CJ7" s="8" t="s">
        <v>120</v>
      </c>
      <c r="CK7" s="8"/>
      <c r="CL7" s="8" t="s">
        <v>131</v>
      </c>
      <c r="CM7" s="8" t="s">
        <v>120</v>
      </c>
      <c r="CN7" s="8" t="s">
        <v>132</v>
      </c>
      <c r="CO7" s="8" t="s">
        <v>132</v>
      </c>
      <c r="CP7" s="8"/>
    </row>
    <row r="8" customFormat="false" ht="15" hidden="false" customHeight="false" outlineLevel="0" collapsed="false">
      <c r="A8" s="9" t="s">
        <v>133</v>
      </c>
      <c r="B8" s="9" t="s">
        <v>134</v>
      </c>
      <c r="C8" s="10" t="n">
        <v>1500</v>
      </c>
      <c r="D8" s="11" t="n">
        <v>5</v>
      </c>
      <c r="E8" s="12" t="n">
        <v>17</v>
      </c>
      <c r="F8" s="12" t="n">
        <v>7</v>
      </c>
      <c r="G8" s="12" t="n">
        <v>30</v>
      </c>
      <c r="H8" s="12" t="n">
        <v>5</v>
      </c>
      <c r="I8" s="13" t="n">
        <v>6.5</v>
      </c>
      <c r="J8" s="9" t="s">
        <v>135</v>
      </c>
      <c r="K8" s="9" t="s">
        <v>135</v>
      </c>
      <c r="L8" s="14" t="n">
        <v>0.0176</v>
      </c>
      <c r="M8" s="14" t="n">
        <v>0.044</v>
      </c>
      <c r="N8" s="10" t="n">
        <v>39259510</v>
      </c>
      <c r="O8" s="10" t="n">
        <v>314840</v>
      </c>
      <c r="P8" s="15" t="s">
        <v>136</v>
      </c>
      <c r="Q8" s="16" t="n">
        <f aca="false">IF($B8="","",MATCH(B8,tt_name,0))</f>
        <v>1</v>
      </c>
      <c r="R8" s="16" t="n">
        <f aca="false">IF($B8="","",INDEX(tt_wc,Q8))</f>
        <v>1</v>
      </c>
      <c r="S8" s="16" t="n">
        <f aca="false">IF($B8="","",IF(INDEX(tt_volt,Q8)="HT",1,0))</f>
        <v>1</v>
      </c>
      <c r="T8" s="16" t="n">
        <f aca="false">IF($B8="","",IF(INDEX(tt_evtype,Q8)="BPHE",1,0))</f>
        <v>0</v>
      </c>
      <c r="U8" s="17" t="n">
        <f aca="false">IF($B8="","",C8*3.517)</f>
        <v>5275.5</v>
      </c>
      <c r="V8" s="17" t="n">
        <f aca="false">IF($B8="","",U8/I8)</f>
        <v>811.615384615385</v>
      </c>
      <c r="W8" s="17" t="n">
        <f aca="false">IF($B8="","",U8+V8)</f>
        <v>6087.11538461539</v>
      </c>
      <c r="X8" s="18" t="n">
        <f aca="false">IF($B8="","",F8-INDEX(tt_evapApp,Q8))</f>
        <v>5.5</v>
      </c>
      <c r="Y8" s="18" t="n">
        <f aca="false">IF($B8="","",IF(R8=1,G8+H8+INDEX(tt_condApp,Q8),G8+INDEX(tt_condApp,Q8)))</f>
        <v>37</v>
      </c>
      <c r="Z8" s="19" t="n">
        <f aca="false">IF($B8="","",(X8+273.15)/(Y8-X8))</f>
        <v>8.84603174603175</v>
      </c>
      <c r="AA8" s="20" t="n">
        <f aca="false">IF($B8="","",I8/Z8)</f>
        <v>0.734792750762606</v>
      </c>
      <c r="AB8" s="19" t="n">
        <f aca="false">IF($B8="","",(E8-F8)/LN((E8-X8)/(F8-X8)))</f>
        <v>4.9094647392973</v>
      </c>
      <c r="AC8" s="19" t="n">
        <f aca="false">IF($B8="","",IF(R8=1,H8/LN((Y8-G8)/(Y8-G8-H8)),0))</f>
        <v>3.99117800073964</v>
      </c>
      <c r="AD8" s="19" t="n">
        <f aca="false">IF($B8="","",1/(1/INDEX(tt_Ue,Q8)+L8))</f>
        <v>4.59558823529412</v>
      </c>
      <c r="AE8" s="21" t="n">
        <f aca="false">IF($B8="","",U8/(AD8*AB8))</f>
        <v>233.8236164141</v>
      </c>
      <c r="AF8" s="17" t="n">
        <f aca="false">IF($B8="","",U8/(r_cpw*(E8-F8))*3.6)</f>
        <v>453.698041089345</v>
      </c>
      <c r="AG8" s="17" t="n">
        <f aca="false">IF($B8="","",IF(T8=1,0,ROUNDUP(AF8/3600/(INDEX(tt_vel,Q8)*r_tubeAi),0)))</f>
        <v>270</v>
      </c>
      <c r="AH8" s="17" t="n">
        <f aca="false">IF($B8="","",AG8*INDEX(tt_evPass,Q8))</f>
        <v>810</v>
      </c>
      <c r="AI8" s="18" t="n">
        <f aca="false">IF($B8="","",IF(AH8=0,0,ROUNDUP(AE8/(AH8*PI()*r_tubeOD/1000)*10,0)/10))</f>
        <v>4.9</v>
      </c>
      <c r="AJ8" s="19" t="n">
        <f aca="false">IF($B8="","",IF(AH8=0,0,(SQRT(4*AH8*0.866*(r_pitch*r_tubeOD/1000)^2/r_fill/PI())+r_shellClr)*r_floodFac))</f>
        <v>1.20911376645091</v>
      </c>
      <c r="AK8" s="16" t="n">
        <f aca="false">IF($B8="","",IF(AH8=0,0,MAX(r_tmin,ROUNDUP((r_pDesE/10)*AJ8*1000/(2*r_stress-1.2*r_pDesE/10)+r_ca,0))))</f>
        <v>10</v>
      </c>
      <c r="AL8" s="17" t="n">
        <f aca="false">IF($B8="","",IF(AH8=0,0,(PI()*AJ8*(AI8+0.3)*AK8/1000+(1+r_wbFac)*2*PI()/4*AJ8^2*r_tsheet/1000)*r_rhoSt*(1+r_supFac)))</f>
        <v>3688.59360216138</v>
      </c>
      <c r="AM8" s="19" t="n">
        <f aca="false">IF($B8="","",IF(R8=1,1/(1/INDEX(tt_Uc,Q8)+M8),0))</f>
        <v>4.09836065573771</v>
      </c>
      <c r="AN8" s="21" t="n">
        <f aca="false">IF($B8="","",IF(R8=1,W8/(AM8*AC8),0))</f>
        <v>372.134781653664</v>
      </c>
      <c r="AO8" s="17" t="n">
        <f aca="false">IF($B8="","",IF(R8=1,W8/(r_cpw*H8)*3.6,0))</f>
        <v>1046.99547943695</v>
      </c>
      <c r="AP8" s="17" t="n">
        <f aca="false">IF($B8="","",IF(R8=1,ROUNDUP(AO8/3600/(INDEX(tt_vel,Q8)*r_tubeAi),0),0))</f>
        <v>623</v>
      </c>
      <c r="AQ8" s="17" t="n">
        <f aca="false">IF($B8="","",AP8*INDEX(tt_cdPass,Q8))</f>
        <v>1246</v>
      </c>
      <c r="AR8" s="18" t="n">
        <f aca="false">IF($B8="","",IF(AQ8=0,0,ROUNDUP(AN8/(AQ8*PI()*r_tubeOD/1000)*10,0)/10))</f>
        <v>5</v>
      </c>
      <c r="AS8" s="19" t="n">
        <f aca="false">IF($B8="","",IF(AQ8=0,0,SQRT(4*AQ8*0.866*(r_pitch*r_tubeOD/1000)^2/r_fill/PI())+r_shellClr))</f>
        <v>1.08680882794036</v>
      </c>
      <c r="AT8" s="16" t="n">
        <f aca="false">IF($B8="","",IF(AQ8=0,0,MAX(r_tmin,ROUNDUP((r_pDesC/10)*AS8*1000/(2*r_stress-1.2*r_pDesC/10)+r_ca,0))))</f>
        <v>11</v>
      </c>
      <c r="AU8" s="17" t="n">
        <f aca="false">IF($B8="","",IF(AQ8=0,0,(PI()*AS8*(AR8+0.3)*AT8/1000+(1+r_wbFac)*2*PI()/4*AS8^2*r_tsheet/1000)*r_rhoSt*(1+r_supFac)))</f>
        <v>3320.92995599253</v>
      </c>
      <c r="AV8" s="21" t="n">
        <f aca="false">IF($B8="","",IF(R8=0,W8/(r_airCp*r_airRise*r_airRho),0))</f>
        <v>0</v>
      </c>
      <c r="AW8" s="21" t="n">
        <f aca="false">IF($B8="","",AV8/r_faceV)</f>
        <v>0</v>
      </c>
      <c r="AX8" s="16" t="n">
        <f aca="false">IF($B8="","",IF(R8=0,ROUNDUP(AV8/r_fanFlow,0),0))</f>
        <v>0</v>
      </c>
      <c r="AY8" s="17" t="n">
        <f aca="false">IF($B8="","",IF(INDEX(tt_motSep,Q8)=1,ROUNDUP(V8/r_motEff*r_motMargin/10,0)*10,0))</f>
        <v>930</v>
      </c>
      <c r="AZ8" s="17" t="n">
        <f aca="false">IF($B8="","",IF(AY8&gt;0,AY8,ROUNDUP(V8/r_motEff*r_motMargin/5,0)*5))</f>
        <v>930</v>
      </c>
      <c r="BA8" s="17" t="n">
        <f aca="false">IF($B8="","",AH8*AI8*r_tubeKgM*r_cuTube)</f>
        <v>2480625</v>
      </c>
      <c r="BB8" s="17" t="n">
        <f aca="false">IF($B8="","",AL8*r_steelFab)</f>
        <v>608617.944356628</v>
      </c>
      <c r="BC8" s="17" t="n">
        <f aca="false">IF($B8="","",IF(AH8=0,0,PI()*AJ8*AI8*1.15*r_insul))</f>
        <v>51371.4945317171</v>
      </c>
      <c r="BD8" s="17" t="n">
        <f aca="false">IF($B8="","",IF(T8=1,AE8*r_bphe,0))</f>
        <v>0</v>
      </c>
      <c r="BE8" s="17" t="n">
        <f aca="false">IF($B8="","",AQ8*AR8*r_tubeKgM*r_cuTube)</f>
        <v>3893750</v>
      </c>
      <c r="BF8" s="17" t="n">
        <f aca="false">IF($B8="","",AU8*r_steelFab)</f>
        <v>547953.442738767</v>
      </c>
      <c r="BG8" s="17" t="n">
        <f aca="false">IF($B8="","",AW8*r_coilFace+AX8*r_fanAC+AW8*r_frameKg*r_steelFab)</f>
        <v>0</v>
      </c>
      <c r="BH8" s="17" t="n">
        <f aca="false">IF($B8="","",INDEX(tt_compRate,Q8)*INDEX(tt_compPref,Q8)*(V8/INDEX(tt_compPref,Q8))^INDEX(tt_compN,Q8))</f>
        <v>12139183.4056816</v>
      </c>
      <c r="BI8" s="17" t="n">
        <f aca="false">IF($B8="","",AY8*IF(S8=1,r_motHT,r_motLT))</f>
        <v>3720000</v>
      </c>
      <c r="BJ8" s="17" t="n">
        <f aca="false">IF($B8="","",IF(J8="Yes",AZ8*IF(S8=1,r_vfdHT,r_vfdLT),0))</f>
        <v>10695000</v>
      </c>
      <c r="BK8" s="17" t="n">
        <f aca="false">IF($B8="","",IF(S8=1,r_swgrHT,r_swgrLTbase+r_swgrLTkw*AZ8))</f>
        <v>2200000</v>
      </c>
      <c r="BL8" s="17" t="n">
        <f aca="false">IF($B8="","",INDEX(tt_lube,Q8))</f>
        <v>600000</v>
      </c>
      <c r="BM8" s="17" t="n">
        <f aca="false">IF($B8="","",C8*INDEX(tt_refKg,Q8)*r_refrig)</f>
        <v>495000</v>
      </c>
      <c r="BN8" s="17" t="n">
        <f aca="false">IF($B8="","",INDEX(tt_ctl,Q8))</f>
        <v>900000</v>
      </c>
      <c r="BO8" s="17" t="n">
        <f aca="false">IF($B8="","",IF(AND(K8="Yes",R8=1),AQ8*r_atcTube+r_atcFixed,0))</f>
        <v>2767400</v>
      </c>
      <c r="BP8" s="17" t="n">
        <f aca="false">IF($B8="","",r_pipePct*(BA8+BB8+BC8+BD8+BE8+BF8+BG8+BH8))</f>
        <v>1183290.07723852</v>
      </c>
      <c r="BQ8" s="17" t="n">
        <f aca="false">IF($B8="","",r_avm)</f>
        <v>180000</v>
      </c>
      <c r="BR8" s="17" t="n">
        <f aca="false">IF($B8="","",SUM(BA8:BQ8))</f>
        <v>42462191.3645472</v>
      </c>
      <c r="BS8" s="17" t="n">
        <f aca="false">IF($B8="","",BR8*r_assyPct)</f>
        <v>5944706.79103661</v>
      </c>
      <c r="BT8" s="17" t="n">
        <f aca="false">IF($B8="","",BR8*r_testPct)</f>
        <v>636932.870468209</v>
      </c>
      <c r="BU8" s="17" t="n">
        <f aca="false">IF($B8="","",(BR8+BS8+BT8)*r_logPct)</f>
        <v>1471314.93078156</v>
      </c>
      <c r="BV8" s="17" t="n">
        <f aca="false">IF($B8="","",BR8*r_dutyPct)</f>
        <v>0</v>
      </c>
      <c r="BW8" s="17" t="n">
        <f aca="false">IF($B8="","",BR8+BS8+BT8+BU8+BV8)</f>
        <v>50515145.9568336</v>
      </c>
      <c r="BX8" s="17" t="n">
        <f aca="false">IF($B8="","",BW8*r_ohPct)</f>
        <v>5051514.59568336</v>
      </c>
      <c r="BY8" s="17" t="n">
        <f aca="false">IF($B8="","",BW8*r_warrPct)</f>
        <v>1010302.91913667</v>
      </c>
      <c r="BZ8" s="17" t="n">
        <f aca="false">IF($B8="","",(BW8+BX8+BY8)*r_marginPct)</f>
        <v>6789235.61659844</v>
      </c>
      <c r="CA8" s="22" t="n">
        <f aca="false">IF($B8="","",BW8+BX8+BY8+BZ8)</f>
        <v>63366199.0882521</v>
      </c>
      <c r="CB8" s="17" t="n">
        <f aca="false">IF($B8="","",CA8/C8)</f>
        <v>42244.1327255014</v>
      </c>
      <c r="CC8" s="17" t="n">
        <f aca="false">IF($B8="","",CA8*r_ecPct)</f>
        <v>506929.592706017</v>
      </c>
      <c r="CD8" s="17" t="n">
        <f aca="false">IF($B8="","",(CA8+CC8)*D8)</f>
        <v>319365643.404791</v>
      </c>
      <c r="CE8" s="17" t="n">
        <f aca="false">IF($B8="","",BA8+BB8+BC8+BD8+BE8+BF8+BG8)</f>
        <v>7582317.88162711</v>
      </c>
      <c r="CF8" s="17" t="n">
        <f aca="false">IF($B8="","",BH8+BI8+BJ8+BK8+BL8)</f>
        <v>29354183.4056816</v>
      </c>
      <c r="CG8" s="17" t="n">
        <f aca="false">IF($B8="","",BM8+BN8+BO8+BP8+BQ8)</f>
        <v>5525690.07723852</v>
      </c>
      <c r="CH8" s="17" t="n">
        <f aca="false">IF($B8="","",BS8+BT8)</f>
        <v>6581639.66150482</v>
      </c>
      <c r="CI8" s="17" t="n">
        <f aca="false">IF($B8="","",BU8+BV8)</f>
        <v>1471314.93078156</v>
      </c>
      <c r="CJ8" s="17" t="n">
        <f aca="false">IF($B8="","",BX8+BY8+BZ8)</f>
        <v>12851053.1314185</v>
      </c>
      <c r="CK8" s="23" t="str">
        <f aca="false">IF($B8="","",IF(ABS(CE8+CF8+CG8+CH8+CI8+CJ8-CA8)&lt;1,"OK","MISMATCH"))</f>
        <v>OK</v>
      </c>
      <c r="CL8" s="17" t="n">
        <f aca="false">IF($B8="","",IF(N8="","",N8/C8))</f>
        <v>26173.0066666667</v>
      </c>
      <c r="CM8" s="17" t="n">
        <f aca="false">IF($B8="","",IF(N8="","",CA8-N8))</f>
        <v>24106689.0882521</v>
      </c>
      <c r="CN8" s="20" t="n">
        <f aca="false">IF($B8="","",IF(N8="","",CA8/N8-1))</f>
        <v>0.614034385254734</v>
      </c>
      <c r="CO8" s="20" t="n">
        <f aca="false">IF($B8="","",IF(O8="","",CC8/O8-1))</f>
        <v>0.610118132086192</v>
      </c>
      <c r="CP8" s="24" t="str">
        <f aca="false">IF($B8="","",IF(C8&gt;INDEX(tt_maxTR,Q8),"TR above type max; ","")&amp;IF(AI8&gt;r_Lmax,"Evap tube too long; ","")&amp;IF(AR8&gt;r_Lmax,"Cond tube too long; ","")&amp;IF(AA8&gt;r_carnotCap,"COP high vs lift; ","")&amp;IF(AND(R8=1,G8+H8+INDEX(tt_condApp,Q8)&gt;=X8+60),"Check temps; ",""))</f>
        <v>COP high vs lift; </v>
      </c>
    </row>
    <row r="9" customFormat="false" ht="15" hidden="false" customHeight="false" outlineLevel="0" collapsed="false">
      <c r="A9" s="9" t="s">
        <v>137</v>
      </c>
      <c r="B9" s="9" t="s">
        <v>138</v>
      </c>
      <c r="C9" s="10" t="n">
        <v>400</v>
      </c>
      <c r="D9" s="11" t="n">
        <v>2</v>
      </c>
      <c r="E9" s="12" t="n">
        <v>12</v>
      </c>
      <c r="F9" s="12" t="n">
        <v>7</v>
      </c>
      <c r="G9" s="12" t="n">
        <v>32</v>
      </c>
      <c r="H9" s="12" t="n">
        <v>5</v>
      </c>
      <c r="I9" s="13" t="n">
        <v>5.8</v>
      </c>
      <c r="J9" s="9" t="s">
        <v>135</v>
      </c>
      <c r="K9" s="9" t="s">
        <v>139</v>
      </c>
      <c r="L9" s="14" t="n">
        <v>0.0176</v>
      </c>
      <c r="M9" s="14" t="n">
        <v>0.044</v>
      </c>
      <c r="N9" s="10"/>
      <c r="O9" s="10"/>
      <c r="P9" s="15" t="s">
        <v>140</v>
      </c>
      <c r="Q9" s="16" t="n">
        <f aca="false">IF($B9="","",MATCH(B9,tt_name,0))</f>
        <v>2</v>
      </c>
      <c r="R9" s="16" t="n">
        <f aca="false">IF($B9="","",INDEX(tt_wc,Q9))</f>
        <v>1</v>
      </c>
      <c r="S9" s="16" t="n">
        <f aca="false">IF($B9="","",IF(INDEX(tt_volt,Q9)="HT",1,0))</f>
        <v>0</v>
      </c>
      <c r="T9" s="16" t="n">
        <f aca="false">IF($B9="","",IF(INDEX(tt_evtype,Q9)="BPHE",1,0))</f>
        <v>0</v>
      </c>
      <c r="U9" s="17" t="n">
        <f aca="false">IF($B9="","",C9*3.517)</f>
        <v>1406.8</v>
      </c>
      <c r="V9" s="17" t="n">
        <f aca="false">IF($B9="","",U9/I9)</f>
        <v>242.551724137931</v>
      </c>
      <c r="W9" s="17" t="n">
        <f aca="false">IF($B9="","",U9+V9)</f>
        <v>1649.35172413793</v>
      </c>
      <c r="X9" s="18" t="n">
        <f aca="false">IF($B9="","",F9-INDEX(tt_evapApp,Q9))</f>
        <v>5.5</v>
      </c>
      <c r="Y9" s="18" t="n">
        <f aca="false">IF($B9="","",IF(R9=1,G9+H9+INDEX(tt_condApp,Q9),G9+INDEX(tt_condApp,Q9)))</f>
        <v>39</v>
      </c>
      <c r="Z9" s="19" t="n">
        <f aca="false">IF($B9="","",(X9+273.15)/(Y9-X9))</f>
        <v>8.31791044776119</v>
      </c>
      <c r="AA9" s="20" t="n">
        <f aca="false">IF($B9="","",I9/Z9)</f>
        <v>0.697290507805491</v>
      </c>
      <c r="AB9" s="19" t="n">
        <f aca="false">IF($B9="","",(E9-F9)/LN((E9-X9)/(F9-X9)))</f>
        <v>3.40985719205356</v>
      </c>
      <c r="AC9" s="19" t="n">
        <f aca="false">IF($B9="","",IF(R9=1,H9/LN((Y9-G9)/(Y9-G9-H9)),0))</f>
        <v>3.99117800073964</v>
      </c>
      <c r="AD9" s="19" t="n">
        <f aca="false">IF($B9="","",1/(1/INDEX(tt_Ue,Q9)+L9))</f>
        <v>4.59558823529412</v>
      </c>
      <c r="AE9" s="21" t="n">
        <f aca="false">IF($B9="","",U9/(AD9*AB9))</f>
        <v>89.7749268542364</v>
      </c>
      <c r="AF9" s="17" t="n">
        <f aca="false">IF($B9="","",U9/(r_cpw*(E9-F9))*3.6)</f>
        <v>241.972288580984</v>
      </c>
      <c r="AG9" s="17" t="n">
        <f aca="false">IF($B9="","",IF(T9=1,0,ROUNDUP(AF9/3600/(INDEX(tt_vel,Q9)*r_tubeAi),0)))</f>
        <v>144</v>
      </c>
      <c r="AH9" s="17" t="n">
        <f aca="false">IF($B9="","",AG9*INDEX(tt_evPass,Q9))</f>
        <v>432</v>
      </c>
      <c r="AI9" s="18" t="n">
        <f aca="false">IF($B9="","",IF(AH9=0,0,ROUNDUP(AE9/(AH9*PI()*r_tubeOD/1000)*10,0)/10))</f>
        <v>3.5</v>
      </c>
      <c r="AJ9" s="19" t="n">
        <f aca="false">IF($B9="","",IF(AH9=0,0,(SQRT(4*AH9*0.866*(r_pitch*r_tubeOD/1000)^2/r_fill/PI())+r_shellClr)*r_floodFac))</f>
        <v>0.919421785615998</v>
      </c>
      <c r="AK9" s="16" t="n">
        <f aca="false">IF($B9="","",IF(AH9=0,0,MAX(r_tmin,ROUNDUP((r_pDesE/10)*AJ9*1000/(2*r_stress-1.2*r_pDesE/10)+r_ca,0))))</f>
        <v>10</v>
      </c>
      <c r="AL9" s="17" t="n">
        <f aca="false">IF($B9="","",IF(AH9=0,0,(PI()*AJ9*(AI9+0.3)*AK9/1000+(1+r_wbFac)*2*PI()/4*AJ9^2*r_tsheet/1000)*r_rhoSt*(1+r_supFac)))</f>
        <v>2094.38631574923</v>
      </c>
      <c r="AM9" s="19" t="n">
        <f aca="false">IF($B9="","",IF(R9=1,1/(1/INDEX(tt_Uc,Q9)+M9),0))</f>
        <v>4.09836065573771</v>
      </c>
      <c r="AN9" s="21" t="n">
        <f aca="false">IF($B9="","",IF(R9=1,W9/(AM9*AC9),0))</f>
        <v>100.832841986771</v>
      </c>
      <c r="AO9" s="17" t="n">
        <f aca="false">IF($B9="","",IF(R9=1,W9/(r_cpw*H9)*3.6,0))</f>
        <v>283.691648681154</v>
      </c>
      <c r="AP9" s="17" t="n">
        <f aca="false">IF($B9="","",IF(R9=1,ROUNDUP(AO9/3600/(INDEX(tt_vel,Q9)*r_tubeAi),0),0))</f>
        <v>169</v>
      </c>
      <c r="AQ9" s="17" t="n">
        <f aca="false">IF($B9="","",AP9*INDEX(tt_cdPass,Q9))</f>
        <v>338</v>
      </c>
      <c r="AR9" s="18" t="n">
        <f aca="false">IF($B9="","",IF(AQ9=0,0,ROUNDUP(AN9/(AQ9*PI()*r_tubeOD/1000)*10,0)/10))</f>
        <v>5</v>
      </c>
      <c r="AS9" s="19" t="n">
        <f aca="false">IF($B9="","",IF(AQ9=0,0,SQRT(4*AQ9*0.866*(r_pitch*r_tubeOD/1000)^2/r_fill/PI())+r_shellClr))</f>
        <v>0.613963591203018</v>
      </c>
      <c r="AT9" s="16" t="n">
        <f aca="false">IF($B9="","",IF(AQ9=0,0,MAX(r_tmin,ROUNDUP((r_pDesC/10)*AS9*1000/(2*r_stress-1.2*r_pDesC/10)+r_ca,0))))</f>
        <v>10</v>
      </c>
      <c r="AU9" s="17" t="n">
        <f aca="false">IF($B9="","",IF(AQ9=0,0,(PI()*AS9*(AR9+0.3)*AT9/1000+(1+r_wbFac)*2*PI()/4*AS9^2*r_tsheet/1000)*r_rhoSt*(1+r_supFac)))</f>
        <v>1394.02590563735</v>
      </c>
      <c r="AV9" s="21" t="n">
        <f aca="false">IF($B9="","",IF(R9=0,W9/(r_airCp*r_airRise*r_airRho),0))</f>
        <v>0</v>
      </c>
      <c r="AW9" s="21" t="n">
        <f aca="false">IF($B9="","",AV9/r_faceV)</f>
        <v>0</v>
      </c>
      <c r="AX9" s="16" t="n">
        <f aca="false">IF($B9="","",IF(R9=0,ROUNDUP(AV9/r_fanFlow,0),0))</f>
        <v>0</v>
      </c>
      <c r="AY9" s="17" t="n">
        <f aca="false">IF($B9="","",IF(INDEX(tt_motSep,Q9)=1,ROUNDUP(V9/r_motEff*r_motMargin/10,0)*10,0))</f>
        <v>280</v>
      </c>
      <c r="AZ9" s="17" t="n">
        <f aca="false">IF($B9="","",IF(AY9&gt;0,AY9,ROUNDUP(V9/r_motEff*r_motMargin/5,0)*5))</f>
        <v>280</v>
      </c>
      <c r="BA9" s="17" t="n">
        <f aca="false">IF($B9="","",AH9*AI9*r_tubeKgM*r_cuTube)</f>
        <v>945000</v>
      </c>
      <c r="BB9" s="17" t="n">
        <f aca="false">IF($B9="","",AL9*r_steelFab)</f>
        <v>345573.742098622</v>
      </c>
      <c r="BC9" s="17" t="n">
        <f aca="false">IF($B9="","",IF(AH9=0,0,PI()*AJ9*AI9*1.15*r_insul))</f>
        <v>27902.4147051541</v>
      </c>
      <c r="BD9" s="17" t="n">
        <f aca="false">IF($B9="","",IF(T9=1,AE9*r_bphe,0))</f>
        <v>0</v>
      </c>
      <c r="BE9" s="17" t="n">
        <f aca="false">IF($B9="","",AQ9*AR9*r_tubeKgM*r_cuTube)</f>
        <v>1056250</v>
      </c>
      <c r="BF9" s="17" t="n">
        <f aca="false">IF($B9="","",AU9*r_steelFab)</f>
        <v>230014.274430163</v>
      </c>
      <c r="BG9" s="17" t="n">
        <f aca="false">IF($B9="","",AW9*r_coilFace+AX9*r_fanAC+AW9*r_frameKg*r_steelFab)</f>
        <v>0</v>
      </c>
      <c r="BH9" s="17" t="n">
        <f aca="false">IF($B9="","",INDEX(tt_compRate,Q9)*INDEX(tt_compPref,Q9)*(V9/INDEX(tt_compPref,Q9))^INDEX(tt_compN,Q9))</f>
        <v>4619050.91386933</v>
      </c>
      <c r="BI9" s="17" t="n">
        <f aca="false">IF($B9="","",AY9*IF(S9=1,r_motHT,r_motLT))</f>
        <v>644000</v>
      </c>
      <c r="BJ9" s="17" t="n">
        <f aca="false">IF($B9="","",IF(J9="Yes",AZ9*IF(S9=1,r_vfdHT,r_vfdLT),0))</f>
        <v>1680000</v>
      </c>
      <c r="BK9" s="17" t="n">
        <f aca="false">IF($B9="","",IF(S9=1,r_swgrHT,r_swgrLTbase+r_swgrLTkw*AZ9))</f>
        <v>206000</v>
      </c>
      <c r="BL9" s="17" t="n">
        <f aca="false">IF($B9="","",INDEX(tt_lube,Q9))</f>
        <v>400000</v>
      </c>
      <c r="BM9" s="17" t="n">
        <f aca="false">IF($B9="","",C9*INDEX(tt_refKg,Q9)*r_refrig)</f>
        <v>132000</v>
      </c>
      <c r="BN9" s="17" t="n">
        <f aca="false">IF($B9="","",INDEX(tt_ctl,Q9))</f>
        <v>700000</v>
      </c>
      <c r="BO9" s="17" t="n">
        <f aca="false">IF($B9="","",IF(AND(K9="Yes",R9=1),AQ9*r_atcTube+r_atcFixed,0))</f>
        <v>0</v>
      </c>
      <c r="BP9" s="17" t="n">
        <f aca="false">IF($B9="","",r_pipePct*(BA9+BB9+BC9+BD9+BE9+BF9+BG9+BH9))</f>
        <v>433427.480706196</v>
      </c>
      <c r="BQ9" s="17" t="n">
        <f aca="false">IF($B9="","",r_avm)</f>
        <v>180000</v>
      </c>
      <c r="BR9" s="17" t="n">
        <f aca="false">IF($B9="","",SUM(BA9:BQ9))</f>
        <v>11599218.8258095</v>
      </c>
      <c r="BS9" s="17" t="n">
        <f aca="false">IF($B9="","",BR9*r_assyPct)</f>
        <v>1623890.63561332</v>
      </c>
      <c r="BT9" s="17" t="n">
        <f aca="false">IF($B9="","",BR9*r_testPct)</f>
        <v>173988.282387142</v>
      </c>
      <c r="BU9" s="17" t="n">
        <f aca="false">IF($B9="","",(BR9+BS9+BT9)*r_logPct)</f>
        <v>401912.932314298</v>
      </c>
      <c r="BV9" s="17" t="n">
        <f aca="false">IF($B9="","",BR9*r_dutyPct)</f>
        <v>0</v>
      </c>
      <c r="BW9" s="17" t="n">
        <f aca="false">IF($B9="","",BR9+BS9+BT9+BU9+BV9)</f>
        <v>13799010.6761242</v>
      </c>
      <c r="BX9" s="17" t="n">
        <f aca="false">IF($B9="","",BW9*r_ohPct)</f>
        <v>1379901.06761242</v>
      </c>
      <c r="BY9" s="17" t="n">
        <f aca="false">IF($B9="","",BW9*r_warrPct)</f>
        <v>275980.213522484</v>
      </c>
      <c r="BZ9" s="17" t="n">
        <f aca="false">IF($B9="","",(BW9+BX9+BY9)*r_marginPct)</f>
        <v>1854587.0348711</v>
      </c>
      <c r="CA9" s="22" t="n">
        <f aca="false">IF($B9="","",BW9+BX9+BY9+BZ9)</f>
        <v>17309478.9921302</v>
      </c>
      <c r="CB9" s="17" t="n">
        <f aca="false">IF($B9="","",CA9/C9)</f>
        <v>43273.6974803256</v>
      </c>
      <c r="CC9" s="17" t="n">
        <f aca="false">IF($B9="","",CA9*r_ecPct)</f>
        <v>138475.831937042</v>
      </c>
      <c r="CD9" s="17" t="n">
        <f aca="false">IF($B9="","",(CA9+CC9)*D9)</f>
        <v>34895909.6481345</v>
      </c>
      <c r="CE9" s="17" t="n">
        <f aca="false">IF($B9="","",BA9+BB9+BC9+BD9+BE9+BF9+BG9)</f>
        <v>2604740.43123394</v>
      </c>
      <c r="CF9" s="17" t="n">
        <f aca="false">IF($B9="","",BH9+BI9+BJ9+BK9+BL9)</f>
        <v>7549050.91386933</v>
      </c>
      <c r="CG9" s="17" t="n">
        <f aca="false">IF($B9="","",BM9+BN9+BO9+BP9+BQ9)</f>
        <v>1445427.4807062</v>
      </c>
      <c r="CH9" s="17" t="n">
        <f aca="false">IF($B9="","",BS9+BT9)</f>
        <v>1797878.91800047</v>
      </c>
      <c r="CI9" s="17" t="n">
        <f aca="false">IF($B9="","",BU9+BV9)</f>
        <v>401912.932314298</v>
      </c>
      <c r="CJ9" s="17" t="n">
        <f aca="false">IF($B9="","",BX9+BY9+BZ9)</f>
        <v>3510468.316006</v>
      </c>
      <c r="CK9" s="23" t="str">
        <f aca="false">IF($B9="","",IF(ABS(CE9+CF9+CG9+CH9+CI9+CJ9-CA9)&lt;1,"OK","MISMATCH"))</f>
        <v>OK</v>
      </c>
      <c r="CL9" s="17" t="str">
        <f aca="false">IF($B9="","",IF(N9="","",N9/C9))</f>
        <v/>
      </c>
      <c r="CM9" s="17" t="str">
        <f aca="false">IF($B9="","",IF(N9="","",CA9-N9))</f>
        <v/>
      </c>
      <c r="CN9" s="20" t="str">
        <f aca="false">IF($B9="","",IF(N9="","",CA9/N9-1))</f>
        <v/>
      </c>
      <c r="CO9" s="20" t="str">
        <f aca="false">IF($B9="","",IF(O9="","",CC9/O9-1))</f>
        <v/>
      </c>
      <c r="CP9" s="24" t="str">
        <f aca="false">IF($B9="","",IF(C9&gt;INDEX(tt_maxTR,Q9),"TR above type max; ","")&amp;IF(AI9&gt;r_Lmax,"Evap tube too long; ","")&amp;IF(AR9&gt;r_Lmax,"Cond tube too long; ","")&amp;IF(AA9&gt;r_carnotCap,"COP high vs lift; ","")&amp;IF(AND(R9=1,G9+H9+INDEX(tt_condApp,Q9)&gt;=X9+60),"Check temps; ",""))</f>
        <v>COP high vs lift; </v>
      </c>
    </row>
    <row r="10" customFormat="false" ht="15" hidden="false" customHeight="false" outlineLevel="0" collapsed="false">
      <c r="A10" s="9" t="s">
        <v>141</v>
      </c>
      <c r="B10" s="9" t="s">
        <v>142</v>
      </c>
      <c r="C10" s="10" t="n">
        <v>250</v>
      </c>
      <c r="D10" s="11" t="n">
        <v>2</v>
      </c>
      <c r="E10" s="12" t="n">
        <v>12</v>
      </c>
      <c r="F10" s="12" t="n">
        <v>7</v>
      </c>
      <c r="G10" s="12" t="n">
        <v>32</v>
      </c>
      <c r="H10" s="12" t="n">
        <v>5</v>
      </c>
      <c r="I10" s="13" t="n">
        <v>5</v>
      </c>
      <c r="J10" s="9" t="s">
        <v>139</v>
      </c>
      <c r="K10" s="9" t="s">
        <v>139</v>
      </c>
      <c r="L10" s="14" t="n">
        <v>0.0176</v>
      </c>
      <c r="M10" s="14" t="n">
        <v>0.044</v>
      </c>
      <c r="N10" s="10"/>
      <c r="O10" s="10"/>
      <c r="P10" s="15" t="s">
        <v>140</v>
      </c>
      <c r="Q10" s="16" t="n">
        <f aca="false">IF($B10="","",MATCH(B10,tt_name,0))</f>
        <v>3</v>
      </c>
      <c r="R10" s="16" t="n">
        <f aca="false">IF($B10="","",INDEX(tt_wc,Q10))</f>
        <v>1</v>
      </c>
      <c r="S10" s="16" t="n">
        <f aca="false">IF($B10="","",IF(INDEX(tt_volt,Q10)="HT",1,0))</f>
        <v>0</v>
      </c>
      <c r="T10" s="16" t="n">
        <f aca="false">IF($B10="","",IF(INDEX(tt_evtype,Q10)="BPHE",1,0))</f>
        <v>0</v>
      </c>
      <c r="U10" s="17" t="n">
        <f aca="false">IF($B10="","",C10*3.517)</f>
        <v>879.25</v>
      </c>
      <c r="V10" s="17" t="n">
        <f aca="false">IF($B10="","",U10/I10)</f>
        <v>175.85</v>
      </c>
      <c r="W10" s="17" t="n">
        <f aca="false">IF($B10="","",U10+V10)</f>
        <v>1055.1</v>
      </c>
      <c r="X10" s="18" t="n">
        <f aca="false">IF($B10="","",F10-INDEX(tt_evapApp,Q10))</f>
        <v>5</v>
      </c>
      <c r="Y10" s="18" t="n">
        <f aca="false">IF($B10="","",IF(R10=1,G10+H10+INDEX(tt_condApp,Q10),G10+INDEX(tt_condApp,Q10)))</f>
        <v>39.5</v>
      </c>
      <c r="Z10" s="19" t="n">
        <f aca="false">IF($B10="","",(X10+273.15)/(Y10-X10))</f>
        <v>8.06231884057971</v>
      </c>
      <c r="AA10" s="20" t="n">
        <f aca="false">IF($B10="","",I10/Z10)</f>
        <v>0.620168973575409</v>
      </c>
      <c r="AB10" s="19" t="n">
        <f aca="false">IF($B10="","",(E10-F10)/LN((E10-X10)/(F10-X10)))</f>
        <v>3.99117800073964</v>
      </c>
      <c r="AC10" s="19" t="n">
        <f aca="false">IF($B10="","",IF(R10=1,H10/LN((Y10-G10)/(Y10-G10-H10)),0))</f>
        <v>4.55119613313419</v>
      </c>
      <c r="AD10" s="19" t="n">
        <f aca="false">IF($B10="","",1/(1/INDEX(tt_Ue,Q10)+L10))</f>
        <v>3.56178764247151</v>
      </c>
      <c r="AE10" s="21" t="n">
        <f aca="false">IF($B10="","",U10/(AD10*AB10))</f>
        <v>61.8505060164245</v>
      </c>
      <c r="AF10" s="17" t="n">
        <f aca="false">IF($B10="","",U10/(r_cpw*(E10-F10))*3.6)</f>
        <v>151.232680363115</v>
      </c>
      <c r="AG10" s="17" t="n">
        <f aca="false">IF($B10="","",IF(T10=1,0,ROUNDUP(AF10/3600/(INDEX(tt_vel,Q10)*r_tubeAi),0)))</f>
        <v>100</v>
      </c>
      <c r="AH10" s="17" t="n">
        <f aca="false">IF($B10="","",AG10*INDEX(tt_evPass,Q10))</f>
        <v>200</v>
      </c>
      <c r="AI10" s="18" t="n">
        <f aca="false">IF($B10="","",IF(AH10=0,0,ROUNDUP(AE10/(AH10*PI()*r_tubeOD/1000)*10,0)/10))</f>
        <v>5.2</v>
      </c>
      <c r="AJ10" s="19" t="n">
        <f aca="false">IF($B10="","",IF(AH10=0,0,(SQRT(4*AH10*0.866*(r_pitch*r_tubeOD/1000)^2/r_fill/PI())+r_shellClr)*r_floodFac))</f>
        <v>0.668731421633903</v>
      </c>
      <c r="AK10" s="16" t="n">
        <f aca="false">IF($B10="","",IF(AH10=0,0,MAX(r_tmin,ROUNDUP((r_pDesE/10)*AJ10*1000/(2*r_stress-1.2*r_pDesE/10)+r_ca,0))))</f>
        <v>10</v>
      </c>
      <c r="AL10" s="17" t="n">
        <f aca="false">IF($B10="","",IF(AH10=0,0,(PI()*AJ10*(AI10+0.3)*AK10/1000+(1+r_wbFac)*2*PI()/4*AJ10^2*r_tsheet/1000)*r_rhoSt*(1+r_supFac)))</f>
        <v>1604.33788809571</v>
      </c>
      <c r="AM10" s="19" t="n">
        <f aca="false">IF($B10="","",IF(R10=1,1/(1/INDEX(tt_Uc,Q10)+M10),0))</f>
        <v>3.75626043405676</v>
      </c>
      <c r="AN10" s="21" t="n">
        <f aca="false">IF($B10="","",IF(R10=1,W10/(AM10*AC10),0))</f>
        <v>61.7180755234186</v>
      </c>
      <c r="AO10" s="17" t="n">
        <f aca="false">IF($B10="","",IF(R10=1,W10/(r_cpw*H10)*3.6,0))</f>
        <v>181.479216435738</v>
      </c>
      <c r="AP10" s="17" t="n">
        <f aca="false">IF($B10="","",IF(R10=1,ROUNDUP(AO10/3600/(INDEX(tt_vel,Q10)*r_tubeAi),0),0))</f>
        <v>120</v>
      </c>
      <c r="AQ10" s="17" t="n">
        <f aca="false">IF($B10="","",AP10*INDEX(tt_cdPass,Q10))</f>
        <v>240</v>
      </c>
      <c r="AR10" s="18" t="n">
        <f aca="false">IF($B10="","",IF(AQ10=0,0,ROUNDUP(AN10/(AQ10*PI()*r_tubeOD/1000)*10,0)/10))</f>
        <v>4.3</v>
      </c>
      <c r="AS10" s="19" t="n">
        <f aca="false">IF($B10="","",IF(AQ10=0,0,SQRT(4*AQ10*0.866*(r_pitch*r_tubeOD/1000)^2/r_fill/PI())+r_shellClr))</f>
        <v>0.533091465597318</v>
      </c>
      <c r="AT10" s="16" t="n">
        <f aca="false">IF($B10="","",IF(AQ10=0,0,MAX(r_tmin,ROUNDUP((r_pDesC/10)*AS10*1000/(2*r_stress-1.2*r_pDesC/10)+r_ca,0))))</f>
        <v>10</v>
      </c>
      <c r="AU10" s="17" t="n">
        <f aca="false">IF($B10="","",IF(AQ10=0,0,(PI()*AS10*(AR10+0.3)*AT10/1000+(1+r_wbFac)*2*PI()/4*AS10^2*r_tsheet/1000)*r_rhoSt*(1+r_supFac)))</f>
        <v>1050.69556918623</v>
      </c>
      <c r="AV10" s="21" t="n">
        <f aca="false">IF($B10="","",IF(R10=0,W10/(r_airCp*r_airRise*r_airRho),0))</f>
        <v>0</v>
      </c>
      <c r="AW10" s="21" t="n">
        <f aca="false">IF($B10="","",AV10/r_faceV)</f>
        <v>0</v>
      </c>
      <c r="AX10" s="16" t="n">
        <f aca="false">IF($B10="","",IF(R10=0,ROUNDUP(AV10/r_fanFlow,0),0))</f>
        <v>0</v>
      </c>
      <c r="AY10" s="17" t="n">
        <f aca="false">IF($B10="","",IF(INDEX(tt_motSep,Q10)=1,ROUNDUP(V10/r_motEff*r_motMargin/10,0)*10,0))</f>
        <v>0</v>
      </c>
      <c r="AZ10" s="17" t="n">
        <f aca="false">IF($B10="","",IF(AY10&gt;0,AY10,ROUNDUP(V10/r_motEff*r_motMargin/5,0)*5))</f>
        <v>205</v>
      </c>
      <c r="BA10" s="17" t="n">
        <f aca="false">IF($B10="","",AH10*AI10*r_tubeKgM*r_cuTube)</f>
        <v>650000</v>
      </c>
      <c r="BB10" s="17" t="n">
        <f aca="false">IF($B10="","",AL10*r_steelFab)</f>
        <v>264715.751535792</v>
      </c>
      <c r="BC10" s="17" t="n">
        <f aca="false">IF($B10="","",IF(AH10=0,0,PI()*AJ10*AI10*1.15*r_insul))</f>
        <v>30151.8544659595</v>
      </c>
      <c r="BD10" s="17" t="n">
        <f aca="false">IF($B10="","",IF(T10=1,AE10*r_bphe,0))</f>
        <v>0</v>
      </c>
      <c r="BE10" s="17" t="n">
        <f aca="false">IF($B10="","",AQ10*AR10*r_tubeKgM*r_cuTube)</f>
        <v>645000</v>
      </c>
      <c r="BF10" s="17" t="n">
        <f aca="false">IF($B10="","",AU10*r_steelFab)</f>
        <v>173364.768915728</v>
      </c>
      <c r="BG10" s="17" t="n">
        <f aca="false">IF($B10="","",AW10*r_coilFace+AX10*r_fanAC+AW10*r_frameKg*r_steelFab)</f>
        <v>0</v>
      </c>
      <c r="BH10" s="17" t="n">
        <f aca="false">IF($B10="","",INDEX(tt_compRate,Q10)*INDEX(tt_compPref,Q10)*(V10/INDEX(tt_compPref,Q10))^INDEX(tt_compN,Q10))</f>
        <v>2095713.39922121</v>
      </c>
      <c r="BI10" s="17" t="n">
        <f aca="false">IF($B10="","",AY10*IF(S10=1,r_motHT,r_motLT))</f>
        <v>0</v>
      </c>
      <c r="BJ10" s="17" t="n">
        <f aca="false">IF($B10="","",IF(J10="Yes",AZ10*IF(S10=1,r_vfdHT,r_vfdLT),0))</f>
        <v>0</v>
      </c>
      <c r="BK10" s="17" t="n">
        <f aca="false">IF($B10="","",IF(S10=1,r_swgrHT,r_swgrLTbase+r_swgrLTkw*AZ10))</f>
        <v>172250</v>
      </c>
      <c r="BL10" s="17" t="n">
        <f aca="false">IF($B10="","",INDEX(tt_lube,Q10))</f>
        <v>0</v>
      </c>
      <c r="BM10" s="17" t="n">
        <f aca="false">IF($B10="","",C10*INDEX(tt_refKg,Q10)*r_refrig)</f>
        <v>67500</v>
      </c>
      <c r="BN10" s="17" t="n">
        <f aca="false">IF($B10="","",INDEX(tt_ctl,Q10))</f>
        <v>500000</v>
      </c>
      <c r="BO10" s="17" t="n">
        <f aca="false">IF($B10="","",IF(AND(K10="Yes",R10=1),AQ10*r_atcTube+r_atcFixed,0))</f>
        <v>0</v>
      </c>
      <c r="BP10" s="17" t="n">
        <f aca="false">IF($B10="","",r_pipePct*(BA10+BB10+BC10+BD10+BE10+BF10+BG10+BH10))</f>
        <v>231536.746448321</v>
      </c>
      <c r="BQ10" s="17" t="n">
        <f aca="false">IF($B10="","",r_avm)</f>
        <v>180000</v>
      </c>
      <c r="BR10" s="17" t="n">
        <f aca="false">IF($B10="","",SUM(BA10:BQ10))</f>
        <v>5010232.52058701</v>
      </c>
      <c r="BS10" s="17" t="n">
        <f aca="false">IF($B10="","",BR10*r_assyPct)</f>
        <v>701432.552882182</v>
      </c>
      <c r="BT10" s="17" t="n">
        <f aca="false">IF($B10="","",BR10*r_testPct)</f>
        <v>75153.4878088052</v>
      </c>
      <c r="BU10" s="17" t="n">
        <f aca="false">IF($B10="","",(BR10+BS10+BT10)*r_logPct)</f>
        <v>173604.55683834</v>
      </c>
      <c r="BV10" s="17" t="n">
        <f aca="false">IF($B10="","",BR10*r_dutyPct)</f>
        <v>0</v>
      </c>
      <c r="BW10" s="17" t="n">
        <f aca="false">IF($B10="","",BR10+BS10+BT10+BU10+BV10)</f>
        <v>5960423.11811634</v>
      </c>
      <c r="BX10" s="17" t="n">
        <f aca="false">IF($B10="","",BW10*r_ohPct)</f>
        <v>596042.311811634</v>
      </c>
      <c r="BY10" s="17" t="n">
        <f aca="false">IF($B10="","",BW10*r_warrPct)</f>
        <v>119208.462362327</v>
      </c>
      <c r="BZ10" s="17" t="n">
        <f aca="false">IF($B10="","",(BW10+BX10+BY10)*r_marginPct)</f>
        <v>801080.867074836</v>
      </c>
      <c r="CA10" s="22" t="n">
        <f aca="false">IF($B10="","",BW10+BX10+BY10+BZ10)</f>
        <v>7476754.75936513</v>
      </c>
      <c r="CB10" s="17" t="n">
        <f aca="false">IF($B10="","",CA10/C10)</f>
        <v>29907.0190374605</v>
      </c>
      <c r="CC10" s="17" t="n">
        <f aca="false">IF($B10="","",CA10*r_ecPct)</f>
        <v>59814.0380749211</v>
      </c>
      <c r="CD10" s="17" t="n">
        <f aca="false">IF($B10="","",(CA10+CC10)*D10)</f>
        <v>15073137.5948801</v>
      </c>
      <c r="CE10" s="17" t="n">
        <f aca="false">IF($B10="","",BA10+BB10+BC10+BD10+BE10+BF10+BG10)</f>
        <v>1763232.37491748</v>
      </c>
      <c r="CF10" s="17" t="n">
        <f aca="false">IF($B10="","",BH10+BI10+BJ10+BK10+BL10)</f>
        <v>2267963.39922121</v>
      </c>
      <c r="CG10" s="17" t="n">
        <f aca="false">IF($B10="","",BM10+BN10+BO10+BP10+BQ10)</f>
        <v>979036.746448321</v>
      </c>
      <c r="CH10" s="17" t="n">
        <f aca="false">IF($B10="","",BS10+BT10)</f>
        <v>776586.040690987</v>
      </c>
      <c r="CI10" s="17" t="n">
        <f aca="false">IF($B10="","",BU10+BV10)</f>
        <v>173604.55683834</v>
      </c>
      <c r="CJ10" s="17" t="n">
        <f aca="false">IF($B10="","",BX10+BY10+BZ10)</f>
        <v>1516331.6412488</v>
      </c>
      <c r="CK10" s="23" t="str">
        <f aca="false">IF($B10="","",IF(ABS(CE10+CF10+CG10+CH10+CI10+CJ10-CA10)&lt;1,"OK","MISMATCH"))</f>
        <v>OK</v>
      </c>
      <c r="CL10" s="17" t="str">
        <f aca="false">IF($B10="","",IF(N10="","",N10/C10))</f>
        <v/>
      </c>
      <c r="CM10" s="17" t="str">
        <f aca="false">IF($B10="","",IF(N10="","",CA10-N10))</f>
        <v/>
      </c>
      <c r="CN10" s="20" t="str">
        <f aca="false">IF($B10="","",IF(N10="","",CA10/N10-1))</f>
        <v/>
      </c>
      <c r="CO10" s="20" t="str">
        <f aca="false">IF($B10="","",IF(O10="","",CC10/O10-1))</f>
        <v/>
      </c>
      <c r="CP10" s="24" t="str">
        <f aca="false">IF($B10="","",IF(C10&gt;INDEX(tt_maxTR,Q10),"TR above type max; ","")&amp;IF(AI10&gt;r_Lmax,"Evap tube too long; ","")&amp;IF(AR10&gt;r_Lmax,"Cond tube too long; ","")&amp;IF(AA10&gt;r_carnotCap,"COP high vs lift; ","")&amp;IF(AND(R10=1,G10+H10+INDEX(tt_condApp,Q10)&gt;=X10+60),"Check temps; ",""))</f>
        <v/>
      </c>
    </row>
    <row r="11" customFormat="false" ht="15" hidden="false" customHeight="false" outlineLevel="0" collapsed="false">
      <c r="A11" s="9" t="s">
        <v>143</v>
      </c>
      <c r="B11" s="9" t="s">
        <v>144</v>
      </c>
      <c r="C11" s="10" t="n">
        <v>150</v>
      </c>
      <c r="D11" s="11" t="n">
        <v>2</v>
      </c>
      <c r="E11" s="12" t="n">
        <v>12</v>
      </c>
      <c r="F11" s="12" t="n">
        <v>7</v>
      </c>
      <c r="G11" s="12" t="n">
        <v>43</v>
      </c>
      <c r="H11" s="12"/>
      <c r="I11" s="13" t="n">
        <v>3</v>
      </c>
      <c r="J11" s="9" t="s">
        <v>139</v>
      </c>
      <c r="K11" s="9" t="s">
        <v>139</v>
      </c>
      <c r="L11" s="14" t="n">
        <v>0.0176</v>
      </c>
      <c r="M11" s="14"/>
      <c r="N11" s="10"/>
      <c r="O11" s="10"/>
      <c r="P11" s="15" t="s">
        <v>145</v>
      </c>
      <c r="Q11" s="16" t="n">
        <f aca="false">IF($B11="","",MATCH(B11,tt_name,0))</f>
        <v>4</v>
      </c>
      <c r="R11" s="16" t="n">
        <f aca="false">IF($B11="","",INDEX(tt_wc,Q11))</f>
        <v>0</v>
      </c>
      <c r="S11" s="16" t="n">
        <f aca="false">IF($B11="","",IF(INDEX(tt_volt,Q11)="HT",1,0))</f>
        <v>0</v>
      </c>
      <c r="T11" s="16" t="n">
        <f aca="false">IF($B11="","",IF(INDEX(tt_evtype,Q11)="BPHE",1,0))</f>
        <v>0</v>
      </c>
      <c r="U11" s="17" t="n">
        <f aca="false">IF($B11="","",C11*3.517)</f>
        <v>527.55</v>
      </c>
      <c r="V11" s="17" t="n">
        <f aca="false">IF($B11="","",U11/I11)</f>
        <v>175.85</v>
      </c>
      <c r="W11" s="17" t="n">
        <f aca="false">IF($B11="","",U11+V11)</f>
        <v>703.4</v>
      </c>
      <c r="X11" s="18" t="n">
        <f aca="false">IF($B11="","",F11-INDEX(tt_evapApp,Q11))</f>
        <v>4</v>
      </c>
      <c r="Y11" s="18" t="n">
        <f aca="false">IF($B11="","",IF(R11=1,G11+H11+INDEX(tt_condApp,Q11),G11+INDEX(tt_condApp,Q11)))</f>
        <v>58</v>
      </c>
      <c r="Z11" s="19" t="n">
        <f aca="false">IF($B11="","",(X11+273.15)/(Y11-X11))</f>
        <v>5.13240740740741</v>
      </c>
      <c r="AA11" s="20" t="n">
        <f aca="false">IF($B11="","",I11/Z11)</f>
        <v>0.584521017499549</v>
      </c>
      <c r="AB11" s="19" t="n">
        <f aca="false">IF($B11="","",(E11-F11)/LN((E11-X11)/(F11-X11)))</f>
        <v>5.09772723911633</v>
      </c>
      <c r="AC11" s="19" t="n">
        <f aca="false">IF($B11="","",IF(R11=1,H11/LN((Y11-G11)/(Y11-G11-H11)),0))</f>
        <v>0</v>
      </c>
      <c r="AD11" s="19" t="n">
        <f aca="false">IF($B11="","",1/(1/INDEX(tt_Ue,Q11)+L11))</f>
        <v>3.02938503483793</v>
      </c>
      <c r="AE11" s="21" t="n">
        <f aca="false">IF($B11="","",U11/(AD11*AB11))</f>
        <v>34.1611559095867</v>
      </c>
      <c r="AF11" s="17" t="n">
        <f aca="false">IF($B11="","",U11/(r_cpw*(E11-F11))*3.6)</f>
        <v>90.7396082178691</v>
      </c>
      <c r="AG11" s="17" t="n">
        <f aca="false">IF($B11="","",IF(T11=1,0,ROUNDUP(AF11/3600/(INDEX(tt_vel,Q11)*r_tubeAi),0)))</f>
        <v>60</v>
      </c>
      <c r="AH11" s="17" t="n">
        <f aca="false">IF($B11="","",AG11*INDEX(tt_evPass,Q11))</f>
        <v>120</v>
      </c>
      <c r="AI11" s="18" t="n">
        <f aca="false">IF($B11="","",IF(AH11=0,0,ROUNDUP(AE11/(AH11*PI()*r_tubeOD/1000)*10,0)/10))</f>
        <v>4.8</v>
      </c>
      <c r="AJ11" s="19" t="n">
        <f aca="false">IF($B11="","",IF(AH11=0,0,(SQRT(4*AH11*0.866*(r_pitch*r_tubeOD/1000)^2/r_fill/PI())+r_shellClr)*r_floodFac))</f>
        <v>0.548426581467143</v>
      </c>
      <c r="AK11" s="16" t="n">
        <f aca="false">IF($B11="","",IF(AH11=0,0,MAX(r_tmin,ROUNDUP((r_pDesE/10)*AJ11*1000/(2*r_stress-1.2*r_pDesE/10)+r_ca,0))))</f>
        <v>10</v>
      </c>
      <c r="AL11" s="17" t="n">
        <f aca="false">IF($B11="","",IF(AH11=0,0,(PI()*AJ11*(AI11+0.3)*AK11/1000+(1+r_wbFac)*2*PI()/4*AJ11^2*r_tsheet/1000)*r_rhoSt*(1+r_supFac)))</f>
        <v>1166.71534332543</v>
      </c>
      <c r="AM11" s="19" t="n">
        <f aca="false">IF($B11="","",IF(R11=1,1/(1/INDEX(tt_Uc,Q11)+M11),0))</f>
        <v>0</v>
      </c>
      <c r="AN11" s="21" t="n">
        <f aca="false">IF($B11="","",IF(R11=1,W11/(AM11*AC11),0))</f>
        <v>0</v>
      </c>
      <c r="AO11" s="17" t="n">
        <f aca="false">IF($B11="","",IF(R11=1,W11/(r_cpw*H11)*3.6,0))</f>
        <v>0</v>
      </c>
      <c r="AP11" s="17" t="n">
        <f aca="false">IF($B11="","",IF(R11=1,ROUNDUP(AO11/3600/(INDEX(tt_vel,Q11)*r_tubeAi),0),0))</f>
        <v>0</v>
      </c>
      <c r="AQ11" s="17" t="n">
        <f aca="false">IF($B11="","",AP11*INDEX(tt_cdPass,Q11))</f>
        <v>0</v>
      </c>
      <c r="AR11" s="18" t="n">
        <f aca="false">IF($B11="","",IF(AQ11=0,0,ROUNDUP(AN11/(AQ11*PI()*r_tubeOD/1000)*10,0)/10))</f>
        <v>0</v>
      </c>
      <c r="AS11" s="19" t="n">
        <f aca="false">IF($B11="","",IF(AQ11=0,0,SQRT(4*AQ11*0.866*(r_pitch*r_tubeOD/1000)^2/r_fill/PI())+r_shellClr))</f>
        <v>0</v>
      </c>
      <c r="AT11" s="16" t="n">
        <f aca="false">IF($B11="","",IF(AQ11=0,0,MAX(r_tmin,ROUNDUP((r_pDesC/10)*AS11*1000/(2*r_stress-1.2*r_pDesC/10)+r_ca,0))))</f>
        <v>0</v>
      </c>
      <c r="AU11" s="17" t="n">
        <f aca="false">IF($B11="","",IF(AQ11=0,0,(PI()*AS11*(AR11+0.3)*AT11/1000+(1+r_wbFac)*2*PI()/4*AS11^2*r_tsheet/1000)*r_rhoSt*(1+r_supFac)))</f>
        <v>0</v>
      </c>
      <c r="AV11" s="21" t="n">
        <f aca="false">IF($B11="","",IF(R11=0,W11/(r_airCp*r_airRise*r_airRho),0))</f>
        <v>56.7536340399163</v>
      </c>
      <c r="AW11" s="21" t="n">
        <f aca="false">IF($B11="","",AV11/r_faceV)</f>
        <v>22.7014536159665</v>
      </c>
      <c r="AX11" s="16" t="n">
        <f aca="false">IF($B11="","",IF(R11=0,ROUNDUP(AV11/r_fanFlow,0),0))</f>
        <v>12</v>
      </c>
      <c r="AY11" s="17" t="n">
        <f aca="false">IF($B11="","",IF(INDEX(tt_motSep,Q11)=1,ROUNDUP(V11/r_motEff*r_motMargin/10,0)*10,0))</f>
        <v>0</v>
      </c>
      <c r="AZ11" s="17" t="n">
        <f aca="false">IF($B11="","",IF(AY11&gt;0,AY11,ROUNDUP(V11/r_motEff*r_motMargin/5,0)*5))</f>
        <v>205</v>
      </c>
      <c r="BA11" s="17" t="n">
        <f aca="false">IF($B11="","",AH11*AI11*r_tubeKgM*r_cuTube)</f>
        <v>360000</v>
      </c>
      <c r="BB11" s="17" t="n">
        <f aca="false">IF($B11="","",AL11*r_steelFab)</f>
        <v>192508.031648696</v>
      </c>
      <c r="BC11" s="17" t="n">
        <f aca="false">IF($B11="","",IF(AH11=0,0,PI()*AJ11*AI11*1.15*r_insul))</f>
        <v>22825.4153158209</v>
      </c>
      <c r="BD11" s="17" t="n">
        <f aca="false">IF($B11="","",IF(T11=1,AE11*r_bphe,0))</f>
        <v>0</v>
      </c>
      <c r="BE11" s="17" t="n">
        <f aca="false">IF($B11="","",AQ11*AR11*r_tubeKgM*r_cuTube)</f>
        <v>0</v>
      </c>
      <c r="BF11" s="17" t="n">
        <f aca="false">IF($B11="","",AU11*r_steelFab)</f>
        <v>0</v>
      </c>
      <c r="BG11" s="17" t="n">
        <f aca="false">IF($B11="","",AW11*r_coilFace+AX11*r_fanAC+AW11*r_frameKg*r_steelFab)</f>
        <v>1985764.89117245</v>
      </c>
      <c r="BH11" s="17" t="n">
        <f aca="false">IF($B11="","",INDEX(tt_compRate,Q11)*INDEX(tt_compPref,Q11)*(V11/INDEX(tt_compPref,Q11))^INDEX(tt_compN,Q11))</f>
        <v>2095713.39922121</v>
      </c>
      <c r="BI11" s="17" t="n">
        <f aca="false">IF($B11="","",AY11*IF(S11=1,r_motHT,r_motLT))</f>
        <v>0</v>
      </c>
      <c r="BJ11" s="17" t="n">
        <f aca="false">IF($B11="","",IF(J11="Yes",AZ11*IF(S11=1,r_vfdHT,r_vfdLT),0))</f>
        <v>0</v>
      </c>
      <c r="BK11" s="17" t="n">
        <f aca="false">IF($B11="","",IF(S11=1,r_swgrHT,r_swgrLTbase+r_swgrLTkw*AZ11))</f>
        <v>172250</v>
      </c>
      <c r="BL11" s="17" t="n">
        <f aca="false">IF($B11="","",INDEX(tt_lube,Q11))</f>
        <v>0</v>
      </c>
      <c r="BM11" s="17" t="n">
        <f aca="false">IF($B11="","",C11*INDEX(tt_refKg,Q11)*r_refrig)</f>
        <v>36000</v>
      </c>
      <c r="BN11" s="17" t="n">
        <f aca="false">IF($B11="","",INDEX(tt_ctl,Q11))</f>
        <v>400000</v>
      </c>
      <c r="BO11" s="17" t="n">
        <f aca="false">IF($B11="","",IF(AND(K11="Yes",R11=1),AQ11*r_atcTube+r_atcFixed,0))</f>
        <v>0</v>
      </c>
      <c r="BP11" s="17" t="n">
        <f aca="false">IF($B11="","",r_pipePct*(BA11+BB11+BC11+BD11+BE11+BF11+BG11+BH11))</f>
        <v>279408.70424149</v>
      </c>
      <c r="BQ11" s="17" t="n">
        <f aca="false">IF($B11="","",r_avm)</f>
        <v>180000</v>
      </c>
      <c r="BR11" s="17" t="n">
        <f aca="false">IF($B11="","",SUM(BA11:BQ11))</f>
        <v>5724470.44159966</v>
      </c>
      <c r="BS11" s="17" t="n">
        <f aca="false">IF($B11="","",BR11*r_assyPct)</f>
        <v>801425.861823953</v>
      </c>
      <c r="BT11" s="17" t="n">
        <f aca="false">IF($B11="","",BR11*r_testPct)</f>
        <v>85867.0566239949</v>
      </c>
      <c r="BU11" s="17" t="n">
        <f aca="false">IF($B11="","",(BR11+BS11+BT11)*r_logPct)</f>
        <v>198352.900801428</v>
      </c>
      <c r="BV11" s="17" t="n">
        <f aca="false">IF($B11="","",BR11*r_dutyPct)</f>
        <v>0</v>
      </c>
      <c r="BW11" s="17" t="n">
        <f aca="false">IF($B11="","",BR11+BS11+BT11+BU11+BV11)</f>
        <v>6810116.26084904</v>
      </c>
      <c r="BX11" s="17" t="n">
        <f aca="false">IF($B11="","",BW11*r_ohPct)</f>
        <v>681011.626084904</v>
      </c>
      <c r="BY11" s="17" t="n">
        <f aca="false">IF($B11="","",BW11*r_warrPct)</f>
        <v>136202.325216981</v>
      </c>
      <c r="BZ11" s="17" t="n">
        <f aca="false">IF($B11="","",(BW11+BX11+BY11)*r_marginPct)</f>
        <v>915279.625458111</v>
      </c>
      <c r="CA11" s="22" t="n">
        <f aca="false">IF($B11="","",BW11+BX11+BY11+BZ11)</f>
        <v>8542609.83760903</v>
      </c>
      <c r="CB11" s="17" t="n">
        <f aca="false">IF($B11="","",CA11/C11)</f>
        <v>56950.7322507269</v>
      </c>
      <c r="CC11" s="17" t="n">
        <f aca="false">IF($B11="","",CA11*r_ecPct)</f>
        <v>68340.8787008723</v>
      </c>
      <c r="CD11" s="17" t="n">
        <f aca="false">IF($B11="","",(CA11+CC11)*D11)</f>
        <v>17221901.4326198</v>
      </c>
      <c r="CE11" s="17" t="n">
        <f aca="false">IF($B11="","",BA11+BB11+BC11+BD11+BE11+BF11+BG11)</f>
        <v>2561098.33813696</v>
      </c>
      <c r="CF11" s="17" t="n">
        <f aca="false">IF($B11="","",BH11+BI11+BJ11+BK11+BL11)</f>
        <v>2267963.39922121</v>
      </c>
      <c r="CG11" s="17" t="n">
        <f aca="false">IF($B11="","",BM11+BN11+BO11+BP11+BQ11)</f>
        <v>895408.70424149</v>
      </c>
      <c r="CH11" s="17" t="n">
        <f aca="false">IF($B11="","",BS11+BT11)</f>
        <v>887292.918447948</v>
      </c>
      <c r="CI11" s="17" t="n">
        <f aca="false">IF($B11="","",BU11+BV11)</f>
        <v>198352.900801428</v>
      </c>
      <c r="CJ11" s="17" t="n">
        <f aca="false">IF($B11="","",BX11+BY11+BZ11)</f>
        <v>1732493.57676</v>
      </c>
      <c r="CK11" s="23" t="str">
        <f aca="false">IF($B11="","",IF(ABS(CE11+CF11+CG11+CH11+CI11+CJ11-CA11)&lt;1,"OK","MISMATCH"))</f>
        <v>OK</v>
      </c>
      <c r="CL11" s="17" t="str">
        <f aca="false">IF($B11="","",IF(N11="","",N11/C11))</f>
        <v/>
      </c>
      <c r="CM11" s="17" t="str">
        <f aca="false">IF($B11="","",IF(N11="","",CA11-N11))</f>
        <v/>
      </c>
      <c r="CN11" s="20" t="str">
        <f aca="false">IF($B11="","",IF(N11="","",CA11/N11-1))</f>
        <v/>
      </c>
      <c r="CO11" s="20" t="str">
        <f aca="false">IF($B11="","",IF(O11="","",CC11/O11-1))</f>
        <v/>
      </c>
      <c r="CP11" s="24" t="str">
        <f aca="false">IF($B11="","",IF(C11&gt;INDEX(tt_maxTR,Q11),"TR above type max; ","")&amp;IF(AI11&gt;r_Lmax,"Evap tube too long; ","")&amp;IF(AR11&gt;r_Lmax,"Cond tube too long; ","")&amp;IF(AA11&gt;r_carnotCap,"COP high vs lift; ","")&amp;IF(AND(R11=1,G11+H11+INDEX(tt_condApp,Q11)&gt;=X11+60),"Check temps; ",""))</f>
        <v/>
      </c>
    </row>
    <row r="12" customFormat="false" ht="15" hidden="false" customHeight="false" outlineLevel="0" collapsed="false">
      <c r="A12" s="9" t="s">
        <v>146</v>
      </c>
      <c r="B12" s="9" t="s">
        <v>147</v>
      </c>
      <c r="C12" s="10" t="n">
        <v>60</v>
      </c>
      <c r="D12" s="11" t="n">
        <v>2</v>
      </c>
      <c r="E12" s="12" t="n">
        <v>12</v>
      </c>
      <c r="F12" s="12" t="n">
        <v>7</v>
      </c>
      <c r="G12" s="12" t="n">
        <v>43</v>
      </c>
      <c r="H12" s="12"/>
      <c r="I12" s="13" t="n">
        <v>2.9</v>
      </c>
      <c r="J12" s="9" t="s">
        <v>139</v>
      </c>
      <c r="K12" s="9" t="s">
        <v>139</v>
      </c>
      <c r="L12" s="14" t="n">
        <v>0.0176</v>
      </c>
      <c r="M12" s="14"/>
      <c r="N12" s="10"/>
      <c r="O12" s="10"/>
      <c r="P12" s="15" t="s">
        <v>145</v>
      </c>
      <c r="Q12" s="16" t="n">
        <f aca="false">IF($B12="","",MATCH(B12,tt_name,0))</f>
        <v>5</v>
      </c>
      <c r="R12" s="16" t="n">
        <f aca="false">IF($B12="","",INDEX(tt_wc,Q12))</f>
        <v>0</v>
      </c>
      <c r="S12" s="16" t="n">
        <f aca="false">IF($B12="","",IF(INDEX(tt_volt,Q12)="HT",1,0))</f>
        <v>0</v>
      </c>
      <c r="T12" s="16" t="n">
        <f aca="false">IF($B12="","",IF(INDEX(tt_evtype,Q12)="BPHE",1,0))</f>
        <v>1</v>
      </c>
      <c r="U12" s="17" t="n">
        <f aca="false">IF($B12="","",C12*3.517)</f>
        <v>211.02</v>
      </c>
      <c r="V12" s="17" t="n">
        <f aca="false">IF($B12="","",U12/I12)</f>
        <v>72.7655172413793</v>
      </c>
      <c r="W12" s="17" t="n">
        <f aca="false">IF($B12="","",U12+V12)</f>
        <v>283.785517241379</v>
      </c>
      <c r="X12" s="18" t="n">
        <f aca="false">IF($B12="","",F12-INDEX(tt_evapApp,Q12))</f>
        <v>4</v>
      </c>
      <c r="Y12" s="18" t="n">
        <f aca="false">IF($B12="","",IF(R12=1,G12+H12+INDEX(tt_condApp,Q12),G12+INDEX(tt_condApp,Q12)))</f>
        <v>57</v>
      </c>
      <c r="Z12" s="19" t="n">
        <f aca="false">IF($B12="","",(X12+273.15)/(Y12-X12))</f>
        <v>5.22924528301887</v>
      </c>
      <c r="AA12" s="20" t="n">
        <f aca="false">IF($B12="","",I12/Z12)</f>
        <v>0.55457333573877</v>
      </c>
      <c r="AB12" s="19" t="n">
        <f aca="false">IF($B12="","",(E12-F12)/LN((E12-X12)/(F12-X12)))</f>
        <v>5.09772723911633</v>
      </c>
      <c r="AC12" s="19" t="n">
        <f aca="false">IF($B12="","",IF(R12=1,H12/LN((Y12-G12)/(Y12-G12-H12)),0))</f>
        <v>0</v>
      </c>
      <c r="AD12" s="19" t="n">
        <f aca="false">IF($B12="","",1/(1/INDEX(tt_Ue,Q12)+L12))</f>
        <v>4.16975537435137</v>
      </c>
      <c r="AE12" s="21" t="n">
        <f aca="false">IF($B12="","",U12/(AD12*AB12))</f>
        <v>9.92742117408892</v>
      </c>
      <c r="AF12" s="17" t="n">
        <f aca="false">IF($B12="","",U12/(r_cpw*(E12-F12))*3.6)</f>
        <v>36.2958432871476</v>
      </c>
      <c r="AG12" s="17" t="n">
        <f aca="false">IF($B12="","",IF(T12=1,0,ROUNDUP(AF12/3600/(INDEX(tt_vel,Q12)*r_tubeAi),0)))</f>
        <v>0</v>
      </c>
      <c r="AH12" s="17" t="n">
        <f aca="false">IF($B12="","",AG12*INDEX(tt_evPass,Q12))</f>
        <v>0</v>
      </c>
      <c r="AI12" s="18" t="n">
        <f aca="false">IF($B12="","",IF(AH12=0,0,ROUNDUP(AE12/(AH12*PI()*r_tubeOD/1000)*10,0)/10))</f>
        <v>0</v>
      </c>
      <c r="AJ12" s="19" t="n">
        <f aca="false">IF($B12="","",IF(AH12=0,0,(SQRT(4*AH12*0.866*(r_pitch*r_tubeOD/1000)^2/r_fill/PI())+r_shellClr)*r_floodFac))</f>
        <v>0</v>
      </c>
      <c r="AK12" s="16" t="n">
        <f aca="false">IF($B12="","",IF(AH12=0,0,MAX(r_tmin,ROUNDUP((r_pDesE/10)*AJ12*1000/(2*r_stress-1.2*r_pDesE/10)+r_ca,0))))</f>
        <v>0</v>
      </c>
      <c r="AL12" s="17" t="n">
        <f aca="false">IF($B12="","",IF(AH12=0,0,(PI()*AJ12*(AI12+0.3)*AK12/1000+(1+r_wbFac)*2*PI()/4*AJ12^2*r_tsheet/1000)*r_rhoSt*(1+r_supFac)))</f>
        <v>0</v>
      </c>
      <c r="AM12" s="19" t="n">
        <f aca="false">IF($B12="","",IF(R12=1,1/(1/INDEX(tt_Uc,Q12)+M12),0))</f>
        <v>0</v>
      </c>
      <c r="AN12" s="21" t="n">
        <f aca="false">IF($B12="","",IF(R12=1,W12/(AM12*AC12),0))</f>
        <v>0</v>
      </c>
      <c r="AO12" s="17" t="n">
        <f aca="false">IF($B12="","",IF(R12=1,W12/(r_cpw*H12)*3.6,0))</f>
        <v>0</v>
      </c>
      <c r="AP12" s="17" t="n">
        <f aca="false">IF($B12="","",IF(R12=1,ROUNDUP(AO12/3600/(INDEX(tt_vel,Q12)*r_tubeAi),0),0))</f>
        <v>0</v>
      </c>
      <c r="AQ12" s="17" t="n">
        <f aca="false">IF($B12="","",AP12*INDEX(tt_cdPass,Q12))</f>
        <v>0</v>
      </c>
      <c r="AR12" s="18" t="n">
        <f aca="false">IF($B12="","",IF(AQ12=0,0,ROUNDUP(AN12/(AQ12*PI()*r_tubeOD/1000)*10,0)/10))</f>
        <v>0</v>
      </c>
      <c r="AS12" s="19" t="n">
        <f aca="false">IF($B12="","",IF(AQ12=0,0,SQRT(4*AQ12*0.866*(r_pitch*r_tubeOD/1000)^2/r_fill/PI())+r_shellClr))</f>
        <v>0</v>
      </c>
      <c r="AT12" s="16" t="n">
        <f aca="false">IF($B12="","",IF(AQ12=0,0,MAX(r_tmin,ROUNDUP((r_pDesC/10)*AS12*1000/(2*r_stress-1.2*r_pDesC/10)+r_ca,0))))</f>
        <v>0</v>
      </c>
      <c r="AU12" s="17" t="n">
        <f aca="false">IF($B12="","",IF(AQ12=0,0,(PI()*AS12*(AR12+0.3)*AT12/1000+(1+r_wbFac)*2*PI()/4*AS12^2*r_tsheet/1000)*r_rhoSt*(1+r_supFac)))</f>
        <v>0</v>
      </c>
      <c r="AV12" s="21" t="n">
        <f aca="false">IF($B12="","",IF(R12=0,W12/(r_airCp*r_airRise*r_airRho),0))</f>
        <v>22.8971558023111</v>
      </c>
      <c r="AW12" s="21" t="n">
        <f aca="false">IF($B12="","",AV12/r_faceV)</f>
        <v>9.15886232092443</v>
      </c>
      <c r="AX12" s="16" t="n">
        <f aca="false">IF($B12="","",IF(R12=0,ROUNDUP(AV12/r_fanFlow,0),0))</f>
        <v>5</v>
      </c>
      <c r="AY12" s="17" t="n">
        <f aca="false">IF($B12="","",IF(INDEX(tt_motSep,Q12)=1,ROUNDUP(V12/r_motEff*r_motMargin/10,0)*10,0))</f>
        <v>0</v>
      </c>
      <c r="AZ12" s="17" t="n">
        <f aca="false">IF($B12="","",IF(AY12&gt;0,AY12,ROUNDUP(V12/r_motEff*r_motMargin/5,0)*5))</f>
        <v>85</v>
      </c>
      <c r="BA12" s="17" t="n">
        <f aca="false">IF($B12="","",AH12*AI12*r_tubeKgM*r_cuTube)</f>
        <v>0</v>
      </c>
      <c r="BB12" s="17" t="n">
        <f aca="false">IF($B12="","",AL12*r_steelFab)</f>
        <v>0</v>
      </c>
      <c r="BC12" s="17" t="n">
        <f aca="false">IF($B12="","",IF(AH12=0,0,PI()*AJ12*AI12*1.15*r_insul))</f>
        <v>0</v>
      </c>
      <c r="BD12" s="17" t="n">
        <f aca="false">IF($B12="","",IF(T12=1,AE12*r_bphe,0))</f>
        <v>109201.632914978</v>
      </c>
      <c r="BE12" s="17" t="n">
        <f aca="false">IF($B12="","",AQ12*AR12*r_tubeKgM*r_cuTube)</f>
        <v>0</v>
      </c>
      <c r="BF12" s="17" t="n">
        <f aca="false">IF($B12="","",AU12*r_steelFab)</f>
        <v>0</v>
      </c>
      <c r="BG12" s="17" t="n">
        <f aca="false">IF($B12="","",AW12*r_coilFace+AX12*r_fanAC+AW12*r_frameKg*r_steelFab)</f>
        <v>809877.559541987</v>
      </c>
      <c r="BH12" s="17" t="n">
        <f aca="false">IF($B12="","",INDEX(tt_compRate,Q12)*INDEX(tt_compPref,Q12)*(V12/INDEX(tt_compPref,Q12))^INDEX(tt_compN,Q12))</f>
        <v>694556.283123744</v>
      </c>
      <c r="BI12" s="17" t="n">
        <f aca="false">IF($B12="","",AY12*IF(S12=1,r_motHT,r_motLT))</f>
        <v>0</v>
      </c>
      <c r="BJ12" s="17" t="n">
        <f aca="false">IF($B12="","",IF(J12="Yes",AZ12*IF(S12=1,r_vfdHT,r_vfdLT),0))</f>
        <v>0</v>
      </c>
      <c r="BK12" s="17" t="n">
        <f aca="false">IF($B12="","",IF(S12=1,r_swgrHT,r_swgrLTbase+r_swgrLTkw*AZ12))</f>
        <v>118250</v>
      </c>
      <c r="BL12" s="17" t="n">
        <f aca="false">IF($B12="","",INDEX(tt_lube,Q12))</f>
        <v>0</v>
      </c>
      <c r="BM12" s="17" t="n">
        <f aca="false">IF($B12="","",C12*INDEX(tt_refKg,Q12)*r_refrig)</f>
        <v>10800</v>
      </c>
      <c r="BN12" s="17" t="n">
        <f aca="false">IF($B12="","",INDEX(tt_ctl,Q12))</f>
        <v>250000</v>
      </c>
      <c r="BO12" s="17" t="n">
        <f aca="false">IF($B12="","",IF(AND(K12="Yes",R12=1),AQ12*r_atcTube+r_atcFixed,0))</f>
        <v>0</v>
      </c>
      <c r="BP12" s="17" t="n">
        <f aca="false">IF($B12="","",r_pipePct*(BA12+BB12+BC12+BD12+BE12+BF12+BG12+BH12))</f>
        <v>96818.1285348425</v>
      </c>
      <c r="BQ12" s="17" t="n">
        <f aca="false">IF($B12="","",r_avm)</f>
        <v>180000</v>
      </c>
      <c r="BR12" s="17" t="n">
        <f aca="false">IF($B12="","",SUM(BA12:BQ12))</f>
        <v>2269503.60411555</v>
      </c>
      <c r="BS12" s="17" t="n">
        <f aca="false">IF($B12="","",BR12*r_assyPct)</f>
        <v>317730.504576177</v>
      </c>
      <c r="BT12" s="17" t="n">
        <f aca="false">IF($B12="","",BR12*r_testPct)</f>
        <v>34042.5540617333</v>
      </c>
      <c r="BU12" s="17" t="n">
        <f aca="false">IF($B12="","",(BR12+BS12+BT12)*r_logPct)</f>
        <v>78638.2998826039</v>
      </c>
      <c r="BV12" s="17" t="n">
        <f aca="false">IF($B12="","",BR12*r_dutyPct)</f>
        <v>0</v>
      </c>
      <c r="BW12" s="17" t="n">
        <f aca="false">IF($B12="","",BR12+BS12+BT12+BU12+BV12)</f>
        <v>2699914.96263607</v>
      </c>
      <c r="BX12" s="17" t="n">
        <f aca="false">IF($B12="","",BW12*r_ohPct)</f>
        <v>269991.496263607</v>
      </c>
      <c r="BY12" s="17" t="n">
        <f aca="false">IF($B12="","",BW12*r_warrPct)</f>
        <v>53998.2992527213</v>
      </c>
      <c r="BZ12" s="17" t="n">
        <f aca="false">IF($B12="","",(BW12+BX12+BY12)*r_marginPct)</f>
        <v>362868.570978287</v>
      </c>
      <c r="CA12" s="22" t="n">
        <f aca="false">IF($B12="","",BW12+BX12+BY12+BZ12)</f>
        <v>3386773.32913068</v>
      </c>
      <c r="CB12" s="17" t="n">
        <f aca="false">IF($B12="","",CA12/C12)</f>
        <v>56446.222152178</v>
      </c>
      <c r="CC12" s="17" t="n">
        <f aca="false">IF($B12="","",CA12*r_ecPct)</f>
        <v>27094.1866330454</v>
      </c>
      <c r="CD12" s="17" t="n">
        <f aca="false">IF($B12="","",(CA12+CC12)*D12)</f>
        <v>6827735.03152745</v>
      </c>
      <c r="CE12" s="17" t="n">
        <f aca="false">IF($B12="","",BA12+BB12+BC12+BD12+BE12+BF12+BG12)</f>
        <v>919079.192456965</v>
      </c>
      <c r="CF12" s="17" t="n">
        <f aca="false">IF($B12="","",BH12+BI12+BJ12+BK12+BL12)</f>
        <v>812806.283123744</v>
      </c>
      <c r="CG12" s="17" t="n">
        <f aca="false">IF($B12="","",BM12+BN12+BO12+BP12+BQ12)</f>
        <v>537618.128534843</v>
      </c>
      <c r="CH12" s="17" t="n">
        <f aca="false">IF($B12="","",BS12+BT12)</f>
        <v>351773.05863791</v>
      </c>
      <c r="CI12" s="17" t="n">
        <f aca="false">IF($B12="","",BU12+BV12)</f>
        <v>78638.2998826039</v>
      </c>
      <c r="CJ12" s="17" t="n">
        <f aca="false">IF($B12="","",BX12+BY12+BZ12)</f>
        <v>686858.366494615</v>
      </c>
      <c r="CK12" s="23" t="str">
        <f aca="false">IF($B12="","",IF(ABS(CE12+CF12+CG12+CH12+CI12+CJ12-CA12)&lt;1,"OK","MISMATCH"))</f>
        <v>OK</v>
      </c>
      <c r="CL12" s="17" t="str">
        <f aca="false">IF($B12="","",IF(N12="","",N12/C12))</f>
        <v/>
      </c>
      <c r="CM12" s="17" t="str">
        <f aca="false">IF($B12="","",IF(N12="","",CA12-N12))</f>
        <v/>
      </c>
      <c r="CN12" s="20" t="str">
        <f aca="false">IF($B12="","",IF(N12="","",CA12/N12-1))</f>
        <v/>
      </c>
      <c r="CO12" s="20" t="str">
        <f aca="false">IF($B12="","",IF(O12="","",CC12/O12-1))</f>
        <v/>
      </c>
      <c r="CP12" s="24" t="str">
        <f aca="false">IF($B12="","",IF(C12&gt;INDEX(tt_maxTR,Q12),"TR above type max; ","")&amp;IF(AI12&gt;r_Lmax,"Evap tube too long; ","")&amp;IF(AR12&gt;r_Lmax,"Cond tube too long; ","")&amp;IF(AA12&gt;r_carnotCap,"COP high vs lift; ","")&amp;IF(AND(R12=1,G12+H12+INDEX(tt_condApp,Q12)&gt;=X12+60),"Check temps; ",""))</f>
        <v/>
      </c>
    </row>
    <row r="13" customFormat="false" ht="15" hidden="false" customHeight="false" outlineLevel="0" collapsed="false">
      <c r="A13" s="9"/>
      <c r="B13" s="9"/>
      <c r="C13" s="10"/>
      <c r="D13" s="11"/>
      <c r="E13" s="12"/>
      <c r="F13" s="12"/>
      <c r="G13" s="12"/>
      <c r="H13" s="12"/>
      <c r="I13" s="13"/>
      <c r="J13" s="9"/>
      <c r="K13" s="9"/>
      <c r="L13" s="14"/>
      <c r="M13" s="14"/>
      <c r="N13" s="10"/>
      <c r="O13" s="10"/>
      <c r="P13" s="15"/>
      <c r="Q13" s="16" t="str">
        <f aca="false">IF($B13="","",MATCH(B13,tt_name,0))</f>
        <v/>
      </c>
      <c r="R13" s="16" t="str">
        <f aca="false">IF($B13="","",INDEX(tt_wc,Q13))</f>
        <v/>
      </c>
      <c r="S13" s="16" t="str">
        <f aca="false">IF($B13="","",IF(INDEX(tt_volt,Q13)="HT",1,0))</f>
        <v/>
      </c>
      <c r="T13" s="16" t="str">
        <f aca="false">IF($B13="","",IF(INDEX(tt_evtype,Q13)="BPHE",1,0))</f>
        <v/>
      </c>
      <c r="U13" s="17" t="str">
        <f aca="false">IF($B13="","",C13*3.517)</f>
        <v/>
      </c>
      <c r="V13" s="17" t="str">
        <f aca="false">IF($B13="","",U13/I13)</f>
        <v/>
      </c>
      <c r="W13" s="17" t="str">
        <f aca="false">IF($B13="","",U13+V13)</f>
        <v/>
      </c>
      <c r="X13" s="18" t="str">
        <f aca="false">IF($B13="","",F13-INDEX(tt_evapApp,Q13))</f>
        <v/>
      </c>
      <c r="Y13" s="18" t="str">
        <f aca="false">IF($B13="","",IF(R13=1,G13+H13+INDEX(tt_condApp,Q13),G13+INDEX(tt_condApp,Q13)))</f>
        <v/>
      </c>
      <c r="Z13" s="19" t="str">
        <f aca="false">IF($B13="","",(X13+273.15)/(Y13-X13))</f>
        <v/>
      </c>
      <c r="AA13" s="20" t="str">
        <f aca="false">IF($B13="","",I13/Z13)</f>
        <v/>
      </c>
      <c r="AB13" s="19" t="str">
        <f aca="false">IF($B13="","",(E13-F13)/LN((E13-X13)/(F13-X13)))</f>
        <v/>
      </c>
      <c r="AC13" s="19" t="str">
        <f aca="false">IF($B13="","",IF(R13=1,H13/LN((Y13-G13)/(Y13-G13-H13)),0))</f>
        <v/>
      </c>
      <c r="AD13" s="19" t="str">
        <f aca="false">IF($B13="","",1/(1/INDEX(tt_Ue,Q13)+L13))</f>
        <v/>
      </c>
      <c r="AE13" s="21" t="str">
        <f aca="false">IF($B13="","",U13/(AD13*AB13))</f>
        <v/>
      </c>
      <c r="AF13" s="17" t="str">
        <f aca="false">IF($B13="","",U13/(r_cpw*(E13-F13))*3.6)</f>
        <v/>
      </c>
      <c r="AG13" s="17" t="str">
        <f aca="false">IF($B13="","",IF(T13=1,0,ROUNDUP(AF13/3600/(INDEX(tt_vel,Q13)*r_tubeAi),0)))</f>
        <v/>
      </c>
      <c r="AH13" s="17" t="str">
        <f aca="false">IF($B13="","",AG13*INDEX(tt_evPass,Q13))</f>
        <v/>
      </c>
      <c r="AI13" s="18" t="str">
        <f aca="false">IF($B13="","",IF(AH13=0,0,ROUNDUP(AE13/(AH13*PI()*r_tubeOD/1000)*10,0)/10))</f>
        <v/>
      </c>
      <c r="AJ13" s="19" t="str">
        <f aca="false">IF($B13="","",IF(AH13=0,0,(SQRT(4*AH13*0.866*(r_pitch*r_tubeOD/1000)^2/r_fill/PI())+r_shellClr)*r_floodFac))</f>
        <v/>
      </c>
      <c r="AK13" s="16" t="str">
        <f aca="false">IF($B13="","",IF(AH13=0,0,MAX(r_tmin,ROUNDUP((r_pDesE/10)*AJ13*1000/(2*r_stress-1.2*r_pDesE/10)+r_ca,0))))</f>
        <v/>
      </c>
      <c r="AL13" s="17" t="str">
        <f aca="false">IF($B13="","",IF(AH13=0,0,(PI()*AJ13*(AI13+0.3)*AK13/1000+(1+r_wbFac)*2*PI()/4*AJ13^2*r_tsheet/1000)*r_rhoSt*(1+r_supFac)))</f>
        <v/>
      </c>
      <c r="AM13" s="19" t="str">
        <f aca="false">IF($B13="","",IF(R13=1,1/(1/INDEX(tt_Uc,Q13)+M13),0))</f>
        <v/>
      </c>
      <c r="AN13" s="21" t="str">
        <f aca="false">IF($B13="","",IF(R13=1,W13/(AM13*AC13),0))</f>
        <v/>
      </c>
      <c r="AO13" s="17" t="str">
        <f aca="false">IF($B13="","",IF(R13=1,W13/(r_cpw*H13)*3.6,0))</f>
        <v/>
      </c>
      <c r="AP13" s="17" t="str">
        <f aca="false">IF($B13="","",IF(R13=1,ROUNDUP(AO13/3600/(INDEX(tt_vel,Q13)*r_tubeAi),0),0))</f>
        <v/>
      </c>
      <c r="AQ13" s="17" t="str">
        <f aca="false">IF($B13="","",AP13*INDEX(tt_cdPass,Q13))</f>
        <v/>
      </c>
      <c r="AR13" s="18" t="str">
        <f aca="false">IF($B13="","",IF(AQ13=0,0,ROUNDUP(AN13/(AQ13*PI()*r_tubeOD/1000)*10,0)/10))</f>
        <v/>
      </c>
      <c r="AS13" s="19" t="str">
        <f aca="false">IF($B13="","",IF(AQ13=0,0,SQRT(4*AQ13*0.866*(r_pitch*r_tubeOD/1000)^2/r_fill/PI())+r_shellClr))</f>
        <v/>
      </c>
      <c r="AT13" s="16" t="str">
        <f aca="false">IF($B13="","",IF(AQ13=0,0,MAX(r_tmin,ROUNDUP((r_pDesC/10)*AS13*1000/(2*r_stress-1.2*r_pDesC/10)+r_ca,0))))</f>
        <v/>
      </c>
      <c r="AU13" s="17" t="str">
        <f aca="false">IF($B13="","",IF(AQ13=0,0,(PI()*AS13*(AR13+0.3)*AT13/1000+(1+r_wbFac)*2*PI()/4*AS13^2*r_tsheet/1000)*r_rhoSt*(1+r_supFac)))</f>
        <v/>
      </c>
      <c r="AV13" s="21" t="str">
        <f aca="false">IF($B13="","",IF(R13=0,W13/(r_airCp*r_airRise*r_airRho),0))</f>
        <v/>
      </c>
      <c r="AW13" s="21" t="str">
        <f aca="false">IF($B13="","",AV13/r_faceV)</f>
        <v/>
      </c>
      <c r="AX13" s="16" t="str">
        <f aca="false">IF($B13="","",IF(R13=0,ROUNDUP(AV13/r_fanFlow,0),0))</f>
        <v/>
      </c>
      <c r="AY13" s="17" t="str">
        <f aca="false">IF($B13="","",IF(INDEX(tt_motSep,Q13)=1,ROUNDUP(V13/r_motEff*r_motMargin/10,0)*10,0))</f>
        <v/>
      </c>
      <c r="AZ13" s="17" t="str">
        <f aca="false">IF($B13="","",IF(AY13&gt;0,AY13,ROUNDUP(V13/r_motEff*r_motMargin/5,0)*5))</f>
        <v/>
      </c>
      <c r="BA13" s="17" t="str">
        <f aca="false">IF($B13="","",AH13*AI13*r_tubeKgM*r_cuTube)</f>
        <v/>
      </c>
      <c r="BB13" s="17" t="str">
        <f aca="false">IF($B13="","",AL13*r_steelFab)</f>
        <v/>
      </c>
      <c r="BC13" s="17" t="str">
        <f aca="false">IF($B13="","",IF(AH13=0,0,PI()*AJ13*AI13*1.15*r_insul))</f>
        <v/>
      </c>
      <c r="BD13" s="17" t="str">
        <f aca="false">IF($B13="","",IF(T13=1,AE13*r_bphe,0))</f>
        <v/>
      </c>
      <c r="BE13" s="17" t="str">
        <f aca="false">IF($B13="","",AQ13*AR13*r_tubeKgM*r_cuTube)</f>
        <v/>
      </c>
      <c r="BF13" s="17" t="str">
        <f aca="false">IF($B13="","",AU13*r_steelFab)</f>
        <v/>
      </c>
      <c r="BG13" s="17" t="str">
        <f aca="false">IF($B13="","",AW13*r_coilFace+AX13*r_fanAC+AW13*r_frameKg*r_steelFab)</f>
        <v/>
      </c>
      <c r="BH13" s="17" t="str">
        <f aca="false">IF($B13="","",INDEX(tt_compRate,Q13)*INDEX(tt_compPref,Q13)*(V13/INDEX(tt_compPref,Q13))^INDEX(tt_compN,Q13))</f>
        <v/>
      </c>
      <c r="BI13" s="17" t="str">
        <f aca="false">IF($B13="","",AY13*IF(S13=1,r_motHT,r_motLT))</f>
        <v/>
      </c>
      <c r="BJ13" s="17" t="str">
        <f aca="false">IF($B13="","",IF(J13="Yes",AZ13*IF(S13=1,r_vfdHT,r_vfdLT),0))</f>
        <v/>
      </c>
      <c r="BK13" s="17" t="str">
        <f aca="false">IF($B13="","",IF(S13=1,r_swgrHT,r_swgrLTbase+r_swgrLTkw*AZ13))</f>
        <v/>
      </c>
      <c r="BL13" s="17" t="str">
        <f aca="false">IF($B13="","",INDEX(tt_lube,Q13))</f>
        <v/>
      </c>
      <c r="BM13" s="17" t="str">
        <f aca="false">IF($B13="","",C13*INDEX(tt_refKg,Q13)*r_refrig)</f>
        <v/>
      </c>
      <c r="BN13" s="17" t="str">
        <f aca="false">IF($B13="","",INDEX(tt_ctl,Q13))</f>
        <v/>
      </c>
      <c r="BO13" s="17" t="str">
        <f aca="false">IF($B13="","",IF(AND(K13="Yes",R13=1),AQ13*r_atcTube+r_atcFixed,0))</f>
        <v/>
      </c>
      <c r="BP13" s="17" t="str">
        <f aca="false">IF($B13="","",r_pipePct*(BA13+BB13+BC13+BD13+BE13+BF13+BG13+BH13))</f>
        <v/>
      </c>
      <c r="BQ13" s="17" t="str">
        <f aca="false">IF($B13="","",r_avm)</f>
        <v/>
      </c>
      <c r="BR13" s="17" t="str">
        <f aca="false">IF($B13="","",SUM(BA13:BQ13))</f>
        <v/>
      </c>
      <c r="BS13" s="17" t="str">
        <f aca="false">IF($B13="","",BR13*r_assyPct)</f>
        <v/>
      </c>
      <c r="BT13" s="17" t="str">
        <f aca="false">IF($B13="","",BR13*r_testPct)</f>
        <v/>
      </c>
      <c r="BU13" s="17" t="str">
        <f aca="false">IF($B13="","",(BR13+BS13+BT13)*r_logPct)</f>
        <v/>
      </c>
      <c r="BV13" s="17" t="str">
        <f aca="false">IF($B13="","",BR13*r_dutyPct)</f>
        <v/>
      </c>
      <c r="BW13" s="17" t="str">
        <f aca="false">IF($B13="","",BR13+BS13+BT13+BU13+BV13)</f>
        <v/>
      </c>
      <c r="BX13" s="17" t="str">
        <f aca="false">IF($B13="","",BW13*r_ohPct)</f>
        <v/>
      </c>
      <c r="BY13" s="17" t="str">
        <f aca="false">IF($B13="","",BW13*r_warrPct)</f>
        <v/>
      </c>
      <c r="BZ13" s="17" t="str">
        <f aca="false">IF($B13="","",(BW13+BX13+BY13)*r_marginPct)</f>
        <v/>
      </c>
      <c r="CA13" s="22" t="str">
        <f aca="false">IF($B13="","",BW13+BX13+BY13+BZ13)</f>
        <v/>
      </c>
      <c r="CB13" s="17" t="str">
        <f aca="false">IF($B13="","",CA13/C13)</f>
        <v/>
      </c>
      <c r="CC13" s="17" t="str">
        <f aca="false">IF($B13="","",CA13*r_ecPct)</f>
        <v/>
      </c>
      <c r="CD13" s="17" t="str">
        <f aca="false">IF($B13="","",(CA13+CC13)*D13)</f>
        <v/>
      </c>
      <c r="CE13" s="17" t="str">
        <f aca="false">IF($B13="","",BA13+BB13+BC13+BD13+BE13+BF13+BG13)</f>
        <v/>
      </c>
      <c r="CF13" s="17" t="str">
        <f aca="false">IF($B13="","",BH13+BI13+BJ13+BK13+BL13)</f>
        <v/>
      </c>
      <c r="CG13" s="17" t="str">
        <f aca="false">IF($B13="","",BM13+BN13+BO13+BP13+BQ13)</f>
        <v/>
      </c>
      <c r="CH13" s="17" t="str">
        <f aca="false">IF($B13="","",BS13+BT13)</f>
        <v/>
      </c>
      <c r="CI13" s="17" t="str">
        <f aca="false">IF($B13="","",BU13+BV13)</f>
        <v/>
      </c>
      <c r="CJ13" s="17" t="str">
        <f aca="false">IF($B13="","",BX13+BY13+BZ13)</f>
        <v/>
      </c>
      <c r="CK13" s="23" t="str">
        <f aca="false">IF($B13="","",IF(ABS(CE13+CF13+CG13+CH13+CI13+CJ13-CA13)&lt;1,"OK","MISMATCH"))</f>
        <v/>
      </c>
      <c r="CL13" s="17" t="str">
        <f aca="false">IF($B13="","",IF(N13="","",N13/C13))</f>
        <v/>
      </c>
      <c r="CM13" s="17" t="str">
        <f aca="false">IF($B13="","",IF(N13="","",CA13-N13))</f>
        <v/>
      </c>
      <c r="CN13" s="20" t="str">
        <f aca="false">IF($B13="","",IF(N13="","",CA13/N13-1))</f>
        <v/>
      </c>
      <c r="CO13" s="20" t="str">
        <f aca="false">IF($B13="","",IF(O13="","",CC13/O13-1))</f>
        <v/>
      </c>
      <c r="CP13" s="24" t="str">
        <f aca="false">IF($B13="","",IF(C13&gt;INDEX(tt_maxTR,Q13),"TR above type max; ","")&amp;IF(AI13&gt;r_Lmax,"Evap tube too long; ","")&amp;IF(AR13&gt;r_Lmax,"Cond tube too long; ","")&amp;IF(AA13&gt;r_carnotCap,"COP high vs lift; ","")&amp;IF(AND(R13=1,G13+H13+INDEX(tt_condApp,Q13)&gt;=X13+60),"Check temps; ",""))</f>
        <v/>
      </c>
    </row>
    <row r="14" customFormat="false" ht="15" hidden="false" customHeight="false" outlineLevel="0" collapsed="false">
      <c r="A14" s="9"/>
      <c r="B14" s="9"/>
      <c r="C14" s="10"/>
      <c r="D14" s="11"/>
      <c r="E14" s="12"/>
      <c r="F14" s="12"/>
      <c r="G14" s="12"/>
      <c r="H14" s="12"/>
      <c r="I14" s="13"/>
      <c r="J14" s="9"/>
      <c r="K14" s="9"/>
      <c r="L14" s="14"/>
      <c r="M14" s="14"/>
      <c r="N14" s="10"/>
      <c r="O14" s="10"/>
      <c r="P14" s="15"/>
      <c r="Q14" s="16" t="str">
        <f aca="false">IF($B14="","",MATCH(B14,tt_name,0))</f>
        <v/>
      </c>
      <c r="R14" s="16" t="str">
        <f aca="false">IF($B14="","",INDEX(tt_wc,Q14))</f>
        <v/>
      </c>
      <c r="S14" s="16" t="str">
        <f aca="false">IF($B14="","",IF(INDEX(tt_volt,Q14)="HT",1,0))</f>
        <v/>
      </c>
      <c r="T14" s="16" t="str">
        <f aca="false">IF($B14="","",IF(INDEX(tt_evtype,Q14)="BPHE",1,0))</f>
        <v/>
      </c>
      <c r="U14" s="17" t="str">
        <f aca="false">IF($B14="","",C14*3.517)</f>
        <v/>
      </c>
      <c r="V14" s="17" t="str">
        <f aca="false">IF($B14="","",U14/I14)</f>
        <v/>
      </c>
      <c r="W14" s="17" t="str">
        <f aca="false">IF($B14="","",U14+V14)</f>
        <v/>
      </c>
      <c r="X14" s="18" t="str">
        <f aca="false">IF($B14="","",F14-INDEX(tt_evapApp,Q14))</f>
        <v/>
      </c>
      <c r="Y14" s="18" t="str">
        <f aca="false">IF($B14="","",IF(R14=1,G14+H14+INDEX(tt_condApp,Q14),G14+INDEX(tt_condApp,Q14)))</f>
        <v/>
      </c>
      <c r="Z14" s="19" t="str">
        <f aca="false">IF($B14="","",(X14+273.15)/(Y14-X14))</f>
        <v/>
      </c>
      <c r="AA14" s="20" t="str">
        <f aca="false">IF($B14="","",I14/Z14)</f>
        <v/>
      </c>
      <c r="AB14" s="19" t="str">
        <f aca="false">IF($B14="","",(E14-F14)/LN((E14-X14)/(F14-X14)))</f>
        <v/>
      </c>
      <c r="AC14" s="19" t="str">
        <f aca="false">IF($B14="","",IF(R14=1,H14/LN((Y14-G14)/(Y14-G14-H14)),0))</f>
        <v/>
      </c>
      <c r="AD14" s="19" t="str">
        <f aca="false">IF($B14="","",1/(1/INDEX(tt_Ue,Q14)+L14))</f>
        <v/>
      </c>
      <c r="AE14" s="21" t="str">
        <f aca="false">IF($B14="","",U14/(AD14*AB14))</f>
        <v/>
      </c>
      <c r="AF14" s="17" t="str">
        <f aca="false">IF($B14="","",U14/(r_cpw*(E14-F14))*3.6)</f>
        <v/>
      </c>
      <c r="AG14" s="17" t="str">
        <f aca="false">IF($B14="","",IF(T14=1,0,ROUNDUP(AF14/3600/(INDEX(tt_vel,Q14)*r_tubeAi),0)))</f>
        <v/>
      </c>
      <c r="AH14" s="17" t="str">
        <f aca="false">IF($B14="","",AG14*INDEX(tt_evPass,Q14))</f>
        <v/>
      </c>
      <c r="AI14" s="18" t="str">
        <f aca="false">IF($B14="","",IF(AH14=0,0,ROUNDUP(AE14/(AH14*PI()*r_tubeOD/1000)*10,0)/10))</f>
        <v/>
      </c>
      <c r="AJ14" s="19" t="str">
        <f aca="false">IF($B14="","",IF(AH14=0,0,(SQRT(4*AH14*0.866*(r_pitch*r_tubeOD/1000)^2/r_fill/PI())+r_shellClr)*r_floodFac))</f>
        <v/>
      </c>
      <c r="AK14" s="16" t="str">
        <f aca="false">IF($B14="","",IF(AH14=0,0,MAX(r_tmin,ROUNDUP((r_pDesE/10)*AJ14*1000/(2*r_stress-1.2*r_pDesE/10)+r_ca,0))))</f>
        <v/>
      </c>
      <c r="AL14" s="17" t="str">
        <f aca="false">IF($B14="","",IF(AH14=0,0,(PI()*AJ14*(AI14+0.3)*AK14/1000+(1+r_wbFac)*2*PI()/4*AJ14^2*r_tsheet/1000)*r_rhoSt*(1+r_supFac)))</f>
        <v/>
      </c>
      <c r="AM14" s="19" t="str">
        <f aca="false">IF($B14="","",IF(R14=1,1/(1/INDEX(tt_Uc,Q14)+M14),0))</f>
        <v/>
      </c>
      <c r="AN14" s="21" t="str">
        <f aca="false">IF($B14="","",IF(R14=1,W14/(AM14*AC14),0))</f>
        <v/>
      </c>
      <c r="AO14" s="17" t="str">
        <f aca="false">IF($B14="","",IF(R14=1,W14/(r_cpw*H14)*3.6,0))</f>
        <v/>
      </c>
      <c r="AP14" s="17" t="str">
        <f aca="false">IF($B14="","",IF(R14=1,ROUNDUP(AO14/3600/(INDEX(tt_vel,Q14)*r_tubeAi),0),0))</f>
        <v/>
      </c>
      <c r="AQ14" s="17" t="str">
        <f aca="false">IF($B14="","",AP14*INDEX(tt_cdPass,Q14))</f>
        <v/>
      </c>
      <c r="AR14" s="18" t="str">
        <f aca="false">IF($B14="","",IF(AQ14=0,0,ROUNDUP(AN14/(AQ14*PI()*r_tubeOD/1000)*10,0)/10))</f>
        <v/>
      </c>
      <c r="AS14" s="19" t="str">
        <f aca="false">IF($B14="","",IF(AQ14=0,0,SQRT(4*AQ14*0.866*(r_pitch*r_tubeOD/1000)^2/r_fill/PI())+r_shellClr))</f>
        <v/>
      </c>
      <c r="AT14" s="16" t="str">
        <f aca="false">IF($B14="","",IF(AQ14=0,0,MAX(r_tmin,ROUNDUP((r_pDesC/10)*AS14*1000/(2*r_stress-1.2*r_pDesC/10)+r_ca,0))))</f>
        <v/>
      </c>
      <c r="AU14" s="17" t="str">
        <f aca="false">IF($B14="","",IF(AQ14=0,0,(PI()*AS14*(AR14+0.3)*AT14/1000+(1+r_wbFac)*2*PI()/4*AS14^2*r_tsheet/1000)*r_rhoSt*(1+r_supFac)))</f>
        <v/>
      </c>
      <c r="AV14" s="21" t="str">
        <f aca="false">IF($B14="","",IF(R14=0,W14/(r_airCp*r_airRise*r_airRho),0))</f>
        <v/>
      </c>
      <c r="AW14" s="21" t="str">
        <f aca="false">IF($B14="","",AV14/r_faceV)</f>
        <v/>
      </c>
      <c r="AX14" s="16" t="str">
        <f aca="false">IF($B14="","",IF(R14=0,ROUNDUP(AV14/r_fanFlow,0),0))</f>
        <v/>
      </c>
      <c r="AY14" s="17" t="str">
        <f aca="false">IF($B14="","",IF(INDEX(tt_motSep,Q14)=1,ROUNDUP(V14/r_motEff*r_motMargin/10,0)*10,0))</f>
        <v/>
      </c>
      <c r="AZ14" s="17" t="str">
        <f aca="false">IF($B14="","",IF(AY14&gt;0,AY14,ROUNDUP(V14/r_motEff*r_motMargin/5,0)*5))</f>
        <v/>
      </c>
      <c r="BA14" s="17" t="str">
        <f aca="false">IF($B14="","",AH14*AI14*r_tubeKgM*r_cuTube)</f>
        <v/>
      </c>
      <c r="BB14" s="17" t="str">
        <f aca="false">IF($B14="","",AL14*r_steelFab)</f>
        <v/>
      </c>
      <c r="BC14" s="17" t="str">
        <f aca="false">IF($B14="","",IF(AH14=0,0,PI()*AJ14*AI14*1.15*r_insul))</f>
        <v/>
      </c>
      <c r="BD14" s="17" t="str">
        <f aca="false">IF($B14="","",IF(T14=1,AE14*r_bphe,0))</f>
        <v/>
      </c>
      <c r="BE14" s="17" t="str">
        <f aca="false">IF($B14="","",AQ14*AR14*r_tubeKgM*r_cuTube)</f>
        <v/>
      </c>
      <c r="BF14" s="17" t="str">
        <f aca="false">IF($B14="","",AU14*r_steelFab)</f>
        <v/>
      </c>
      <c r="BG14" s="17" t="str">
        <f aca="false">IF($B14="","",AW14*r_coilFace+AX14*r_fanAC+AW14*r_frameKg*r_steelFab)</f>
        <v/>
      </c>
      <c r="BH14" s="17" t="str">
        <f aca="false">IF($B14="","",INDEX(tt_compRate,Q14)*INDEX(tt_compPref,Q14)*(V14/INDEX(tt_compPref,Q14))^INDEX(tt_compN,Q14))</f>
        <v/>
      </c>
      <c r="BI14" s="17" t="str">
        <f aca="false">IF($B14="","",AY14*IF(S14=1,r_motHT,r_motLT))</f>
        <v/>
      </c>
      <c r="BJ14" s="17" t="str">
        <f aca="false">IF($B14="","",IF(J14="Yes",AZ14*IF(S14=1,r_vfdHT,r_vfdLT),0))</f>
        <v/>
      </c>
      <c r="BK14" s="17" t="str">
        <f aca="false">IF($B14="","",IF(S14=1,r_swgrHT,r_swgrLTbase+r_swgrLTkw*AZ14))</f>
        <v/>
      </c>
      <c r="BL14" s="17" t="str">
        <f aca="false">IF($B14="","",INDEX(tt_lube,Q14))</f>
        <v/>
      </c>
      <c r="BM14" s="17" t="str">
        <f aca="false">IF($B14="","",C14*INDEX(tt_refKg,Q14)*r_refrig)</f>
        <v/>
      </c>
      <c r="BN14" s="17" t="str">
        <f aca="false">IF($B14="","",INDEX(tt_ctl,Q14))</f>
        <v/>
      </c>
      <c r="BO14" s="17" t="str">
        <f aca="false">IF($B14="","",IF(AND(K14="Yes",R14=1),AQ14*r_atcTube+r_atcFixed,0))</f>
        <v/>
      </c>
      <c r="BP14" s="17" t="str">
        <f aca="false">IF($B14="","",r_pipePct*(BA14+BB14+BC14+BD14+BE14+BF14+BG14+BH14))</f>
        <v/>
      </c>
      <c r="BQ14" s="17" t="str">
        <f aca="false">IF($B14="","",r_avm)</f>
        <v/>
      </c>
      <c r="BR14" s="17" t="str">
        <f aca="false">IF($B14="","",SUM(BA14:BQ14))</f>
        <v/>
      </c>
      <c r="BS14" s="17" t="str">
        <f aca="false">IF($B14="","",BR14*r_assyPct)</f>
        <v/>
      </c>
      <c r="BT14" s="17" t="str">
        <f aca="false">IF($B14="","",BR14*r_testPct)</f>
        <v/>
      </c>
      <c r="BU14" s="17" t="str">
        <f aca="false">IF($B14="","",(BR14+BS14+BT14)*r_logPct)</f>
        <v/>
      </c>
      <c r="BV14" s="17" t="str">
        <f aca="false">IF($B14="","",BR14*r_dutyPct)</f>
        <v/>
      </c>
      <c r="BW14" s="17" t="str">
        <f aca="false">IF($B14="","",BR14+BS14+BT14+BU14+BV14)</f>
        <v/>
      </c>
      <c r="BX14" s="17" t="str">
        <f aca="false">IF($B14="","",BW14*r_ohPct)</f>
        <v/>
      </c>
      <c r="BY14" s="17" t="str">
        <f aca="false">IF($B14="","",BW14*r_warrPct)</f>
        <v/>
      </c>
      <c r="BZ14" s="17" t="str">
        <f aca="false">IF($B14="","",(BW14+BX14+BY14)*r_marginPct)</f>
        <v/>
      </c>
      <c r="CA14" s="22" t="str">
        <f aca="false">IF($B14="","",BW14+BX14+BY14+BZ14)</f>
        <v/>
      </c>
      <c r="CB14" s="17" t="str">
        <f aca="false">IF($B14="","",CA14/C14)</f>
        <v/>
      </c>
      <c r="CC14" s="17" t="str">
        <f aca="false">IF($B14="","",CA14*r_ecPct)</f>
        <v/>
      </c>
      <c r="CD14" s="17" t="str">
        <f aca="false">IF($B14="","",(CA14+CC14)*D14)</f>
        <v/>
      </c>
      <c r="CE14" s="17" t="str">
        <f aca="false">IF($B14="","",BA14+BB14+BC14+BD14+BE14+BF14+BG14)</f>
        <v/>
      </c>
      <c r="CF14" s="17" t="str">
        <f aca="false">IF($B14="","",BH14+BI14+BJ14+BK14+BL14)</f>
        <v/>
      </c>
      <c r="CG14" s="17" t="str">
        <f aca="false">IF($B14="","",BM14+BN14+BO14+BP14+BQ14)</f>
        <v/>
      </c>
      <c r="CH14" s="17" t="str">
        <f aca="false">IF($B14="","",BS14+BT14)</f>
        <v/>
      </c>
      <c r="CI14" s="17" t="str">
        <f aca="false">IF($B14="","",BU14+BV14)</f>
        <v/>
      </c>
      <c r="CJ14" s="17" t="str">
        <f aca="false">IF($B14="","",BX14+BY14+BZ14)</f>
        <v/>
      </c>
      <c r="CK14" s="23" t="str">
        <f aca="false">IF($B14="","",IF(ABS(CE14+CF14+CG14+CH14+CI14+CJ14-CA14)&lt;1,"OK","MISMATCH"))</f>
        <v/>
      </c>
      <c r="CL14" s="17" t="str">
        <f aca="false">IF($B14="","",IF(N14="","",N14/C14))</f>
        <v/>
      </c>
      <c r="CM14" s="17" t="str">
        <f aca="false">IF($B14="","",IF(N14="","",CA14-N14))</f>
        <v/>
      </c>
      <c r="CN14" s="20" t="str">
        <f aca="false">IF($B14="","",IF(N14="","",CA14/N14-1))</f>
        <v/>
      </c>
      <c r="CO14" s="20" t="str">
        <f aca="false">IF($B14="","",IF(O14="","",CC14/O14-1))</f>
        <v/>
      </c>
      <c r="CP14" s="24" t="str">
        <f aca="false">IF($B14="","",IF(C14&gt;INDEX(tt_maxTR,Q14),"TR above type max; ","")&amp;IF(AI14&gt;r_Lmax,"Evap tube too long; ","")&amp;IF(AR14&gt;r_Lmax,"Cond tube too long; ","")&amp;IF(AA14&gt;r_carnotCap,"COP high vs lift; ","")&amp;IF(AND(R14=1,G14+H14+INDEX(tt_condApp,Q14)&gt;=X14+60),"Check temps; ",""))</f>
        <v/>
      </c>
    </row>
    <row r="15" customFormat="false" ht="15" hidden="false" customHeight="false" outlineLevel="0" collapsed="false">
      <c r="A15" s="9"/>
      <c r="B15" s="9"/>
      <c r="C15" s="10"/>
      <c r="D15" s="11"/>
      <c r="E15" s="12"/>
      <c r="F15" s="12"/>
      <c r="G15" s="12"/>
      <c r="H15" s="12"/>
      <c r="I15" s="13"/>
      <c r="J15" s="9"/>
      <c r="K15" s="9"/>
      <c r="L15" s="14"/>
      <c r="M15" s="14"/>
      <c r="N15" s="10"/>
      <c r="O15" s="10"/>
      <c r="P15" s="15"/>
      <c r="Q15" s="16" t="str">
        <f aca="false">IF($B15="","",MATCH(B15,tt_name,0))</f>
        <v/>
      </c>
      <c r="R15" s="16" t="str">
        <f aca="false">IF($B15="","",INDEX(tt_wc,Q15))</f>
        <v/>
      </c>
      <c r="S15" s="16" t="str">
        <f aca="false">IF($B15="","",IF(INDEX(tt_volt,Q15)="HT",1,0))</f>
        <v/>
      </c>
      <c r="T15" s="16" t="str">
        <f aca="false">IF($B15="","",IF(INDEX(tt_evtype,Q15)="BPHE",1,0))</f>
        <v/>
      </c>
      <c r="U15" s="17" t="str">
        <f aca="false">IF($B15="","",C15*3.517)</f>
        <v/>
      </c>
      <c r="V15" s="17" t="str">
        <f aca="false">IF($B15="","",U15/I15)</f>
        <v/>
      </c>
      <c r="W15" s="17" t="str">
        <f aca="false">IF($B15="","",U15+V15)</f>
        <v/>
      </c>
      <c r="X15" s="18" t="str">
        <f aca="false">IF($B15="","",F15-INDEX(tt_evapApp,Q15))</f>
        <v/>
      </c>
      <c r="Y15" s="18" t="str">
        <f aca="false">IF($B15="","",IF(R15=1,G15+H15+INDEX(tt_condApp,Q15),G15+INDEX(tt_condApp,Q15)))</f>
        <v/>
      </c>
      <c r="Z15" s="19" t="str">
        <f aca="false">IF($B15="","",(X15+273.15)/(Y15-X15))</f>
        <v/>
      </c>
      <c r="AA15" s="20" t="str">
        <f aca="false">IF($B15="","",I15/Z15)</f>
        <v/>
      </c>
      <c r="AB15" s="19" t="str">
        <f aca="false">IF($B15="","",(E15-F15)/LN((E15-X15)/(F15-X15)))</f>
        <v/>
      </c>
      <c r="AC15" s="19" t="str">
        <f aca="false">IF($B15="","",IF(R15=1,H15/LN((Y15-G15)/(Y15-G15-H15)),0))</f>
        <v/>
      </c>
      <c r="AD15" s="19" t="str">
        <f aca="false">IF($B15="","",1/(1/INDEX(tt_Ue,Q15)+L15))</f>
        <v/>
      </c>
      <c r="AE15" s="21" t="str">
        <f aca="false">IF($B15="","",U15/(AD15*AB15))</f>
        <v/>
      </c>
      <c r="AF15" s="17" t="str">
        <f aca="false">IF($B15="","",U15/(r_cpw*(E15-F15))*3.6)</f>
        <v/>
      </c>
      <c r="AG15" s="17" t="str">
        <f aca="false">IF($B15="","",IF(T15=1,0,ROUNDUP(AF15/3600/(INDEX(tt_vel,Q15)*r_tubeAi),0)))</f>
        <v/>
      </c>
      <c r="AH15" s="17" t="str">
        <f aca="false">IF($B15="","",AG15*INDEX(tt_evPass,Q15))</f>
        <v/>
      </c>
      <c r="AI15" s="18" t="str">
        <f aca="false">IF($B15="","",IF(AH15=0,0,ROUNDUP(AE15/(AH15*PI()*r_tubeOD/1000)*10,0)/10))</f>
        <v/>
      </c>
      <c r="AJ15" s="19" t="str">
        <f aca="false">IF($B15="","",IF(AH15=0,0,(SQRT(4*AH15*0.866*(r_pitch*r_tubeOD/1000)^2/r_fill/PI())+r_shellClr)*r_floodFac))</f>
        <v/>
      </c>
      <c r="AK15" s="16" t="str">
        <f aca="false">IF($B15="","",IF(AH15=0,0,MAX(r_tmin,ROUNDUP((r_pDesE/10)*AJ15*1000/(2*r_stress-1.2*r_pDesE/10)+r_ca,0))))</f>
        <v/>
      </c>
      <c r="AL15" s="17" t="str">
        <f aca="false">IF($B15="","",IF(AH15=0,0,(PI()*AJ15*(AI15+0.3)*AK15/1000+(1+r_wbFac)*2*PI()/4*AJ15^2*r_tsheet/1000)*r_rhoSt*(1+r_supFac)))</f>
        <v/>
      </c>
      <c r="AM15" s="19" t="str">
        <f aca="false">IF($B15="","",IF(R15=1,1/(1/INDEX(tt_Uc,Q15)+M15),0))</f>
        <v/>
      </c>
      <c r="AN15" s="21" t="str">
        <f aca="false">IF($B15="","",IF(R15=1,W15/(AM15*AC15),0))</f>
        <v/>
      </c>
      <c r="AO15" s="17" t="str">
        <f aca="false">IF($B15="","",IF(R15=1,W15/(r_cpw*H15)*3.6,0))</f>
        <v/>
      </c>
      <c r="AP15" s="17" t="str">
        <f aca="false">IF($B15="","",IF(R15=1,ROUNDUP(AO15/3600/(INDEX(tt_vel,Q15)*r_tubeAi),0),0))</f>
        <v/>
      </c>
      <c r="AQ15" s="17" t="str">
        <f aca="false">IF($B15="","",AP15*INDEX(tt_cdPass,Q15))</f>
        <v/>
      </c>
      <c r="AR15" s="18" t="str">
        <f aca="false">IF($B15="","",IF(AQ15=0,0,ROUNDUP(AN15/(AQ15*PI()*r_tubeOD/1000)*10,0)/10))</f>
        <v/>
      </c>
      <c r="AS15" s="19" t="str">
        <f aca="false">IF($B15="","",IF(AQ15=0,0,SQRT(4*AQ15*0.866*(r_pitch*r_tubeOD/1000)^2/r_fill/PI())+r_shellClr))</f>
        <v/>
      </c>
      <c r="AT15" s="16" t="str">
        <f aca="false">IF($B15="","",IF(AQ15=0,0,MAX(r_tmin,ROUNDUP((r_pDesC/10)*AS15*1000/(2*r_stress-1.2*r_pDesC/10)+r_ca,0))))</f>
        <v/>
      </c>
      <c r="AU15" s="17" t="str">
        <f aca="false">IF($B15="","",IF(AQ15=0,0,(PI()*AS15*(AR15+0.3)*AT15/1000+(1+r_wbFac)*2*PI()/4*AS15^2*r_tsheet/1000)*r_rhoSt*(1+r_supFac)))</f>
        <v/>
      </c>
      <c r="AV15" s="21" t="str">
        <f aca="false">IF($B15="","",IF(R15=0,W15/(r_airCp*r_airRise*r_airRho),0))</f>
        <v/>
      </c>
      <c r="AW15" s="21" t="str">
        <f aca="false">IF($B15="","",AV15/r_faceV)</f>
        <v/>
      </c>
      <c r="AX15" s="16" t="str">
        <f aca="false">IF($B15="","",IF(R15=0,ROUNDUP(AV15/r_fanFlow,0),0))</f>
        <v/>
      </c>
      <c r="AY15" s="17" t="str">
        <f aca="false">IF($B15="","",IF(INDEX(tt_motSep,Q15)=1,ROUNDUP(V15/r_motEff*r_motMargin/10,0)*10,0))</f>
        <v/>
      </c>
      <c r="AZ15" s="17" t="str">
        <f aca="false">IF($B15="","",IF(AY15&gt;0,AY15,ROUNDUP(V15/r_motEff*r_motMargin/5,0)*5))</f>
        <v/>
      </c>
      <c r="BA15" s="17" t="str">
        <f aca="false">IF($B15="","",AH15*AI15*r_tubeKgM*r_cuTube)</f>
        <v/>
      </c>
      <c r="BB15" s="17" t="str">
        <f aca="false">IF($B15="","",AL15*r_steelFab)</f>
        <v/>
      </c>
      <c r="BC15" s="17" t="str">
        <f aca="false">IF($B15="","",IF(AH15=0,0,PI()*AJ15*AI15*1.15*r_insul))</f>
        <v/>
      </c>
      <c r="BD15" s="17" t="str">
        <f aca="false">IF($B15="","",IF(T15=1,AE15*r_bphe,0))</f>
        <v/>
      </c>
      <c r="BE15" s="17" t="str">
        <f aca="false">IF($B15="","",AQ15*AR15*r_tubeKgM*r_cuTube)</f>
        <v/>
      </c>
      <c r="BF15" s="17" t="str">
        <f aca="false">IF($B15="","",AU15*r_steelFab)</f>
        <v/>
      </c>
      <c r="BG15" s="17" t="str">
        <f aca="false">IF($B15="","",AW15*r_coilFace+AX15*r_fanAC+AW15*r_frameKg*r_steelFab)</f>
        <v/>
      </c>
      <c r="BH15" s="17" t="str">
        <f aca="false">IF($B15="","",INDEX(tt_compRate,Q15)*INDEX(tt_compPref,Q15)*(V15/INDEX(tt_compPref,Q15))^INDEX(tt_compN,Q15))</f>
        <v/>
      </c>
      <c r="BI15" s="17" t="str">
        <f aca="false">IF($B15="","",AY15*IF(S15=1,r_motHT,r_motLT))</f>
        <v/>
      </c>
      <c r="BJ15" s="17" t="str">
        <f aca="false">IF($B15="","",IF(J15="Yes",AZ15*IF(S15=1,r_vfdHT,r_vfdLT),0))</f>
        <v/>
      </c>
      <c r="BK15" s="17" t="str">
        <f aca="false">IF($B15="","",IF(S15=1,r_swgrHT,r_swgrLTbase+r_swgrLTkw*AZ15))</f>
        <v/>
      </c>
      <c r="BL15" s="17" t="str">
        <f aca="false">IF($B15="","",INDEX(tt_lube,Q15))</f>
        <v/>
      </c>
      <c r="BM15" s="17" t="str">
        <f aca="false">IF($B15="","",C15*INDEX(tt_refKg,Q15)*r_refrig)</f>
        <v/>
      </c>
      <c r="BN15" s="17" t="str">
        <f aca="false">IF($B15="","",INDEX(tt_ctl,Q15))</f>
        <v/>
      </c>
      <c r="BO15" s="17" t="str">
        <f aca="false">IF($B15="","",IF(AND(K15="Yes",R15=1),AQ15*r_atcTube+r_atcFixed,0))</f>
        <v/>
      </c>
      <c r="BP15" s="17" t="str">
        <f aca="false">IF($B15="","",r_pipePct*(BA15+BB15+BC15+BD15+BE15+BF15+BG15+BH15))</f>
        <v/>
      </c>
      <c r="BQ15" s="17" t="str">
        <f aca="false">IF($B15="","",r_avm)</f>
        <v/>
      </c>
      <c r="BR15" s="17" t="str">
        <f aca="false">IF($B15="","",SUM(BA15:BQ15))</f>
        <v/>
      </c>
      <c r="BS15" s="17" t="str">
        <f aca="false">IF($B15="","",BR15*r_assyPct)</f>
        <v/>
      </c>
      <c r="BT15" s="17" t="str">
        <f aca="false">IF($B15="","",BR15*r_testPct)</f>
        <v/>
      </c>
      <c r="BU15" s="17" t="str">
        <f aca="false">IF($B15="","",(BR15+BS15+BT15)*r_logPct)</f>
        <v/>
      </c>
      <c r="BV15" s="17" t="str">
        <f aca="false">IF($B15="","",BR15*r_dutyPct)</f>
        <v/>
      </c>
      <c r="BW15" s="17" t="str">
        <f aca="false">IF($B15="","",BR15+BS15+BT15+BU15+BV15)</f>
        <v/>
      </c>
      <c r="BX15" s="17" t="str">
        <f aca="false">IF($B15="","",BW15*r_ohPct)</f>
        <v/>
      </c>
      <c r="BY15" s="17" t="str">
        <f aca="false">IF($B15="","",BW15*r_warrPct)</f>
        <v/>
      </c>
      <c r="BZ15" s="17" t="str">
        <f aca="false">IF($B15="","",(BW15+BX15+BY15)*r_marginPct)</f>
        <v/>
      </c>
      <c r="CA15" s="22" t="str">
        <f aca="false">IF($B15="","",BW15+BX15+BY15+BZ15)</f>
        <v/>
      </c>
      <c r="CB15" s="17" t="str">
        <f aca="false">IF($B15="","",CA15/C15)</f>
        <v/>
      </c>
      <c r="CC15" s="17" t="str">
        <f aca="false">IF($B15="","",CA15*r_ecPct)</f>
        <v/>
      </c>
      <c r="CD15" s="17" t="str">
        <f aca="false">IF($B15="","",(CA15+CC15)*D15)</f>
        <v/>
      </c>
      <c r="CE15" s="17" t="str">
        <f aca="false">IF($B15="","",BA15+BB15+BC15+BD15+BE15+BF15+BG15)</f>
        <v/>
      </c>
      <c r="CF15" s="17" t="str">
        <f aca="false">IF($B15="","",BH15+BI15+BJ15+BK15+BL15)</f>
        <v/>
      </c>
      <c r="CG15" s="17" t="str">
        <f aca="false">IF($B15="","",BM15+BN15+BO15+BP15+BQ15)</f>
        <v/>
      </c>
      <c r="CH15" s="17" t="str">
        <f aca="false">IF($B15="","",BS15+BT15)</f>
        <v/>
      </c>
      <c r="CI15" s="17" t="str">
        <f aca="false">IF($B15="","",BU15+BV15)</f>
        <v/>
      </c>
      <c r="CJ15" s="17" t="str">
        <f aca="false">IF($B15="","",BX15+BY15+BZ15)</f>
        <v/>
      </c>
      <c r="CK15" s="23" t="str">
        <f aca="false">IF($B15="","",IF(ABS(CE15+CF15+CG15+CH15+CI15+CJ15-CA15)&lt;1,"OK","MISMATCH"))</f>
        <v/>
      </c>
      <c r="CL15" s="17" t="str">
        <f aca="false">IF($B15="","",IF(N15="","",N15/C15))</f>
        <v/>
      </c>
      <c r="CM15" s="17" t="str">
        <f aca="false">IF($B15="","",IF(N15="","",CA15-N15))</f>
        <v/>
      </c>
      <c r="CN15" s="20" t="str">
        <f aca="false">IF($B15="","",IF(N15="","",CA15/N15-1))</f>
        <v/>
      </c>
      <c r="CO15" s="20" t="str">
        <f aca="false">IF($B15="","",IF(O15="","",CC15/O15-1))</f>
        <v/>
      </c>
      <c r="CP15" s="24" t="str">
        <f aca="false">IF($B15="","",IF(C15&gt;INDEX(tt_maxTR,Q15),"TR above type max; ","")&amp;IF(AI15&gt;r_Lmax,"Evap tube too long; ","")&amp;IF(AR15&gt;r_Lmax,"Cond tube too long; ","")&amp;IF(AA15&gt;r_carnotCap,"COP high vs lift; ","")&amp;IF(AND(R15=1,G15+H15+INDEX(tt_condApp,Q15)&gt;=X15+60),"Check temps; ",""))</f>
        <v/>
      </c>
    </row>
    <row r="16" customFormat="false" ht="15" hidden="false" customHeight="false" outlineLevel="0" collapsed="false">
      <c r="A16" s="9"/>
      <c r="B16" s="9"/>
      <c r="C16" s="10"/>
      <c r="D16" s="11"/>
      <c r="E16" s="12"/>
      <c r="F16" s="12"/>
      <c r="G16" s="12"/>
      <c r="H16" s="12"/>
      <c r="I16" s="13"/>
      <c r="J16" s="9"/>
      <c r="K16" s="9"/>
      <c r="L16" s="14"/>
      <c r="M16" s="14"/>
      <c r="N16" s="10"/>
      <c r="O16" s="10"/>
      <c r="P16" s="15"/>
      <c r="Q16" s="16" t="str">
        <f aca="false">IF($B16="","",MATCH(B16,tt_name,0))</f>
        <v/>
      </c>
      <c r="R16" s="16" t="str">
        <f aca="false">IF($B16="","",INDEX(tt_wc,Q16))</f>
        <v/>
      </c>
      <c r="S16" s="16" t="str">
        <f aca="false">IF($B16="","",IF(INDEX(tt_volt,Q16)="HT",1,0))</f>
        <v/>
      </c>
      <c r="T16" s="16" t="str">
        <f aca="false">IF($B16="","",IF(INDEX(tt_evtype,Q16)="BPHE",1,0))</f>
        <v/>
      </c>
      <c r="U16" s="17" t="str">
        <f aca="false">IF($B16="","",C16*3.517)</f>
        <v/>
      </c>
      <c r="V16" s="17" t="str">
        <f aca="false">IF($B16="","",U16/I16)</f>
        <v/>
      </c>
      <c r="W16" s="17" t="str">
        <f aca="false">IF($B16="","",U16+V16)</f>
        <v/>
      </c>
      <c r="X16" s="18" t="str">
        <f aca="false">IF($B16="","",F16-INDEX(tt_evapApp,Q16))</f>
        <v/>
      </c>
      <c r="Y16" s="18" t="str">
        <f aca="false">IF($B16="","",IF(R16=1,G16+H16+INDEX(tt_condApp,Q16),G16+INDEX(tt_condApp,Q16)))</f>
        <v/>
      </c>
      <c r="Z16" s="19" t="str">
        <f aca="false">IF($B16="","",(X16+273.15)/(Y16-X16))</f>
        <v/>
      </c>
      <c r="AA16" s="20" t="str">
        <f aca="false">IF($B16="","",I16/Z16)</f>
        <v/>
      </c>
      <c r="AB16" s="19" t="str">
        <f aca="false">IF($B16="","",(E16-F16)/LN((E16-X16)/(F16-X16)))</f>
        <v/>
      </c>
      <c r="AC16" s="19" t="str">
        <f aca="false">IF($B16="","",IF(R16=1,H16/LN((Y16-G16)/(Y16-G16-H16)),0))</f>
        <v/>
      </c>
      <c r="AD16" s="19" t="str">
        <f aca="false">IF($B16="","",1/(1/INDEX(tt_Ue,Q16)+L16))</f>
        <v/>
      </c>
      <c r="AE16" s="21" t="str">
        <f aca="false">IF($B16="","",U16/(AD16*AB16))</f>
        <v/>
      </c>
      <c r="AF16" s="17" t="str">
        <f aca="false">IF($B16="","",U16/(r_cpw*(E16-F16))*3.6)</f>
        <v/>
      </c>
      <c r="AG16" s="17" t="str">
        <f aca="false">IF($B16="","",IF(T16=1,0,ROUNDUP(AF16/3600/(INDEX(tt_vel,Q16)*r_tubeAi),0)))</f>
        <v/>
      </c>
      <c r="AH16" s="17" t="str">
        <f aca="false">IF($B16="","",AG16*INDEX(tt_evPass,Q16))</f>
        <v/>
      </c>
      <c r="AI16" s="18" t="str">
        <f aca="false">IF($B16="","",IF(AH16=0,0,ROUNDUP(AE16/(AH16*PI()*r_tubeOD/1000)*10,0)/10))</f>
        <v/>
      </c>
      <c r="AJ16" s="19" t="str">
        <f aca="false">IF($B16="","",IF(AH16=0,0,(SQRT(4*AH16*0.866*(r_pitch*r_tubeOD/1000)^2/r_fill/PI())+r_shellClr)*r_floodFac))</f>
        <v/>
      </c>
      <c r="AK16" s="16" t="str">
        <f aca="false">IF($B16="","",IF(AH16=0,0,MAX(r_tmin,ROUNDUP((r_pDesE/10)*AJ16*1000/(2*r_stress-1.2*r_pDesE/10)+r_ca,0))))</f>
        <v/>
      </c>
      <c r="AL16" s="17" t="str">
        <f aca="false">IF($B16="","",IF(AH16=0,0,(PI()*AJ16*(AI16+0.3)*AK16/1000+(1+r_wbFac)*2*PI()/4*AJ16^2*r_tsheet/1000)*r_rhoSt*(1+r_supFac)))</f>
        <v/>
      </c>
      <c r="AM16" s="19" t="str">
        <f aca="false">IF($B16="","",IF(R16=1,1/(1/INDEX(tt_Uc,Q16)+M16),0))</f>
        <v/>
      </c>
      <c r="AN16" s="21" t="str">
        <f aca="false">IF($B16="","",IF(R16=1,W16/(AM16*AC16),0))</f>
        <v/>
      </c>
      <c r="AO16" s="17" t="str">
        <f aca="false">IF($B16="","",IF(R16=1,W16/(r_cpw*H16)*3.6,0))</f>
        <v/>
      </c>
      <c r="AP16" s="17" t="str">
        <f aca="false">IF($B16="","",IF(R16=1,ROUNDUP(AO16/3600/(INDEX(tt_vel,Q16)*r_tubeAi),0),0))</f>
        <v/>
      </c>
      <c r="AQ16" s="17" t="str">
        <f aca="false">IF($B16="","",AP16*INDEX(tt_cdPass,Q16))</f>
        <v/>
      </c>
      <c r="AR16" s="18" t="str">
        <f aca="false">IF($B16="","",IF(AQ16=0,0,ROUNDUP(AN16/(AQ16*PI()*r_tubeOD/1000)*10,0)/10))</f>
        <v/>
      </c>
      <c r="AS16" s="19" t="str">
        <f aca="false">IF($B16="","",IF(AQ16=0,0,SQRT(4*AQ16*0.866*(r_pitch*r_tubeOD/1000)^2/r_fill/PI())+r_shellClr))</f>
        <v/>
      </c>
      <c r="AT16" s="16" t="str">
        <f aca="false">IF($B16="","",IF(AQ16=0,0,MAX(r_tmin,ROUNDUP((r_pDesC/10)*AS16*1000/(2*r_stress-1.2*r_pDesC/10)+r_ca,0))))</f>
        <v/>
      </c>
      <c r="AU16" s="17" t="str">
        <f aca="false">IF($B16="","",IF(AQ16=0,0,(PI()*AS16*(AR16+0.3)*AT16/1000+(1+r_wbFac)*2*PI()/4*AS16^2*r_tsheet/1000)*r_rhoSt*(1+r_supFac)))</f>
        <v/>
      </c>
      <c r="AV16" s="21" t="str">
        <f aca="false">IF($B16="","",IF(R16=0,W16/(r_airCp*r_airRise*r_airRho),0))</f>
        <v/>
      </c>
      <c r="AW16" s="21" t="str">
        <f aca="false">IF($B16="","",AV16/r_faceV)</f>
        <v/>
      </c>
      <c r="AX16" s="16" t="str">
        <f aca="false">IF($B16="","",IF(R16=0,ROUNDUP(AV16/r_fanFlow,0),0))</f>
        <v/>
      </c>
      <c r="AY16" s="17" t="str">
        <f aca="false">IF($B16="","",IF(INDEX(tt_motSep,Q16)=1,ROUNDUP(V16/r_motEff*r_motMargin/10,0)*10,0))</f>
        <v/>
      </c>
      <c r="AZ16" s="17" t="str">
        <f aca="false">IF($B16="","",IF(AY16&gt;0,AY16,ROUNDUP(V16/r_motEff*r_motMargin/5,0)*5))</f>
        <v/>
      </c>
      <c r="BA16" s="17" t="str">
        <f aca="false">IF($B16="","",AH16*AI16*r_tubeKgM*r_cuTube)</f>
        <v/>
      </c>
      <c r="BB16" s="17" t="str">
        <f aca="false">IF($B16="","",AL16*r_steelFab)</f>
        <v/>
      </c>
      <c r="BC16" s="17" t="str">
        <f aca="false">IF($B16="","",IF(AH16=0,0,PI()*AJ16*AI16*1.15*r_insul))</f>
        <v/>
      </c>
      <c r="BD16" s="17" t="str">
        <f aca="false">IF($B16="","",IF(T16=1,AE16*r_bphe,0))</f>
        <v/>
      </c>
      <c r="BE16" s="17" t="str">
        <f aca="false">IF($B16="","",AQ16*AR16*r_tubeKgM*r_cuTube)</f>
        <v/>
      </c>
      <c r="BF16" s="17" t="str">
        <f aca="false">IF($B16="","",AU16*r_steelFab)</f>
        <v/>
      </c>
      <c r="BG16" s="17" t="str">
        <f aca="false">IF($B16="","",AW16*r_coilFace+AX16*r_fanAC+AW16*r_frameKg*r_steelFab)</f>
        <v/>
      </c>
      <c r="BH16" s="17" t="str">
        <f aca="false">IF($B16="","",INDEX(tt_compRate,Q16)*INDEX(tt_compPref,Q16)*(V16/INDEX(tt_compPref,Q16))^INDEX(tt_compN,Q16))</f>
        <v/>
      </c>
      <c r="BI16" s="17" t="str">
        <f aca="false">IF($B16="","",AY16*IF(S16=1,r_motHT,r_motLT))</f>
        <v/>
      </c>
      <c r="BJ16" s="17" t="str">
        <f aca="false">IF($B16="","",IF(J16="Yes",AZ16*IF(S16=1,r_vfdHT,r_vfdLT),0))</f>
        <v/>
      </c>
      <c r="BK16" s="17" t="str">
        <f aca="false">IF($B16="","",IF(S16=1,r_swgrHT,r_swgrLTbase+r_swgrLTkw*AZ16))</f>
        <v/>
      </c>
      <c r="BL16" s="17" t="str">
        <f aca="false">IF($B16="","",INDEX(tt_lube,Q16))</f>
        <v/>
      </c>
      <c r="BM16" s="17" t="str">
        <f aca="false">IF($B16="","",C16*INDEX(tt_refKg,Q16)*r_refrig)</f>
        <v/>
      </c>
      <c r="BN16" s="17" t="str">
        <f aca="false">IF($B16="","",INDEX(tt_ctl,Q16))</f>
        <v/>
      </c>
      <c r="BO16" s="17" t="str">
        <f aca="false">IF($B16="","",IF(AND(K16="Yes",R16=1),AQ16*r_atcTube+r_atcFixed,0))</f>
        <v/>
      </c>
      <c r="BP16" s="17" t="str">
        <f aca="false">IF($B16="","",r_pipePct*(BA16+BB16+BC16+BD16+BE16+BF16+BG16+BH16))</f>
        <v/>
      </c>
      <c r="BQ16" s="17" t="str">
        <f aca="false">IF($B16="","",r_avm)</f>
        <v/>
      </c>
      <c r="BR16" s="17" t="str">
        <f aca="false">IF($B16="","",SUM(BA16:BQ16))</f>
        <v/>
      </c>
      <c r="BS16" s="17" t="str">
        <f aca="false">IF($B16="","",BR16*r_assyPct)</f>
        <v/>
      </c>
      <c r="BT16" s="17" t="str">
        <f aca="false">IF($B16="","",BR16*r_testPct)</f>
        <v/>
      </c>
      <c r="BU16" s="17" t="str">
        <f aca="false">IF($B16="","",(BR16+BS16+BT16)*r_logPct)</f>
        <v/>
      </c>
      <c r="BV16" s="17" t="str">
        <f aca="false">IF($B16="","",BR16*r_dutyPct)</f>
        <v/>
      </c>
      <c r="BW16" s="17" t="str">
        <f aca="false">IF($B16="","",BR16+BS16+BT16+BU16+BV16)</f>
        <v/>
      </c>
      <c r="BX16" s="17" t="str">
        <f aca="false">IF($B16="","",BW16*r_ohPct)</f>
        <v/>
      </c>
      <c r="BY16" s="17" t="str">
        <f aca="false">IF($B16="","",BW16*r_warrPct)</f>
        <v/>
      </c>
      <c r="BZ16" s="17" t="str">
        <f aca="false">IF($B16="","",(BW16+BX16+BY16)*r_marginPct)</f>
        <v/>
      </c>
      <c r="CA16" s="22" t="str">
        <f aca="false">IF($B16="","",BW16+BX16+BY16+BZ16)</f>
        <v/>
      </c>
      <c r="CB16" s="17" t="str">
        <f aca="false">IF($B16="","",CA16/C16)</f>
        <v/>
      </c>
      <c r="CC16" s="17" t="str">
        <f aca="false">IF($B16="","",CA16*r_ecPct)</f>
        <v/>
      </c>
      <c r="CD16" s="17" t="str">
        <f aca="false">IF($B16="","",(CA16+CC16)*D16)</f>
        <v/>
      </c>
      <c r="CE16" s="17" t="str">
        <f aca="false">IF($B16="","",BA16+BB16+BC16+BD16+BE16+BF16+BG16)</f>
        <v/>
      </c>
      <c r="CF16" s="17" t="str">
        <f aca="false">IF($B16="","",BH16+BI16+BJ16+BK16+BL16)</f>
        <v/>
      </c>
      <c r="CG16" s="17" t="str">
        <f aca="false">IF($B16="","",BM16+BN16+BO16+BP16+BQ16)</f>
        <v/>
      </c>
      <c r="CH16" s="17" t="str">
        <f aca="false">IF($B16="","",BS16+BT16)</f>
        <v/>
      </c>
      <c r="CI16" s="17" t="str">
        <f aca="false">IF($B16="","",BU16+BV16)</f>
        <v/>
      </c>
      <c r="CJ16" s="17" t="str">
        <f aca="false">IF($B16="","",BX16+BY16+BZ16)</f>
        <v/>
      </c>
      <c r="CK16" s="23" t="str">
        <f aca="false">IF($B16="","",IF(ABS(CE16+CF16+CG16+CH16+CI16+CJ16-CA16)&lt;1,"OK","MISMATCH"))</f>
        <v/>
      </c>
      <c r="CL16" s="17" t="str">
        <f aca="false">IF($B16="","",IF(N16="","",N16/C16))</f>
        <v/>
      </c>
      <c r="CM16" s="17" t="str">
        <f aca="false">IF($B16="","",IF(N16="","",CA16-N16))</f>
        <v/>
      </c>
      <c r="CN16" s="20" t="str">
        <f aca="false">IF($B16="","",IF(N16="","",CA16/N16-1))</f>
        <v/>
      </c>
      <c r="CO16" s="20" t="str">
        <f aca="false">IF($B16="","",IF(O16="","",CC16/O16-1))</f>
        <v/>
      </c>
      <c r="CP16" s="24" t="str">
        <f aca="false">IF($B16="","",IF(C16&gt;INDEX(tt_maxTR,Q16),"TR above type max; ","")&amp;IF(AI16&gt;r_Lmax,"Evap tube too long; ","")&amp;IF(AR16&gt;r_Lmax,"Cond tube too long; ","")&amp;IF(AA16&gt;r_carnotCap,"COP high vs lift; ","")&amp;IF(AND(R16=1,G16+H16+INDEX(tt_condApp,Q16)&gt;=X16+60),"Check temps; ",""))</f>
        <v/>
      </c>
    </row>
    <row r="17" customFormat="false" ht="15" hidden="false" customHeight="false" outlineLevel="0" collapsed="false">
      <c r="A17" s="9"/>
      <c r="B17" s="9"/>
      <c r="C17" s="10"/>
      <c r="D17" s="11"/>
      <c r="E17" s="12"/>
      <c r="F17" s="12"/>
      <c r="G17" s="12"/>
      <c r="H17" s="12"/>
      <c r="I17" s="13"/>
      <c r="J17" s="9"/>
      <c r="K17" s="9"/>
      <c r="L17" s="14"/>
      <c r="M17" s="14"/>
      <c r="N17" s="10"/>
      <c r="O17" s="10"/>
      <c r="P17" s="15"/>
      <c r="Q17" s="16" t="str">
        <f aca="false">IF($B17="","",MATCH(B17,tt_name,0))</f>
        <v/>
      </c>
      <c r="R17" s="16" t="str">
        <f aca="false">IF($B17="","",INDEX(tt_wc,Q17))</f>
        <v/>
      </c>
      <c r="S17" s="16" t="str">
        <f aca="false">IF($B17="","",IF(INDEX(tt_volt,Q17)="HT",1,0))</f>
        <v/>
      </c>
      <c r="T17" s="16" t="str">
        <f aca="false">IF($B17="","",IF(INDEX(tt_evtype,Q17)="BPHE",1,0))</f>
        <v/>
      </c>
      <c r="U17" s="17" t="str">
        <f aca="false">IF($B17="","",C17*3.517)</f>
        <v/>
      </c>
      <c r="V17" s="17" t="str">
        <f aca="false">IF($B17="","",U17/I17)</f>
        <v/>
      </c>
      <c r="W17" s="17" t="str">
        <f aca="false">IF($B17="","",U17+V17)</f>
        <v/>
      </c>
      <c r="X17" s="18" t="str">
        <f aca="false">IF($B17="","",F17-INDEX(tt_evapApp,Q17))</f>
        <v/>
      </c>
      <c r="Y17" s="18" t="str">
        <f aca="false">IF($B17="","",IF(R17=1,G17+H17+INDEX(tt_condApp,Q17),G17+INDEX(tt_condApp,Q17)))</f>
        <v/>
      </c>
      <c r="Z17" s="19" t="str">
        <f aca="false">IF($B17="","",(X17+273.15)/(Y17-X17))</f>
        <v/>
      </c>
      <c r="AA17" s="20" t="str">
        <f aca="false">IF($B17="","",I17/Z17)</f>
        <v/>
      </c>
      <c r="AB17" s="19" t="str">
        <f aca="false">IF($B17="","",(E17-F17)/LN((E17-X17)/(F17-X17)))</f>
        <v/>
      </c>
      <c r="AC17" s="19" t="str">
        <f aca="false">IF($B17="","",IF(R17=1,H17/LN((Y17-G17)/(Y17-G17-H17)),0))</f>
        <v/>
      </c>
      <c r="AD17" s="19" t="str">
        <f aca="false">IF($B17="","",1/(1/INDEX(tt_Ue,Q17)+L17))</f>
        <v/>
      </c>
      <c r="AE17" s="21" t="str">
        <f aca="false">IF($B17="","",U17/(AD17*AB17))</f>
        <v/>
      </c>
      <c r="AF17" s="17" t="str">
        <f aca="false">IF($B17="","",U17/(r_cpw*(E17-F17))*3.6)</f>
        <v/>
      </c>
      <c r="AG17" s="17" t="str">
        <f aca="false">IF($B17="","",IF(T17=1,0,ROUNDUP(AF17/3600/(INDEX(tt_vel,Q17)*r_tubeAi),0)))</f>
        <v/>
      </c>
      <c r="AH17" s="17" t="str">
        <f aca="false">IF($B17="","",AG17*INDEX(tt_evPass,Q17))</f>
        <v/>
      </c>
      <c r="AI17" s="18" t="str">
        <f aca="false">IF($B17="","",IF(AH17=0,0,ROUNDUP(AE17/(AH17*PI()*r_tubeOD/1000)*10,0)/10))</f>
        <v/>
      </c>
      <c r="AJ17" s="19" t="str">
        <f aca="false">IF($B17="","",IF(AH17=0,0,(SQRT(4*AH17*0.866*(r_pitch*r_tubeOD/1000)^2/r_fill/PI())+r_shellClr)*r_floodFac))</f>
        <v/>
      </c>
      <c r="AK17" s="16" t="str">
        <f aca="false">IF($B17="","",IF(AH17=0,0,MAX(r_tmin,ROUNDUP((r_pDesE/10)*AJ17*1000/(2*r_stress-1.2*r_pDesE/10)+r_ca,0))))</f>
        <v/>
      </c>
      <c r="AL17" s="17" t="str">
        <f aca="false">IF($B17="","",IF(AH17=0,0,(PI()*AJ17*(AI17+0.3)*AK17/1000+(1+r_wbFac)*2*PI()/4*AJ17^2*r_tsheet/1000)*r_rhoSt*(1+r_supFac)))</f>
        <v/>
      </c>
      <c r="AM17" s="19" t="str">
        <f aca="false">IF($B17="","",IF(R17=1,1/(1/INDEX(tt_Uc,Q17)+M17),0))</f>
        <v/>
      </c>
      <c r="AN17" s="21" t="str">
        <f aca="false">IF($B17="","",IF(R17=1,W17/(AM17*AC17),0))</f>
        <v/>
      </c>
      <c r="AO17" s="17" t="str">
        <f aca="false">IF($B17="","",IF(R17=1,W17/(r_cpw*H17)*3.6,0))</f>
        <v/>
      </c>
      <c r="AP17" s="17" t="str">
        <f aca="false">IF($B17="","",IF(R17=1,ROUNDUP(AO17/3600/(INDEX(tt_vel,Q17)*r_tubeAi),0),0))</f>
        <v/>
      </c>
      <c r="AQ17" s="17" t="str">
        <f aca="false">IF($B17="","",AP17*INDEX(tt_cdPass,Q17))</f>
        <v/>
      </c>
      <c r="AR17" s="18" t="str">
        <f aca="false">IF($B17="","",IF(AQ17=0,0,ROUNDUP(AN17/(AQ17*PI()*r_tubeOD/1000)*10,0)/10))</f>
        <v/>
      </c>
      <c r="AS17" s="19" t="str">
        <f aca="false">IF($B17="","",IF(AQ17=0,0,SQRT(4*AQ17*0.866*(r_pitch*r_tubeOD/1000)^2/r_fill/PI())+r_shellClr))</f>
        <v/>
      </c>
      <c r="AT17" s="16" t="str">
        <f aca="false">IF($B17="","",IF(AQ17=0,0,MAX(r_tmin,ROUNDUP((r_pDesC/10)*AS17*1000/(2*r_stress-1.2*r_pDesC/10)+r_ca,0))))</f>
        <v/>
      </c>
      <c r="AU17" s="17" t="str">
        <f aca="false">IF($B17="","",IF(AQ17=0,0,(PI()*AS17*(AR17+0.3)*AT17/1000+(1+r_wbFac)*2*PI()/4*AS17^2*r_tsheet/1000)*r_rhoSt*(1+r_supFac)))</f>
        <v/>
      </c>
      <c r="AV17" s="21" t="str">
        <f aca="false">IF($B17="","",IF(R17=0,W17/(r_airCp*r_airRise*r_airRho),0))</f>
        <v/>
      </c>
      <c r="AW17" s="21" t="str">
        <f aca="false">IF($B17="","",AV17/r_faceV)</f>
        <v/>
      </c>
      <c r="AX17" s="16" t="str">
        <f aca="false">IF($B17="","",IF(R17=0,ROUNDUP(AV17/r_fanFlow,0),0))</f>
        <v/>
      </c>
      <c r="AY17" s="17" t="str">
        <f aca="false">IF($B17="","",IF(INDEX(tt_motSep,Q17)=1,ROUNDUP(V17/r_motEff*r_motMargin/10,0)*10,0))</f>
        <v/>
      </c>
      <c r="AZ17" s="17" t="str">
        <f aca="false">IF($B17="","",IF(AY17&gt;0,AY17,ROUNDUP(V17/r_motEff*r_motMargin/5,0)*5))</f>
        <v/>
      </c>
      <c r="BA17" s="17" t="str">
        <f aca="false">IF($B17="","",AH17*AI17*r_tubeKgM*r_cuTube)</f>
        <v/>
      </c>
      <c r="BB17" s="17" t="str">
        <f aca="false">IF($B17="","",AL17*r_steelFab)</f>
        <v/>
      </c>
      <c r="BC17" s="17" t="str">
        <f aca="false">IF($B17="","",IF(AH17=0,0,PI()*AJ17*AI17*1.15*r_insul))</f>
        <v/>
      </c>
      <c r="BD17" s="17" t="str">
        <f aca="false">IF($B17="","",IF(T17=1,AE17*r_bphe,0))</f>
        <v/>
      </c>
      <c r="BE17" s="17" t="str">
        <f aca="false">IF($B17="","",AQ17*AR17*r_tubeKgM*r_cuTube)</f>
        <v/>
      </c>
      <c r="BF17" s="17" t="str">
        <f aca="false">IF($B17="","",AU17*r_steelFab)</f>
        <v/>
      </c>
      <c r="BG17" s="17" t="str">
        <f aca="false">IF($B17="","",AW17*r_coilFace+AX17*r_fanAC+AW17*r_frameKg*r_steelFab)</f>
        <v/>
      </c>
      <c r="BH17" s="17" t="str">
        <f aca="false">IF($B17="","",INDEX(tt_compRate,Q17)*INDEX(tt_compPref,Q17)*(V17/INDEX(tt_compPref,Q17))^INDEX(tt_compN,Q17))</f>
        <v/>
      </c>
      <c r="BI17" s="17" t="str">
        <f aca="false">IF($B17="","",AY17*IF(S17=1,r_motHT,r_motLT))</f>
        <v/>
      </c>
      <c r="BJ17" s="17" t="str">
        <f aca="false">IF($B17="","",IF(J17="Yes",AZ17*IF(S17=1,r_vfdHT,r_vfdLT),0))</f>
        <v/>
      </c>
      <c r="BK17" s="17" t="str">
        <f aca="false">IF($B17="","",IF(S17=1,r_swgrHT,r_swgrLTbase+r_swgrLTkw*AZ17))</f>
        <v/>
      </c>
      <c r="BL17" s="17" t="str">
        <f aca="false">IF($B17="","",INDEX(tt_lube,Q17))</f>
        <v/>
      </c>
      <c r="BM17" s="17" t="str">
        <f aca="false">IF($B17="","",C17*INDEX(tt_refKg,Q17)*r_refrig)</f>
        <v/>
      </c>
      <c r="BN17" s="17" t="str">
        <f aca="false">IF($B17="","",INDEX(tt_ctl,Q17))</f>
        <v/>
      </c>
      <c r="BO17" s="17" t="str">
        <f aca="false">IF($B17="","",IF(AND(K17="Yes",R17=1),AQ17*r_atcTube+r_atcFixed,0))</f>
        <v/>
      </c>
      <c r="BP17" s="17" t="str">
        <f aca="false">IF($B17="","",r_pipePct*(BA17+BB17+BC17+BD17+BE17+BF17+BG17+BH17))</f>
        <v/>
      </c>
      <c r="BQ17" s="17" t="str">
        <f aca="false">IF($B17="","",r_avm)</f>
        <v/>
      </c>
      <c r="BR17" s="17" t="str">
        <f aca="false">IF($B17="","",SUM(BA17:BQ17))</f>
        <v/>
      </c>
      <c r="BS17" s="17" t="str">
        <f aca="false">IF($B17="","",BR17*r_assyPct)</f>
        <v/>
      </c>
      <c r="BT17" s="17" t="str">
        <f aca="false">IF($B17="","",BR17*r_testPct)</f>
        <v/>
      </c>
      <c r="BU17" s="17" t="str">
        <f aca="false">IF($B17="","",(BR17+BS17+BT17)*r_logPct)</f>
        <v/>
      </c>
      <c r="BV17" s="17" t="str">
        <f aca="false">IF($B17="","",BR17*r_dutyPct)</f>
        <v/>
      </c>
      <c r="BW17" s="17" t="str">
        <f aca="false">IF($B17="","",BR17+BS17+BT17+BU17+BV17)</f>
        <v/>
      </c>
      <c r="BX17" s="17" t="str">
        <f aca="false">IF($B17="","",BW17*r_ohPct)</f>
        <v/>
      </c>
      <c r="BY17" s="17" t="str">
        <f aca="false">IF($B17="","",BW17*r_warrPct)</f>
        <v/>
      </c>
      <c r="BZ17" s="17" t="str">
        <f aca="false">IF($B17="","",(BW17+BX17+BY17)*r_marginPct)</f>
        <v/>
      </c>
      <c r="CA17" s="22" t="str">
        <f aca="false">IF($B17="","",BW17+BX17+BY17+BZ17)</f>
        <v/>
      </c>
      <c r="CB17" s="17" t="str">
        <f aca="false">IF($B17="","",CA17/C17)</f>
        <v/>
      </c>
      <c r="CC17" s="17" t="str">
        <f aca="false">IF($B17="","",CA17*r_ecPct)</f>
        <v/>
      </c>
      <c r="CD17" s="17" t="str">
        <f aca="false">IF($B17="","",(CA17+CC17)*D17)</f>
        <v/>
      </c>
      <c r="CE17" s="17" t="str">
        <f aca="false">IF($B17="","",BA17+BB17+BC17+BD17+BE17+BF17+BG17)</f>
        <v/>
      </c>
      <c r="CF17" s="17" t="str">
        <f aca="false">IF($B17="","",BH17+BI17+BJ17+BK17+BL17)</f>
        <v/>
      </c>
      <c r="CG17" s="17" t="str">
        <f aca="false">IF($B17="","",BM17+BN17+BO17+BP17+BQ17)</f>
        <v/>
      </c>
      <c r="CH17" s="17" t="str">
        <f aca="false">IF($B17="","",BS17+BT17)</f>
        <v/>
      </c>
      <c r="CI17" s="17" t="str">
        <f aca="false">IF($B17="","",BU17+BV17)</f>
        <v/>
      </c>
      <c r="CJ17" s="17" t="str">
        <f aca="false">IF($B17="","",BX17+BY17+BZ17)</f>
        <v/>
      </c>
      <c r="CK17" s="23" t="str">
        <f aca="false">IF($B17="","",IF(ABS(CE17+CF17+CG17+CH17+CI17+CJ17-CA17)&lt;1,"OK","MISMATCH"))</f>
        <v/>
      </c>
      <c r="CL17" s="17" t="str">
        <f aca="false">IF($B17="","",IF(N17="","",N17/C17))</f>
        <v/>
      </c>
      <c r="CM17" s="17" t="str">
        <f aca="false">IF($B17="","",IF(N17="","",CA17-N17))</f>
        <v/>
      </c>
      <c r="CN17" s="20" t="str">
        <f aca="false">IF($B17="","",IF(N17="","",CA17/N17-1))</f>
        <v/>
      </c>
      <c r="CO17" s="20" t="str">
        <f aca="false">IF($B17="","",IF(O17="","",CC17/O17-1))</f>
        <v/>
      </c>
      <c r="CP17" s="24" t="str">
        <f aca="false">IF($B17="","",IF(C17&gt;INDEX(tt_maxTR,Q17),"TR above type max; ","")&amp;IF(AI17&gt;r_Lmax,"Evap tube too long; ","")&amp;IF(AR17&gt;r_Lmax,"Cond tube too long; ","")&amp;IF(AA17&gt;r_carnotCap,"COP high vs lift; ","")&amp;IF(AND(R17=1,G17+H17+INDEX(tt_condApp,Q17)&gt;=X17+60),"Check temps; ",""))</f>
        <v/>
      </c>
    </row>
    <row r="18" customFormat="false" ht="15" hidden="false" customHeight="false" outlineLevel="0" collapsed="false">
      <c r="A18" s="9"/>
      <c r="B18" s="9"/>
      <c r="C18" s="10"/>
      <c r="D18" s="11"/>
      <c r="E18" s="12"/>
      <c r="F18" s="12"/>
      <c r="G18" s="12"/>
      <c r="H18" s="12"/>
      <c r="I18" s="13"/>
      <c r="J18" s="9"/>
      <c r="K18" s="9"/>
      <c r="L18" s="14"/>
      <c r="M18" s="14"/>
      <c r="N18" s="10"/>
      <c r="O18" s="10"/>
      <c r="P18" s="15"/>
      <c r="Q18" s="16" t="str">
        <f aca="false">IF($B18="","",MATCH(B18,tt_name,0))</f>
        <v/>
      </c>
      <c r="R18" s="16" t="str">
        <f aca="false">IF($B18="","",INDEX(tt_wc,Q18))</f>
        <v/>
      </c>
      <c r="S18" s="16" t="str">
        <f aca="false">IF($B18="","",IF(INDEX(tt_volt,Q18)="HT",1,0))</f>
        <v/>
      </c>
      <c r="T18" s="16" t="str">
        <f aca="false">IF($B18="","",IF(INDEX(tt_evtype,Q18)="BPHE",1,0))</f>
        <v/>
      </c>
      <c r="U18" s="17" t="str">
        <f aca="false">IF($B18="","",C18*3.517)</f>
        <v/>
      </c>
      <c r="V18" s="17" t="str">
        <f aca="false">IF($B18="","",U18/I18)</f>
        <v/>
      </c>
      <c r="W18" s="17" t="str">
        <f aca="false">IF($B18="","",U18+V18)</f>
        <v/>
      </c>
      <c r="X18" s="18" t="str">
        <f aca="false">IF($B18="","",F18-INDEX(tt_evapApp,Q18))</f>
        <v/>
      </c>
      <c r="Y18" s="18" t="str">
        <f aca="false">IF($B18="","",IF(R18=1,G18+H18+INDEX(tt_condApp,Q18),G18+INDEX(tt_condApp,Q18)))</f>
        <v/>
      </c>
      <c r="Z18" s="19" t="str">
        <f aca="false">IF($B18="","",(X18+273.15)/(Y18-X18))</f>
        <v/>
      </c>
      <c r="AA18" s="20" t="str">
        <f aca="false">IF($B18="","",I18/Z18)</f>
        <v/>
      </c>
      <c r="AB18" s="19" t="str">
        <f aca="false">IF($B18="","",(E18-F18)/LN((E18-X18)/(F18-X18)))</f>
        <v/>
      </c>
      <c r="AC18" s="19" t="str">
        <f aca="false">IF($B18="","",IF(R18=1,H18/LN((Y18-G18)/(Y18-G18-H18)),0))</f>
        <v/>
      </c>
      <c r="AD18" s="19" t="str">
        <f aca="false">IF($B18="","",1/(1/INDEX(tt_Ue,Q18)+L18))</f>
        <v/>
      </c>
      <c r="AE18" s="21" t="str">
        <f aca="false">IF($B18="","",U18/(AD18*AB18))</f>
        <v/>
      </c>
      <c r="AF18" s="17" t="str">
        <f aca="false">IF($B18="","",U18/(r_cpw*(E18-F18))*3.6)</f>
        <v/>
      </c>
      <c r="AG18" s="17" t="str">
        <f aca="false">IF($B18="","",IF(T18=1,0,ROUNDUP(AF18/3600/(INDEX(tt_vel,Q18)*r_tubeAi),0)))</f>
        <v/>
      </c>
      <c r="AH18" s="17" t="str">
        <f aca="false">IF($B18="","",AG18*INDEX(tt_evPass,Q18))</f>
        <v/>
      </c>
      <c r="AI18" s="18" t="str">
        <f aca="false">IF($B18="","",IF(AH18=0,0,ROUNDUP(AE18/(AH18*PI()*r_tubeOD/1000)*10,0)/10))</f>
        <v/>
      </c>
      <c r="AJ18" s="19" t="str">
        <f aca="false">IF($B18="","",IF(AH18=0,0,(SQRT(4*AH18*0.866*(r_pitch*r_tubeOD/1000)^2/r_fill/PI())+r_shellClr)*r_floodFac))</f>
        <v/>
      </c>
      <c r="AK18" s="16" t="str">
        <f aca="false">IF($B18="","",IF(AH18=0,0,MAX(r_tmin,ROUNDUP((r_pDesE/10)*AJ18*1000/(2*r_stress-1.2*r_pDesE/10)+r_ca,0))))</f>
        <v/>
      </c>
      <c r="AL18" s="17" t="str">
        <f aca="false">IF($B18="","",IF(AH18=0,0,(PI()*AJ18*(AI18+0.3)*AK18/1000+(1+r_wbFac)*2*PI()/4*AJ18^2*r_tsheet/1000)*r_rhoSt*(1+r_supFac)))</f>
        <v/>
      </c>
      <c r="AM18" s="19" t="str">
        <f aca="false">IF($B18="","",IF(R18=1,1/(1/INDEX(tt_Uc,Q18)+M18),0))</f>
        <v/>
      </c>
      <c r="AN18" s="21" t="str">
        <f aca="false">IF($B18="","",IF(R18=1,W18/(AM18*AC18),0))</f>
        <v/>
      </c>
      <c r="AO18" s="17" t="str">
        <f aca="false">IF($B18="","",IF(R18=1,W18/(r_cpw*H18)*3.6,0))</f>
        <v/>
      </c>
      <c r="AP18" s="17" t="str">
        <f aca="false">IF($B18="","",IF(R18=1,ROUNDUP(AO18/3600/(INDEX(tt_vel,Q18)*r_tubeAi),0),0))</f>
        <v/>
      </c>
      <c r="AQ18" s="17" t="str">
        <f aca="false">IF($B18="","",AP18*INDEX(tt_cdPass,Q18))</f>
        <v/>
      </c>
      <c r="AR18" s="18" t="str">
        <f aca="false">IF($B18="","",IF(AQ18=0,0,ROUNDUP(AN18/(AQ18*PI()*r_tubeOD/1000)*10,0)/10))</f>
        <v/>
      </c>
      <c r="AS18" s="19" t="str">
        <f aca="false">IF($B18="","",IF(AQ18=0,0,SQRT(4*AQ18*0.866*(r_pitch*r_tubeOD/1000)^2/r_fill/PI())+r_shellClr))</f>
        <v/>
      </c>
      <c r="AT18" s="16" t="str">
        <f aca="false">IF($B18="","",IF(AQ18=0,0,MAX(r_tmin,ROUNDUP((r_pDesC/10)*AS18*1000/(2*r_stress-1.2*r_pDesC/10)+r_ca,0))))</f>
        <v/>
      </c>
      <c r="AU18" s="17" t="str">
        <f aca="false">IF($B18="","",IF(AQ18=0,0,(PI()*AS18*(AR18+0.3)*AT18/1000+(1+r_wbFac)*2*PI()/4*AS18^2*r_tsheet/1000)*r_rhoSt*(1+r_supFac)))</f>
        <v/>
      </c>
      <c r="AV18" s="21" t="str">
        <f aca="false">IF($B18="","",IF(R18=0,W18/(r_airCp*r_airRise*r_airRho),0))</f>
        <v/>
      </c>
      <c r="AW18" s="21" t="str">
        <f aca="false">IF($B18="","",AV18/r_faceV)</f>
        <v/>
      </c>
      <c r="AX18" s="16" t="str">
        <f aca="false">IF($B18="","",IF(R18=0,ROUNDUP(AV18/r_fanFlow,0),0))</f>
        <v/>
      </c>
      <c r="AY18" s="17" t="str">
        <f aca="false">IF($B18="","",IF(INDEX(tt_motSep,Q18)=1,ROUNDUP(V18/r_motEff*r_motMargin/10,0)*10,0))</f>
        <v/>
      </c>
      <c r="AZ18" s="17" t="str">
        <f aca="false">IF($B18="","",IF(AY18&gt;0,AY18,ROUNDUP(V18/r_motEff*r_motMargin/5,0)*5))</f>
        <v/>
      </c>
      <c r="BA18" s="17" t="str">
        <f aca="false">IF($B18="","",AH18*AI18*r_tubeKgM*r_cuTube)</f>
        <v/>
      </c>
      <c r="BB18" s="17" t="str">
        <f aca="false">IF($B18="","",AL18*r_steelFab)</f>
        <v/>
      </c>
      <c r="BC18" s="17" t="str">
        <f aca="false">IF($B18="","",IF(AH18=0,0,PI()*AJ18*AI18*1.15*r_insul))</f>
        <v/>
      </c>
      <c r="BD18" s="17" t="str">
        <f aca="false">IF($B18="","",IF(T18=1,AE18*r_bphe,0))</f>
        <v/>
      </c>
      <c r="BE18" s="17" t="str">
        <f aca="false">IF($B18="","",AQ18*AR18*r_tubeKgM*r_cuTube)</f>
        <v/>
      </c>
      <c r="BF18" s="17" t="str">
        <f aca="false">IF($B18="","",AU18*r_steelFab)</f>
        <v/>
      </c>
      <c r="BG18" s="17" t="str">
        <f aca="false">IF($B18="","",AW18*r_coilFace+AX18*r_fanAC+AW18*r_frameKg*r_steelFab)</f>
        <v/>
      </c>
      <c r="BH18" s="17" t="str">
        <f aca="false">IF($B18="","",INDEX(tt_compRate,Q18)*INDEX(tt_compPref,Q18)*(V18/INDEX(tt_compPref,Q18))^INDEX(tt_compN,Q18))</f>
        <v/>
      </c>
      <c r="BI18" s="17" t="str">
        <f aca="false">IF($B18="","",AY18*IF(S18=1,r_motHT,r_motLT))</f>
        <v/>
      </c>
      <c r="BJ18" s="17" t="str">
        <f aca="false">IF($B18="","",IF(J18="Yes",AZ18*IF(S18=1,r_vfdHT,r_vfdLT),0))</f>
        <v/>
      </c>
      <c r="BK18" s="17" t="str">
        <f aca="false">IF($B18="","",IF(S18=1,r_swgrHT,r_swgrLTbase+r_swgrLTkw*AZ18))</f>
        <v/>
      </c>
      <c r="BL18" s="17" t="str">
        <f aca="false">IF($B18="","",INDEX(tt_lube,Q18))</f>
        <v/>
      </c>
      <c r="BM18" s="17" t="str">
        <f aca="false">IF($B18="","",C18*INDEX(tt_refKg,Q18)*r_refrig)</f>
        <v/>
      </c>
      <c r="BN18" s="17" t="str">
        <f aca="false">IF($B18="","",INDEX(tt_ctl,Q18))</f>
        <v/>
      </c>
      <c r="BO18" s="17" t="str">
        <f aca="false">IF($B18="","",IF(AND(K18="Yes",R18=1),AQ18*r_atcTube+r_atcFixed,0))</f>
        <v/>
      </c>
      <c r="BP18" s="17" t="str">
        <f aca="false">IF($B18="","",r_pipePct*(BA18+BB18+BC18+BD18+BE18+BF18+BG18+BH18))</f>
        <v/>
      </c>
      <c r="BQ18" s="17" t="str">
        <f aca="false">IF($B18="","",r_avm)</f>
        <v/>
      </c>
      <c r="BR18" s="17" t="str">
        <f aca="false">IF($B18="","",SUM(BA18:BQ18))</f>
        <v/>
      </c>
      <c r="BS18" s="17" t="str">
        <f aca="false">IF($B18="","",BR18*r_assyPct)</f>
        <v/>
      </c>
      <c r="BT18" s="17" t="str">
        <f aca="false">IF($B18="","",BR18*r_testPct)</f>
        <v/>
      </c>
      <c r="BU18" s="17" t="str">
        <f aca="false">IF($B18="","",(BR18+BS18+BT18)*r_logPct)</f>
        <v/>
      </c>
      <c r="BV18" s="17" t="str">
        <f aca="false">IF($B18="","",BR18*r_dutyPct)</f>
        <v/>
      </c>
      <c r="BW18" s="17" t="str">
        <f aca="false">IF($B18="","",BR18+BS18+BT18+BU18+BV18)</f>
        <v/>
      </c>
      <c r="BX18" s="17" t="str">
        <f aca="false">IF($B18="","",BW18*r_ohPct)</f>
        <v/>
      </c>
      <c r="BY18" s="17" t="str">
        <f aca="false">IF($B18="","",BW18*r_warrPct)</f>
        <v/>
      </c>
      <c r="BZ18" s="17" t="str">
        <f aca="false">IF($B18="","",(BW18+BX18+BY18)*r_marginPct)</f>
        <v/>
      </c>
      <c r="CA18" s="22" t="str">
        <f aca="false">IF($B18="","",BW18+BX18+BY18+BZ18)</f>
        <v/>
      </c>
      <c r="CB18" s="17" t="str">
        <f aca="false">IF($B18="","",CA18/C18)</f>
        <v/>
      </c>
      <c r="CC18" s="17" t="str">
        <f aca="false">IF($B18="","",CA18*r_ecPct)</f>
        <v/>
      </c>
      <c r="CD18" s="17" t="str">
        <f aca="false">IF($B18="","",(CA18+CC18)*D18)</f>
        <v/>
      </c>
      <c r="CE18" s="17" t="str">
        <f aca="false">IF($B18="","",BA18+BB18+BC18+BD18+BE18+BF18+BG18)</f>
        <v/>
      </c>
      <c r="CF18" s="17" t="str">
        <f aca="false">IF($B18="","",BH18+BI18+BJ18+BK18+BL18)</f>
        <v/>
      </c>
      <c r="CG18" s="17" t="str">
        <f aca="false">IF($B18="","",BM18+BN18+BO18+BP18+BQ18)</f>
        <v/>
      </c>
      <c r="CH18" s="17" t="str">
        <f aca="false">IF($B18="","",BS18+BT18)</f>
        <v/>
      </c>
      <c r="CI18" s="17" t="str">
        <f aca="false">IF($B18="","",BU18+BV18)</f>
        <v/>
      </c>
      <c r="CJ18" s="17" t="str">
        <f aca="false">IF($B18="","",BX18+BY18+BZ18)</f>
        <v/>
      </c>
      <c r="CK18" s="23" t="str">
        <f aca="false">IF($B18="","",IF(ABS(CE18+CF18+CG18+CH18+CI18+CJ18-CA18)&lt;1,"OK","MISMATCH"))</f>
        <v/>
      </c>
      <c r="CL18" s="17" t="str">
        <f aca="false">IF($B18="","",IF(N18="","",N18/C18))</f>
        <v/>
      </c>
      <c r="CM18" s="17" t="str">
        <f aca="false">IF($B18="","",IF(N18="","",CA18-N18))</f>
        <v/>
      </c>
      <c r="CN18" s="20" t="str">
        <f aca="false">IF($B18="","",IF(N18="","",CA18/N18-1))</f>
        <v/>
      </c>
      <c r="CO18" s="20" t="str">
        <f aca="false">IF($B18="","",IF(O18="","",CC18/O18-1))</f>
        <v/>
      </c>
      <c r="CP18" s="24" t="str">
        <f aca="false">IF($B18="","",IF(C18&gt;INDEX(tt_maxTR,Q18),"TR above type max; ","")&amp;IF(AI18&gt;r_Lmax,"Evap tube too long; ","")&amp;IF(AR18&gt;r_Lmax,"Cond tube too long; ","")&amp;IF(AA18&gt;r_carnotCap,"COP high vs lift; ","")&amp;IF(AND(R18=1,G18+H18+INDEX(tt_condApp,Q18)&gt;=X18+60),"Check temps; ",""))</f>
        <v/>
      </c>
    </row>
    <row r="19" customFormat="false" ht="15" hidden="false" customHeight="false" outlineLevel="0" collapsed="false">
      <c r="A19" s="9"/>
      <c r="B19" s="9"/>
      <c r="C19" s="10"/>
      <c r="D19" s="11"/>
      <c r="E19" s="12"/>
      <c r="F19" s="12"/>
      <c r="G19" s="12"/>
      <c r="H19" s="12"/>
      <c r="I19" s="13"/>
      <c r="J19" s="9"/>
      <c r="K19" s="9"/>
      <c r="L19" s="14"/>
      <c r="M19" s="14"/>
      <c r="N19" s="10"/>
      <c r="O19" s="10"/>
      <c r="P19" s="15"/>
      <c r="Q19" s="16" t="str">
        <f aca="false">IF($B19="","",MATCH(B19,tt_name,0))</f>
        <v/>
      </c>
      <c r="R19" s="16" t="str">
        <f aca="false">IF($B19="","",INDEX(tt_wc,Q19))</f>
        <v/>
      </c>
      <c r="S19" s="16" t="str">
        <f aca="false">IF($B19="","",IF(INDEX(tt_volt,Q19)="HT",1,0))</f>
        <v/>
      </c>
      <c r="T19" s="16" t="str">
        <f aca="false">IF($B19="","",IF(INDEX(tt_evtype,Q19)="BPHE",1,0))</f>
        <v/>
      </c>
      <c r="U19" s="17" t="str">
        <f aca="false">IF($B19="","",C19*3.517)</f>
        <v/>
      </c>
      <c r="V19" s="17" t="str">
        <f aca="false">IF($B19="","",U19/I19)</f>
        <v/>
      </c>
      <c r="W19" s="17" t="str">
        <f aca="false">IF($B19="","",U19+V19)</f>
        <v/>
      </c>
      <c r="X19" s="18" t="str">
        <f aca="false">IF($B19="","",F19-INDEX(tt_evapApp,Q19))</f>
        <v/>
      </c>
      <c r="Y19" s="18" t="str">
        <f aca="false">IF($B19="","",IF(R19=1,G19+H19+INDEX(tt_condApp,Q19),G19+INDEX(tt_condApp,Q19)))</f>
        <v/>
      </c>
      <c r="Z19" s="19" t="str">
        <f aca="false">IF($B19="","",(X19+273.15)/(Y19-X19))</f>
        <v/>
      </c>
      <c r="AA19" s="20" t="str">
        <f aca="false">IF($B19="","",I19/Z19)</f>
        <v/>
      </c>
      <c r="AB19" s="19" t="str">
        <f aca="false">IF($B19="","",(E19-F19)/LN((E19-X19)/(F19-X19)))</f>
        <v/>
      </c>
      <c r="AC19" s="19" t="str">
        <f aca="false">IF($B19="","",IF(R19=1,H19/LN((Y19-G19)/(Y19-G19-H19)),0))</f>
        <v/>
      </c>
      <c r="AD19" s="19" t="str">
        <f aca="false">IF($B19="","",1/(1/INDEX(tt_Ue,Q19)+L19))</f>
        <v/>
      </c>
      <c r="AE19" s="21" t="str">
        <f aca="false">IF($B19="","",U19/(AD19*AB19))</f>
        <v/>
      </c>
      <c r="AF19" s="17" t="str">
        <f aca="false">IF($B19="","",U19/(r_cpw*(E19-F19))*3.6)</f>
        <v/>
      </c>
      <c r="AG19" s="17" t="str">
        <f aca="false">IF($B19="","",IF(T19=1,0,ROUNDUP(AF19/3600/(INDEX(tt_vel,Q19)*r_tubeAi),0)))</f>
        <v/>
      </c>
      <c r="AH19" s="17" t="str">
        <f aca="false">IF($B19="","",AG19*INDEX(tt_evPass,Q19))</f>
        <v/>
      </c>
      <c r="AI19" s="18" t="str">
        <f aca="false">IF($B19="","",IF(AH19=0,0,ROUNDUP(AE19/(AH19*PI()*r_tubeOD/1000)*10,0)/10))</f>
        <v/>
      </c>
      <c r="AJ19" s="19" t="str">
        <f aca="false">IF($B19="","",IF(AH19=0,0,(SQRT(4*AH19*0.866*(r_pitch*r_tubeOD/1000)^2/r_fill/PI())+r_shellClr)*r_floodFac))</f>
        <v/>
      </c>
      <c r="AK19" s="16" t="str">
        <f aca="false">IF($B19="","",IF(AH19=0,0,MAX(r_tmin,ROUNDUP((r_pDesE/10)*AJ19*1000/(2*r_stress-1.2*r_pDesE/10)+r_ca,0))))</f>
        <v/>
      </c>
      <c r="AL19" s="17" t="str">
        <f aca="false">IF($B19="","",IF(AH19=0,0,(PI()*AJ19*(AI19+0.3)*AK19/1000+(1+r_wbFac)*2*PI()/4*AJ19^2*r_tsheet/1000)*r_rhoSt*(1+r_supFac)))</f>
        <v/>
      </c>
      <c r="AM19" s="19" t="str">
        <f aca="false">IF($B19="","",IF(R19=1,1/(1/INDEX(tt_Uc,Q19)+M19),0))</f>
        <v/>
      </c>
      <c r="AN19" s="21" t="str">
        <f aca="false">IF($B19="","",IF(R19=1,W19/(AM19*AC19),0))</f>
        <v/>
      </c>
      <c r="AO19" s="17" t="str">
        <f aca="false">IF($B19="","",IF(R19=1,W19/(r_cpw*H19)*3.6,0))</f>
        <v/>
      </c>
      <c r="AP19" s="17" t="str">
        <f aca="false">IF($B19="","",IF(R19=1,ROUNDUP(AO19/3600/(INDEX(tt_vel,Q19)*r_tubeAi),0),0))</f>
        <v/>
      </c>
      <c r="AQ19" s="17" t="str">
        <f aca="false">IF($B19="","",AP19*INDEX(tt_cdPass,Q19))</f>
        <v/>
      </c>
      <c r="AR19" s="18" t="str">
        <f aca="false">IF($B19="","",IF(AQ19=0,0,ROUNDUP(AN19/(AQ19*PI()*r_tubeOD/1000)*10,0)/10))</f>
        <v/>
      </c>
      <c r="AS19" s="19" t="str">
        <f aca="false">IF($B19="","",IF(AQ19=0,0,SQRT(4*AQ19*0.866*(r_pitch*r_tubeOD/1000)^2/r_fill/PI())+r_shellClr))</f>
        <v/>
      </c>
      <c r="AT19" s="16" t="str">
        <f aca="false">IF($B19="","",IF(AQ19=0,0,MAX(r_tmin,ROUNDUP((r_pDesC/10)*AS19*1000/(2*r_stress-1.2*r_pDesC/10)+r_ca,0))))</f>
        <v/>
      </c>
      <c r="AU19" s="17" t="str">
        <f aca="false">IF($B19="","",IF(AQ19=0,0,(PI()*AS19*(AR19+0.3)*AT19/1000+(1+r_wbFac)*2*PI()/4*AS19^2*r_tsheet/1000)*r_rhoSt*(1+r_supFac)))</f>
        <v/>
      </c>
      <c r="AV19" s="21" t="str">
        <f aca="false">IF($B19="","",IF(R19=0,W19/(r_airCp*r_airRise*r_airRho),0))</f>
        <v/>
      </c>
      <c r="AW19" s="21" t="str">
        <f aca="false">IF($B19="","",AV19/r_faceV)</f>
        <v/>
      </c>
      <c r="AX19" s="16" t="str">
        <f aca="false">IF($B19="","",IF(R19=0,ROUNDUP(AV19/r_fanFlow,0),0))</f>
        <v/>
      </c>
      <c r="AY19" s="17" t="str">
        <f aca="false">IF($B19="","",IF(INDEX(tt_motSep,Q19)=1,ROUNDUP(V19/r_motEff*r_motMargin/10,0)*10,0))</f>
        <v/>
      </c>
      <c r="AZ19" s="17" t="str">
        <f aca="false">IF($B19="","",IF(AY19&gt;0,AY19,ROUNDUP(V19/r_motEff*r_motMargin/5,0)*5))</f>
        <v/>
      </c>
      <c r="BA19" s="17" t="str">
        <f aca="false">IF($B19="","",AH19*AI19*r_tubeKgM*r_cuTube)</f>
        <v/>
      </c>
      <c r="BB19" s="17" t="str">
        <f aca="false">IF($B19="","",AL19*r_steelFab)</f>
        <v/>
      </c>
      <c r="BC19" s="17" t="str">
        <f aca="false">IF($B19="","",IF(AH19=0,0,PI()*AJ19*AI19*1.15*r_insul))</f>
        <v/>
      </c>
      <c r="BD19" s="17" t="str">
        <f aca="false">IF($B19="","",IF(T19=1,AE19*r_bphe,0))</f>
        <v/>
      </c>
      <c r="BE19" s="17" t="str">
        <f aca="false">IF($B19="","",AQ19*AR19*r_tubeKgM*r_cuTube)</f>
        <v/>
      </c>
      <c r="BF19" s="17" t="str">
        <f aca="false">IF($B19="","",AU19*r_steelFab)</f>
        <v/>
      </c>
      <c r="BG19" s="17" t="str">
        <f aca="false">IF($B19="","",AW19*r_coilFace+AX19*r_fanAC+AW19*r_frameKg*r_steelFab)</f>
        <v/>
      </c>
      <c r="BH19" s="17" t="str">
        <f aca="false">IF($B19="","",INDEX(tt_compRate,Q19)*INDEX(tt_compPref,Q19)*(V19/INDEX(tt_compPref,Q19))^INDEX(tt_compN,Q19))</f>
        <v/>
      </c>
      <c r="BI19" s="17" t="str">
        <f aca="false">IF($B19="","",AY19*IF(S19=1,r_motHT,r_motLT))</f>
        <v/>
      </c>
      <c r="BJ19" s="17" t="str">
        <f aca="false">IF($B19="","",IF(J19="Yes",AZ19*IF(S19=1,r_vfdHT,r_vfdLT),0))</f>
        <v/>
      </c>
      <c r="BK19" s="17" t="str">
        <f aca="false">IF($B19="","",IF(S19=1,r_swgrHT,r_swgrLTbase+r_swgrLTkw*AZ19))</f>
        <v/>
      </c>
      <c r="BL19" s="17" t="str">
        <f aca="false">IF($B19="","",INDEX(tt_lube,Q19))</f>
        <v/>
      </c>
      <c r="BM19" s="17" t="str">
        <f aca="false">IF($B19="","",C19*INDEX(tt_refKg,Q19)*r_refrig)</f>
        <v/>
      </c>
      <c r="BN19" s="17" t="str">
        <f aca="false">IF($B19="","",INDEX(tt_ctl,Q19))</f>
        <v/>
      </c>
      <c r="BO19" s="17" t="str">
        <f aca="false">IF($B19="","",IF(AND(K19="Yes",R19=1),AQ19*r_atcTube+r_atcFixed,0))</f>
        <v/>
      </c>
      <c r="BP19" s="17" t="str">
        <f aca="false">IF($B19="","",r_pipePct*(BA19+BB19+BC19+BD19+BE19+BF19+BG19+BH19))</f>
        <v/>
      </c>
      <c r="BQ19" s="17" t="str">
        <f aca="false">IF($B19="","",r_avm)</f>
        <v/>
      </c>
      <c r="BR19" s="17" t="str">
        <f aca="false">IF($B19="","",SUM(BA19:BQ19))</f>
        <v/>
      </c>
      <c r="BS19" s="17" t="str">
        <f aca="false">IF($B19="","",BR19*r_assyPct)</f>
        <v/>
      </c>
      <c r="BT19" s="17" t="str">
        <f aca="false">IF($B19="","",BR19*r_testPct)</f>
        <v/>
      </c>
      <c r="BU19" s="17" t="str">
        <f aca="false">IF($B19="","",(BR19+BS19+BT19)*r_logPct)</f>
        <v/>
      </c>
      <c r="BV19" s="17" t="str">
        <f aca="false">IF($B19="","",BR19*r_dutyPct)</f>
        <v/>
      </c>
      <c r="BW19" s="17" t="str">
        <f aca="false">IF($B19="","",BR19+BS19+BT19+BU19+BV19)</f>
        <v/>
      </c>
      <c r="BX19" s="17" t="str">
        <f aca="false">IF($B19="","",BW19*r_ohPct)</f>
        <v/>
      </c>
      <c r="BY19" s="17" t="str">
        <f aca="false">IF($B19="","",BW19*r_warrPct)</f>
        <v/>
      </c>
      <c r="BZ19" s="17" t="str">
        <f aca="false">IF($B19="","",(BW19+BX19+BY19)*r_marginPct)</f>
        <v/>
      </c>
      <c r="CA19" s="22" t="str">
        <f aca="false">IF($B19="","",BW19+BX19+BY19+BZ19)</f>
        <v/>
      </c>
      <c r="CB19" s="17" t="str">
        <f aca="false">IF($B19="","",CA19/C19)</f>
        <v/>
      </c>
      <c r="CC19" s="17" t="str">
        <f aca="false">IF($B19="","",CA19*r_ecPct)</f>
        <v/>
      </c>
      <c r="CD19" s="17" t="str">
        <f aca="false">IF($B19="","",(CA19+CC19)*D19)</f>
        <v/>
      </c>
      <c r="CE19" s="17" t="str">
        <f aca="false">IF($B19="","",BA19+BB19+BC19+BD19+BE19+BF19+BG19)</f>
        <v/>
      </c>
      <c r="CF19" s="17" t="str">
        <f aca="false">IF($B19="","",BH19+BI19+BJ19+BK19+BL19)</f>
        <v/>
      </c>
      <c r="CG19" s="17" t="str">
        <f aca="false">IF($B19="","",BM19+BN19+BO19+BP19+BQ19)</f>
        <v/>
      </c>
      <c r="CH19" s="17" t="str">
        <f aca="false">IF($B19="","",BS19+BT19)</f>
        <v/>
      </c>
      <c r="CI19" s="17" t="str">
        <f aca="false">IF($B19="","",BU19+BV19)</f>
        <v/>
      </c>
      <c r="CJ19" s="17" t="str">
        <f aca="false">IF($B19="","",BX19+BY19+BZ19)</f>
        <v/>
      </c>
      <c r="CK19" s="23" t="str">
        <f aca="false">IF($B19="","",IF(ABS(CE19+CF19+CG19+CH19+CI19+CJ19-CA19)&lt;1,"OK","MISMATCH"))</f>
        <v/>
      </c>
      <c r="CL19" s="17" t="str">
        <f aca="false">IF($B19="","",IF(N19="","",N19/C19))</f>
        <v/>
      </c>
      <c r="CM19" s="17" t="str">
        <f aca="false">IF($B19="","",IF(N19="","",CA19-N19))</f>
        <v/>
      </c>
      <c r="CN19" s="20" t="str">
        <f aca="false">IF($B19="","",IF(N19="","",CA19/N19-1))</f>
        <v/>
      </c>
      <c r="CO19" s="20" t="str">
        <f aca="false">IF($B19="","",IF(O19="","",CC19/O19-1))</f>
        <v/>
      </c>
      <c r="CP19" s="24" t="str">
        <f aca="false">IF($B19="","",IF(C19&gt;INDEX(tt_maxTR,Q19),"TR above type max; ","")&amp;IF(AI19&gt;r_Lmax,"Evap tube too long; ","")&amp;IF(AR19&gt;r_Lmax,"Cond tube too long; ","")&amp;IF(AA19&gt;r_carnotCap,"COP high vs lift; ","")&amp;IF(AND(R19=1,G19+H19+INDEX(tt_condApp,Q19)&gt;=X19+60),"Check temps; ",""))</f>
        <v/>
      </c>
    </row>
    <row r="20" customFormat="false" ht="15" hidden="false" customHeight="false" outlineLevel="0" collapsed="false">
      <c r="A20" s="9"/>
      <c r="B20" s="9"/>
      <c r="C20" s="10"/>
      <c r="D20" s="11"/>
      <c r="E20" s="12"/>
      <c r="F20" s="12"/>
      <c r="G20" s="12"/>
      <c r="H20" s="12"/>
      <c r="I20" s="13"/>
      <c r="J20" s="9"/>
      <c r="K20" s="9"/>
      <c r="L20" s="14"/>
      <c r="M20" s="14"/>
      <c r="N20" s="10"/>
      <c r="O20" s="10"/>
      <c r="P20" s="15"/>
      <c r="Q20" s="16" t="str">
        <f aca="false">IF($B20="","",MATCH(B20,tt_name,0))</f>
        <v/>
      </c>
      <c r="R20" s="16" t="str">
        <f aca="false">IF($B20="","",INDEX(tt_wc,Q20))</f>
        <v/>
      </c>
      <c r="S20" s="16" t="str">
        <f aca="false">IF($B20="","",IF(INDEX(tt_volt,Q20)="HT",1,0))</f>
        <v/>
      </c>
      <c r="T20" s="16" t="str">
        <f aca="false">IF($B20="","",IF(INDEX(tt_evtype,Q20)="BPHE",1,0))</f>
        <v/>
      </c>
      <c r="U20" s="17" t="str">
        <f aca="false">IF($B20="","",C20*3.517)</f>
        <v/>
      </c>
      <c r="V20" s="17" t="str">
        <f aca="false">IF($B20="","",U20/I20)</f>
        <v/>
      </c>
      <c r="W20" s="17" t="str">
        <f aca="false">IF($B20="","",U20+V20)</f>
        <v/>
      </c>
      <c r="X20" s="18" t="str">
        <f aca="false">IF($B20="","",F20-INDEX(tt_evapApp,Q20))</f>
        <v/>
      </c>
      <c r="Y20" s="18" t="str">
        <f aca="false">IF($B20="","",IF(R20=1,G20+H20+INDEX(tt_condApp,Q20),G20+INDEX(tt_condApp,Q20)))</f>
        <v/>
      </c>
      <c r="Z20" s="19" t="str">
        <f aca="false">IF($B20="","",(X20+273.15)/(Y20-X20))</f>
        <v/>
      </c>
      <c r="AA20" s="20" t="str">
        <f aca="false">IF($B20="","",I20/Z20)</f>
        <v/>
      </c>
      <c r="AB20" s="19" t="str">
        <f aca="false">IF($B20="","",(E20-F20)/LN((E20-X20)/(F20-X20)))</f>
        <v/>
      </c>
      <c r="AC20" s="19" t="str">
        <f aca="false">IF($B20="","",IF(R20=1,H20/LN((Y20-G20)/(Y20-G20-H20)),0))</f>
        <v/>
      </c>
      <c r="AD20" s="19" t="str">
        <f aca="false">IF($B20="","",1/(1/INDEX(tt_Ue,Q20)+L20))</f>
        <v/>
      </c>
      <c r="AE20" s="21" t="str">
        <f aca="false">IF($B20="","",U20/(AD20*AB20))</f>
        <v/>
      </c>
      <c r="AF20" s="17" t="str">
        <f aca="false">IF($B20="","",U20/(r_cpw*(E20-F20))*3.6)</f>
        <v/>
      </c>
      <c r="AG20" s="17" t="str">
        <f aca="false">IF($B20="","",IF(T20=1,0,ROUNDUP(AF20/3600/(INDEX(tt_vel,Q20)*r_tubeAi),0)))</f>
        <v/>
      </c>
      <c r="AH20" s="17" t="str">
        <f aca="false">IF($B20="","",AG20*INDEX(tt_evPass,Q20))</f>
        <v/>
      </c>
      <c r="AI20" s="18" t="str">
        <f aca="false">IF($B20="","",IF(AH20=0,0,ROUNDUP(AE20/(AH20*PI()*r_tubeOD/1000)*10,0)/10))</f>
        <v/>
      </c>
      <c r="AJ20" s="19" t="str">
        <f aca="false">IF($B20="","",IF(AH20=0,0,(SQRT(4*AH20*0.866*(r_pitch*r_tubeOD/1000)^2/r_fill/PI())+r_shellClr)*r_floodFac))</f>
        <v/>
      </c>
      <c r="AK20" s="16" t="str">
        <f aca="false">IF($B20="","",IF(AH20=0,0,MAX(r_tmin,ROUNDUP((r_pDesE/10)*AJ20*1000/(2*r_stress-1.2*r_pDesE/10)+r_ca,0))))</f>
        <v/>
      </c>
      <c r="AL20" s="17" t="str">
        <f aca="false">IF($B20="","",IF(AH20=0,0,(PI()*AJ20*(AI20+0.3)*AK20/1000+(1+r_wbFac)*2*PI()/4*AJ20^2*r_tsheet/1000)*r_rhoSt*(1+r_supFac)))</f>
        <v/>
      </c>
      <c r="AM20" s="19" t="str">
        <f aca="false">IF($B20="","",IF(R20=1,1/(1/INDEX(tt_Uc,Q20)+M20),0))</f>
        <v/>
      </c>
      <c r="AN20" s="21" t="str">
        <f aca="false">IF($B20="","",IF(R20=1,W20/(AM20*AC20),0))</f>
        <v/>
      </c>
      <c r="AO20" s="17" t="str">
        <f aca="false">IF($B20="","",IF(R20=1,W20/(r_cpw*H20)*3.6,0))</f>
        <v/>
      </c>
      <c r="AP20" s="17" t="str">
        <f aca="false">IF($B20="","",IF(R20=1,ROUNDUP(AO20/3600/(INDEX(tt_vel,Q20)*r_tubeAi),0),0))</f>
        <v/>
      </c>
      <c r="AQ20" s="17" t="str">
        <f aca="false">IF($B20="","",AP20*INDEX(tt_cdPass,Q20))</f>
        <v/>
      </c>
      <c r="AR20" s="18" t="str">
        <f aca="false">IF($B20="","",IF(AQ20=0,0,ROUNDUP(AN20/(AQ20*PI()*r_tubeOD/1000)*10,0)/10))</f>
        <v/>
      </c>
      <c r="AS20" s="19" t="str">
        <f aca="false">IF($B20="","",IF(AQ20=0,0,SQRT(4*AQ20*0.866*(r_pitch*r_tubeOD/1000)^2/r_fill/PI())+r_shellClr))</f>
        <v/>
      </c>
      <c r="AT20" s="16" t="str">
        <f aca="false">IF($B20="","",IF(AQ20=0,0,MAX(r_tmin,ROUNDUP((r_pDesC/10)*AS20*1000/(2*r_stress-1.2*r_pDesC/10)+r_ca,0))))</f>
        <v/>
      </c>
      <c r="AU20" s="17" t="str">
        <f aca="false">IF($B20="","",IF(AQ20=0,0,(PI()*AS20*(AR20+0.3)*AT20/1000+(1+r_wbFac)*2*PI()/4*AS20^2*r_tsheet/1000)*r_rhoSt*(1+r_supFac)))</f>
        <v/>
      </c>
      <c r="AV20" s="21" t="str">
        <f aca="false">IF($B20="","",IF(R20=0,W20/(r_airCp*r_airRise*r_airRho),0))</f>
        <v/>
      </c>
      <c r="AW20" s="21" t="str">
        <f aca="false">IF($B20="","",AV20/r_faceV)</f>
        <v/>
      </c>
      <c r="AX20" s="16" t="str">
        <f aca="false">IF($B20="","",IF(R20=0,ROUNDUP(AV20/r_fanFlow,0),0))</f>
        <v/>
      </c>
      <c r="AY20" s="17" t="str">
        <f aca="false">IF($B20="","",IF(INDEX(tt_motSep,Q20)=1,ROUNDUP(V20/r_motEff*r_motMargin/10,0)*10,0))</f>
        <v/>
      </c>
      <c r="AZ20" s="17" t="str">
        <f aca="false">IF($B20="","",IF(AY20&gt;0,AY20,ROUNDUP(V20/r_motEff*r_motMargin/5,0)*5))</f>
        <v/>
      </c>
      <c r="BA20" s="17" t="str">
        <f aca="false">IF($B20="","",AH20*AI20*r_tubeKgM*r_cuTube)</f>
        <v/>
      </c>
      <c r="BB20" s="17" t="str">
        <f aca="false">IF($B20="","",AL20*r_steelFab)</f>
        <v/>
      </c>
      <c r="BC20" s="17" t="str">
        <f aca="false">IF($B20="","",IF(AH20=0,0,PI()*AJ20*AI20*1.15*r_insul))</f>
        <v/>
      </c>
      <c r="BD20" s="17" t="str">
        <f aca="false">IF($B20="","",IF(T20=1,AE20*r_bphe,0))</f>
        <v/>
      </c>
      <c r="BE20" s="17" t="str">
        <f aca="false">IF($B20="","",AQ20*AR20*r_tubeKgM*r_cuTube)</f>
        <v/>
      </c>
      <c r="BF20" s="17" t="str">
        <f aca="false">IF($B20="","",AU20*r_steelFab)</f>
        <v/>
      </c>
      <c r="BG20" s="17" t="str">
        <f aca="false">IF($B20="","",AW20*r_coilFace+AX20*r_fanAC+AW20*r_frameKg*r_steelFab)</f>
        <v/>
      </c>
      <c r="BH20" s="17" t="str">
        <f aca="false">IF($B20="","",INDEX(tt_compRate,Q20)*INDEX(tt_compPref,Q20)*(V20/INDEX(tt_compPref,Q20))^INDEX(tt_compN,Q20))</f>
        <v/>
      </c>
      <c r="BI20" s="17" t="str">
        <f aca="false">IF($B20="","",AY20*IF(S20=1,r_motHT,r_motLT))</f>
        <v/>
      </c>
      <c r="BJ20" s="17" t="str">
        <f aca="false">IF($B20="","",IF(J20="Yes",AZ20*IF(S20=1,r_vfdHT,r_vfdLT),0))</f>
        <v/>
      </c>
      <c r="BK20" s="17" t="str">
        <f aca="false">IF($B20="","",IF(S20=1,r_swgrHT,r_swgrLTbase+r_swgrLTkw*AZ20))</f>
        <v/>
      </c>
      <c r="BL20" s="17" t="str">
        <f aca="false">IF($B20="","",INDEX(tt_lube,Q20))</f>
        <v/>
      </c>
      <c r="BM20" s="17" t="str">
        <f aca="false">IF($B20="","",C20*INDEX(tt_refKg,Q20)*r_refrig)</f>
        <v/>
      </c>
      <c r="BN20" s="17" t="str">
        <f aca="false">IF($B20="","",INDEX(tt_ctl,Q20))</f>
        <v/>
      </c>
      <c r="BO20" s="17" t="str">
        <f aca="false">IF($B20="","",IF(AND(K20="Yes",R20=1),AQ20*r_atcTube+r_atcFixed,0))</f>
        <v/>
      </c>
      <c r="BP20" s="17" t="str">
        <f aca="false">IF($B20="","",r_pipePct*(BA20+BB20+BC20+BD20+BE20+BF20+BG20+BH20))</f>
        <v/>
      </c>
      <c r="BQ20" s="17" t="str">
        <f aca="false">IF($B20="","",r_avm)</f>
        <v/>
      </c>
      <c r="BR20" s="17" t="str">
        <f aca="false">IF($B20="","",SUM(BA20:BQ20))</f>
        <v/>
      </c>
      <c r="BS20" s="17" t="str">
        <f aca="false">IF($B20="","",BR20*r_assyPct)</f>
        <v/>
      </c>
      <c r="BT20" s="17" t="str">
        <f aca="false">IF($B20="","",BR20*r_testPct)</f>
        <v/>
      </c>
      <c r="BU20" s="17" t="str">
        <f aca="false">IF($B20="","",(BR20+BS20+BT20)*r_logPct)</f>
        <v/>
      </c>
      <c r="BV20" s="17" t="str">
        <f aca="false">IF($B20="","",BR20*r_dutyPct)</f>
        <v/>
      </c>
      <c r="BW20" s="17" t="str">
        <f aca="false">IF($B20="","",BR20+BS20+BT20+BU20+BV20)</f>
        <v/>
      </c>
      <c r="BX20" s="17" t="str">
        <f aca="false">IF($B20="","",BW20*r_ohPct)</f>
        <v/>
      </c>
      <c r="BY20" s="17" t="str">
        <f aca="false">IF($B20="","",BW20*r_warrPct)</f>
        <v/>
      </c>
      <c r="BZ20" s="17" t="str">
        <f aca="false">IF($B20="","",(BW20+BX20+BY20)*r_marginPct)</f>
        <v/>
      </c>
      <c r="CA20" s="22" t="str">
        <f aca="false">IF($B20="","",BW20+BX20+BY20+BZ20)</f>
        <v/>
      </c>
      <c r="CB20" s="17" t="str">
        <f aca="false">IF($B20="","",CA20/C20)</f>
        <v/>
      </c>
      <c r="CC20" s="17" t="str">
        <f aca="false">IF($B20="","",CA20*r_ecPct)</f>
        <v/>
      </c>
      <c r="CD20" s="17" t="str">
        <f aca="false">IF($B20="","",(CA20+CC20)*D20)</f>
        <v/>
      </c>
      <c r="CE20" s="17" t="str">
        <f aca="false">IF($B20="","",BA20+BB20+BC20+BD20+BE20+BF20+BG20)</f>
        <v/>
      </c>
      <c r="CF20" s="17" t="str">
        <f aca="false">IF($B20="","",BH20+BI20+BJ20+BK20+BL20)</f>
        <v/>
      </c>
      <c r="CG20" s="17" t="str">
        <f aca="false">IF($B20="","",BM20+BN20+BO20+BP20+BQ20)</f>
        <v/>
      </c>
      <c r="CH20" s="17" t="str">
        <f aca="false">IF($B20="","",BS20+BT20)</f>
        <v/>
      </c>
      <c r="CI20" s="17" t="str">
        <f aca="false">IF($B20="","",BU20+BV20)</f>
        <v/>
      </c>
      <c r="CJ20" s="17" t="str">
        <f aca="false">IF($B20="","",BX20+BY20+BZ20)</f>
        <v/>
      </c>
      <c r="CK20" s="23" t="str">
        <f aca="false">IF($B20="","",IF(ABS(CE20+CF20+CG20+CH20+CI20+CJ20-CA20)&lt;1,"OK","MISMATCH"))</f>
        <v/>
      </c>
      <c r="CL20" s="17" t="str">
        <f aca="false">IF($B20="","",IF(N20="","",N20/C20))</f>
        <v/>
      </c>
      <c r="CM20" s="17" t="str">
        <f aca="false">IF($B20="","",IF(N20="","",CA20-N20))</f>
        <v/>
      </c>
      <c r="CN20" s="20" t="str">
        <f aca="false">IF($B20="","",IF(N20="","",CA20/N20-1))</f>
        <v/>
      </c>
      <c r="CO20" s="20" t="str">
        <f aca="false">IF($B20="","",IF(O20="","",CC20/O20-1))</f>
        <v/>
      </c>
      <c r="CP20" s="24" t="str">
        <f aca="false">IF($B20="","",IF(C20&gt;INDEX(tt_maxTR,Q20),"TR above type max; ","")&amp;IF(AI20&gt;r_Lmax,"Evap tube too long; ","")&amp;IF(AR20&gt;r_Lmax,"Cond tube too long; ","")&amp;IF(AA20&gt;r_carnotCap,"COP high vs lift; ","")&amp;IF(AND(R20=1,G20+H20+INDEX(tt_condApp,Q20)&gt;=X20+60),"Check temps; ",""))</f>
        <v/>
      </c>
    </row>
    <row r="21" customFormat="false" ht="15" hidden="false" customHeight="false" outlineLevel="0" collapsed="false">
      <c r="A21" s="9"/>
      <c r="B21" s="9"/>
      <c r="C21" s="10"/>
      <c r="D21" s="11"/>
      <c r="E21" s="12"/>
      <c r="F21" s="12"/>
      <c r="G21" s="12"/>
      <c r="H21" s="12"/>
      <c r="I21" s="13"/>
      <c r="J21" s="9"/>
      <c r="K21" s="9"/>
      <c r="L21" s="14"/>
      <c r="M21" s="14"/>
      <c r="N21" s="10"/>
      <c r="O21" s="10"/>
      <c r="P21" s="15"/>
      <c r="Q21" s="16" t="str">
        <f aca="false">IF($B21="","",MATCH(B21,tt_name,0))</f>
        <v/>
      </c>
      <c r="R21" s="16" t="str">
        <f aca="false">IF($B21="","",INDEX(tt_wc,Q21))</f>
        <v/>
      </c>
      <c r="S21" s="16" t="str">
        <f aca="false">IF($B21="","",IF(INDEX(tt_volt,Q21)="HT",1,0))</f>
        <v/>
      </c>
      <c r="T21" s="16" t="str">
        <f aca="false">IF($B21="","",IF(INDEX(tt_evtype,Q21)="BPHE",1,0))</f>
        <v/>
      </c>
      <c r="U21" s="17" t="str">
        <f aca="false">IF($B21="","",C21*3.517)</f>
        <v/>
      </c>
      <c r="V21" s="17" t="str">
        <f aca="false">IF($B21="","",U21/I21)</f>
        <v/>
      </c>
      <c r="W21" s="17" t="str">
        <f aca="false">IF($B21="","",U21+V21)</f>
        <v/>
      </c>
      <c r="X21" s="18" t="str">
        <f aca="false">IF($B21="","",F21-INDEX(tt_evapApp,Q21))</f>
        <v/>
      </c>
      <c r="Y21" s="18" t="str">
        <f aca="false">IF($B21="","",IF(R21=1,G21+H21+INDEX(tt_condApp,Q21),G21+INDEX(tt_condApp,Q21)))</f>
        <v/>
      </c>
      <c r="Z21" s="19" t="str">
        <f aca="false">IF($B21="","",(X21+273.15)/(Y21-X21))</f>
        <v/>
      </c>
      <c r="AA21" s="20" t="str">
        <f aca="false">IF($B21="","",I21/Z21)</f>
        <v/>
      </c>
      <c r="AB21" s="19" t="str">
        <f aca="false">IF($B21="","",(E21-F21)/LN((E21-X21)/(F21-X21)))</f>
        <v/>
      </c>
      <c r="AC21" s="19" t="str">
        <f aca="false">IF($B21="","",IF(R21=1,H21/LN((Y21-G21)/(Y21-G21-H21)),0))</f>
        <v/>
      </c>
      <c r="AD21" s="19" t="str">
        <f aca="false">IF($B21="","",1/(1/INDEX(tt_Ue,Q21)+L21))</f>
        <v/>
      </c>
      <c r="AE21" s="21" t="str">
        <f aca="false">IF($B21="","",U21/(AD21*AB21))</f>
        <v/>
      </c>
      <c r="AF21" s="17" t="str">
        <f aca="false">IF($B21="","",U21/(r_cpw*(E21-F21))*3.6)</f>
        <v/>
      </c>
      <c r="AG21" s="17" t="str">
        <f aca="false">IF($B21="","",IF(T21=1,0,ROUNDUP(AF21/3600/(INDEX(tt_vel,Q21)*r_tubeAi),0)))</f>
        <v/>
      </c>
      <c r="AH21" s="17" t="str">
        <f aca="false">IF($B21="","",AG21*INDEX(tt_evPass,Q21))</f>
        <v/>
      </c>
      <c r="AI21" s="18" t="str">
        <f aca="false">IF($B21="","",IF(AH21=0,0,ROUNDUP(AE21/(AH21*PI()*r_tubeOD/1000)*10,0)/10))</f>
        <v/>
      </c>
      <c r="AJ21" s="19" t="str">
        <f aca="false">IF($B21="","",IF(AH21=0,0,(SQRT(4*AH21*0.866*(r_pitch*r_tubeOD/1000)^2/r_fill/PI())+r_shellClr)*r_floodFac))</f>
        <v/>
      </c>
      <c r="AK21" s="16" t="str">
        <f aca="false">IF($B21="","",IF(AH21=0,0,MAX(r_tmin,ROUNDUP((r_pDesE/10)*AJ21*1000/(2*r_stress-1.2*r_pDesE/10)+r_ca,0))))</f>
        <v/>
      </c>
      <c r="AL21" s="17" t="str">
        <f aca="false">IF($B21="","",IF(AH21=0,0,(PI()*AJ21*(AI21+0.3)*AK21/1000+(1+r_wbFac)*2*PI()/4*AJ21^2*r_tsheet/1000)*r_rhoSt*(1+r_supFac)))</f>
        <v/>
      </c>
      <c r="AM21" s="19" t="str">
        <f aca="false">IF($B21="","",IF(R21=1,1/(1/INDEX(tt_Uc,Q21)+M21),0))</f>
        <v/>
      </c>
      <c r="AN21" s="21" t="str">
        <f aca="false">IF($B21="","",IF(R21=1,W21/(AM21*AC21),0))</f>
        <v/>
      </c>
      <c r="AO21" s="17" t="str">
        <f aca="false">IF($B21="","",IF(R21=1,W21/(r_cpw*H21)*3.6,0))</f>
        <v/>
      </c>
      <c r="AP21" s="17" t="str">
        <f aca="false">IF($B21="","",IF(R21=1,ROUNDUP(AO21/3600/(INDEX(tt_vel,Q21)*r_tubeAi),0),0))</f>
        <v/>
      </c>
      <c r="AQ21" s="17" t="str">
        <f aca="false">IF($B21="","",AP21*INDEX(tt_cdPass,Q21))</f>
        <v/>
      </c>
      <c r="AR21" s="18" t="str">
        <f aca="false">IF($B21="","",IF(AQ21=0,0,ROUNDUP(AN21/(AQ21*PI()*r_tubeOD/1000)*10,0)/10))</f>
        <v/>
      </c>
      <c r="AS21" s="19" t="str">
        <f aca="false">IF($B21="","",IF(AQ21=0,0,SQRT(4*AQ21*0.866*(r_pitch*r_tubeOD/1000)^2/r_fill/PI())+r_shellClr))</f>
        <v/>
      </c>
      <c r="AT21" s="16" t="str">
        <f aca="false">IF($B21="","",IF(AQ21=0,0,MAX(r_tmin,ROUNDUP((r_pDesC/10)*AS21*1000/(2*r_stress-1.2*r_pDesC/10)+r_ca,0))))</f>
        <v/>
      </c>
      <c r="AU21" s="17" t="str">
        <f aca="false">IF($B21="","",IF(AQ21=0,0,(PI()*AS21*(AR21+0.3)*AT21/1000+(1+r_wbFac)*2*PI()/4*AS21^2*r_tsheet/1000)*r_rhoSt*(1+r_supFac)))</f>
        <v/>
      </c>
      <c r="AV21" s="21" t="str">
        <f aca="false">IF($B21="","",IF(R21=0,W21/(r_airCp*r_airRise*r_airRho),0))</f>
        <v/>
      </c>
      <c r="AW21" s="21" t="str">
        <f aca="false">IF($B21="","",AV21/r_faceV)</f>
        <v/>
      </c>
      <c r="AX21" s="16" t="str">
        <f aca="false">IF($B21="","",IF(R21=0,ROUNDUP(AV21/r_fanFlow,0),0))</f>
        <v/>
      </c>
      <c r="AY21" s="17" t="str">
        <f aca="false">IF($B21="","",IF(INDEX(tt_motSep,Q21)=1,ROUNDUP(V21/r_motEff*r_motMargin/10,0)*10,0))</f>
        <v/>
      </c>
      <c r="AZ21" s="17" t="str">
        <f aca="false">IF($B21="","",IF(AY21&gt;0,AY21,ROUNDUP(V21/r_motEff*r_motMargin/5,0)*5))</f>
        <v/>
      </c>
      <c r="BA21" s="17" t="str">
        <f aca="false">IF($B21="","",AH21*AI21*r_tubeKgM*r_cuTube)</f>
        <v/>
      </c>
      <c r="BB21" s="17" t="str">
        <f aca="false">IF($B21="","",AL21*r_steelFab)</f>
        <v/>
      </c>
      <c r="BC21" s="17" t="str">
        <f aca="false">IF($B21="","",IF(AH21=0,0,PI()*AJ21*AI21*1.15*r_insul))</f>
        <v/>
      </c>
      <c r="BD21" s="17" t="str">
        <f aca="false">IF($B21="","",IF(T21=1,AE21*r_bphe,0))</f>
        <v/>
      </c>
      <c r="BE21" s="17" t="str">
        <f aca="false">IF($B21="","",AQ21*AR21*r_tubeKgM*r_cuTube)</f>
        <v/>
      </c>
      <c r="BF21" s="17" t="str">
        <f aca="false">IF($B21="","",AU21*r_steelFab)</f>
        <v/>
      </c>
      <c r="BG21" s="17" t="str">
        <f aca="false">IF($B21="","",AW21*r_coilFace+AX21*r_fanAC+AW21*r_frameKg*r_steelFab)</f>
        <v/>
      </c>
      <c r="BH21" s="17" t="str">
        <f aca="false">IF($B21="","",INDEX(tt_compRate,Q21)*INDEX(tt_compPref,Q21)*(V21/INDEX(tt_compPref,Q21))^INDEX(tt_compN,Q21))</f>
        <v/>
      </c>
      <c r="BI21" s="17" t="str">
        <f aca="false">IF($B21="","",AY21*IF(S21=1,r_motHT,r_motLT))</f>
        <v/>
      </c>
      <c r="BJ21" s="17" t="str">
        <f aca="false">IF($B21="","",IF(J21="Yes",AZ21*IF(S21=1,r_vfdHT,r_vfdLT),0))</f>
        <v/>
      </c>
      <c r="BK21" s="17" t="str">
        <f aca="false">IF($B21="","",IF(S21=1,r_swgrHT,r_swgrLTbase+r_swgrLTkw*AZ21))</f>
        <v/>
      </c>
      <c r="BL21" s="17" t="str">
        <f aca="false">IF($B21="","",INDEX(tt_lube,Q21))</f>
        <v/>
      </c>
      <c r="BM21" s="17" t="str">
        <f aca="false">IF($B21="","",C21*INDEX(tt_refKg,Q21)*r_refrig)</f>
        <v/>
      </c>
      <c r="BN21" s="17" t="str">
        <f aca="false">IF($B21="","",INDEX(tt_ctl,Q21))</f>
        <v/>
      </c>
      <c r="BO21" s="17" t="str">
        <f aca="false">IF($B21="","",IF(AND(K21="Yes",R21=1),AQ21*r_atcTube+r_atcFixed,0))</f>
        <v/>
      </c>
      <c r="BP21" s="17" t="str">
        <f aca="false">IF($B21="","",r_pipePct*(BA21+BB21+BC21+BD21+BE21+BF21+BG21+BH21))</f>
        <v/>
      </c>
      <c r="BQ21" s="17" t="str">
        <f aca="false">IF($B21="","",r_avm)</f>
        <v/>
      </c>
      <c r="BR21" s="17" t="str">
        <f aca="false">IF($B21="","",SUM(BA21:BQ21))</f>
        <v/>
      </c>
      <c r="BS21" s="17" t="str">
        <f aca="false">IF($B21="","",BR21*r_assyPct)</f>
        <v/>
      </c>
      <c r="BT21" s="17" t="str">
        <f aca="false">IF($B21="","",BR21*r_testPct)</f>
        <v/>
      </c>
      <c r="BU21" s="17" t="str">
        <f aca="false">IF($B21="","",(BR21+BS21+BT21)*r_logPct)</f>
        <v/>
      </c>
      <c r="BV21" s="17" t="str">
        <f aca="false">IF($B21="","",BR21*r_dutyPct)</f>
        <v/>
      </c>
      <c r="BW21" s="17" t="str">
        <f aca="false">IF($B21="","",BR21+BS21+BT21+BU21+BV21)</f>
        <v/>
      </c>
      <c r="BX21" s="17" t="str">
        <f aca="false">IF($B21="","",BW21*r_ohPct)</f>
        <v/>
      </c>
      <c r="BY21" s="17" t="str">
        <f aca="false">IF($B21="","",BW21*r_warrPct)</f>
        <v/>
      </c>
      <c r="BZ21" s="17" t="str">
        <f aca="false">IF($B21="","",(BW21+BX21+BY21)*r_marginPct)</f>
        <v/>
      </c>
      <c r="CA21" s="22" t="str">
        <f aca="false">IF($B21="","",BW21+BX21+BY21+BZ21)</f>
        <v/>
      </c>
      <c r="CB21" s="17" t="str">
        <f aca="false">IF($B21="","",CA21/C21)</f>
        <v/>
      </c>
      <c r="CC21" s="17" t="str">
        <f aca="false">IF($B21="","",CA21*r_ecPct)</f>
        <v/>
      </c>
      <c r="CD21" s="17" t="str">
        <f aca="false">IF($B21="","",(CA21+CC21)*D21)</f>
        <v/>
      </c>
      <c r="CE21" s="17" t="str">
        <f aca="false">IF($B21="","",BA21+BB21+BC21+BD21+BE21+BF21+BG21)</f>
        <v/>
      </c>
      <c r="CF21" s="17" t="str">
        <f aca="false">IF($B21="","",BH21+BI21+BJ21+BK21+BL21)</f>
        <v/>
      </c>
      <c r="CG21" s="17" t="str">
        <f aca="false">IF($B21="","",BM21+BN21+BO21+BP21+BQ21)</f>
        <v/>
      </c>
      <c r="CH21" s="17" t="str">
        <f aca="false">IF($B21="","",BS21+BT21)</f>
        <v/>
      </c>
      <c r="CI21" s="17" t="str">
        <f aca="false">IF($B21="","",BU21+BV21)</f>
        <v/>
      </c>
      <c r="CJ21" s="17" t="str">
        <f aca="false">IF($B21="","",BX21+BY21+BZ21)</f>
        <v/>
      </c>
      <c r="CK21" s="23" t="str">
        <f aca="false">IF($B21="","",IF(ABS(CE21+CF21+CG21+CH21+CI21+CJ21-CA21)&lt;1,"OK","MISMATCH"))</f>
        <v/>
      </c>
      <c r="CL21" s="17" t="str">
        <f aca="false">IF($B21="","",IF(N21="","",N21/C21))</f>
        <v/>
      </c>
      <c r="CM21" s="17" t="str">
        <f aca="false">IF($B21="","",IF(N21="","",CA21-N21))</f>
        <v/>
      </c>
      <c r="CN21" s="20" t="str">
        <f aca="false">IF($B21="","",IF(N21="","",CA21/N21-1))</f>
        <v/>
      </c>
      <c r="CO21" s="20" t="str">
        <f aca="false">IF($B21="","",IF(O21="","",CC21/O21-1))</f>
        <v/>
      </c>
      <c r="CP21" s="24" t="str">
        <f aca="false">IF($B21="","",IF(C21&gt;INDEX(tt_maxTR,Q21),"TR above type max; ","")&amp;IF(AI21&gt;r_Lmax,"Evap tube too long; ","")&amp;IF(AR21&gt;r_Lmax,"Cond tube too long; ","")&amp;IF(AA21&gt;r_carnotCap,"COP high vs lift; ","")&amp;IF(AND(R21=1,G21+H21+INDEX(tt_condApp,Q21)&gt;=X21+60),"Check temps; ",""))</f>
        <v/>
      </c>
    </row>
    <row r="22" customFormat="false" ht="15" hidden="false" customHeight="false" outlineLevel="0" collapsed="false">
      <c r="A22" s="9"/>
      <c r="B22" s="9"/>
      <c r="C22" s="10"/>
      <c r="D22" s="11"/>
      <c r="E22" s="12"/>
      <c r="F22" s="12"/>
      <c r="G22" s="12"/>
      <c r="H22" s="12"/>
      <c r="I22" s="13"/>
      <c r="J22" s="9"/>
      <c r="K22" s="9"/>
      <c r="L22" s="14"/>
      <c r="M22" s="14"/>
      <c r="N22" s="10"/>
      <c r="O22" s="10"/>
      <c r="P22" s="15"/>
      <c r="Q22" s="16" t="str">
        <f aca="false">IF($B22="","",MATCH(B22,tt_name,0))</f>
        <v/>
      </c>
      <c r="R22" s="16" t="str">
        <f aca="false">IF($B22="","",INDEX(tt_wc,Q22))</f>
        <v/>
      </c>
      <c r="S22" s="16" t="str">
        <f aca="false">IF($B22="","",IF(INDEX(tt_volt,Q22)="HT",1,0))</f>
        <v/>
      </c>
      <c r="T22" s="16" t="str">
        <f aca="false">IF($B22="","",IF(INDEX(tt_evtype,Q22)="BPHE",1,0))</f>
        <v/>
      </c>
      <c r="U22" s="17" t="str">
        <f aca="false">IF($B22="","",C22*3.517)</f>
        <v/>
      </c>
      <c r="V22" s="17" t="str">
        <f aca="false">IF($B22="","",U22/I22)</f>
        <v/>
      </c>
      <c r="W22" s="17" t="str">
        <f aca="false">IF($B22="","",U22+V22)</f>
        <v/>
      </c>
      <c r="X22" s="18" t="str">
        <f aca="false">IF($B22="","",F22-INDEX(tt_evapApp,Q22))</f>
        <v/>
      </c>
      <c r="Y22" s="18" t="str">
        <f aca="false">IF($B22="","",IF(R22=1,G22+H22+INDEX(tt_condApp,Q22),G22+INDEX(tt_condApp,Q22)))</f>
        <v/>
      </c>
      <c r="Z22" s="19" t="str">
        <f aca="false">IF($B22="","",(X22+273.15)/(Y22-X22))</f>
        <v/>
      </c>
      <c r="AA22" s="20" t="str">
        <f aca="false">IF($B22="","",I22/Z22)</f>
        <v/>
      </c>
      <c r="AB22" s="19" t="str">
        <f aca="false">IF($B22="","",(E22-F22)/LN((E22-X22)/(F22-X22)))</f>
        <v/>
      </c>
      <c r="AC22" s="19" t="str">
        <f aca="false">IF($B22="","",IF(R22=1,H22/LN((Y22-G22)/(Y22-G22-H22)),0))</f>
        <v/>
      </c>
      <c r="AD22" s="19" t="str">
        <f aca="false">IF($B22="","",1/(1/INDEX(tt_Ue,Q22)+L22))</f>
        <v/>
      </c>
      <c r="AE22" s="21" t="str">
        <f aca="false">IF($B22="","",U22/(AD22*AB22))</f>
        <v/>
      </c>
      <c r="AF22" s="17" t="str">
        <f aca="false">IF($B22="","",U22/(r_cpw*(E22-F22))*3.6)</f>
        <v/>
      </c>
      <c r="AG22" s="17" t="str">
        <f aca="false">IF($B22="","",IF(T22=1,0,ROUNDUP(AF22/3600/(INDEX(tt_vel,Q22)*r_tubeAi),0)))</f>
        <v/>
      </c>
      <c r="AH22" s="17" t="str">
        <f aca="false">IF($B22="","",AG22*INDEX(tt_evPass,Q22))</f>
        <v/>
      </c>
      <c r="AI22" s="18" t="str">
        <f aca="false">IF($B22="","",IF(AH22=0,0,ROUNDUP(AE22/(AH22*PI()*r_tubeOD/1000)*10,0)/10))</f>
        <v/>
      </c>
      <c r="AJ22" s="19" t="str">
        <f aca="false">IF($B22="","",IF(AH22=0,0,(SQRT(4*AH22*0.866*(r_pitch*r_tubeOD/1000)^2/r_fill/PI())+r_shellClr)*r_floodFac))</f>
        <v/>
      </c>
      <c r="AK22" s="16" t="str">
        <f aca="false">IF($B22="","",IF(AH22=0,0,MAX(r_tmin,ROUNDUP((r_pDesE/10)*AJ22*1000/(2*r_stress-1.2*r_pDesE/10)+r_ca,0))))</f>
        <v/>
      </c>
      <c r="AL22" s="17" t="str">
        <f aca="false">IF($B22="","",IF(AH22=0,0,(PI()*AJ22*(AI22+0.3)*AK22/1000+(1+r_wbFac)*2*PI()/4*AJ22^2*r_tsheet/1000)*r_rhoSt*(1+r_supFac)))</f>
        <v/>
      </c>
      <c r="AM22" s="19" t="str">
        <f aca="false">IF($B22="","",IF(R22=1,1/(1/INDEX(tt_Uc,Q22)+M22),0))</f>
        <v/>
      </c>
      <c r="AN22" s="21" t="str">
        <f aca="false">IF($B22="","",IF(R22=1,W22/(AM22*AC22),0))</f>
        <v/>
      </c>
      <c r="AO22" s="17" t="str">
        <f aca="false">IF($B22="","",IF(R22=1,W22/(r_cpw*H22)*3.6,0))</f>
        <v/>
      </c>
      <c r="AP22" s="17" t="str">
        <f aca="false">IF($B22="","",IF(R22=1,ROUNDUP(AO22/3600/(INDEX(tt_vel,Q22)*r_tubeAi),0),0))</f>
        <v/>
      </c>
      <c r="AQ22" s="17" t="str">
        <f aca="false">IF($B22="","",AP22*INDEX(tt_cdPass,Q22))</f>
        <v/>
      </c>
      <c r="AR22" s="18" t="str">
        <f aca="false">IF($B22="","",IF(AQ22=0,0,ROUNDUP(AN22/(AQ22*PI()*r_tubeOD/1000)*10,0)/10))</f>
        <v/>
      </c>
      <c r="AS22" s="19" t="str">
        <f aca="false">IF($B22="","",IF(AQ22=0,0,SQRT(4*AQ22*0.866*(r_pitch*r_tubeOD/1000)^2/r_fill/PI())+r_shellClr))</f>
        <v/>
      </c>
      <c r="AT22" s="16" t="str">
        <f aca="false">IF($B22="","",IF(AQ22=0,0,MAX(r_tmin,ROUNDUP((r_pDesC/10)*AS22*1000/(2*r_stress-1.2*r_pDesC/10)+r_ca,0))))</f>
        <v/>
      </c>
      <c r="AU22" s="17" t="str">
        <f aca="false">IF($B22="","",IF(AQ22=0,0,(PI()*AS22*(AR22+0.3)*AT22/1000+(1+r_wbFac)*2*PI()/4*AS22^2*r_tsheet/1000)*r_rhoSt*(1+r_supFac)))</f>
        <v/>
      </c>
      <c r="AV22" s="21" t="str">
        <f aca="false">IF($B22="","",IF(R22=0,W22/(r_airCp*r_airRise*r_airRho),0))</f>
        <v/>
      </c>
      <c r="AW22" s="21" t="str">
        <f aca="false">IF($B22="","",AV22/r_faceV)</f>
        <v/>
      </c>
      <c r="AX22" s="16" t="str">
        <f aca="false">IF($B22="","",IF(R22=0,ROUNDUP(AV22/r_fanFlow,0),0))</f>
        <v/>
      </c>
      <c r="AY22" s="17" t="str">
        <f aca="false">IF($B22="","",IF(INDEX(tt_motSep,Q22)=1,ROUNDUP(V22/r_motEff*r_motMargin/10,0)*10,0))</f>
        <v/>
      </c>
      <c r="AZ22" s="17" t="str">
        <f aca="false">IF($B22="","",IF(AY22&gt;0,AY22,ROUNDUP(V22/r_motEff*r_motMargin/5,0)*5))</f>
        <v/>
      </c>
      <c r="BA22" s="17" t="str">
        <f aca="false">IF($B22="","",AH22*AI22*r_tubeKgM*r_cuTube)</f>
        <v/>
      </c>
      <c r="BB22" s="17" t="str">
        <f aca="false">IF($B22="","",AL22*r_steelFab)</f>
        <v/>
      </c>
      <c r="BC22" s="17" t="str">
        <f aca="false">IF($B22="","",IF(AH22=0,0,PI()*AJ22*AI22*1.15*r_insul))</f>
        <v/>
      </c>
      <c r="BD22" s="17" t="str">
        <f aca="false">IF($B22="","",IF(T22=1,AE22*r_bphe,0))</f>
        <v/>
      </c>
      <c r="BE22" s="17" t="str">
        <f aca="false">IF($B22="","",AQ22*AR22*r_tubeKgM*r_cuTube)</f>
        <v/>
      </c>
      <c r="BF22" s="17" t="str">
        <f aca="false">IF($B22="","",AU22*r_steelFab)</f>
        <v/>
      </c>
      <c r="BG22" s="17" t="str">
        <f aca="false">IF($B22="","",AW22*r_coilFace+AX22*r_fanAC+AW22*r_frameKg*r_steelFab)</f>
        <v/>
      </c>
      <c r="BH22" s="17" t="str">
        <f aca="false">IF($B22="","",INDEX(tt_compRate,Q22)*INDEX(tt_compPref,Q22)*(V22/INDEX(tt_compPref,Q22))^INDEX(tt_compN,Q22))</f>
        <v/>
      </c>
      <c r="BI22" s="17" t="str">
        <f aca="false">IF($B22="","",AY22*IF(S22=1,r_motHT,r_motLT))</f>
        <v/>
      </c>
      <c r="BJ22" s="17" t="str">
        <f aca="false">IF($B22="","",IF(J22="Yes",AZ22*IF(S22=1,r_vfdHT,r_vfdLT),0))</f>
        <v/>
      </c>
      <c r="BK22" s="17" t="str">
        <f aca="false">IF($B22="","",IF(S22=1,r_swgrHT,r_swgrLTbase+r_swgrLTkw*AZ22))</f>
        <v/>
      </c>
      <c r="BL22" s="17" t="str">
        <f aca="false">IF($B22="","",INDEX(tt_lube,Q22))</f>
        <v/>
      </c>
      <c r="BM22" s="17" t="str">
        <f aca="false">IF($B22="","",C22*INDEX(tt_refKg,Q22)*r_refrig)</f>
        <v/>
      </c>
      <c r="BN22" s="17" t="str">
        <f aca="false">IF($B22="","",INDEX(tt_ctl,Q22))</f>
        <v/>
      </c>
      <c r="BO22" s="17" t="str">
        <f aca="false">IF($B22="","",IF(AND(K22="Yes",R22=1),AQ22*r_atcTube+r_atcFixed,0))</f>
        <v/>
      </c>
      <c r="BP22" s="17" t="str">
        <f aca="false">IF($B22="","",r_pipePct*(BA22+BB22+BC22+BD22+BE22+BF22+BG22+BH22))</f>
        <v/>
      </c>
      <c r="BQ22" s="17" t="str">
        <f aca="false">IF($B22="","",r_avm)</f>
        <v/>
      </c>
      <c r="BR22" s="17" t="str">
        <f aca="false">IF($B22="","",SUM(BA22:BQ22))</f>
        <v/>
      </c>
      <c r="BS22" s="17" t="str">
        <f aca="false">IF($B22="","",BR22*r_assyPct)</f>
        <v/>
      </c>
      <c r="BT22" s="17" t="str">
        <f aca="false">IF($B22="","",BR22*r_testPct)</f>
        <v/>
      </c>
      <c r="BU22" s="17" t="str">
        <f aca="false">IF($B22="","",(BR22+BS22+BT22)*r_logPct)</f>
        <v/>
      </c>
      <c r="BV22" s="17" t="str">
        <f aca="false">IF($B22="","",BR22*r_dutyPct)</f>
        <v/>
      </c>
      <c r="BW22" s="17" t="str">
        <f aca="false">IF($B22="","",BR22+BS22+BT22+BU22+BV22)</f>
        <v/>
      </c>
      <c r="BX22" s="17" t="str">
        <f aca="false">IF($B22="","",BW22*r_ohPct)</f>
        <v/>
      </c>
      <c r="BY22" s="17" t="str">
        <f aca="false">IF($B22="","",BW22*r_warrPct)</f>
        <v/>
      </c>
      <c r="BZ22" s="17" t="str">
        <f aca="false">IF($B22="","",(BW22+BX22+BY22)*r_marginPct)</f>
        <v/>
      </c>
      <c r="CA22" s="22" t="str">
        <f aca="false">IF($B22="","",BW22+BX22+BY22+BZ22)</f>
        <v/>
      </c>
      <c r="CB22" s="17" t="str">
        <f aca="false">IF($B22="","",CA22/C22)</f>
        <v/>
      </c>
      <c r="CC22" s="17" t="str">
        <f aca="false">IF($B22="","",CA22*r_ecPct)</f>
        <v/>
      </c>
      <c r="CD22" s="17" t="str">
        <f aca="false">IF($B22="","",(CA22+CC22)*D22)</f>
        <v/>
      </c>
      <c r="CE22" s="17" t="str">
        <f aca="false">IF($B22="","",BA22+BB22+BC22+BD22+BE22+BF22+BG22)</f>
        <v/>
      </c>
      <c r="CF22" s="17" t="str">
        <f aca="false">IF($B22="","",BH22+BI22+BJ22+BK22+BL22)</f>
        <v/>
      </c>
      <c r="CG22" s="17" t="str">
        <f aca="false">IF($B22="","",BM22+BN22+BO22+BP22+BQ22)</f>
        <v/>
      </c>
      <c r="CH22" s="17" t="str">
        <f aca="false">IF($B22="","",BS22+BT22)</f>
        <v/>
      </c>
      <c r="CI22" s="17" t="str">
        <f aca="false">IF($B22="","",BU22+BV22)</f>
        <v/>
      </c>
      <c r="CJ22" s="17" t="str">
        <f aca="false">IF($B22="","",BX22+BY22+BZ22)</f>
        <v/>
      </c>
      <c r="CK22" s="23" t="str">
        <f aca="false">IF($B22="","",IF(ABS(CE22+CF22+CG22+CH22+CI22+CJ22-CA22)&lt;1,"OK","MISMATCH"))</f>
        <v/>
      </c>
      <c r="CL22" s="17" t="str">
        <f aca="false">IF($B22="","",IF(N22="","",N22/C22))</f>
        <v/>
      </c>
      <c r="CM22" s="17" t="str">
        <f aca="false">IF($B22="","",IF(N22="","",CA22-N22))</f>
        <v/>
      </c>
      <c r="CN22" s="20" t="str">
        <f aca="false">IF($B22="","",IF(N22="","",CA22/N22-1))</f>
        <v/>
      </c>
      <c r="CO22" s="20" t="str">
        <f aca="false">IF($B22="","",IF(O22="","",CC22/O22-1))</f>
        <v/>
      </c>
      <c r="CP22" s="24" t="str">
        <f aca="false">IF($B22="","",IF(C22&gt;INDEX(tt_maxTR,Q22),"TR above type max; ","")&amp;IF(AI22&gt;r_Lmax,"Evap tube too long; ","")&amp;IF(AR22&gt;r_Lmax,"Cond tube too long; ","")&amp;IF(AA22&gt;r_carnotCap,"COP high vs lift; ","")&amp;IF(AND(R22=1,G22+H22+INDEX(tt_condApp,Q22)&gt;=X22+60),"Check temps; ",""))</f>
        <v/>
      </c>
    </row>
    <row r="23" customFormat="false" ht="15" hidden="false" customHeight="false" outlineLevel="0" collapsed="false">
      <c r="A23" s="9"/>
      <c r="B23" s="9"/>
      <c r="C23" s="10"/>
      <c r="D23" s="11"/>
      <c r="E23" s="12"/>
      <c r="F23" s="12"/>
      <c r="G23" s="12"/>
      <c r="H23" s="12"/>
      <c r="I23" s="13"/>
      <c r="J23" s="9"/>
      <c r="K23" s="9"/>
      <c r="L23" s="14"/>
      <c r="M23" s="14"/>
      <c r="N23" s="10"/>
      <c r="O23" s="10"/>
      <c r="P23" s="15"/>
      <c r="Q23" s="16" t="str">
        <f aca="false">IF($B23="","",MATCH(B23,tt_name,0))</f>
        <v/>
      </c>
      <c r="R23" s="16" t="str">
        <f aca="false">IF($B23="","",INDEX(tt_wc,Q23))</f>
        <v/>
      </c>
      <c r="S23" s="16" t="str">
        <f aca="false">IF($B23="","",IF(INDEX(tt_volt,Q23)="HT",1,0))</f>
        <v/>
      </c>
      <c r="T23" s="16" t="str">
        <f aca="false">IF($B23="","",IF(INDEX(tt_evtype,Q23)="BPHE",1,0))</f>
        <v/>
      </c>
      <c r="U23" s="17" t="str">
        <f aca="false">IF($B23="","",C23*3.517)</f>
        <v/>
      </c>
      <c r="V23" s="17" t="str">
        <f aca="false">IF($B23="","",U23/I23)</f>
        <v/>
      </c>
      <c r="W23" s="17" t="str">
        <f aca="false">IF($B23="","",U23+V23)</f>
        <v/>
      </c>
      <c r="X23" s="18" t="str">
        <f aca="false">IF($B23="","",F23-INDEX(tt_evapApp,Q23))</f>
        <v/>
      </c>
      <c r="Y23" s="18" t="str">
        <f aca="false">IF($B23="","",IF(R23=1,G23+H23+INDEX(tt_condApp,Q23),G23+INDEX(tt_condApp,Q23)))</f>
        <v/>
      </c>
      <c r="Z23" s="19" t="str">
        <f aca="false">IF($B23="","",(X23+273.15)/(Y23-X23))</f>
        <v/>
      </c>
      <c r="AA23" s="20" t="str">
        <f aca="false">IF($B23="","",I23/Z23)</f>
        <v/>
      </c>
      <c r="AB23" s="19" t="str">
        <f aca="false">IF($B23="","",(E23-F23)/LN((E23-X23)/(F23-X23)))</f>
        <v/>
      </c>
      <c r="AC23" s="19" t="str">
        <f aca="false">IF($B23="","",IF(R23=1,H23/LN((Y23-G23)/(Y23-G23-H23)),0))</f>
        <v/>
      </c>
      <c r="AD23" s="19" t="str">
        <f aca="false">IF($B23="","",1/(1/INDEX(tt_Ue,Q23)+L23))</f>
        <v/>
      </c>
      <c r="AE23" s="21" t="str">
        <f aca="false">IF($B23="","",U23/(AD23*AB23))</f>
        <v/>
      </c>
      <c r="AF23" s="17" t="str">
        <f aca="false">IF($B23="","",U23/(r_cpw*(E23-F23))*3.6)</f>
        <v/>
      </c>
      <c r="AG23" s="17" t="str">
        <f aca="false">IF($B23="","",IF(T23=1,0,ROUNDUP(AF23/3600/(INDEX(tt_vel,Q23)*r_tubeAi),0)))</f>
        <v/>
      </c>
      <c r="AH23" s="17" t="str">
        <f aca="false">IF($B23="","",AG23*INDEX(tt_evPass,Q23))</f>
        <v/>
      </c>
      <c r="AI23" s="18" t="str">
        <f aca="false">IF($B23="","",IF(AH23=0,0,ROUNDUP(AE23/(AH23*PI()*r_tubeOD/1000)*10,0)/10))</f>
        <v/>
      </c>
      <c r="AJ23" s="19" t="str">
        <f aca="false">IF($B23="","",IF(AH23=0,0,(SQRT(4*AH23*0.866*(r_pitch*r_tubeOD/1000)^2/r_fill/PI())+r_shellClr)*r_floodFac))</f>
        <v/>
      </c>
      <c r="AK23" s="16" t="str">
        <f aca="false">IF($B23="","",IF(AH23=0,0,MAX(r_tmin,ROUNDUP((r_pDesE/10)*AJ23*1000/(2*r_stress-1.2*r_pDesE/10)+r_ca,0))))</f>
        <v/>
      </c>
      <c r="AL23" s="17" t="str">
        <f aca="false">IF($B23="","",IF(AH23=0,0,(PI()*AJ23*(AI23+0.3)*AK23/1000+(1+r_wbFac)*2*PI()/4*AJ23^2*r_tsheet/1000)*r_rhoSt*(1+r_supFac)))</f>
        <v/>
      </c>
      <c r="AM23" s="19" t="str">
        <f aca="false">IF($B23="","",IF(R23=1,1/(1/INDEX(tt_Uc,Q23)+M23),0))</f>
        <v/>
      </c>
      <c r="AN23" s="21" t="str">
        <f aca="false">IF($B23="","",IF(R23=1,W23/(AM23*AC23),0))</f>
        <v/>
      </c>
      <c r="AO23" s="17" t="str">
        <f aca="false">IF($B23="","",IF(R23=1,W23/(r_cpw*H23)*3.6,0))</f>
        <v/>
      </c>
      <c r="AP23" s="17" t="str">
        <f aca="false">IF($B23="","",IF(R23=1,ROUNDUP(AO23/3600/(INDEX(tt_vel,Q23)*r_tubeAi),0),0))</f>
        <v/>
      </c>
      <c r="AQ23" s="17" t="str">
        <f aca="false">IF($B23="","",AP23*INDEX(tt_cdPass,Q23))</f>
        <v/>
      </c>
      <c r="AR23" s="18" t="str">
        <f aca="false">IF($B23="","",IF(AQ23=0,0,ROUNDUP(AN23/(AQ23*PI()*r_tubeOD/1000)*10,0)/10))</f>
        <v/>
      </c>
      <c r="AS23" s="19" t="str">
        <f aca="false">IF($B23="","",IF(AQ23=0,0,SQRT(4*AQ23*0.866*(r_pitch*r_tubeOD/1000)^2/r_fill/PI())+r_shellClr))</f>
        <v/>
      </c>
      <c r="AT23" s="16" t="str">
        <f aca="false">IF($B23="","",IF(AQ23=0,0,MAX(r_tmin,ROUNDUP((r_pDesC/10)*AS23*1000/(2*r_stress-1.2*r_pDesC/10)+r_ca,0))))</f>
        <v/>
      </c>
      <c r="AU23" s="17" t="str">
        <f aca="false">IF($B23="","",IF(AQ23=0,0,(PI()*AS23*(AR23+0.3)*AT23/1000+(1+r_wbFac)*2*PI()/4*AS23^2*r_tsheet/1000)*r_rhoSt*(1+r_supFac)))</f>
        <v/>
      </c>
      <c r="AV23" s="21" t="str">
        <f aca="false">IF($B23="","",IF(R23=0,W23/(r_airCp*r_airRise*r_airRho),0))</f>
        <v/>
      </c>
      <c r="AW23" s="21" t="str">
        <f aca="false">IF($B23="","",AV23/r_faceV)</f>
        <v/>
      </c>
      <c r="AX23" s="16" t="str">
        <f aca="false">IF($B23="","",IF(R23=0,ROUNDUP(AV23/r_fanFlow,0),0))</f>
        <v/>
      </c>
      <c r="AY23" s="17" t="str">
        <f aca="false">IF($B23="","",IF(INDEX(tt_motSep,Q23)=1,ROUNDUP(V23/r_motEff*r_motMargin/10,0)*10,0))</f>
        <v/>
      </c>
      <c r="AZ23" s="17" t="str">
        <f aca="false">IF($B23="","",IF(AY23&gt;0,AY23,ROUNDUP(V23/r_motEff*r_motMargin/5,0)*5))</f>
        <v/>
      </c>
      <c r="BA23" s="17" t="str">
        <f aca="false">IF($B23="","",AH23*AI23*r_tubeKgM*r_cuTube)</f>
        <v/>
      </c>
      <c r="BB23" s="17" t="str">
        <f aca="false">IF($B23="","",AL23*r_steelFab)</f>
        <v/>
      </c>
      <c r="BC23" s="17" t="str">
        <f aca="false">IF($B23="","",IF(AH23=0,0,PI()*AJ23*AI23*1.15*r_insul))</f>
        <v/>
      </c>
      <c r="BD23" s="17" t="str">
        <f aca="false">IF($B23="","",IF(T23=1,AE23*r_bphe,0))</f>
        <v/>
      </c>
      <c r="BE23" s="17" t="str">
        <f aca="false">IF($B23="","",AQ23*AR23*r_tubeKgM*r_cuTube)</f>
        <v/>
      </c>
      <c r="BF23" s="17" t="str">
        <f aca="false">IF($B23="","",AU23*r_steelFab)</f>
        <v/>
      </c>
      <c r="BG23" s="17" t="str">
        <f aca="false">IF($B23="","",AW23*r_coilFace+AX23*r_fanAC+AW23*r_frameKg*r_steelFab)</f>
        <v/>
      </c>
      <c r="BH23" s="17" t="str">
        <f aca="false">IF($B23="","",INDEX(tt_compRate,Q23)*INDEX(tt_compPref,Q23)*(V23/INDEX(tt_compPref,Q23))^INDEX(tt_compN,Q23))</f>
        <v/>
      </c>
      <c r="BI23" s="17" t="str">
        <f aca="false">IF($B23="","",AY23*IF(S23=1,r_motHT,r_motLT))</f>
        <v/>
      </c>
      <c r="BJ23" s="17" t="str">
        <f aca="false">IF($B23="","",IF(J23="Yes",AZ23*IF(S23=1,r_vfdHT,r_vfdLT),0))</f>
        <v/>
      </c>
      <c r="BK23" s="17" t="str">
        <f aca="false">IF($B23="","",IF(S23=1,r_swgrHT,r_swgrLTbase+r_swgrLTkw*AZ23))</f>
        <v/>
      </c>
      <c r="BL23" s="17" t="str">
        <f aca="false">IF($B23="","",INDEX(tt_lube,Q23))</f>
        <v/>
      </c>
      <c r="BM23" s="17" t="str">
        <f aca="false">IF($B23="","",C23*INDEX(tt_refKg,Q23)*r_refrig)</f>
        <v/>
      </c>
      <c r="BN23" s="17" t="str">
        <f aca="false">IF($B23="","",INDEX(tt_ctl,Q23))</f>
        <v/>
      </c>
      <c r="BO23" s="17" t="str">
        <f aca="false">IF($B23="","",IF(AND(K23="Yes",R23=1),AQ23*r_atcTube+r_atcFixed,0))</f>
        <v/>
      </c>
      <c r="BP23" s="17" t="str">
        <f aca="false">IF($B23="","",r_pipePct*(BA23+BB23+BC23+BD23+BE23+BF23+BG23+BH23))</f>
        <v/>
      </c>
      <c r="BQ23" s="17" t="str">
        <f aca="false">IF($B23="","",r_avm)</f>
        <v/>
      </c>
      <c r="BR23" s="17" t="str">
        <f aca="false">IF($B23="","",SUM(BA23:BQ23))</f>
        <v/>
      </c>
      <c r="BS23" s="17" t="str">
        <f aca="false">IF($B23="","",BR23*r_assyPct)</f>
        <v/>
      </c>
      <c r="BT23" s="17" t="str">
        <f aca="false">IF($B23="","",BR23*r_testPct)</f>
        <v/>
      </c>
      <c r="BU23" s="17" t="str">
        <f aca="false">IF($B23="","",(BR23+BS23+BT23)*r_logPct)</f>
        <v/>
      </c>
      <c r="BV23" s="17" t="str">
        <f aca="false">IF($B23="","",BR23*r_dutyPct)</f>
        <v/>
      </c>
      <c r="BW23" s="17" t="str">
        <f aca="false">IF($B23="","",BR23+BS23+BT23+BU23+BV23)</f>
        <v/>
      </c>
      <c r="BX23" s="17" t="str">
        <f aca="false">IF($B23="","",BW23*r_ohPct)</f>
        <v/>
      </c>
      <c r="BY23" s="17" t="str">
        <f aca="false">IF($B23="","",BW23*r_warrPct)</f>
        <v/>
      </c>
      <c r="BZ23" s="17" t="str">
        <f aca="false">IF($B23="","",(BW23+BX23+BY23)*r_marginPct)</f>
        <v/>
      </c>
      <c r="CA23" s="22" t="str">
        <f aca="false">IF($B23="","",BW23+BX23+BY23+BZ23)</f>
        <v/>
      </c>
      <c r="CB23" s="17" t="str">
        <f aca="false">IF($B23="","",CA23/C23)</f>
        <v/>
      </c>
      <c r="CC23" s="17" t="str">
        <f aca="false">IF($B23="","",CA23*r_ecPct)</f>
        <v/>
      </c>
      <c r="CD23" s="17" t="str">
        <f aca="false">IF($B23="","",(CA23+CC23)*D23)</f>
        <v/>
      </c>
      <c r="CE23" s="17" t="str">
        <f aca="false">IF($B23="","",BA23+BB23+BC23+BD23+BE23+BF23+BG23)</f>
        <v/>
      </c>
      <c r="CF23" s="17" t="str">
        <f aca="false">IF($B23="","",BH23+BI23+BJ23+BK23+BL23)</f>
        <v/>
      </c>
      <c r="CG23" s="17" t="str">
        <f aca="false">IF($B23="","",BM23+BN23+BO23+BP23+BQ23)</f>
        <v/>
      </c>
      <c r="CH23" s="17" t="str">
        <f aca="false">IF($B23="","",BS23+BT23)</f>
        <v/>
      </c>
      <c r="CI23" s="17" t="str">
        <f aca="false">IF($B23="","",BU23+BV23)</f>
        <v/>
      </c>
      <c r="CJ23" s="17" t="str">
        <f aca="false">IF($B23="","",BX23+BY23+BZ23)</f>
        <v/>
      </c>
      <c r="CK23" s="23" t="str">
        <f aca="false">IF($B23="","",IF(ABS(CE23+CF23+CG23+CH23+CI23+CJ23-CA23)&lt;1,"OK","MISMATCH"))</f>
        <v/>
      </c>
      <c r="CL23" s="17" t="str">
        <f aca="false">IF($B23="","",IF(N23="","",N23/C23))</f>
        <v/>
      </c>
      <c r="CM23" s="17" t="str">
        <f aca="false">IF($B23="","",IF(N23="","",CA23-N23))</f>
        <v/>
      </c>
      <c r="CN23" s="20" t="str">
        <f aca="false">IF($B23="","",IF(N23="","",CA23/N23-1))</f>
        <v/>
      </c>
      <c r="CO23" s="20" t="str">
        <f aca="false">IF($B23="","",IF(O23="","",CC23/O23-1))</f>
        <v/>
      </c>
      <c r="CP23" s="24" t="str">
        <f aca="false">IF($B23="","",IF(C23&gt;INDEX(tt_maxTR,Q23),"TR above type max; ","")&amp;IF(AI23&gt;r_Lmax,"Evap tube too long; ","")&amp;IF(AR23&gt;r_Lmax,"Cond tube too long; ","")&amp;IF(AA23&gt;r_carnotCap,"COP high vs lift; ","")&amp;IF(AND(R23=1,G23+H23+INDEX(tt_condApp,Q23)&gt;=X23+60),"Check temps; ",""))</f>
        <v/>
      </c>
    </row>
    <row r="24" customFormat="false" ht="15" hidden="false" customHeight="false" outlineLevel="0" collapsed="false">
      <c r="A24" s="9"/>
      <c r="B24" s="9"/>
      <c r="C24" s="10"/>
      <c r="D24" s="11"/>
      <c r="E24" s="12"/>
      <c r="F24" s="12"/>
      <c r="G24" s="12"/>
      <c r="H24" s="12"/>
      <c r="I24" s="13"/>
      <c r="J24" s="9"/>
      <c r="K24" s="9"/>
      <c r="L24" s="14"/>
      <c r="M24" s="14"/>
      <c r="N24" s="10"/>
      <c r="O24" s="10"/>
      <c r="P24" s="15"/>
      <c r="Q24" s="16" t="str">
        <f aca="false">IF($B24="","",MATCH(B24,tt_name,0))</f>
        <v/>
      </c>
      <c r="R24" s="16" t="str">
        <f aca="false">IF($B24="","",INDEX(tt_wc,Q24))</f>
        <v/>
      </c>
      <c r="S24" s="16" t="str">
        <f aca="false">IF($B24="","",IF(INDEX(tt_volt,Q24)="HT",1,0))</f>
        <v/>
      </c>
      <c r="T24" s="16" t="str">
        <f aca="false">IF($B24="","",IF(INDEX(tt_evtype,Q24)="BPHE",1,0))</f>
        <v/>
      </c>
      <c r="U24" s="17" t="str">
        <f aca="false">IF($B24="","",C24*3.517)</f>
        <v/>
      </c>
      <c r="V24" s="17" t="str">
        <f aca="false">IF($B24="","",U24/I24)</f>
        <v/>
      </c>
      <c r="W24" s="17" t="str">
        <f aca="false">IF($B24="","",U24+V24)</f>
        <v/>
      </c>
      <c r="X24" s="18" t="str">
        <f aca="false">IF($B24="","",F24-INDEX(tt_evapApp,Q24))</f>
        <v/>
      </c>
      <c r="Y24" s="18" t="str">
        <f aca="false">IF($B24="","",IF(R24=1,G24+H24+INDEX(tt_condApp,Q24),G24+INDEX(tt_condApp,Q24)))</f>
        <v/>
      </c>
      <c r="Z24" s="19" t="str">
        <f aca="false">IF($B24="","",(X24+273.15)/(Y24-X24))</f>
        <v/>
      </c>
      <c r="AA24" s="20" t="str">
        <f aca="false">IF($B24="","",I24/Z24)</f>
        <v/>
      </c>
      <c r="AB24" s="19" t="str">
        <f aca="false">IF($B24="","",(E24-F24)/LN((E24-X24)/(F24-X24)))</f>
        <v/>
      </c>
      <c r="AC24" s="19" t="str">
        <f aca="false">IF($B24="","",IF(R24=1,H24/LN((Y24-G24)/(Y24-G24-H24)),0))</f>
        <v/>
      </c>
      <c r="AD24" s="19" t="str">
        <f aca="false">IF($B24="","",1/(1/INDEX(tt_Ue,Q24)+L24))</f>
        <v/>
      </c>
      <c r="AE24" s="21" t="str">
        <f aca="false">IF($B24="","",U24/(AD24*AB24))</f>
        <v/>
      </c>
      <c r="AF24" s="17" t="str">
        <f aca="false">IF($B24="","",U24/(r_cpw*(E24-F24))*3.6)</f>
        <v/>
      </c>
      <c r="AG24" s="17" t="str">
        <f aca="false">IF($B24="","",IF(T24=1,0,ROUNDUP(AF24/3600/(INDEX(tt_vel,Q24)*r_tubeAi),0)))</f>
        <v/>
      </c>
      <c r="AH24" s="17" t="str">
        <f aca="false">IF($B24="","",AG24*INDEX(tt_evPass,Q24))</f>
        <v/>
      </c>
      <c r="AI24" s="18" t="str">
        <f aca="false">IF($B24="","",IF(AH24=0,0,ROUNDUP(AE24/(AH24*PI()*r_tubeOD/1000)*10,0)/10))</f>
        <v/>
      </c>
      <c r="AJ24" s="19" t="str">
        <f aca="false">IF($B24="","",IF(AH24=0,0,(SQRT(4*AH24*0.866*(r_pitch*r_tubeOD/1000)^2/r_fill/PI())+r_shellClr)*r_floodFac))</f>
        <v/>
      </c>
      <c r="AK24" s="16" t="str">
        <f aca="false">IF($B24="","",IF(AH24=0,0,MAX(r_tmin,ROUNDUP((r_pDesE/10)*AJ24*1000/(2*r_stress-1.2*r_pDesE/10)+r_ca,0))))</f>
        <v/>
      </c>
      <c r="AL24" s="17" t="str">
        <f aca="false">IF($B24="","",IF(AH24=0,0,(PI()*AJ24*(AI24+0.3)*AK24/1000+(1+r_wbFac)*2*PI()/4*AJ24^2*r_tsheet/1000)*r_rhoSt*(1+r_supFac)))</f>
        <v/>
      </c>
      <c r="AM24" s="19" t="str">
        <f aca="false">IF($B24="","",IF(R24=1,1/(1/INDEX(tt_Uc,Q24)+M24),0))</f>
        <v/>
      </c>
      <c r="AN24" s="21" t="str">
        <f aca="false">IF($B24="","",IF(R24=1,W24/(AM24*AC24),0))</f>
        <v/>
      </c>
      <c r="AO24" s="17" t="str">
        <f aca="false">IF($B24="","",IF(R24=1,W24/(r_cpw*H24)*3.6,0))</f>
        <v/>
      </c>
      <c r="AP24" s="17" t="str">
        <f aca="false">IF($B24="","",IF(R24=1,ROUNDUP(AO24/3600/(INDEX(tt_vel,Q24)*r_tubeAi),0),0))</f>
        <v/>
      </c>
      <c r="AQ24" s="17" t="str">
        <f aca="false">IF($B24="","",AP24*INDEX(tt_cdPass,Q24))</f>
        <v/>
      </c>
      <c r="AR24" s="18" t="str">
        <f aca="false">IF($B24="","",IF(AQ24=0,0,ROUNDUP(AN24/(AQ24*PI()*r_tubeOD/1000)*10,0)/10))</f>
        <v/>
      </c>
      <c r="AS24" s="19" t="str">
        <f aca="false">IF($B24="","",IF(AQ24=0,0,SQRT(4*AQ24*0.866*(r_pitch*r_tubeOD/1000)^2/r_fill/PI())+r_shellClr))</f>
        <v/>
      </c>
      <c r="AT24" s="16" t="str">
        <f aca="false">IF($B24="","",IF(AQ24=0,0,MAX(r_tmin,ROUNDUP((r_pDesC/10)*AS24*1000/(2*r_stress-1.2*r_pDesC/10)+r_ca,0))))</f>
        <v/>
      </c>
      <c r="AU24" s="17" t="str">
        <f aca="false">IF($B24="","",IF(AQ24=0,0,(PI()*AS24*(AR24+0.3)*AT24/1000+(1+r_wbFac)*2*PI()/4*AS24^2*r_tsheet/1000)*r_rhoSt*(1+r_supFac)))</f>
        <v/>
      </c>
      <c r="AV24" s="21" t="str">
        <f aca="false">IF($B24="","",IF(R24=0,W24/(r_airCp*r_airRise*r_airRho),0))</f>
        <v/>
      </c>
      <c r="AW24" s="21" t="str">
        <f aca="false">IF($B24="","",AV24/r_faceV)</f>
        <v/>
      </c>
      <c r="AX24" s="16" t="str">
        <f aca="false">IF($B24="","",IF(R24=0,ROUNDUP(AV24/r_fanFlow,0),0))</f>
        <v/>
      </c>
      <c r="AY24" s="17" t="str">
        <f aca="false">IF($B24="","",IF(INDEX(tt_motSep,Q24)=1,ROUNDUP(V24/r_motEff*r_motMargin/10,0)*10,0))</f>
        <v/>
      </c>
      <c r="AZ24" s="17" t="str">
        <f aca="false">IF($B24="","",IF(AY24&gt;0,AY24,ROUNDUP(V24/r_motEff*r_motMargin/5,0)*5))</f>
        <v/>
      </c>
      <c r="BA24" s="17" t="str">
        <f aca="false">IF($B24="","",AH24*AI24*r_tubeKgM*r_cuTube)</f>
        <v/>
      </c>
      <c r="BB24" s="17" t="str">
        <f aca="false">IF($B24="","",AL24*r_steelFab)</f>
        <v/>
      </c>
      <c r="BC24" s="17" t="str">
        <f aca="false">IF($B24="","",IF(AH24=0,0,PI()*AJ24*AI24*1.15*r_insul))</f>
        <v/>
      </c>
      <c r="BD24" s="17" t="str">
        <f aca="false">IF($B24="","",IF(T24=1,AE24*r_bphe,0))</f>
        <v/>
      </c>
      <c r="BE24" s="17" t="str">
        <f aca="false">IF($B24="","",AQ24*AR24*r_tubeKgM*r_cuTube)</f>
        <v/>
      </c>
      <c r="BF24" s="17" t="str">
        <f aca="false">IF($B24="","",AU24*r_steelFab)</f>
        <v/>
      </c>
      <c r="BG24" s="17" t="str">
        <f aca="false">IF($B24="","",AW24*r_coilFace+AX24*r_fanAC+AW24*r_frameKg*r_steelFab)</f>
        <v/>
      </c>
      <c r="BH24" s="17" t="str">
        <f aca="false">IF($B24="","",INDEX(tt_compRate,Q24)*INDEX(tt_compPref,Q24)*(V24/INDEX(tt_compPref,Q24))^INDEX(tt_compN,Q24))</f>
        <v/>
      </c>
      <c r="BI24" s="17" t="str">
        <f aca="false">IF($B24="","",AY24*IF(S24=1,r_motHT,r_motLT))</f>
        <v/>
      </c>
      <c r="BJ24" s="17" t="str">
        <f aca="false">IF($B24="","",IF(J24="Yes",AZ24*IF(S24=1,r_vfdHT,r_vfdLT),0))</f>
        <v/>
      </c>
      <c r="BK24" s="17" t="str">
        <f aca="false">IF($B24="","",IF(S24=1,r_swgrHT,r_swgrLTbase+r_swgrLTkw*AZ24))</f>
        <v/>
      </c>
      <c r="BL24" s="17" t="str">
        <f aca="false">IF($B24="","",INDEX(tt_lube,Q24))</f>
        <v/>
      </c>
      <c r="BM24" s="17" t="str">
        <f aca="false">IF($B24="","",C24*INDEX(tt_refKg,Q24)*r_refrig)</f>
        <v/>
      </c>
      <c r="BN24" s="17" t="str">
        <f aca="false">IF($B24="","",INDEX(tt_ctl,Q24))</f>
        <v/>
      </c>
      <c r="BO24" s="17" t="str">
        <f aca="false">IF($B24="","",IF(AND(K24="Yes",R24=1),AQ24*r_atcTube+r_atcFixed,0))</f>
        <v/>
      </c>
      <c r="BP24" s="17" t="str">
        <f aca="false">IF($B24="","",r_pipePct*(BA24+BB24+BC24+BD24+BE24+BF24+BG24+BH24))</f>
        <v/>
      </c>
      <c r="BQ24" s="17" t="str">
        <f aca="false">IF($B24="","",r_avm)</f>
        <v/>
      </c>
      <c r="BR24" s="17" t="str">
        <f aca="false">IF($B24="","",SUM(BA24:BQ24))</f>
        <v/>
      </c>
      <c r="BS24" s="17" t="str">
        <f aca="false">IF($B24="","",BR24*r_assyPct)</f>
        <v/>
      </c>
      <c r="BT24" s="17" t="str">
        <f aca="false">IF($B24="","",BR24*r_testPct)</f>
        <v/>
      </c>
      <c r="BU24" s="17" t="str">
        <f aca="false">IF($B24="","",(BR24+BS24+BT24)*r_logPct)</f>
        <v/>
      </c>
      <c r="BV24" s="17" t="str">
        <f aca="false">IF($B24="","",BR24*r_dutyPct)</f>
        <v/>
      </c>
      <c r="BW24" s="17" t="str">
        <f aca="false">IF($B24="","",BR24+BS24+BT24+BU24+BV24)</f>
        <v/>
      </c>
      <c r="BX24" s="17" t="str">
        <f aca="false">IF($B24="","",BW24*r_ohPct)</f>
        <v/>
      </c>
      <c r="BY24" s="17" t="str">
        <f aca="false">IF($B24="","",BW24*r_warrPct)</f>
        <v/>
      </c>
      <c r="BZ24" s="17" t="str">
        <f aca="false">IF($B24="","",(BW24+BX24+BY24)*r_marginPct)</f>
        <v/>
      </c>
      <c r="CA24" s="22" t="str">
        <f aca="false">IF($B24="","",BW24+BX24+BY24+BZ24)</f>
        <v/>
      </c>
      <c r="CB24" s="17" t="str">
        <f aca="false">IF($B24="","",CA24/C24)</f>
        <v/>
      </c>
      <c r="CC24" s="17" t="str">
        <f aca="false">IF($B24="","",CA24*r_ecPct)</f>
        <v/>
      </c>
      <c r="CD24" s="17" t="str">
        <f aca="false">IF($B24="","",(CA24+CC24)*D24)</f>
        <v/>
      </c>
      <c r="CE24" s="17" t="str">
        <f aca="false">IF($B24="","",BA24+BB24+BC24+BD24+BE24+BF24+BG24)</f>
        <v/>
      </c>
      <c r="CF24" s="17" t="str">
        <f aca="false">IF($B24="","",BH24+BI24+BJ24+BK24+BL24)</f>
        <v/>
      </c>
      <c r="CG24" s="17" t="str">
        <f aca="false">IF($B24="","",BM24+BN24+BO24+BP24+BQ24)</f>
        <v/>
      </c>
      <c r="CH24" s="17" t="str">
        <f aca="false">IF($B24="","",BS24+BT24)</f>
        <v/>
      </c>
      <c r="CI24" s="17" t="str">
        <f aca="false">IF($B24="","",BU24+BV24)</f>
        <v/>
      </c>
      <c r="CJ24" s="17" t="str">
        <f aca="false">IF($B24="","",BX24+BY24+BZ24)</f>
        <v/>
      </c>
      <c r="CK24" s="23" t="str">
        <f aca="false">IF($B24="","",IF(ABS(CE24+CF24+CG24+CH24+CI24+CJ24-CA24)&lt;1,"OK","MISMATCH"))</f>
        <v/>
      </c>
      <c r="CL24" s="17" t="str">
        <f aca="false">IF($B24="","",IF(N24="","",N24/C24))</f>
        <v/>
      </c>
      <c r="CM24" s="17" t="str">
        <f aca="false">IF($B24="","",IF(N24="","",CA24-N24))</f>
        <v/>
      </c>
      <c r="CN24" s="20" t="str">
        <f aca="false">IF($B24="","",IF(N24="","",CA24/N24-1))</f>
        <v/>
      </c>
      <c r="CO24" s="20" t="str">
        <f aca="false">IF($B24="","",IF(O24="","",CC24/O24-1))</f>
        <v/>
      </c>
      <c r="CP24" s="24" t="str">
        <f aca="false">IF($B24="","",IF(C24&gt;INDEX(tt_maxTR,Q24),"TR above type max; ","")&amp;IF(AI24&gt;r_Lmax,"Evap tube too long; ","")&amp;IF(AR24&gt;r_Lmax,"Cond tube too long; ","")&amp;IF(AA24&gt;r_carnotCap,"COP high vs lift; ","")&amp;IF(AND(R24=1,G24+H24+INDEX(tt_condApp,Q24)&gt;=X24+60),"Check temps; ",""))</f>
        <v/>
      </c>
    </row>
    <row r="25" customFormat="false" ht="15" hidden="false" customHeight="false" outlineLevel="0" collapsed="false">
      <c r="A25" s="9"/>
      <c r="B25" s="9"/>
      <c r="C25" s="10"/>
      <c r="D25" s="11"/>
      <c r="E25" s="12"/>
      <c r="F25" s="12"/>
      <c r="G25" s="12"/>
      <c r="H25" s="12"/>
      <c r="I25" s="13"/>
      <c r="J25" s="9"/>
      <c r="K25" s="9"/>
      <c r="L25" s="14"/>
      <c r="M25" s="14"/>
      <c r="N25" s="10"/>
      <c r="O25" s="10"/>
      <c r="P25" s="15"/>
      <c r="Q25" s="16" t="str">
        <f aca="false">IF($B25="","",MATCH(B25,tt_name,0))</f>
        <v/>
      </c>
      <c r="R25" s="16" t="str">
        <f aca="false">IF($B25="","",INDEX(tt_wc,Q25))</f>
        <v/>
      </c>
      <c r="S25" s="16" t="str">
        <f aca="false">IF($B25="","",IF(INDEX(tt_volt,Q25)="HT",1,0))</f>
        <v/>
      </c>
      <c r="T25" s="16" t="str">
        <f aca="false">IF($B25="","",IF(INDEX(tt_evtype,Q25)="BPHE",1,0))</f>
        <v/>
      </c>
      <c r="U25" s="17" t="str">
        <f aca="false">IF($B25="","",C25*3.517)</f>
        <v/>
      </c>
      <c r="V25" s="17" t="str">
        <f aca="false">IF($B25="","",U25/I25)</f>
        <v/>
      </c>
      <c r="W25" s="17" t="str">
        <f aca="false">IF($B25="","",U25+V25)</f>
        <v/>
      </c>
      <c r="X25" s="18" t="str">
        <f aca="false">IF($B25="","",F25-INDEX(tt_evapApp,Q25))</f>
        <v/>
      </c>
      <c r="Y25" s="18" t="str">
        <f aca="false">IF($B25="","",IF(R25=1,G25+H25+INDEX(tt_condApp,Q25),G25+INDEX(tt_condApp,Q25)))</f>
        <v/>
      </c>
      <c r="Z25" s="19" t="str">
        <f aca="false">IF($B25="","",(X25+273.15)/(Y25-X25))</f>
        <v/>
      </c>
      <c r="AA25" s="20" t="str">
        <f aca="false">IF($B25="","",I25/Z25)</f>
        <v/>
      </c>
      <c r="AB25" s="19" t="str">
        <f aca="false">IF($B25="","",(E25-F25)/LN((E25-X25)/(F25-X25)))</f>
        <v/>
      </c>
      <c r="AC25" s="19" t="str">
        <f aca="false">IF($B25="","",IF(R25=1,H25/LN((Y25-G25)/(Y25-G25-H25)),0))</f>
        <v/>
      </c>
      <c r="AD25" s="19" t="str">
        <f aca="false">IF($B25="","",1/(1/INDEX(tt_Ue,Q25)+L25))</f>
        <v/>
      </c>
      <c r="AE25" s="21" t="str">
        <f aca="false">IF($B25="","",U25/(AD25*AB25))</f>
        <v/>
      </c>
      <c r="AF25" s="17" t="str">
        <f aca="false">IF($B25="","",U25/(r_cpw*(E25-F25))*3.6)</f>
        <v/>
      </c>
      <c r="AG25" s="17" t="str">
        <f aca="false">IF($B25="","",IF(T25=1,0,ROUNDUP(AF25/3600/(INDEX(tt_vel,Q25)*r_tubeAi),0)))</f>
        <v/>
      </c>
      <c r="AH25" s="17" t="str">
        <f aca="false">IF($B25="","",AG25*INDEX(tt_evPass,Q25))</f>
        <v/>
      </c>
      <c r="AI25" s="18" t="str">
        <f aca="false">IF($B25="","",IF(AH25=0,0,ROUNDUP(AE25/(AH25*PI()*r_tubeOD/1000)*10,0)/10))</f>
        <v/>
      </c>
      <c r="AJ25" s="19" t="str">
        <f aca="false">IF($B25="","",IF(AH25=0,0,(SQRT(4*AH25*0.866*(r_pitch*r_tubeOD/1000)^2/r_fill/PI())+r_shellClr)*r_floodFac))</f>
        <v/>
      </c>
      <c r="AK25" s="16" t="str">
        <f aca="false">IF($B25="","",IF(AH25=0,0,MAX(r_tmin,ROUNDUP((r_pDesE/10)*AJ25*1000/(2*r_stress-1.2*r_pDesE/10)+r_ca,0))))</f>
        <v/>
      </c>
      <c r="AL25" s="17" t="str">
        <f aca="false">IF($B25="","",IF(AH25=0,0,(PI()*AJ25*(AI25+0.3)*AK25/1000+(1+r_wbFac)*2*PI()/4*AJ25^2*r_tsheet/1000)*r_rhoSt*(1+r_supFac)))</f>
        <v/>
      </c>
      <c r="AM25" s="19" t="str">
        <f aca="false">IF($B25="","",IF(R25=1,1/(1/INDEX(tt_Uc,Q25)+M25),0))</f>
        <v/>
      </c>
      <c r="AN25" s="21" t="str">
        <f aca="false">IF($B25="","",IF(R25=1,W25/(AM25*AC25),0))</f>
        <v/>
      </c>
      <c r="AO25" s="17" t="str">
        <f aca="false">IF($B25="","",IF(R25=1,W25/(r_cpw*H25)*3.6,0))</f>
        <v/>
      </c>
      <c r="AP25" s="17" t="str">
        <f aca="false">IF($B25="","",IF(R25=1,ROUNDUP(AO25/3600/(INDEX(tt_vel,Q25)*r_tubeAi),0),0))</f>
        <v/>
      </c>
      <c r="AQ25" s="17" t="str">
        <f aca="false">IF($B25="","",AP25*INDEX(tt_cdPass,Q25))</f>
        <v/>
      </c>
      <c r="AR25" s="18" t="str">
        <f aca="false">IF($B25="","",IF(AQ25=0,0,ROUNDUP(AN25/(AQ25*PI()*r_tubeOD/1000)*10,0)/10))</f>
        <v/>
      </c>
      <c r="AS25" s="19" t="str">
        <f aca="false">IF($B25="","",IF(AQ25=0,0,SQRT(4*AQ25*0.866*(r_pitch*r_tubeOD/1000)^2/r_fill/PI())+r_shellClr))</f>
        <v/>
      </c>
      <c r="AT25" s="16" t="str">
        <f aca="false">IF($B25="","",IF(AQ25=0,0,MAX(r_tmin,ROUNDUP((r_pDesC/10)*AS25*1000/(2*r_stress-1.2*r_pDesC/10)+r_ca,0))))</f>
        <v/>
      </c>
      <c r="AU25" s="17" t="str">
        <f aca="false">IF($B25="","",IF(AQ25=0,0,(PI()*AS25*(AR25+0.3)*AT25/1000+(1+r_wbFac)*2*PI()/4*AS25^2*r_tsheet/1000)*r_rhoSt*(1+r_supFac)))</f>
        <v/>
      </c>
      <c r="AV25" s="21" t="str">
        <f aca="false">IF($B25="","",IF(R25=0,W25/(r_airCp*r_airRise*r_airRho),0))</f>
        <v/>
      </c>
      <c r="AW25" s="21" t="str">
        <f aca="false">IF($B25="","",AV25/r_faceV)</f>
        <v/>
      </c>
      <c r="AX25" s="16" t="str">
        <f aca="false">IF($B25="","",IF(R25=0,ROUNDUP(AV25/r_fanFlow,0),0))</f>
        <v/>
      </c>
      <c r="AY25" s="17" t="str">
        <f aca="false">IF($B25="","",IF(INDEX(tt_motSep,Q25)=1,ROUNDUP(V25/r_motEff*r_motMargin/10,0)*10,0))</f>
        <v/>
      </c>
      <c r="AZ25" s="17" t="str">
        <f aca="false">IF($B25="","",IF(AY25&gt;0,AY25,ROUNDUP(V25/r_motEff*r_motMargin/5,0)*5))</f>
        <v/>
      </c>
      <c r="BA25" s="17" t="str">
        <f aca="false">IF($B25="","",AH25*AI25*r_tubeKgM*r_cuTube)</f>
        <v/>
      </c>
      <c r="BB25" s="17" t="str">
        <f aca="false">IF($B25="","",AL25*r_steelFab)</f>
        <v/>
      </c>
      <c r="BC25" s="17" t="str">
        <f aca="false">IF($B25="","",IF(AH25=0,0,PI()*AJ25*AI25*1.15*r_insul))</f>
        <v/>
      </c>
      <c r="BD25" s="17" t="str">
        <f aca="false">IF($B25="","",IF(T25=1,AE25*r_bphe,0))</f>
        <v/>
      </c>
      <c r="BE25" s="17" t="str">
        <f aca="false">IF($B25="","",AQ25*AR25*r_tubeKgM*r_cuTube)</f>
        <v/>
      </c>
      <c r="BF25" s="17" t="str">
        <f aca="false">IF($B25="","",AU25*r_steelFab)</f>
        <v/>
      </c>
      <c r="BG25" s="17" t="str">
        <f aca="false">IF($B25="","",AW25*r_coilFace+AX25*r_fanAC+AW25*r_frameKg*r_steelFab)</f>
        <v/>
      </c>
      <c r="BH25" s="17" t="str">
        <f aca="false">IF($B25="","",INDEX(tt_compRate,Q25)*INDEX(tt_compPref,Q25)*(V25/INDEX(tt_compPref,Q25))^INDEX(tt_compN,Q25))</f>
        <v/>
      </c>
      <c r="BI25" s="17" t="str">
        <f aca="false">IF($B25="","",AY25*IF(S25=1,r_motHT,r_motLT))</f>
        <v/>
      </c>
      <c r="BJ25" s="17" t="str">
        <f aca="false">IF($B25="","",IF(J25="Yes",AZ25*IF(S25=1,r_vfdHT,r_vfdLT),0))</f>
        <v/>
      </c>
      <c r="BK25" s="17" t="str">
        <f aca="false">IF($B25="","",IF(S25=1,r_swgrHT,r_swgrLTbase+r_swgrLTkw*AZ25))</f>
        <v/>
      </c>
      <c r="BL25" s="17" t="str">
        <f aca="false">IF($B25="","",INDEX(tt_lube,Q25))</f>
        <v/>
      </c>
      <c r="BM25" s="17" t="str">
        <f aca="false">IF($B25="","",C25*INDEX(tt_refKg,Q25)*r_refrig)</f>
        <v/>
      </c>
      <c r="BN25" s="17" t="str">
        <f aca="false">IF($B25="","",INDEX(tt_ctl,Q25))</f>
        <v/>
      </c>
      <c r="BO25" s="17" t="str">
        <f aca="false">IF($B25="","",IF(AND(K25="Yes",R25=1),AQ25*r_atcTube+r_atcFixed,0))</f>
        <v/>
      </c>
      <c r="BP25" s="17" t="str">
        <f aca="false">IF($B25="","",r_pipePct*(BA25+BB25+BC25+BD25+BE25+BF25+BG25+BH25))</f>
        <v/>
      </c>
      <c r="BQ25" s="17" t="str">
        <f aca="false">IF($B25="","",r_avm)</f>
        <v/>
      </c>
      <c r="BR25" s="17" t="str">
        <f aca="false">IF($B25="","",SUM(BA25:BQ25))</f>
        <v/>
      </c>
      <c r="BS25" s="17" t="str">
        <f aca="false">IF($B25="","",BR25*r_assyPct)</f>
        <v/>
      </c>
      <c r="BT25" s="17" t="str">
        <f aca="false">IF($B25="","",BR25*r_testPct)</f>
        <v/>
      </c>
      <c r="BU25" s="17" t="str">
        <f aca="false">IF($B25="","",(BR25+BS25+BT25)*r_logPct)</f>
        <v/>
      </c>
      <c r="BV25" s="17" t="str">
        <f aca="false">IF($B25="","",BR25*r_dutyPct)</f>
        <v/>
      </c>
      <c r="BW25" s="17" t="str">
        <f aca="false">IF($B25="","",BR25+BS25+BT25+BU25+BV25)</f>
        <v/>
      </c>
      <c r="BX25" s="17" t="str">
        <f aca="false">IF($B25="","",BW25*r_ohPct)</f>
        <v/>
      </c>
      <c r="BY25" s="17" t="str">
        <f aca="false">IF($B25="","",BW25*r_warrPct)</f>
        <v/>
      </c>
      <c r="BZ25" s="17" t="str">
        <f aca="false">IF($B25="","",(BW25+BX25+BY25)*r_marginPct)</f>
        <v/>
      </c>
      <c r="CA25" s="22" t="str">
        <f aca="false">IF($B25="","",BW25+BX25+BY25+BZ25)</f>
        <v/>
      </c>
      <c r="CB25" s="17" t="str">
        <f aca="false">IF($B25="","",CA25/C25)</f>
        <v/>
      </c>
      <c r="CC25" s="17" t="str">
        <f aca="false">IF($B25="","",CA25*r_ecPct)</f>
        <v/>
      </c>
      <c r="CD25" s="17" t="str">
        <f aca="false">IF($B25="","",(CA25+CC25)*D25)</f>
        <v/>
      </c>
      <c r="CE25" s="17" t="str">
        <f aca="false">IF($B25="","",BA25+BB25+BC25+BD25+BE25+BF25+BG25)</f>
        <v/>
      </c>
      <c r="CF25" s="17" t="str">
        <f aca="false">IF($B25="","",BH25+BI25+BJ25+BK25+BL25)</f>
        <v/>
      </c>
      <c r="CG25" s="17" t="str">
        <f aca="false">IF($B25="","",BM25+BN25+BO25+BP25+BQ25)</f>
        <v/>
      </c>
      <c r="CH25" s="17" t="str">
        <f aca="false">IF($B25="","",BS25+BT25)</f>
        <v/>
      </c>
      <c r="CI25" s="17" t="str">
        <f aca="false">IF($B25="","",BU25+BV25)</f>
        <v/>
      </c>
      <c r="CJ25" s="17" t="str">
        <f aca="false">IF($B25="","",BX25+BY25+BZ25)</f>
        <v/>
      </c>
      <c r="CK25" s="23" t="str">
        <f aca="false">IF($B25="","",IF(ABS(CE25+CF25+CG25+CH25+CI25+CJ25-CA25)&lt;1,"OK","MISMATCH"))</f>
        <v/>
      </c>
      <c r="CL25" s="17" t="str">
        <f aca="false">IF($B25="","",IF(N25="","",N25/C25))</f>
        <v/>
      </c>
      <c r="CM25" s="17" t="str">
        <f aca="false">IF($B25="","",IF(N25="","",CA25-N25))</f>
        <v/>
      </c>
      <c r="CN25" s="20" t="str">
        <f aca="false">IF($B25="","",IF(N25="","",CA25/N25-1))</f>
        <v/>
      </c>
      <c r="CO25" s="20" t="str">
        <f aca="false">IF($B25="","",IF(O25="","",CC25/O25-1))</f>
        <v/>
      </c>
      <c r="CP25" s="24" t="str">
        <f aca="false">IF($B25="","",IF(C25&gt;INDEX(tt_maxTR,Q25),"TR above type max; ","")&amp;IF(AI25&gt;r_Lmax,"Evap tube too long; ","")&amp;IF(AR25&gt;r_Lmax,"Cond tube too long; ","")&amp;IF(AA25&gt;r_carnotCap,"COP high vs lift; ","")&amp;IF(AND(R25=1,G25+H25+INDEX(tt_condApp,Q25)&gt;=X25+60),"Check temps; ",""))</f>
        <v/>
      </c>
    </row>
    <row r="26" customFormat="false" ht="15" hidden="false" customHeight="false" outlineLevel="0" collapsed="false">
      <c r="A26" s="9"/>
      <c r="B26" s="9"/>
      <c r="C26" s="10"/>
      <c r="D26" s="11"/>
      <c r="E26" s="12"/>
      <c r="F26" s="12"/>
      <c r="G26" s="12"/>
      <c r="H26" s="12"/>
      <c r="I26" s="13"/>
      <c r="J26" s="9"/>
      <c r="K26" s="9"/>
      <c r="L26" s="14"/>
      <c r="M26" s="14"/>
      <c r="N26" s="10"/>
      <c r="O26" s="10"/>
      <c r="P26" s="15"/>
      <c r="Q26" s="16" t="str">
        <f aca="false">IF($B26="","",MATCH(B26,tt_name,0))</f>
        <v/>
      </c>
      <c r="R26" s="16" t="str">
        <f aca="false">IF($B26="","",INDEX(tt_wc,Q26))</f>
        <v/>
      </c>
      <c r="S26" s="16" t="str">
        <f aca="false">IF($B26="","",IF(INDEX(tt_volt,Q26)="HT",1,0))</f>
        <v/>
      </c>
      <c r="T26" s="16" t="str">
        <f aca="false">IF($B26="","",IF(INDEX(tt_evtype,Q26)="BPHE",1,0))</f>
        <v/>
      </c>
      <c r="U26" s="17" t="str">
        <f aca="false">IF($B26="","",C26*3.517)</f>
        <v/>
      </c>
      <c r="V26" s="17" t="str">
        <f aca="false">IF($B26="","",U26/I26)</f>
        <v/>
      </c>
      <c r="W26" s="17" t="str">
        <f aca="false">IF($B26="","",U26+V26)</f>
        <v/>
      </c>
      <c r="X26" s="18" t="str">
        <f aca="false">IF($B26="","",F26-INDEX(tt_evapApp,Q26))</f>
        <v/>
      </c>
      <c r="Y26" s="18" t="str">
        <f aca="false">IF($B26="","",IF(R26=1,G26+H26+INDEX(tt_condApp,Q26),G26+INDEX(tt_condApp,Q26)))</f>
        <v/>
      </c>
      <c r="Z26" s="19" t="str">
        <f aca="false">IF($B26="","",(X26+273.15)/(Y26-X26))</f>
        <v/>
      </c>
      <c r="AA26" s="20" t="str">
        <f aca="false">IF($B26="","",I26/Z26)</f>
        <v/>
      </c>
      <c r="AB26" s="19" t="str">
        <f aca="false">IF($B26="","",(E26-F26)/LN((E26-X26)/(F26-X26)))</f>
        <v/>
      </c>
      <c r="AC26" s="19" t="str">
        <f aca="false">IF($B26="","",IF(R26=1,H26/LN((Y26-G26)/(Y26-G26-H26)),0))</f>
        <v/>
      </c>
      <c r="AD26" s="19" t="str">
        <f aca="false">IF($B26="","",1/(1/INDEX(tt_Ue,Q26)+L26))</f>
        <v/>
      </c>
      <c r="AE26" s="21" t="str">
        <f aca="false">IF($B26="","",U26/(AD26*AB26))</f>
        <v/>
      </c>
      <c r="AF26" s="17" t="str">
        <f aca="false">IF($B26="","",U26/(r_cpw*(E26-F26))*3.6)</f>
        <v/>
      </c>
      <c r="AG26" s="17" t="str">
        <f aca="false">IF($B26="","",IF(T26=1,0,ROUNDUP(AF26/3600/(INDEX(tt_vel,Q26)*r_tubeAi),0)))</f>
        <v/>
      </c>
      <c r="AH26" s="17" t="str">
        <f aca="false">IF($B26="","",AG26*INDEX(tt_evPass,Q26))</f>
        <v/>
      </c>
      <c r="AI26" s="18" t="str">
        <f aca="false">IF($B26="","",IF(AH26=0,0,ROUNDUP(AE26/(AH26*PI()*r_tubeOD/1000)*10,0)/10))</f>
        <v/>
      </c>
      <c r="AJ26" s="19" t="str">
        <f aca="false">IF($B26="","",IF(AH26=0,0,(SQRT(4*AH26*0.866*(r_pitch*r_tubeOD/1000)^2/r_fill/PI())+r_shellClr)*r_floodFac))</f>
        <v/>
      </c>
      <c r="AK26" s="16" t="str">
        <f aca="false">IF($B26="","",IF(AH26=0,0,MAX(r_tmin,ROUNDUP((r_pDesE/10)*AJ26*1000/(2*r_stress-1.2*r_pDesE/10)+r_ca,0))))</f>
        <v/>
      </c>
      <c r="AL26" s="17" t="str">
        <f aca="false">IF($B26="","",IF(AH26=0,0,(PI()*AJ26*(AI26+0.3)*AK26/1000+(1+r_wbFac)*2*PI()/4*AJ26^2*r_tsheet/1000)*r_rhoSt*(1+r_supFac)))</f>
        <v/>
      </c>
      <c r="AM26" s="19" t="str">
        <f aca="false">IF($B26="","",IF(R26=1,1/(1/INDEX(tt_Uc,Q26)+M26),0))</f>
        <v/>
      </c>
      <c r="AN26" s="21" t="str">
        <f aca="false">IF($B26="","",IF(R26=1,W26/(AM26*AC26),0))</f>
        <v/>
      </c>
      <c r="AO26" s="17" t="str">
        <f aca="false">IF($B26="","",IF(R26=1,W26/(r_cpw*H26)*3.6,0))</f>
        <v/>
      </c>
      <c r="AP26" s="17" t="str">
        <f aca="false">IF($B26="","",IF(R26=1,ROUNDUP(AO26/3600/(INDEX(tt_vel,Q26)*r_tubeAi),0),0))</f>
        <v/>
      </c>
      <c r="AQ26" s="17" t="str">
        <f aca="false">IF($B26="","",AP26*INDEX(tt_cdPass,Q26))</f>
        <v/>
      </c>
      <c r="AR26" s="18" t="str">
        <f aca="false">IF($B26="","",IF(AQ26=0,0,ROUNDUP(AN26/(AQ26*PI()*r_tubeOD/1000)*10,0)/10))</f>
        <v/>
      </c>
      <c r="AS26" s="19" t="str">
        <f aca="false">IF($B26="","",IF(AQ26=0,0,SQRT(4*AQ26*0.866*(r_pitch*r_tubeOD/1000)^2/r_fill/PI())+r_shellClr))</f>
        <v/>
      </c>
      <c r="AT26" s="16" t="str">
        <f aca="false">IF($B26="","",IF(AQ26=0,0,MAX(r_tmin,ROUNDUP((r_pDesC/10)*AS26*1000/(2*r_stress-1.2*r_pDesC/10)+r_ca,0))))</f>
        <v/>
      </c>
      <c r="AU26" s="17" t="str">
        <f aca="false">IF($B26="","",IF(AQ26=0,0,(PI()*AS26*(AR26+0.3)*AT26/1000+(1+r_wbFac)*2*PI()/4*AS26^2*r_tsheet/1000)*r_rhoSt*(1+r_supFac)))</f>
        <v/>
      </c>
      <c r="AV26" s="21" t="str">
        <f aca="false">IF($B26="","",IF(R26=0,W26/(r_airCp*r_airRise*r_airRho),0))</f>
        <v/>
      </c>
      <c r="AW26" s="21" t="str">
        <f aca="false">IF($B26="","",AV26/r_faceV)</f>
        <v/>
      </c>
      <c r="AX26" s="16" t="str">
        <f aca="false">IF($B26="","",IF(R26=0,ROUNDUP(AV26/r_fanFlow,0),0))</f>
        <v/>
      </c>
      <c r="AY26" s="17" t="str">
        <f aca="false">IF($B26="","",IF(INDEX(tt_motSep,Q26)=1,ROUNDUP(V26/r_motEff*r_motMargin/10,0)*10,0))</f>
        <v/>
      </c>
      <c r="AZ26" s="17" t="str">
        <f aca="false">IF($B26="","",IF(AY26&gt;0,AY26,ROUNDUP(V26/r_motEff*r_motMargin/5,0)*5))</f>
        <v/>
      </c>
      <c r="BA26" s="17" t="str">
        <f aca="false">IF($B26="","",AH26*AI26*r_tubeKgM*r_cuTube)</f>
        <v/>
      </c>
      <c r="BB26" s="17" t="str">
        <f aca="false">IF($B26="","",AL26*r_steelFab)</f>
        <v/>
      </c>
      <c r="BC26" s="17" t="str">
        <f aca="false">IF($B26="","",IF(AH26=0,0,PI()*AJ26*AI26*1.15*r_insul))</f>
        <v/>
      </c>
      <c r="BD26" s="17" t="str">
        <f aca="false">IF($B26="","",IF(T26=1,AE26*r_bphe,0))</f>
        <v/>
      </c>
      <c r="BE26" s="17" t="str">
        <f aca="false">IF($B26="","",AQ26*AR26*r_tubeKgM*r_cuTube)</f>
        <v/>
      </c>
      <c r="BF26" s="17" t="str">
        <f aca="false">IF($B26="","",AU26*r_steelFab)</f>
        <v/>
      </c>
      <c r="BG26" s="17" t="str">
        <f aca="false">IF($B26="","",AW26*r_coilFace+AX26*r_fanAC+AW26*r_frameKg*r_steelFab)</f>
        <v/>
      </c>
      <c r="BH26" s="17" t="str">
        <f aca="false">IF($B26="","",INDEX(tt_compRate,Q26)*INDEX(tt_compPref,Q26)*(V26/INDEX(tt_compPref,Q26))^INDEX(tt_compN,Q26))</f>
        <v/>
      </c>
      <c r="BI26" s="17" t="str">
        <f aca="false">IF($B26="","",AY26*IF(S26=1,r_motHT,r_motLT))</f>
        <v/>
      </c>
      <c r="BJ26" s="17" t="str">
        <f aca="false">IF($B26="","",IF(J26="Yes",AZ26*IF(S26=1,r_vfdHT,r_vfdLT),0))</f>
        <v/>
      </c>
      <c r="BK26" s="17" t="str">
        <f aca="false">IF($B26="","",IF(S26=1,r_swgrHT,r_swgrLTbase+r_swgrLTkw*AZ26))</f>
        <v/>
      </c>
      <c r="BL26" s="17" t="str">
        <f aca="false">IF($B26="","",INDEX(tt_lube,Q26))</f>
        <v/>
      </c>
      <c r="BM26" s="17" t="str">
        <f aca="false">IF($B26="","",C26*INDEX(tt_refKg,Q26)*r_refrig)</f>
        <v/>
      </c>
      <c r="BN26" s="17" t="str">
        <f aca="false">IF($B26="","",INDEX(tt_ctl,Q26))</f>
        <v/>
      </c>
      <c r="BO26" s="17" t="str">
        <f aca="false">IF($B26="","",IF(AND(K26="Yes",R26=1),AQ26*r_atcTube+r_atcFixed,0))</f>
        <v/>
      </c>
      <c r="BP26" s="17" t="str">
        <f aca="false">IF($B26="","",r_pipePct*(BA26+BB26+BC26+BD26+BE26+BF26+BG26+BH26))</f>
        <v/>
      </c>
      <c r="BQ26" s="17" t="str">
        <f aca="false">IF($B26="","",r_avm)</f>
        <v/>
      </c>
      <c r="BR26" s="17" t="str">
        <f aca="false">IF($B26="","",SUM(BA26:BQ26))</f>
        <v/>
      </c>
      <c r="BS26" s="17" t="str">
        <f aca="false">IF($B26="","",BR26*r_assyPct)</f>
        <v/>
      </c>
      <c r="BT26" s="17" t="str">
        <f aca="false">IF($B26="","",BR26*r_testPct)</f>
        <v/>
      </c>
      <c r="BU26" s="17" t="str">
        <f aca="false">IF($B26="","",(BR26+BS26+BT26)*r_logPct)</f>
        <v/>
      </c>
      <c r="BV26" s="17" t="str">
        <f aca="false">IF($B26="","",BR26*r_dutyPct)</f>
        <v/>
      </c>
      <c r="BW26" s="17" t="str">
        <f aca="false">IF($B26="","",BR26+BS26+BT26+BU26+BV26)</f>
        <v/>
      </c>
      <c r="BX26" s="17" t="str">
        <f aca="false">IF($B26="","",BW26*r_ohPct)</f>
        <v/>
      </c>
      <c r="BY26" s="17" t="str">
        <f aca="false">IF($B26="","",BW26*r_warrPct)</f>
        <v/>
      </c>
      <c r="BZ26" s="17" t="str">
        <f aca="false">IF($B26="","",(BW26+BX26+BY26)*r_marginPct)</f>
        <v/>
      </c>
      <c r="CA26" s="22" t="str">
        <f aca="false">IF($B26="","",BW26+BX26+BY26+BZ26)</f>
        <v/>
      </c>
      <c r="CB26" s="17" t="str">
        <f aca="false">IF($B26="","",CA26/C26)</f>
        <v/>
      </c>
      <c r="CC26" s="17" t="str">
        <f aca="false">IF($B26="","",CA26*r_ecPct)</f>
        <v/>
      </c>
      <c r="CD26" s="17" t="str">
        <f aca="false">IF($B26="","",(CA26+CC26)*D26)</f>
        <v/>
      </c>
      <c r="CE26" s="17" t="str">
        <f aca="false">IF($B26="","",BA26+BB26+BC26+BD26+BE26+BF26+BG26)</f>
        <v/>
      </c>
      <c r="CF26" s="17" t="str">
        <f aca="false">IF($B26="","",BH26+BI26+BJ26+BK26+BL26)</f>
        <v/>
      </c>
      <c r="CG26" s="17" t="str">
        <f aca="false">IF($B26="","",BM26+BN26+BO26+BP26+BQ26)</f>
        <v/>
      </c>
      <c r="CH26" s="17" t="str">
        <f aca="false">IF($B26="","",BS26+BT26)</f>
        <v/>
      </c>
      <c r="CI26" s="17" t="str">
        <f aca="false">IF($B26="","",BU26+BV26)</f>
        <v/>
      </c>
      <c r="CJ26" s="17" t="str">
        <f aca="false">IF($B26="","",BX26+BY26+BZ26)</f>
        <v/>
      </c>
      <c r="CK26" s="23" t="str">
        <f aca="false">IF($B26="","",IF(ABS(CE26+CF26+CG26+CH26+CI26+CJ26-CA26)&lt;1,"OK","MISMATCH"))</f>
        <v/>
      </c>
      <c r="CL26" s="17" t="str">
        <f aca="false">IF($B26="","",IF(N26="","",N26/C26))</f>
        <v/>
      </c>
      <c r="CM26" s="17" t="str">
        <f aca="false">IF($B26="","",IF(N26="","",CA26-N26))</f>
        <v/>
      </c>
      <c r="CN26" s="20" t="str">
        <f aca="false">IF($B26="","",IF(N26="","",CA26/N26-1))</f>
        <v/>
      </c>
      <c r="CO26" s="20" t="str">
        <f aca="false">IF($B26="","",IF(O26="","",CC26/O26-1))</f>
        <v/>
      </c>
      <c r="CP26" s="24" t="str">
        <f aca="false">IF($B26="","",IF(C26&gt;INDEX(tt_maxTR,Q26),"TR above type max; ","")&amp;IF(AI26&gt;r_Lmax,"Evap tube too long; ","")&amp;IF(AR26&gt;r_Lmax,"Cond tube too long; ","")&amp;IF(AA26&gt;r_carnotCap,"COP high vs lift; ","")&amp;IF(AND(R26=1,G26+H26+INDEX(tt_condApp,Q26)&gt;=X26+60),"Check temps; ",""))</f>
        <v/>
      </c>
    </row>
    <row r="27" customFormat="false" ht="15" hidden="false" customHeight="false" outlineLevel="0" collapsed="false">
      <c r="A27" s="9"/>
      <c r="B27" s="9"/>
      <c r="C27" s="10"/>
      <c r="D27" s="11"/>
      <c r="E27" s="12"/>
      <c r="F27" s="12"/>
      <c r="G27" s="12"/>
      <c r="H27" s="12"/>
      <c r="I27" s="13"/>
      <c r="J27" s="9"/>
      <c r="K27" s="9"/>
      <c r="L27" s="14"/>
      <c r="M27" s="14"/>
      <c r="N27" s="10"/>
      <c r="O27" s="10"/>
      <c r="P27" s="15"/>
      <c r="Q27" s="16" t="str">
        <f aca="false">IF($B27="","",MATCH(B27,tt_name,0))</f>
        <v/>
      </c>
      <c r="R27" s="16" t="str">
        <f aca="false">IF($B27="","",INDEX(tt_wc,Q27))</f>
        <v/>
      </c>
      <c r="S27" s="16" t="str">
        <f aca="false">IF($B27="","",IF(INDEX(tt_volt,Q27)="HT",1,0))</f>
        <v/>
      </c>
      <c r="T27" s="16" t="str">
        <f aca="false">IF($B27="","",IF(INDEX(tt_evtype,Q27)="BPHE",1,0))</f>
        <v/>
      </c>
      <c r="U27" s="17" t="str">
        <f aca="false">IF($B27="","",C27*3.517)</f>
        <v/>
      </c>
      <c r="V27" s="17" t="str">
        <f aca="false">IF($B27="","",U27/I27)</f>
        <v/>
      </c>
      <c r="W27" s="17" t="str">
        <f aca="false">IF($B27="","",U27+V27)</f>
        <v/>
      </c>
      <c r="X27" s="18" t="str">
        <f aca="false">IF($B27="","",F27-INDEX(tt_evapApp,Q27))</f>
        <v/>
      </c>
      <c r="Y27" s="18" t="str">
        <f aca="false">IF($B27="","",IF(R27=1,G27+H27+INDEX(tt_condApp,Q27),G27+INDEX(tt_condApp,Q27)))</f>
        <v/>
      </c>
      <c r="Z27" s="19" t="str">
        <f aca="false">IF($B27="","",(X27+273.15)/(Y27-X27))</f>
        <v/>
      </c>
      <c r="AA27" s="20" t="str">
        <f aca="false">IF($B27="","",I27/Z27)</f>
        <v/>
      </c>
      <c r="AB27" s="19" t="str">
        <f aca="false">IF($B27="","",(E27-F27)/LN((E27-X27)/(F27-X27)))</f>
        <v/>
      </c>
      <c r="AC27" s="19" t="str">
        <f aca="false">IF($B27="","",IF(R27=1,H27/LN((Y27-G27)/(Y27-G27-H27)),0))</f>
        <v/>
      </c>
      <c r="AD27" s="19" t="str">
        <f aca="false">IF($B27="","",1/(1/INDEX(tt_Ue,Q27)+L27))</f>
        <v/>
      </c>
      <c r="AE27" s="21" t="str">
        <f aca="false">IF($B27="","",U27/(AD27*AB27))</f>
        <v/>
      </c>
      <c r="AF27" s="17" t="str">
        <f aca="false">IF($B27="","",U27/(r_cpw*(E27-F27))*3.6)</f>
        <v/>
      </c>
      <c r="AG27" s="17" t="str">
        <f aca="false">IF($B27="","",IF(T27=1,0,ROUNDUP(AF27/3600/(INDEX(tt_vel,Q27)*r_tubeAi),0)))</f>
        <v/>
      </c>
      <c r="AH27" s="17" t="str">
        <f aca="false">IF($B27="","",AG27*INDEX(tt_evPass,Q27))</f>
        <v/>
      </c>
      <c r="AI27" s="18" t="str">
        <f aca="false">IF($B27="","",IF(AH27=0,0,ROUNDUP(AE27/(AH27*PI()*r_tubeOD/1000)*10,0)/10))</f>
        <v/>
      </c>
      <c r="AJ27" s="19" t="str">
        <f aca="false">IF($B27="","",IF(AH27=0,0,(SQRT(4*AH27*0.866*(r_pitch*r_tubeOD/1000)^2/r_fill/PI())+r_shellClr)*r_floodFac))</f>
        <v/>
      </c>
      <c r="AK27" s="16" t="str">
        <f aca="false">IF($B27="","",IF(AH27=0,0,MAX(r_tmin,ROUNDUP((r_pDesE/10)*AJ27*1000/(2*r_stress-1.2*r_pDesE/10)+r_ca,0))))</f>
        <v/>
      </c>
      <c r="AL27" s="17" t="str">
        <f aca="false">IF($B27="","",IF(AH27=0,0,(PI()*AJ27*(AI27+0.3)*AK27/1000+(1+r_wbFac)*2*PI()/4*AJ27^2*r_tsheet/1000)*r_rhoSt*(1+r_supFac)))</f>
        <v/>
      </c>
      <c r="AM27" s="19" t="str">
        <f aca="false">IF($B27="","",IF(R27=1,1/(1/INDEX(tt_Uc,Q27)+M27),0))</f>
        <v/>
      </c>
      <c r="AN27" s="21" t="str">
        <f aca="false">IF($B27="","",IF(R27=1,W27/(AM27*AC27),0))</f>
        <v/>
      </c>
      <c r="AO27" s="17" t="str">
        <f aca="false">IF($B27="","",IF(R27=1,W27/(r_cpw*H27)*3.6,0))</f>
        <v/>
      </c>
      <c r="AP27" s="17" t="str">
        <f aca="false">IF($B27="","",IF(R27=1,ROUNDUP(AO27/3600/(INDEX(tt_vel,Q27)*r_tubeAi),0),0))</f>
        <v/>
      </c>
      <c r="AQ27" s="17" t="str">
        <f aca="false">IF($B27="","",AP27*INDEX(tt_cdPass,Q27))</f>
        <v/>
      </c>
      <c r="AR27" s="18" t="str">
        <f aca="false">IF($B27="","",IF(AQ27=0,0,ROUNDUP(AN27/(AQ27*PI()*r_tubeOD/1000)*10,0)/10))</f>
        <v/>
      </c>
      <c r="AS27" s="19" t="str">
        <f aca="false">IF($B27="","",IF(AQ27=0,0,SQRT(4*AQ27*0.866*(r_pitch*r_tubeOD/1000)^2/r_fill/PI())+r_shellClr))</f>
        <v/>
      </c>
      <c r="AT27" s="16" t="str">
        <f aca="false">IF($B27="","",IF(AQ27=0,0,MAX(r_tmin,ROUNDUP((r_pDesC/10)*AS27*1000/(2*r_stress-1.2*r_pDesC/10)+r_ca,0))))</f>
        <v/>
      </c>
      <c r="AU27" s="17" t="str">
        <f aca="false">IF($B27="","",IF(AQ27=0,0,(PI()*AS27*(AR27+0.3)*AT27/1000+(1+r_wbFac)*2*PI()/4*AS27^2*r_tsheet/1000)*r_rhoSt*(1+r_supFac)))</f>
        <v/>
      </c>
      <c r="AV27" s="21" t="str">
        <f aca="false">IF($B27="","",IF(R27=0,W27/(r_airCp*r_airRise*r_airRho),0))</f>
        <v/>
      </c>
      <c r="AW27" s="21" t="str">
        <f aca="false">IF($B27="","",AV27/r_faceV)</f>
        <v/>
      </c>
      <c r="AX27" s="16" t="str">
        <f aca="false">IF($B27="","",IF(R27=0,ROUNDUP(AV27/r_fanFlow,0),0))</f>
        <v/>
      </c>
      <c r="AY27" s="17" t="str">
        <f aca="false">IF($B27="","",IF(INDEX(tt_motSep,Q27)=1,ROUNDUP(V27/r_motEff*r_motMargin/10,0)*10,0))</f>
        <v/>
      </c>
      <c r="AZ27" s="17" t="str">
        <f aca="false">IF($B27="","",IF(AY27&gt;0,AY27,ROUNDUP(V27/r_motEff*r_motMargin/5,0)*5))</f>
        <v/>
      </c>
      <c r="BA27" s="17" t="str">
        <f aca="false">IF($B27="","",AH27*AI27*r_tubeKgM*r_cuTube)</f>
        <v/>
      </c>
      <c r="BB27" s="17" t="str">
        <f aca="false">IF($B27="","",AL27*r_steelFab)</f>
        <v/>
      </c>
      <c r="BC27" s="17" t="str">
        <f aca="false">IF($B27="","",IF(AH27=0,0,PI()*AJ27*AI27*1.15*r_insul))</f>
        <v/>
      </c>
      <c r="BD27" s="17" t="str">
        <f aca="false">IF($B27="","",IF(T27=1,AE27*r_bphe,0))</f>
        <v/>
      </c>
      <c r="BE27" s="17" t="str">
        <f aca="false">IF($B27="","",AQ27*AR27*r_tubeKgM*r_cuTube)</f>
        <v/>
      </c>
      <c r="BF27" s="17" t="str">
        <f aca="false">IF($B27="","",AU27*r_steelFab)</f>
        <v/>
      </c>
      <c r="BG27" s="17" t="str">
        <f aca="false">IF($B27="","",AW27*r_coilFace+AX27*r_fanAC+AW27*r_frameKg*r_steelFab)</f>
        <v/>
      </c>
      <c r="BH27" s="17" t="str">
        <f aca="false">IF($B27="","",INDEX(tt_compRate,Q27)*INDEX(tt_compPref,Q27)*(V27/INDEX(tt_compPref,Q27))^INDEX(tt_compN,Q27))</f>
        <v/>
      </c>
      <c r="BI27" s="17" t="str">
        <f aca="false">IF($B27="","",AY27*IF(S27=1,r_motHT,r_motLT))</f>
        <v/>
      </c>
      <c r="BJ27" s="17" t="str">
        <f aca="false">IF($B27="","",IF(J27="Yes",AZ27*IF(S27=1,r_vfdHT,r_vfdLT),0))</f>
        <v/>
      </c>
      <c r="BK27" s="17" t="str">
        <f aca="false">IF($B27="","",IF(S27=1,r_swgrHT,r_swgrLTbase+r_swgrLTkw*AZ27))</f>
        <v/>
      </c>
      <c r="BL27" s="17" t="str">
        <f aca="false">IF($B27="","",INDEX(tt_lube,Q27))</f>
        <v/>
      </c>
      <c r="BM27" s="17" t="str">
        <f aca="false">IF($B27="","",C27*INDEX(tt_refKg,Q27)*r_refrig)</f>
        <v/>
      </c>
      <c r="BN27" s="17" t="str">
        <f aca="false">IF($B27="","",INDEX(tt_ctl,Q27))</f>
        <v/>
      </c>
      <c r="BO27" s="17" t="str">
        <f aca="false">IF($B27="","",IF(AND(K27="Yes",R27=1),AQ27*r_atcTube+r_atcFixed,0))</f>
        <v/>
      </c>
      <c r="BP27" s="17" t="str">
        <f aca="false">IF($B27="","",r_pipePct*(BA27+BB27+BC27+BD27+BE27+BF27+BG27+BH27))</f>
        <v/>
      </c>
      <c r="BQ27" s="17" t="str">
        <f aca="false">IF($B27="","",r_avm)</f>
        <v/>
      </c>
      <c r="BR27" s="17" t="str">
        <f aca="false">IF($B27="","",SUM(BA27:BQ27))</f>
        <v/>
      </c>
      <c r="BS27" s="17" t="str">
        <f aca="false">IF($B27="","",BR27*r_assyPct)</f>
        <v/>
      </c>
      <c r="BT27" s="17" t="str">
        <f aca="false">IF($B27="","",BR27*r_testPct)</f>
        <v/>
      </c>
      <c r="BU27" s="17" t="str">
        <f aca="false">IF($B27="","",(BR27+BS27+BT27)*r_logPct)</f>
        <v/>
      </c>
      <c r="BV27" s="17" t="str">
        <f aca="false">IF($B27="","",BR27*r_dutyPct)</f>
        <v/>
      </c>
      <c r="BW27" s="17" t="str">
        <f aca="false">IF($B27="","",BR27+BS27+BT27+BU27+BV27)</f>
        <v/>
      </c>
      <c r="BX27" s="17" t="str">
        <f aca="false">IF($B27="","",BW27*r_ohPct)</f>
        <v/>
      </c>
      <c r="BY27" s="17" t="str">
        <f aca="false">IF($B27="","",BW27*r_warrPct)</f>
        <v/>
      </c>
      <c r="BZ27" s="17" t="str">
        <f aca="false">IF($B27="","",(BW27+BX27+BY27)*r_marginPct)</f>
        <v/>
      </c>
      <c r="CA27" s="22" t="str">
        <f aca="false">IF($B27="","",BW27+BX27+BY27+BZ27)</f>
        <v/>
      </c>
      <c r="CB27" s="17" t="str">
        <f aca="false">IF($B27="","",CA27/C27)</f>
        <v/>
      </c>
      <c r="CC27" s="17" t="str">
        <f aca="false">IF($B27="","",CA27*r_ecPct)</f>
        <v/>
      </c>
      <c r="CD27" s="17" t="str">
        <f aca="false">IF($B27="","",(CA27+CC27)*D27)</f>
        <v/>
      </c>
      <c r="CE27" s="17" t="str">
        <f aca="false">IF($B27="","",BA27+BB27+BC27+BD27+BE27+BF27+BG27)</f>
        <v/>
      </c>
      <c r="CF27" s="17" t="str">
        <f aca="false">IF($B27="","",BH27+BI27+BJ27+BK27+BL27)</f>
        <v/>
      </c>
      <c r="CG27" s="17" t="str">
        <f aca="false">IF($B27="","",BM27+BN27+BO27+BP27+BQ27)</f>
        <v/>
      </c>
      <c r="CH27" s="17" t="str">
        <f aca="false">IF($B27="","",BS27+BT27)</f>
        <v/>
      </c>
      <c r="CI27" s="17" t="str">
        <f aca="false">IF($B27="","",BU27+BV27)</f>
        <v/>
      </c>
      <c r="CJ27" s="17" t="str">
        <f aca="false">IF($B27="","",BX27+BY27+BZ27)</f>
        <v/>
      </c>
      <c r="CK27" s="23" t="str">
        <f aca="false">IF($B27="","",IF(ABS(CE27+CF27+CG27+CH27+CI27+CJ27-CA27)&lt;1,"OK","MISMATCH"))</f>
        <v/>
      </c>
      <c r="CL27" s="17" t="str">
        <f aca="false">IF($B27="","",IF(N27="","",N27/C27))</f>
        <v/>
      </c>
      <c r="CM27" s="17" t="str">
        <f aca="false">IF($B27="","",IF(N27="","",CA27-N27))</f>
        <v/>
      </c>
      <c r="CN27" s="20" t="str">
        <f aca="false">IF($B27="","",IF(N27="","",CA27/N27-1))</f>
        <v/>
      </c>
      <c r="CO27" s="20" t="str">
        <f aca="false">IF($B27="","",IF(O27="","",CC27/O27-1))</f>
        <v/>
      </c>
      <c r="CP27" s="24" t="str">
        <f aca="false">IF($B27="","",IF(C27&gt;INDEX(tt_maxTR,Q27),"TR above type max; ","")&amp;IF(AI27&gt;r_Lmax,"Evap tube too long; ","")&amp;IF(AR27&gt;r_Lmax,"Cond tube too long; ","")&amp;IF(AA27&gt;r_carnotCap,"COP high vs lift; ","")&amp;IF(AND(R27=1,G27+H27+INDEX(tt_condApp,Q27)&gt;=X27+60),"Check temps; ",""))</f>
        <v/>
      </c>
    </row>
    <row r="30" customFormat="false" ht="15" hidden="false" customHeight="false" outlineLevel="0" collapsed="false">
      <c r="A30" s="25" t="s">
        <v>148</v>
      </c>
    </row>
    <row r="31" customFormat="false" ht="15" hidden="false" customHeight="false" outlineLevel="0" collapsed="false">
      <c r="A31" s="26" t="s">
        <v>149</v>
      </c>
      <c r="B31" s="26" t="s">
        <v>150</v>
      </c>
      <c r="C31" s="26" t="s">
        <v>151</v>
      </c>
      <c r="D31" s="26" t="s">
        <v>152</v>
      </c>
    </row>
    <row r="32" customFormat="false" ht="15" hidden="false" customHeight="false" outlineLevel="0" collapsed="false">
      <c r="A32" s="27" t="s">
        <v>153</v>
      </c>
      <c r="B32" s="28"/>
      <c r="C32" s="28"/>
      <c r="D32" s="28"/>
    </row>
    <row r="33" customFormat="false" ht="15" hidden="false" customHeight="false" outlineLevel="0" collapsed="false">
      <c r="A33" s="4" t="s">
        <v>154</v>
      </c>
      <c r="B33" s="29" t="n">
        <v>4.186</v>
      </c>
      <c r="C33" s="4" t="s">
        <v>155</v>
      </c>
      <c r="D33" s="4" t="s">
        <v>156</v>
      </c>
    </row>
    <row r="34" customFormat="false" ht="15" hidden="false" customHeight="false" outlineLevel="0" collapsed="false">
      <c r="A34" s="4" t="s">
        <v>157</v>
      </c>
      <c r="B34" s="29" t="n">
        <v>19.05</v>
      </c>
      <c r="C34" s="4" t="s">
        <v>128</v>
      </c>
      <c r="D34" s="4" t="s">
        <v>158</v>
      </c>
    </row>
    <row r="35" customFormat="false" ht="15" hidden="false" customHeight="false" outlineLevel="0" collapsed="false">
      <c r="A35" s="4" t="s">
        <v>159</v>
      </c>
      <c r="B35" s="30" t="n">
        <v>0.9</v>
      </c>
      <c r="C35" s="4" t="s">
        <v>128</v>
      </c>
      <c r="D35" s="4" t="s">
        <v>160</v>
      </c>
    </row>
    <row r="36" customFormat="false" ht="15" hidden="false" customHeight="false" outlineLevel="0" collapsed="false">
      <c r="A36" s="4" t="s">
        <v>161</v>
      </c>
      <c r="B36" s="31" t="n">
        <f aca="false">PI()/4*((r_tubeOD-2*r_tubeWall)/1000)^2</f>
        <v>0.000233705040995953</v>
      </c>
      <c r="C36" s="4" t="s">
        <v>125</v>
      </c>
      <c r="D36" s="4" t="s">
        <v>162</v>
      </c>
    </row>
    <row r="37" customFormat="false" ht="15" hidden="false" customHeight="false" outlineLevel="0" collapsed="false">
      <c r="A37" s="4" t="s">
        <v>163</v>
      </c>
      <c r="B37" s="30" t="n">
        <v>0.5</v>
      </c>
      <c r="C37" s="4" t="s">
        <v>164</v>
      </c>
      <c r="D37" s="4" t="s">
        <v>165</v>
      </c>
    </row>
    <row r="38" customFormat="false" ht="15" hidden="false" customHeight="false" outlineLevel="0" collapsed="false">
      <c r="A38" s="4" t="s">
        <v>166</v>
      </c>
      <c r="B38" s="29" t="n">
        <v>1.25</v>
      </c>
      <c r="C38" s="4" t="s">
        <v>167</v>
      </c>
      <c r="D38" s="4" t="s">
        <v>168</v>
      </c>
    </row>
    <row r="39" customFormat="false" ht="15" hidden="false" customHeight="false" outlineLevel="0" collapsed="false">
      <c r="A39" s="4" t="s">
        <v>169</v>
      </c>
      <c r="B39" s="30" t="n">
        <v>0.8</v>
      </c>
      <c r="C39" s="4"/>
      <c r="D39" s="4" t="s">
        <v>160</v>
      </c>
    </row>
    <row r="40" customFormat="false" ht="15" hidden="false" customHeight="false" outlineLevel="0" collapsed="false">
      <c r="A40" s="4" t="s">
        <v>170</v>
      </c>
      <c r="B40" s="30" t="n">
        <v>0.1</v>
      </c>
      <c r="C40" s="4" t="s">
        <v>127</v>
      </c>
      <c r="D40" s="4" t="s">
        <v>160</v>
      </c>
    </row>
    <row r="41" customFormat="false" ht="15" hidden="false" customHeight="false" outlineLevel="0" collapsed="false">
      <c r="A41" s="4" t="s">
        <v>171</v>
      </c>
      <c r="B41" s="29" t="n">
        <v>1.35</v>
      </c>
      <c r="C41" s="4" t="s">
        <v>167</v>
      </c>
      <c r="D41" s="4" t="s">
        <v>160</v>
      </c>
    </row>
    <row r="42" customFormat="false" ht="15" hidden="false" customHeight="false" outlineLevel="0" collapsed="false">
      <c r="A42" s="4" t="s">
        <v>172</v>
      </c>
      <c r="B42" s="29" t="n">
        <v>9</v>
      </c>
      <c r="C42" s="4" t="s">
        <v>127</v>
      </c>
      <c r="D42" s="4" t="s">
        <v>173</v>
      </c>
    </row>
    <row r="43" customFormat="false" ht="15" hidden="false" customHeight="false" outlineLevel="0" collapsed="false">
      <c r="A43" s="4" t="s">
        <v>174</v>
      </c>
      <c r="B43" s="30" t="n">
        <v>0.68</v>
      </c>
      <c r="C43" s="4"/>
      <c r="D43" s="4" t="s">
        <v>175</v>
      </c>
    </row>
    <row r="44" customFormat="false" ht="15" hidden="false" customHeight="false" outlineLevel="0" collapsed="false">
      <c r="A44" s="4" t="s">
        <v>176</v>
      </c>
      <c r="B44" s="29" t="n">
        <v>1.006</v>
      </c>
      <c r="C44" s="4" t="s">
        <v>155</v>
      </c>
      <c r="D44" s="4" t="s">
        <v>156</v>
      </c>
    </row>
    <row r="45" customFormat="false" ht="15" hidden="false" customHeight="false" outlineLevel="0" collapsed="false">
      <c r="A45" s="4" t="s">
        <v>177</v>
      </c>
      <c r="B45" s="29" t="n">
        <v>1.12</v>
      </c>
      <c r="C45" s="4" t="s">
        <v>178</v>
      </c>
      <c r="D45" s="4" t="s">
        <v>179</v>
      </c>
    </row>
    <row r="46" customFormat="false" ht="15" hidden="false" customHeight="false" outlineLevel="0" collapsed="false">
      <c r="A46" s="4" t="s">
        <v>180</v>
      </c>
      <c r="B46" s="10" t="n">
        <v>11</v>
      </c>
      <c r="C46" s="4" t="s">
        <v>116</v>
      </c>
      <c r="D46" s="4" t="s">
        <v>160</v>
      </c>
    </row>
    <row r="47" customFormat="false" ht="15" hidden="false" customHeight="false" outlineLevel="0" collapsed="false">
      <c r="A47" s="4" t="s">
        <v>181</v>
      </c>
      <c r="B47" s="29" t="n">
        <v>2.5</v>
      </c>
      <c r="C47" s="4" t="s">
        <v>182</v>
      </c>
      <c r="D47" s="4" t="s">
        <v>160</v>
      </c>
    </row>
    <row r="48" customFormat="false" ht="15" hidden="false" customHeight="false" outlineLevel="0" collapsed="false">
      <c r="A48" s="4" t="s">
        <v>183</v>
      </c>
      <c r="B48" s="29" t="n">
        <v>5</v>
      </c>
      <c r="C48" s="4" t="s">
        <v>130</v>
      </c>
      <c r="D48" s="4" t="s">
        <v>160</v>
      </c>
    </row>
    <row r="49" customFormat="false" ht="15" hidden="false" customHeight="false" outlineLevel="0" collapsed="false">
      <c r="A49" s="4" t="s">
        <v>184</v>
      </c>
      <c r="B49" s="30" t="n">
        <v>0.96</v>
      </c>
      <c r="C49" s="4"/>
      <c r="D49" s="4" t="s">
        <v>160</v>
      </c>
    </row>
    <row r="50" customFormat="false" ht="15" hidden="false" customHeight="false" outlineLevel="0" collapsed="false">
      <c r="A50" s="4" t="s">
        <v>185</v>
      </c>
      <c r="B50" s="29" t="n">
        <v>1.1</v>
      </c>
      <c r="C50" s="4" t="s">
        <v>167</v>
      </c>
      <c r="D50" s="4" t="s">
        <v>160</v>
      </c>
    </row>
    <row r="51" customFormat="false" ht="15" hidden="false" customHeight="false" outlineLevel="0" collapsed="false">
      <c r="A51" s="27" t="s">
        <v>186</v>
      </c>
      <c r="B51" s="28"/>
      <c r="C51" s="28"/>
      <c r="D51" s="28"/>
    </row>
    <row r="52" customFormat="false" ht="15" hidden="false" customHeight="false" outlineLevel="0" collapsed="false">
      <c r="A52" s="4" t="s">
        <v>187</v>
      </c>
      <c r="B52" s="10" t="n">
        <v>10</v>
      </c>
      <c r="C52" s="4" t="s">
        <v>188</v>
      </c>
      <c r="D52" s="4" t="s">
        <v>189</v>
      </c>
    </row>
    <row r="53" customFormat="false" ht="15" hidden="false" customHeight="false" outlineLevel="0" collapsed="false">
      <c r="A53" s="4" t="s">
        <v>190</v>
      </c>
      <c r="B53" s="10" t="n">
        <v>15</v>
      </c>
      <c r="C53" s="4" t="s">
        <v>188</v>
      </c>
      <c r="D53" s="4" t="s">
        <v>189</v>
      </c>
    </row>
    <row r="54" customFormat="false" ht="15" hidden="false" customHeight="false" outlineLevel="0" collapsed="false">
      <c r="A54" s="4" t="s">
        <v>191</v>
      </c>
      <c r="B54" s="10" t="n">
        <v>117</v>
      </c>
      <c r="C54" s="4" t="s">
        <v>192</v>
      </c>
      <c r="D54" s="4" t="s">
        <v>193</v>
      </c>
    </row>
    <row r="55" customFormat="false" ht="15" hidden="false" customHeight="false" outlineLevel="0" collapsed="false">
      <c r="A55" s="4" t="s">
        <v>194</v>
      </c>
      <c r="B55" s="10" t="n">
        <v>3</v>
      </c>
      <c r="C55" s="4" t="s">
        <v>128</v>
      </c>
      <c r="D55" s="4" t="s">
        <v>160</v>
      </c>
    </row>
    <row r="56" customFormat="false" ht="15" hidden="false" customHeight="false" outlineLevel="0" collapsed="false">
      <c r="A56" s="4" t="s">
        <v>195</v>
      </c>
      <c r="B56" s="10" t="n">
        <v>10</v>
      </c>
      <c r="C56" s="4" t="s">
        <v>128</v>
      </c>
      <c r="D56" s="4" t="s">
        <v>160</v>
      </c>
    </row>
    <row r="57" customFormat="false" ht="15" hidden="false" customHeight="false" outlineLevel="0" collapsed="false">
      <c r="A57" s="4" t="s">
        <v>196</v>
      </c>
      <c r="B57" s="10" t="n">
        <v>40</v>
      </c>
      <c r="C57" s="4" t="s">
        <v>128</v>
      </c>
      <c r="D57" s="4" t="s">
        <v>160</v>
      </c>
    </row>
    <row r="58" customFormat="false" ht="15" hidden="false" customHeight="false" outlineLevel="0" collapsed="false">
      <c r="A58" s="4" t="s">
        <v>197</v>
      </c>
      <c r="B58" s="29" t="n">
        <v>1.5</v>
      </c>
      <c r="C58" s="4" t="s">
        <v>167</v>
      </c>
      <c r="D58" s="4" t="s">
        <v>160</v>
      </c>
    </row>
    <row r="59" customFormat="false" ht="15" hidden="false" customHeight="false" outlineLevel="0" collapsed="false">
      <c r="A59" s="4" t="s">
        <v>198</v>
      </c>
      <c r="B59" s="30" t="n">
        <v>0.1</v>
      </c>
      <c r="C59" s="4"/>
      <c r="D59" s="4" t="s">
        <v>160</v>
      </c>
    </row>
    <row r="60" customFormat="false" ht="15" hidden="false" customHeight="false" outlineLevel="0" collapsed="false">
      <c r="A60" s="4" t="s">
        <v>199</v>
      </c>
      <c r="B60" s="10" t="n">
        <v>7850</v>
      </c>
      <c r="C60" s="4" t="s">
        <v>178</v>
      </c>
      <c r="D60" s="4" t="s">
        <v>156</v>
      </c>
    </row>
    <row r="61" customFormat="false" ht="15" hidden="false" customHeight="false" outlineLevel="0" collapsed="false">
      <c r="A61" s="27" t="s">
        <v>200</v>
      </c>
      <c r="B61" s="28"/>
      <c r="C61" s="28"/>
      <c r="D61" s="28"/>
    </row>
    <row r="62" customFormat="false" ht="15" hidden="false" customHeight="false" outlineLevel="0" collapsed="false">
      <c r="A62" s="4" t="s">
        <v>201</v>
      </c>
      <c r="B62" s="10" t="n">
        <v>1250</v>
      </c>
      <c r="C62" s="4" t="s">
        <v>202</v>
      </c>
      <c r="D62" s="4" t="s">
        <v>203</v>
      </c>
    </row>
    <row r="63" customFormat="false" ht="15" hidden="false" customHeight="false" outlineLevel="0" collapsed="false">
      <c r="A63" s="4" t="s">
        <v>204</v>
      </c>
      <c r="B63" s="10" t="n">
        <v>165</v>
      </c>
      <c r="C63" s="4" t="s">
        <v>202</v>
      </c>
      <c r="D63" s="4" t="s">
        <v>205</v>
      </c>
    </row>
    <row r="64" customFormat="false" ht="15" hidden="false" customHeight="false" outlineLevel="0" collapsed="false">
      <c r="A64" s="4" t="s">
        <v>206</v>
      </c>
      <c r="B64" s="10" t="n">
        <v>2400</v>
      </c>
      <c r="C64" s="4" t="s">
        <v>207</v>
      </c>
      <c r="D64" s="4" t="s">
        <v>208</v>
      </c>
    </row>
    <row r="65" customFormat="false" ht="15" hidden="false" customHeight="false" outlineLevel="0" collapsed="false">
      <c r="A65" s="4" t="s">
        <v>209</v>
      </c>
      <c r="B65" s="10" t="n">
        <v>11000</v>
      </c>
      <c r="C65" s="4" t="s">
        <v>207</v>
      </c>
      <c r="D65" s="4" t="s">
        <v>208</v>
      </c>
    </row>
    <row r="66" customFormat="false" ht="15" hidden="false" customHeight="false" outlineLevel="0" collapsed="false">
      <c r="A66" s="4" t="s">
        <v>210</v>
      </c>
      <c r="B66" s="10" t="n">
        <v>32000</v>
      </c>
      <c r="C66" s="4" t="s">
        <v>211</v>
      </c>
      <c r="D66" s="4" t="s">
        <v>208</v>
      </c>
    </row>
    <row r="67" customFormat="false" ht="15" hidden="false" customHeight="false" outlineLevel="0" collapsed="false">
      <c r="A67" s="4" t="s">
        <v>212</v>
      </c>
      <c r="B67" s="10" t="n">
        <v>55000</v>
      </c>
      <c r="C67" s="4" t="s">
        <v>213</v>
      </c>
      <c r="D67" s="4" t="s">
        <v>208</v>
      </c>
    </row>
    <row r="68" customFormat="false" ht="15" hidden="false" customHeight="false" outlineLevel="0" collapsed="false">
      <c r="A68" s="4" t="s">
        <v>214</v>
      </c>
      <c r="B68" s="10" t="n">
        <v>160</v>
      </c>
      <c r="C68" s="4" t="s">
        <v>215</v>
      </c>
      <c r="D68" s="4" t="s">
        <v>208</v>
      </c>
    </row>
    <row r="69" customFormat="false" ht="15" hidden="false" customHeight="false" outlineLevel="0" collapsed="false">
      <c r="A69" s="4" t="s">
        <v>216</v>
      </c>
      <c r="B69" s="10" t="n">
        <v>4000</v>
      </c>
      <c r="C69" s="4" t="s">
        <v>217</v>
      </c>
      <c r="D69" s="4" t="s">
        <v>208</v>
      </c>
    </row>
    <row r="70" customFormat="false" ht="15" hidden="false" customHeight="false" outlineLevel="0" collapsed="false">
      <c r="A70" s="4" t="s">
        <v>218</v>
      </c>
      <c r="B70" s="10" t="n">
        <v>2300</v>
      </c>
      <c r="C70" s="4" t="s">
        <v>217</v>
      </c>
      <c r="D70" s="4" t="s">
        <v>208</v>
      </c>
    </row>
    <row r="71" customFormat="false" ht="15" hidden="false" customHeight="false" outlineLevel="0" collapsed="false">
      <c r="A71" s="4" t="s">
        <v>219</v>
      </c>
      <c r="B71" s="10" t="n">
        <v>11500</v>
      </c>
      <c r="C71" s="4" t="s">
        <v>217</v>
      </c>
      <c r="D71" s="4" t="s">
        <v>208</v>
      </c>
    </row>
    <row r="72" customFormat="false" ht="15" hidden="false" customHeight="false" outlineLevel="0" collapsed="false">
      <c r="A72" s="4" t="s">
        <v>220</v>
      </c>
      <c r="B72" s="10" t="n">
        <v>6000</v>
      </c>
      <c r="C72" s="4" t="s">
        <v>217</v>
      </c>
      <c r="D72" s="4" t="s">
        <v>208</v>
      </c>
    </row>
    <row r="73" customFormat="false" ht="15" hidden="false" customHeight="false" outlineLevel="0" collapsed="false">
      <c r="A73" s="4" t="s">
        <v>221</v>
      </c>
      <c r="B73" s="10" t="n">
        <v>2200000</v>
      </c>
      <c r="C73" s="4" t="s">
        <v>222</v>
      </c>
      <c r="D73" s="4" t="s">
        <v>223</v>
      </c>
    </row>
    <row r="74" customFormat="false" ht="15" hidden="false" customHeight="false" outlineLevel="0" collapsed="false">
      <c r="A74" s="4" t="s">
        <v>224</v>
      </c>
      <c r="B74" s="10" t="n">
        <v>80000</v>
      </c>
      <c r="C74" s="4" t="s">
        <v>222</v>
      </c>
      <c r="D74" s="4" t="s">
        <v>208</v>
      </c>
    </row>
    <row r="75" customFormat="false" ht="15" hidden="false" customHeight="false" outlineLevel="0" collapsed="false">
      <c r="A75" s="4" t="s">
        <v>225</v>
      </c>
      <c r="B75" s="10" t="n">
        <v>450</v>
      </c>
      <c r="C75" s="4" t="s">
        <v>217</v>
      </c>
      <c r="D75" s="4" t="s">
        <v>208</v>
      </c>
    </row>
    <row r="76" customFormat="false" ht="15" hidden="false" customHeight="false" outlineLevel="0" collapsed="false">
      <c r="A76" s="4" t="s">
        <v>226</v>
      </c>
      <c r="B76" s="10" t="n">
        <v>600</v>
      </c>
      <c r="C76" s="4" t="s">
        <v>202</v>
      </c>
      <c r="D76" s="4" t="s">
        <v>208</v>
      </c>
    </row>
    <row r="77" customFormat="false" ht="15" hidden="false" customHeight="false" outlineLevel="0" collapsed="false">
      <c r="A77" s="4" t="s">
        <v>227</v>
      </c>
      <c r="B77" s="10" t="n">
        <v>1900</v>
      </c>
      <c r="C77" s="4" t="s">
        <v>228</v>
      </c>
      <c r="D77" s="4" t="s">
        <v>208</v>
      </c>
    </row>
    <row r="78" customFormat="false" ht="15" hidden="false" customHeight="false" outlineLevel="0" collapsed="false">
      <c r="A78" s="4" t="s">
        <v>229</v>
      </c>
      <c r="B78" s="10" t="n">
        <v>400000</v>
      </c>
      <c r="C78" s="4" t="s">
        <v>222</v>
      </c>
      <c r="D78" s="4" t="s">
        <v>208</v>
      </c>
    </row>
    <row r="79" customFormat="false" ht="15" hidden="false" customHeight="false" outlineLevel="0" collapsed="false">
      <c r="A79" s="4" t="s">
        <v>230</v>
      </c>
      <c r="B79" s="32" t="n">
        <v>0.06</v>
      </c>
      <c r="C79" s="4" t="s">
        <v>231</v>
      </c>
      <c r="D79" s="4" t="s">
        <v>160</v>
      </c>
    </row>
    <row r="80" customFormat="false" ht="15" hidden="false" customHeight="false" outlineLevel="0" collapsed="false">
      <c r="A80" s="4" t="s">
        <v>232</v>
      </c>
      <c r="B80" s="10" t="n">
        <v>180000</v>
      </c>
      <c r="C80" s="4" t="s">
        <v>222</v>
      </c>
      <c r="D80" s="4" t="s">
        <v>208</v>
      </c>
    </row>
    <row r="81" customFormat="false" ht="15" hidden="false" customHeight="false" outlineLevel="0" collapsed="false">
      <c r="A81" s="27" t="s">
        <v>233</v>
      </c>
      <c r="B81" s="28"/>
      <c r="C81" s="28"/>
      <c r="D81" s="28"/>
    </row>
    <row r="82" customFormat="false" ht="15" hidden="false" customHeight="false" outlineLevel="0" collapsed="false">
      <c r="A82" s="4" t="s">
        <v>234</v>
      </c>
      <c r="B82" s="32" t="n">
        <v>0.14</v>
      </c>
      <c r="C82" s="4" t="s">
        <v>235</v>
      </c>
      <c r="D82" s="4" t="s">
        <v>160</v>
      </c>
    </row>
    <row r="83" customFormat="false" ht="15" hidden="false" customHeight="false" outlineLevel="0" collapsed="false">
      <c r="A83" s="4" t="s">
        <v>236</v>
      </c>
      <c r="B83" s="32" t="n">
        <v>0.015</v>
      </c>
      <c r="C83" s="4" t="s">
        <v>235</v>
      </c>
      <c r="D83" s="4" t="s">
        <v>160</v>
      </c>
    </row>
    <row r="84" customFormat="false" ht="15" hidden="false" customHeight="false" outlineLevel="0" collapsed="false">
      <c r="A84" s="4" t="s">
        <v>237</v>
      </c>
      <c r="B84" s="32" t="n">
        <v>0.03</v>
      </c>
      <c r="C84" s="4" t="s">
        <v>238</v>
      </c>
      <c r="D84" s="4" t="s">
        <v>239</v>
      </c>
    </row>
    <row r="85" customFormat="false" ht="15" hidden="false" customHeight="false" outlineLevel="0" collapsed="false">
      <c r="A85" s="4" t="s">
        <v>240</v>
      </c>
      <c r="B85" s="32" t="n">
        <v>0</v>
      </c>
      <c r="C85" s="4" t="s">
        <v>235</v>
      </c>
      <c r="D85" s="4" t="s">
        <v>241</v>
      </c>
    </row>
    <row r="86" customFormat="false" ht="15" hidden="false" customHeight="false" outlineLevel="0" collapsed="false">
      <c r="A86" s="4" t="s">
        <v>94</v>
      </c>
      <c r="B86" s="32" t="n">
        <v>0.1</v>
      </c>
      <c r="C86" s="4" t="s">
        <v>242</v>
      </c>
      <c r="D86" s="4" t="s">
        <v>160</v>
      </c>
    </row>
    <row r="87" customFormat="false" ht="15" hidden="false" customHeight="false" outlineLevel="0" collapsed="false">
      <c r="A87" s="4" t="s">
        <v>243</v>
      </c>
      <c r="B87" s="32" t="n">
        <v>0.02</v>
      </c>
      <c r="C87" s="4" t="s">
        <v>242</v>
      </c>
      <c r="D87" s="4" t="s">
        <v>244</v>
      </c>
    </row>
    <row r="88" customFormat="false" ht="15" hidden="false" customHeight="false" outlineLevel="0" collapsed="false">
      <c r="A88" s="4" t="s">
        <v>96</v>
      </c>
      <c r="B88" s="32" t="n">
        <v>0.12</v>
      </c>
      <c r="C88" s="4" t="s">
        <v>245</v>
      </c>
      <c r="D88" s="4" t="s">
        <v>160</v>
      </c>
    </row>
    <row r="89" customFormat="false" ht="15" hidden="false" customHeight="false" outlineLevel="0" collapsed="false">
      <c r="A89" s="4" t="s">
        <v>246</v>
      </c>
      <c r="B89" s="32" t="n">
        <v>0.008</v>
      </c>
      <c r="C89" s="4" t="s">
        <v>247</v>
      </c>
      <c r="D89" s="4" t="s">
        <v>248</v>
      </c>
    </row>
  </sheetData>
  <dataValidations count="2">
    <dataValidation allowBlank="true" errorStyle="stop" operator="between" showDropDown="false" showErrorMessage="false" showInputMessage="false" sqref="B8:B27" type="list">
      <formula1>tt_name</formula1>
      <formula2>0</formula2>
    </dataValidation>
    <dataValidation allowBlank="true" errorStyle="stop" operator="between" showDropDown="false" showErrorMessage="false" showInputMessage="false" sqref="J8:K2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34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2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249</v>
      </c>
    </row>
    <row r="3" customFormat="false" ht="15" hidden="false" customHeight="false" outlineLevel="0" collapsed="false">
      <c r="A3" s="25" t="s">
        <v>250</v>
      </c>
      <c r="B3" s="33" t="n">
        <v>1</v>
      </c>
    </row>
    <row r="5" customFormat="false" ht="15" hidden="false" customHeight="false" outlineLevel="0" collapsed="false">
      <c r="A5" s="25" t="s">
        <v>251</v>
      </c>
    </row>
    <row r="6" customFormat="false" ht="15" hidden="false" customHeight="false" outlineLevel="0" collapsed="false">
      <c r="A6" s="4" t="s">
        <v>27</v>
      </c>
      <c r="B6" s="34" t="str">
        <f aca="false">IF(INDEX(Calculator!$A$8:$A$27,$B$3)="","",INDEX(Calculator!$A$8:$A$27,$B$3))</f>
        <v>D2 TKM chiller, BOQ ME.HVAC.HS.1.1</v>
      </c>
    </row>
    <row r="7" customFormat="false" ht="15" hidden="false" customHeight="false" outlineLevel="0" collapsed="false">
      <c r="A7" s="4" t="s">
        <v>252</v>
      </c>
      <c r="B7" s="34" t="str">
        <f aca="false">IF(INDEX(Calculator!$B$8:$B$27,$B$3)="","",INDEX(Calculator!$B$8:$B$27,$B$3))</f>
        <v>Water-cooled centrifugal, HT 6.6 kV</v>
      </c>
    </row>
    <row r="8" customFormat="false" ht="15" hidden="false" customHeight="false" outlineLevel="0" collapsed="false">
      <c r="A8" s="4" t="s">
        <v>253</v>
      </c>
      <c r="B8" s="35" t="n">
        <f aca="false">IF(INDEX(Calculator!$C$8:$C$27,$B$3)="","",INDEX(Calculator!$C$8:$C$27,$B$3))</f>
        <v>1500</v>
      </c>
    </row>
    <row r="9" customFormat="false" ht="15" hidden="false" customHeight="false" outlineLevel="0" collapsed="false">
      <c r="A9" s="4" t="s">
        <v>30</v>
      </c>
      <c r="B9" s="36" t="n">
        <f aca="false">IF(INDEX(Calculator!$D$8:$D$27,$B$3)="","",INDEX(Calculator!$D$8:$D$27,$B$3))</f>
        <v>5</v>
      </c>
    </row>
    <row r="10" customFormat="false" ht="15" hidden="false" customHeight="false" outlineLevel="0" collapsed="false">
      <c r="A10" s="4" t="s">
        <v>254</v>
      </c>
      <c r="B10" s="35" t="n">
        <f aca="false">IF(INDEX(Calculator!$V$8:$V$27,$B$3)="","",INDEX(Calculator!$V$8:$V$27,$B$3))</f>
        <v>811.615384615385</v>
      </c>
    </row>
    <row r="11" customFormat="false" ht="15" hidden="false" customHeight="false" outlineLevel="0" collapsed="false">
      <c r="A11" s="4" t="s">
        <v>255</v>
      </c>
      <c r="B11" s="35" t="n">
        <f aca="false">IF(INDEX(Calculator!$W$8:$W$27,$B$3)="","",INDEX(Calculator!$W$8:$W$27,$B$3))</f>
        <v>6087.11538461539</v>
      </c>
    </row>
    <row r="12" customFormat="false" ht="15" hidden="false" customHeight="false" outlineLevel="0" collapsed="false">
      <c r="A12" s="4" t="s">
        <v>256</v>
      </c>
      <c r="B12" s="37" t="str">
        <f aca="false">TEXT(INDEX(Calculator!$X$8:$X$27,$B$3),"0.0")&amp;" / "&amp;TEXT(INDEX(Calculator!$Y$8:$Y$27,$B$3),"0.0")</f>
        <v>5.5 / 37.0</v>
      </c>
    </row>
    <row r="13" customFormat="false" ht="15" hidden="false" customHeight="false" outlineLevel="0" collapsed="false">
      <c r="A13" s="4" t="s">
        <v>53</v>
      </c>
      <c r="B13" s="38" t="n">
        <f aca="false">IF(INDEX(Calculator!$AA$8:$AA$27,$B$3)="","",INDEX(Calculator!$AA$8:$AA$27,$B$3))</f>
        <v>0.734792750762606</v>
      </c>
    </row>
    <row r="14" customFormat="false" ht="15" hidden="false" customHeight="false" outlineLevel="0" collapsed="false">
      <c r="A14" s="4" t="s">
        <v>257</v>
      </c>
      <c r="B14" s="39" t="n">
        <f aca="false">IF(INDEX(Calculator!$AE$8:$AE$27,$B$3)="","",INDEX(Calculator!$AE$8:$AE$27,$B$3))</f>
        <v>233.8236164141</v>
      </c>
    </row>
    <row r="15" customFormat="false" ht="15" hidden="false" customHeight="false" outlineLevel="0" collapsed="false">
      <c r="A15" s="4" t="s">
        <v>258</v>
      </c>
      <c r="B15" s="39" t="n">
        <f aca="false">IF(INDEX(Calculator!$AN$8:$AN$27,$B$3)="","",INDEX(Calculator!$AN$8:$AN$27,$B$3))</f>
        <v>372.134781653664</v>
      </c>
    </row>
    <row r="16" customFormat="false" ht="15" hidden="false" customHeight="false" outlineLevel="0" collapsed="false">
      <c r="A16" s="4" t="s">
        <v>259</v>
      </c>
      <c r="B16" s="37" t="str">
        <f aca="false">IF(INDEX(Calculator!$AH$8:$AH$27,$B$3)=0,"n/a",INDEX(Calculator!$AH$8:$AH$27,$B$3)&amp;" x "&amp;TEXT(INDEX(Calculator!$AI$8:$AI$27,$B$3),"0.0")&amp;" m")</f>
        <v>810 x 4.9 m</v>
      </c>
    </row>
    <row r="17" customFormat="false" ht="15" hidden="false" customHeight="false" outlineLevel="0" collapsed="false">
      <c r="A17" s="4" t="s">
        <v>260</v>
      </c>
      <c r="B17" s="37" t="str">
        <f aca="false">IF(INDEX(Calculator!$AQ$8:$AQ$27,$B$3)=0,"n/a",INDEX(Calculator!$AQ$8:$AQ$27,$B$3)&amp;" x "&amp;TEXT(INDEX(Calculator!$AR$8:$AR$27,$B$3),"0.0")&amp;" m")</f>
        <v>1246 x 5.0 m</v>
      </c>
    </row>
    <row r="18" customFormat="false" ht="15" hidden="false" customHeight="false" outlineLevel="0" collapsed="false">
      <c r="A18" s="4" t="s">
        <v>261</v>
      </c>
      <c r="B18" s="40" t="n">
        <f aca="false">IF(INDEX(Calculator!$CA$8:$CA$27,$B$3)="","",INDEX(Calculator!$CA$8:$CA$27,$B$3))</f>
        <v>63366199.0882521</v>
      </c>
    </row>
    <row r="19" customFormat="false" ht="15" hidden="false" customHeight="false" outlineLevel="0" collapsed="false">
      <c r="A19" s="4" t="s">
        <v>262</v>
      </c>
      <c r="B19" s="40" t="n">
        <f aca="false">IF(INDEX(Calculator!$CB$8:$CB$27,$B$3)="","",INDEX(Calculator!$CB$8:$CB$27,$B$3))</f>
        <v>42244.1327255014</v>
      </c>
    </row>
    <row r="20" customFormat="false" ht="15" hidden="false" customHeight="false" outlineLevel="0" collapsed="false">
      <c r="A20" s="4" t="s">
        <v>263</v>
      </c>
      <c r="B20" s="41" t="n">
        <f aca="false">INDEX(Calculator!$CA$8:$CA$27,$B$3)*INDEX(Calculator!$D$8:$D$27,$B$3)/10000000</f>
        <v>31.683099544126</v>
      </c>
    </row>
    <row r="21" customFormat="false" ht="15" hidden="false" customHeight="false" outlineLevel="0" collapsed="false">
      <c r="A21" s="4" t="s">
        <v>264</v>
      </c>
      <c r="B21" s="35" t="n">
        <f aca="false">IF(INDEX(Calculator!$N$8:$N$27,$B$3)="","",INDEX(Calculator!$N$8:$N$27,$B$3))</f>
        <v>39259510</v>
      </c>
    </row>
    <row r="22" customFormat="false" ht="15" hidden="false" customHeight="false" outlineLevel="0" collapsed="false">
      <c r="A22" s="4" t="s">
        <v>110</v>
      </c>
      <c r="B22" s="38" t="n">
        <f aca="false">IF(INDEX(Calculator!$CN$8:$CN$27,$B$3)="","",INDEX(Calculator!$CN$8:$CN$27,$B$3))</f>
        <v>0.614034385254734</v>
      </c>
    </row>
    <row r="23" customFormat="false" ht="15" hidden="false" customHeight="false" outlineLevel="0" collapsed="false">
      <c r="A23" s="4" t="s">
        <v>112</v>
      </c>
      <c r="B23" s="34" t="str">
        <f aca="false">IF(INDEX(Calculator!$CP$8:$CP$27,$B$3)="","",INDEX(Calculator!$CP$8:$CP$27,$B$3))</f>
        <v>COP high vs lift; </v>
      </c>
    </row>
    <row r="25" customFormat="false" ht="15" hidden="false" customHeight="false" outlineLevel="0" collapsed="false">
      <c r="A25" s="25" t="s">
        <v>265</v>
      </c>
    </row>
    <row r="26" customFormat="false" ht="15" hidden="false" customHeight="false" outlineLevel="0" collapsed="false">
      <c r="A26" s="26" t="s">
        <v>266</v>
      </c>
      <c r="B26" s="26" t="s">
        <v>120</v>
      </c>
      <c r="C26" s="26" t="s">
        <v>267</v>
      </c>
    </row>
    <row r="27" customFormat="false" ht="15" hidden="false" customHeight="false" outlineLevel="0" collapsed="false">
      <c r="A27" s="4" t="s">
        <v>268</v>
      </c>
      <c r="B27" s="35" t="n">
        <f aca="false">IF(INDEX(Calculator!$CE$8:$CE$27,$B$3)="","",INDEX(Calculator!$CE$8:$CE$27,$B$3))</f>
        <v>7582317.88162711</v>
      </c>
      <c r="C27" s="20" t="n">
        <f aca="false">IF(B27="","",B27/B$33)</f>
        <v>0.119658713805242</v>
      </c>
    </row>
    <row r="28" customFormat="false" ht="15" hidden="false" customHeight="false" outlineLevel="0" collapsed="false">
      <c r="A28" s="4" t="s">
        <v>269</v>
      </c>
      <c r="B28" s="35" t="n">
        <f aca="false">IF(INDEX(Calculator!$CF$8:$CF$27,$B$3)="","",INDEX(Calculator!$CF$8:$CF$27,$B$3))</f>
        <v>29354183.4056816</v>
      </c>
      <c r="C28" s="20" t="n">
        <f aca="false">IF(B28="","",B28/B$33)</f>
        <v>0.463246712412072</v>
      </c>
    </row>
    <row r="29" customFormat="false" ht="15" hidden="false" customHeight="false" outlineLevel="0" collapsed="false">
      <c r="A29" s="4" t="s">
        <v>270</v>
      </c>
      <c r="B29" s="35" t="n">
        <f aca="false">IF(INDEX(Calculator!$CG$8:$CG$27,$B$3)="","",INDEX(Calculator!$CG$8:$CG$27,$B$3))</f>
        <v>5525690.07723852</v>
      </c>
      <c r="C29" s="20" t="n">
        <f aca="false">IF(B29="","",B29/B$33)</f>
        <v>0.0872024858164953</v>
      </c>
    </row>
    <row r="30" customFormat="false" ht="15" hidden="false" customHeight="false" outlineLevel="0" collapsed="false">
      <c r="A30" s="4" t="s">
        <v>271</v>
      </c>
      <c r="B30" s="35" t="n">
        <f aca="false">IF(INDEX(Calculator!$CH$8:$CH$27,$B$3)="","",INDEX(Calculator!$CH$8:$CH$27,$B$3))</f>
        <v>6581639.66150482</v>
      </c>
      <c r="C30" s="20" t="n">
        <f aca="false">IF(B30="","",B30/B$33)</f>
        <v>0.10386672636524</v>
      </c>
    </row>
    <row r="31" customFormat="false" ht="15" hidden="false" customHeight="false" outlineLevel="0" collapsed="false">
      <c r="A31" s="4" t="s">
        <v>272</v>
      </c>
      <c r="B31" s="35" t="n">
        <f aca="false">IF(INDEX(Calculator!$CI$8:$CI$27,$B$3)="","",INDEX(Calculator!$CI$8:$CI$27,$B$3))</f>
        <v>1471314.93078156</v>
      </c>
      <c r="C31" s="20" t="n">
        <f aca="false">IF(B31="","",B31/B$33)</f>
        <v>0.0232192391519715</v>
      </c>
    </row>
    <row r="32" customFormat="false" ht="15" hidden="false" customHeight="false" outlineLevel="0" collapsed="false">
      <c r="A32" s="4" t="s">
        <v>273</v>
      </c>
      <c r="B32" s="35" t="n">
        <f aca="false">IF(INDEX(Calculator!$CJ$8:$CJ$27,$B$3)="","",INDEX(Calculator!$CJ$8:$CJ$27,$B$3))</f>
        <v>12851053.1314185</v>
      </c>
      <c r="C32" s="20" t="n">
        <f aca="false">IF(B32="","",B32/B$33)</f>
        <v>0.20280612244898</v>
      </c>
    </row>
    <row r="33" customFormat="false" ht="15" hidden="false" customHeight="false" outlineLevel="0" collapsed="false">
      <c r="A33" s="25" t="s">
        <v>97</v>
      </c>
      <c r="B33" s="22" t="n">
        <f aca="false">SUM(B27:B32)</f>
        <v>63366199.0882521</v>
      </c>
      <c r="C33" s="42" t="n">
        <f aca="false">IF(B33=0,"",B33/B33)</f>
        <v>1</v>
      </c>
    </row>
    <row r="34" customFormat="false" ht="15" hidden="false" customHeight="false" outlineLevel="0" collapsed="false">
      <c r="A34" s="4" t="s">
        <v>274</v>
      </c>
      <c r="B34" s="4" t="str">
        <f aca="false">IF(ABS(B33-INDEX(Calculator!$CA$8:$CA$27,$B$3))&lt;1,"OK","MISMATCH")</f>
        <v>OK</v>
      </c>
    </row>
    <row r="36" customFormat="false" ht="15" hidden="false" customHeight="false" outlineLevel="0" collapsed="false">
      <c r="A36" s="25" t="s">
        <v>275</v>
      </c>
    </row>
    <row r="37" customFormat="false" ht="39.75" hidden="false" customHeight="true" outlineLevel="0" collapsed="false">
      <c r="A37" s="43" t="s">
        <v>121</v>
      </c>
      <c r="B37" s="43" t="s">
        <v>27</v>
      </c>
      <c r="C37" s="43" t="s">
        <v>252</v>
      </c>
      <c r="D37" s="43" t="s">
        <v>113</v>
      </c>
      <c r="E37" s="43" t="s">
        <v>30</v>
      </c>
      <c r="F37" s="43" t="s">
        <v>276</v>
      </c>
      <c r="G37" s="43" t="s">
        <v>277</v>
      </c>
      <c r="H37" s="43" t="s">
        <v>278</v>
      </c>
      <c r="I37" s="43" t="s">
        <v>279</v>
      </c>
      <c r="J37" s="43" t="s">
        <v>110</v>
      </c>
      <c r="K37" s="43" t="s">
        <v>112</v>
      </c>
    </row>
    <row r="38" customFormat="false" ht="15" hidden="false" customHeight="false" outlineLevel="0" collapsed="false">
      <c r="A38" s="16" t="n">
        <v>1</v>
      </c>
      <c r="B38" s="34" t="str">
        <f aca="false">IF(Calculator!A8="","",Calculator!A8)</f>
        <v>D2 TKM chiller, BOQ ME.HVAC.HS.1.1</v>
      </c>
      <c r="C38" s="34" t="str">
        <f aca="false">IF(Calculator!A8="","",Calculator!B8)</f>
        <v>Water-cooled centrifugal, HT 6.6 kV</v>
      </c>
      <c r="D38" s="35" t="n">
        <f aca="false">IF(Calculator!A8="","",Calculator!C8)</f>
        <v>1500</v>
      </c>
      <c r="E38" s="36" t="n">
        <f aca="false">IF(Calculator!A8="","",Calculator!D8)</f>
        <v>5</v>
      </c>
      <c r="F38" s="35" t="n">
        <f aca="false">IF(Calculator!A8="","",Calculator!CA8)</f>
        <v>63366199.0882521</v>
      </c>
      <c r="G38" s="35" t="n">
        <f aca="false">IF(Calculator!A8="","",Calculator!CB8)</f>
        <v>42244.1327255014</v>
      </c>
      <c r="H38" s="35" t="n">
        <f aca="false">IF(Calculator!N8="","",Calculator!N8)</f>
        <v>39259510</v>
      </c>
      <c r="I38" s="35" t="n">
        <f aca="false">IF(Calculator!N8="","",Calculator!CL8)</f>
        <v>26173.0066666667</v>
      </c>
      <c r="J38" s="38" t="n">
        <f aca="false">IF(Calculator!N8="","",Calculator!CN8)</f>
        <v>0.614034385254734</v>
      </c>
      <c r="K38" s="34" t="str">
        <f aca="false">IF(Calculator!A8="","",Calculator!CP8)</f>
        <v>COP high vs lift; </v>
      </c>
    </row>
    <row r="39" customFormat="false" ht="15" hidden="false" customHeight="false" outlineLevel="0" collapsed="false">
      <c r="A39" s="16" t="n">
        <v>2</v>
      </c>
      <c r="B39" s="34" t="str">
        <f aca="false">IF(Calculator!A9="","",Calculator!A9)</f>
        <v>Illustrative: 400 TR LT centrifugal</v>
      </c>
      <c r="C39" s="34" t="str">
        <f aca="false">IF(Calculator!A9="","",Calculator!B9)</f>
        <v>Water-cooled centrifugal, LT 415 V</v>
      </c>
      <c r="D39" s="35" t="n">
        <f aca="false">IF(Calculator!A9="","",Calculator!C9)</f>
        <v>400</v>
      </c>
      <c r="E39" s="36" t="n">
        <f aca="false">IF(Calculator!A9="","",Calculator!D9)</f>
        <v>2</v>
      </c>
      <c r="F39" s="35" t="n">
        <f aca="false">IF(Calculator!A9="","",Calculator!CA9)</f>
        <v>17309478.9921302</v>
      </c>
      <c r="G39" s="35" t="n">
        <f aca="false">IF(Calculator!A9="","",Calculator!CB9)</f>
        <v>43273.6974803256</v>
      </c>
      <c r="H39" s="35" t="str">
        <f aca="false">IF(Calculator!N9="","",Calculator!N9)</f>
        <v/>
      </c>
      <c r="I39" s="35" t="str">
        <f aca="false">IF(Calculator!N9="","",Calculator!CL9)</f>
        <v/>
      </c>
      <c r="J39" s="38" t="str">
        <f aca="false">IF(Calculator!N9="","",Calculator!CN9)</f>
        <v/>
      </c>
      <c r="K39" s="34" t="str">
        <f aca="false">IF(Calculator!A9="","",Calculator!CP9)</f>
        <v>COP high vs lift; </v>
      </c>
    </row>
    <row r="40" customFormat="false" ht="15" hidden="false" customHeight="false" outlineLevel="0" collapsed="false">
      <c r="A40" s="16" t="n">
        <v>3</v>
      </c>
      <c r="B40" s="34" t="str">
        <f aca="false">IF(Calculator!A10="","",Calculator!A10)</f>
        <v>Illustrative: 250 TR water-cooled screw</v>
      </c>
      <c r="C40" s="34" t="str">
        <f aca="false">IF(Calculator!A10="","",Calculator!B10)</f>
        <v>Water-cooled screw, LT 415 V</v>
      </c>
      <c r="D40" s="35" t="n">
        <f aca="false">IF(Calculator!A10="","",Calculator!C10)</f>
        <v>250</v>
      </c>
      <c r="E40" s="36" t="n">
        <f aca="false">IF(Calculator!A10="","",Calculator!D10)</f>
        <v>2</v>
      </c>
      <c r="F40" s="35" t="n">
        <f aca="false">IF(Calculator!A10="","",Calculator!CA10)</f>
        <v>7476754.75936513</v>
      </c>
      <c r="G40" s="35" t="n">
        <f aca="false">IF(Calculator!A10="","",Calculator!CB10)</f>
        <v>29907.0190374605</v>
      </c>
      <c r="H40" s="35" t="str">
        <f aca="false">IF(Calculator!N10="","",Calculator!N10)</f>
        <v/>
      </c>
      <c r="I40" s="35" t="str">
        <f aca="false">IF(Calculator!N10="","",Calculator!CL10)</f>
        <v/>
      </c>
      <c r="J40" s="38" t="str">
        <f aca="false">IF(Calculator!N10="","",Calculator!CN10)</f>
        <v/>
      </c>
      <c r="K40" s="34" t="str">
        <f aca="false">IF(Calculator!A10="","",Calculator!CP10)</f>
        <v/>
      </c>
    </row>
    <row r="41" customFormat="false" ht="15" hidden="false" customHeight="false" outlineLevel="0" collapsed="false">
      <c r="A41" s="16" t="n">
        <v>4</v>
      </c>
      <c r="B41" s="34" t="str">
        <f aca="false">IF(Calculator!A11="","",Calculator!A11)</f>
        <v>Illustrative: 150 TR air-cooled screw</v>
      </c>
      <c r="C41" s="34" t="str">
        <f aca="false">IF(Calculator!A11="","",Calculator!B11)</f>
        <v>Air-cooled screw, LT 415 V</v>
      </c>
      <c r="D41" s="35" t="n">
        <f aca="false">IF(Calculator!A11="","",Calculator!C11)</f>
        <v>150</v>
      </c>
      <c r="E41" s="36" t="n">
        <f aca="false">IF(Calculator!A11="","",Calculator!D11)</f>
        <v>2</v>
      </c>
      <c r="F41" s="35" t="n">
        <f aca="false">IF(Calculator!A11="","",Calculator!CA11)</f>
        <v>8542609.83760903</v>
      </c>
      <c r="G41" s="35" t="n">
        <f aca="false">IF(Calculator!A11="","",Calculator!CB11)</f>
        <v>56950.7322507269</v>
      </c>
      <c r="H41" s="35" t="str">
        <f aca="false">IF(Calculator!N11="","",Calculator!N11)</f>
        <v/>
      </c>
      <c r="I41" s="35" t="str">
        <f aca="false">IF(Calculator!N11="","",Calculator!CL11)</f>
        <v/>
      </c>
      <c r="J41" s="38" t="str">
        <f aca="false">IF(Calculator!N11="","",Calculator!CN11)</f>
        <v/>
      </c>
      <c r="K41" s="34" t="str">
        <f aca="false">IF(Calculator!A11="","",Calculator!CP11)</f>
        <v/>
      </c>
    </row>
    <row r="42" customFormat="false" ht="15" hidden="false" customHeight="false" outlineLevel="0" collapsed="false">
      <c r="A42" s="16" t="n">
        <v>5</v>
      </c>
      <c r="B42" s="34" t="str">
        <f aca="false">IF(Calculator!A12="","",Calculator!A12)</f>
        <v>Illustrative: 60 TR air-cooled scroll</v>
      </c>
      <c r="C42" s="34" t="str">
        <f aca="false">IF(Calculator!A12="","",Calculator!B12)</f>
        <v>Air-cooled scroll, LT 415 V (modular)</v>
      </c>
      <c r="D42" s="35" t="n">
        <f aca="false">IF(Calculator!A12="","",Calculator!C12)</f>
        <v>60</v>
      </c>
      <c r="E42" s="36" t="n">
        <f aca="false">IF(Calculator!A12="","",Calculator!D12)</f>
        <v>2</v>
      </c>
      <c r="F42" s="35" t="n">
        <f aca="false">IF(Calculator!A12="","",Calculator!CA12)</f>
        <v>3386773.32913068</v>
      </c>
      <c r="G42" s="35" t="n">
        <f aca="false">IF(Calculator!A12="","",Calculator!CB12)</f>
        <v>56446.222152178</v>
      </c>
      <c r="H42" s="35" t="str">
        <f aca="false">IF(Calculator!N12="","",Calculator!N12)</f>
        <v/>
      </c>
      <c r="I42" s="35" t="str">
        <f aca="false">IF(Calculator!N12="","",Calculator!CL12)</f>
        <v/>
      </c>
      <c r="J42" s="38" t="str">
        <f aca="false">IF(Calculator!N12="","",Calculator!CN12)</f>
        <v/>
      </c>
      <c r="K42" s="34" t="str">
        <f aca="false">IF(Calculator!A12="","",Calculator!CP12)</f>
        <v/>
      </c>
    </row>
    <row r="43" customFormat="false" ht="15" hidden="false" customHeight="false" outlineLevel="0" collapsed="false">
      <c r="A43" s="16" t="n">
        <v>6</v>
      </c>
      <c r="B43" s="34" t="str">
        <f aca="false">IF(Calculator!A13="","",Calculator!A13)</f>
        <v/>
      </c>
      <c r="C43" s="34" t="str">
        <f aca="false">IF(Calculator!A13="","",Calculator!B13)</f>
        <v/>
      </c>
      <c r="D43" s="35" t="str">
        <f aca="false">IF(Calculator!A13="","",Calculator!C13)</f>
        <v/>
      </c>
      <c r="E43" s="36" t="str">
        <f aca="false">IF(Calculator!A13="","",Calculator!D13)</f>
        <v/>
      </c>
      <c r="F43" s="35" t="str">
        <f aca="false">IF(Calculator!A13="","",Calculator!CA13)</f>
        <v/>
      </c>
      <c r="G43" s="35" t="str">
        <f aca="false">IF(Calculator!A13="","",Calculator!CB13)</f>
        <v/>
      </c>
      <c r="H43" s="35" t="str">
        <f aca="false">IF(Calculator!N13="","",Calculator!N13)</f>
        <v/>
      </c>
      <c r="I43" s="35" t="str">
        <f aca="false">IF(Calculator!N13="","",Calculator!CL13)</f>
        <v/>
      </c>
      <c r="J43" s="38" t="str">
        <f aca="false">IF(Calculator!N13="","",Calculator!CN13)</f>
        <v/>
      </c>
      <c r="K43" s="34" t="str">
        <f aca="false">IF(Calculator!A13="","",Calculator!CP13)</f>
        <v/>
      </c>
    </row>
    <row r="44" customFormat="false" ht="15" hidden="false" customHeight="false" outlineLevel="0" collapsed="false">
      <c r="A44" s="16" t="n">
        <v>7</v>
      </c>
      <c r="B44" s="34" t="str">
        <f aca="false">IF(Calculator!A14="","",Calculator!A14)</f>
        <v/>
      </c>
      <c r="C44" s="34" t="str">
        <f aca="false">IF(Calculator!A14="","",Calculator!B14)</f>
        <v/>
      </c>
      <c r="D44" s="35" t="str">
        <f aca="false">IF(Calculator!A14="","",Calculator!C14)</f>
        <v/>
      </c>
      <c r="E44" s="36" t="str">
        <f aca="false">IF(Calculator!A14="","",Calculator!D14)</f>
        <v/>
      </c>
      <c r="F44" s="35" t="str">
        <f aca="false">IF(Calculator!A14="","",Calculator!CA14)</f>
        <v/>
      </c>
      <c r="G44" s="35" t="str">
        <f aca="false">IF(Calculator!A14="","",Calculator!CB14)</f>
        <v/>
      </c>
      <c r="H44" s="35" t="str">
        <f aca="false">IF(Calculator!N14="","",Calculator!N14)</f>
        <v/>
      </c>
      <c r="I44" s="35" t="str">
        <f aca="false">IF(Calculator!N14="","",Calculator!CL14)</f>
        <v/>
      </c>
      <c r="J44" s="38" t="str">
        <f aca="false">IF(Calculator!N14="","",Calculator!CN14)</f>
        <v/>
      </c>
      <c r="K44" s="34" t="str">
        <f aca="false">IF(Calculator!A14="","",Calculator!CP14)</f>
        <v/>
      </c>
    </row>
    <row r="45" customFormat="false" ht="15" hidden="false" customHeight="false" outlineLevel="0" collapsed="false">
      <c r="A45" s="16" t="n">
        <v>8</v>
      </c>
      <c r="B45" s="34" t="str">
        <f aca="false">IF(Calculator!A15="","",Calculator!A15)</f>
        <v/>
      </c>
      <c r="C45" s="34" t="str">
        <f aca="false">IF(Calculator!A15="","",Calculator!B15)</f>
        <v/>
      </c>
      <c r="D45" s="35" t="str">
        <f aca="false">IF(Calculator!A15="","",Calculator!C15)</f>
        <v/>
      </c>
      <c r="E45" s="36" t="str">
        <f aca="false">IF(Calculator!A15="","",Calculator!D15)</f>
        <v/>
      </c>
      <c r="F45" s="35" t="str">
        <f aca="false">IF(Calculator!A15="","",Calculator!CA15)</f>
        <v/>
      </c>
      <c r="G45" s="35" t="str">
        <f aca="false">IF(Calculator!A15="","",Calculator!CB15)</f>
        <v/>
      </c>
      <c r="H45" s="35" t="str">
        <f aca="false">IF(Calculator!N15="","",Calculator!N15)</f>
        <v/>
      </c>
      <c r="I45" s="35" t="str">
        <f aca="false">IF(Calculator!N15="","",Calculator!CL15)</f>
        <v/>
      </c>
      <c r="J45" s="38" t="str">
        <f aca="false">IF(Calculator!N15="","",Calculator!CN15)</f>
        <v/>
      </c>
      <c r="K45" s="34" t="str">
        <f aca="false">IF(Calculator!A15="","",Calculator!CP15)</f>
        <v/>
      </c>
    </row>
    <row r="46" customFormat="false" ht="15" hidden="false" customHeight="false" outlineLevel="0" collapsed="false">
      <c r="A46" s="16" t="n">
        <v>9</v>
      </c>
      <c r="B46" s="34" t="str">
        <f aca="false">IF(Calculator!A16="","",Calculator!A16)</f>
        <v/>
      </c>
      <c r="C46" s="34" t="str">
        <f aca="false">IF(Calculator!A16="","",Calculator!B16)</f>
        <v/>
      </c>
      <c r="D46" s="35" t="str">
        <f aca="false">IF(Calculator!A16="","",Calculator!C16)</f>
        <v/>
      </c>
      <c r="E46" s="36" t="str">
        <f aca="false">IF(Calculator!A16="","",Calculator!D16)</f>
        <v/>
      </c>
      <c r="F46" s="35" t="str">
        <f aca="false">IF(Calculator!A16="","",Calculator!CA16)</f>
        <v/>
      </c>
      <c r="G46" s="35" t="str">
        <f aca="false">IF(Calculator!A16="","",Calculator!CB16)</f>
        <v/>
      </c>
      <c r="H46" s="35" t="str">
        <f aca="false">IF(Calculator!N16="","",Calculator!N16)</f>
        <v/>
      </c>
      <c r="I46" s="35" t="str">
        <f aca="false">IF(Calculator!N16="","",Calculator!CL16)</f>
        <v/>
      </c>
      <c r="J46" s="38" t="str">
        <f aca="false">IF(Calculator!N16="","",Calculator!CN16)</f>
        <v/>
      </c>
      <c r="K46" s="34" t="str">
        <f aca="false">IF(Calculator!A16="","",Calculator!CP16)</f>
        <v/>
      </c>
    </row>
    <row r="47" customFormat="false" ht="15" hidden="false" customHeight="false" outlineLevel="0" collapsed="false">
      <c r="A47" s="16" t="n">
        <v>10</v>
      </c>
      <c r="B47" s="34" t="str">
        <f aca="false">IF(Calculator!A17="","",Calculator!A17)</f>
        <v/>
      </c>
      <c r="C47" s="34" t="str">
        <f aca="false">IF(Calculator!A17="","",Calculator!B17)</f>
        <v/>
      </c>
      <c r="D47" s="35" t="str">
        <f aca="false">IF(Calculator!A17="","",Calculator!C17)</f>
        <v/>
      </c>
      <c r="E47" s="36" t="str">
        <f aca="false">IF(Calculator!A17="","",Calculator!D17)</f>
        <v/>
      </c>
      <c r="F47" s="35" t="str">
        <f aca="false">IF(Calculator!A17="","",Calculator!CA17)</f>
        <v/>
      </c>
      <c r="G47" s="35" t="str">
        <f aca="false">IF(Calculator!A17="","",Calculator!CB17)</f>
        <v/>
      </c>
      <c r="H47" s="35" t="str">
        <f aca="false">IF(Calculator!N17="","",Calculator!N17)</f>
        <v/>
      </c>
      <c r="I47" s="35" t="str">
        <f aca="false">IF(Calculator!N17="","",Calculator!CL17)</f>
        <v/>
      </c>
      <c r="J47" s="38" t="str">
        <f aca="false">IF(Calculator!N17="","",Calculator!CN17)</f>
        <v/>
      </c>
      <c r="K47" s="34" t="str">
        <f aca="false">IF(Calculator!A17="","",Calculator!CP17)</f>
        <v/>
      </c>
    </row>
    <row r="48" customFormat="false" ht="15" hidden="false" customHeight="false" outlineLevel="0" collapsed="false">
      <c r="A48" s="16" t="n">
        <v>11</v>
      </c>
      <c r="B48" s="34" t="str">
        <f aca="false">IF(Calculator!A18="","",Calculator!A18)</f>
        <v/>
      </c>
      <c r="C48" s="34" t="str">
        <f aca="false">IF(Calculator!A18="","",Calculator!B18)</f>
        <v/>
      </c>
      <c r="D48" s="35" t="str">
        <f aca="false">IF(Calculator!A18="","",Calculator!C18)</f>
        <v/>
      </c>
      <c r="E48" s="36" t="str">
        <f aca="false">IF(Calculator!A18="","",Calculator!D18)</f>
        <v/>
      </c>
      <c r="F48" s="35" t="str">
        <f aca="false">IF(Calculator!A18="","",Calculator!CA18)</f>
        <v/>
      </c>
      <c r="G48" s="35" t="str">
        <f aca="false">IF(Calculator!A18="","",Calculator!CB18)</f>
        <v/>
      </c>
      <c r="H48" s="35" t="str">
        <f aca="false">IF(Calculator!N18="","",Calculator!N18)</f>
        <v/>
      </c>
      <c r="I48" s="35" t="str">
        <f aca="false">IF(Calculator!N18="","",Calculator!CL18)</f>
        <v/>
      </c>
      <c r="J48" s="38" t="str">
        <f aca="false">IF(Calculator!N18="","",Calculator!CN18)</f>
        <v/>
      </c>
      <c r="K48" s="34" t="str">
        <f aca="false">IF(Calculator!A18="","",Calculator!CP18)</f>
        <v/>
      </c>
    </row>
    <row r="49" customFormat="false" ht="15" hidden="false" customHeight="false" outlineLevel="0" collapsed="false">
      <c r="A49" s="16" t="n">
        <v>12</v>
      </c>
      <c r="B49" s="34" t="str">
        <f aca="false">IF(Calculator!A19="","",Calculator!A19)</f>
        <v/>
      </c>
      <c r="C49" s="34" t="str">
        <f aca="false">IF(Calculator!A19="","",Calculator!B19)</f>
        <v/>
      </c>
      <c r="D49" s="35" t="str">
        <f aca="false">IF(Calculator!A19="","",Calculator!C19)</f>
        <v/>
      </c>
      <c r="E49" s="36" t="str">
        <f aca="false">IF(Calculator!A19="","",Calculator!D19)</f>
        <v/>
      </c>
      <c r="F49" s="35" t="str">
        <f aca="false">IF(Calculator!A19="","",Calculator!CA19)</f>
        <v/>
      </c>
      <c r="G49" s="35" t="str">
        <f aca="false">IF(Calculator!A19="","",Calculator!CB19)</f>
        <v/>
      </c>
      <c r="H49" s="35" t="str">
        <f aca="false">IF(Calculator!N19="","",Calculator!N19)</f>
        <v/>
      </c>
      <c r="I49" s="35" t="str">
        <f aca="false">IF(Calculator!N19="","",Calculator!CL19)</f>
        <v/>
      </c>
      <c r="J49" s="38" t="str">
        <f aca="false">IF(Calculator!N19="","",Calculator!CN19)</f>
        <v/>
      </c>
      <c r="K49" s="34" t="str">
        <f aca="false">IF(Calculator!A19="","",Calculator!CP19)</f>
        <v/>
      </c>
    </row>
    <row r="50" customFormat="false" ht="15" hidden="false" customHeight="false" outlineLevel="0" collapsed="false">
      <c r="A50" s="16" t="n">
        <v>13</v>
      </c>
      <c r="B50" s="34" t="str">
        <f aca="false">IF(Calculator!A20="","",Calculator!A20)</f>
        <v/>
      </c>
      <c r="C50" s="34" t="str">
        <f aca="false">IF(Calculator!A20="","",Calculator!B20)</f>
        <v/>
      </c>
      <c r="D50" s="35" t="str">
        <f aca="false">IF(Calculator!A20="","",Calculator!C20)</f>
        <v/>
      </c>
      <c r="E50" s="36" t="str">
        <f aca="false">IF(Calculator!A20="","",Calculator!D20)</f>
        <v/>
      </c>
      <c r="F50" s="35" t="str">
        <f aca="false">IF(Calculator!A20="","",Calculator!CA20)</f>
        <v/>
      </c>
      <c r="G50" s="35" t="str">
        <f aca="false">IF(Calculator!A20="","",Calculator!CB20)</f>
        <v/>
      </c>
      <c r="H50" s="35" t="str">
        <f aca="false">IF(Calculator!N20="","",Calculator!N20)</f>
        <v/>
      </c>
      <c r="I50" s="35" t="str">
        <f aca="false">IF(Calculator!N20="","",Calculator!CL20)</f>
        <v/>
      </c>
      <c r="J50" s="38" t="str">
        <f aca="false">IF(Calculator!N20="","",Calculator!CN20)</f>
        <v/>
      </c>
      <c r="K50" s="34" t="str">
        <f aca="false">IF(Calculator!A20="","",Calculator!CP20)</f>
        <v/>
      </c>
    </row>
    <row r="51" customFormat="false" ht="15" hidden="false" customHeight="false" outlineLevel="0" collapsed="false">
      <c r="A51" s="16" t="n">
        <v>14</v>
      </c>
      <c r="B51" s="34" t="str">
        <f aca="false">IF(Calculator!A21="","",Calculator!A21)</f>
        <v/>
      </c>
      <c r="C51" s="34" t="str">
        <f aca="false">IF(Calculator!A21="","",Calculator!B21)</f>
        <v/>
      </c>
      <c r="D51" s="35" t="str">
        <f aca="false">IF(Calculator!A21="","",Calculator!C21)</f>
        <v/>
      </c>
      <c r="E51" s="36" t="str">
        <f aca="false">IF(Calculator!A21="","",Calculator!D21)</f>
        <v/>
      </c>
      <c r="F51" s="35" t="str">
        <f aca="false">IF(Calculator!A21="","",Calculator!CA21)</f>
        <v/>
      </c>
      <c r="G51" s="35" t="str">
        <f aca="false">IF(Calculator!A21="","",Calculator!CB21)</f>
        <v/>
      </c>
      <c r="H51" s="35" t="str">
        <f aca="false">IF(Calculator!N21="","",Calculator!N21)</f>
        <v/>
      </c>
      <c r="I51" s="35" t="str">
        <f aca="false">IF(Calculator!N21="","",Calculator!CL21)</f>
        <v/>
      </c>
      <c r="J51" s="38" t="str">
        <f aca="false">IF(Calculator!N21="","",Calculator!CN21)</f>
        <v/>
      </c>
      <c r="K51" s="34" t="str">
        <f aca="false">IF(Calculator!A21="","",Calculator!CP21)</f>
        <v/>
      </c>
    </row>
    <row r="52" customFormat="false" ht="15" hidden="false" customHeight="false" outlineLevel="0" collapsed="false">
      <c r="A52" s="16" t="n">
        <v>15</v>
      </c>
      <c r="B52" s="34" t="str">
        <f aca="false">IF(Calculator!A22="","",Calculator!A22)</f>
        <v/>
      </c>
      <c r="C52" s="34" t="str">
        <f aca="false">IF(Calculator!A22="","",Calculator!B22)</f>
        <v/>
      </c>
      <c r="D52" s="35" t="str">
        <f aca="false">IF(Calculator!A22="","",Calculator!C22)</f>
        <v/>
      </c>
      <c r="E52" s="36" t="str">
        <f aca="false">IF(Calculator!A22="","",Calculator!D22)</f>
        <v/>
      </c>
      <c r="F52" s="35" t="str">
        <f aca="false">IF(Calculator!A22="","",Calculator!CA22)</f>
        <v/>
      </c>
      <c r="G52" s="35" t="str">
        <f aca="false">IF(Calculator!A22="","",Calculator!CB22)</f>
        <v/>
      </c>
      <c r="H52" s="35" t="str">
        <f aca="false">IF(Calculator!N22="","",Calculator!N22)</f>
        <v/>
      </c>
      <c r="I52" s="35" t="str">
        <f aca="false">IF(Calculator!N22="","",Calculator!CL22)</f>
        <v/>
      </c>
      <c r="J52" s="38" t="str">
        <f aca="false">IF(Calculator!N22="","",Calculator!CN22)</f>
        <v/>
      </c>
      <c r="K52" s="34" t="str">
        <f aca="false">IF(Calculator!A22="","",Calculator!CP22)</f>
        <v/>
      </c>
    </row>
    <row r="53" customFormat="false" ht="15" hidden="false" customHeight="false" outlineLevel="0" collapsed="false">
      <c r="A53" s="16" t="n">
        <v>16</v>
      </c>
      <c r="B53" s="34" t="str">
        <f aca="false">IF(Calculator!A23="","",Calculator!A23)</f>
        <v/>
      </c>
      <c r="C53" s="34" t="str">
        <f aca="false">IF(Calculator!A23="","",Calculator!B23)</f>
        <v/>
      </c>
      <c r="D53" s="35" t="str">
        <f aca="false">IF(Calculator!A23="","",Calculator!C23)</f>
        <v/>
      </c>
      <c r="E53" s="36" t="str">
        <f aca="false">IF(Calculator!A23="","",Calculator!D23)</f>
        <v/>
      </c>
      <c r="F53" s="35" t="str">
        <f aca="false">IF(Calculator!A23="","",Calculator!CA23)</f>
        <v/>
      </c>
      <c r="G53" s="35" t="str">
        <f aca="false">IF(Calculator!A23="","",Calculator!CB23)</f>
        <v/>
      </c>
      <c r="H53" s="35" t="str">
        <f aca="false">IF(Calculator!N23="","",Calculator!N23)</f>
        <v/>
      </c>
      <c r="I53" s="35" t="str">
        <f aca="false">IF(Calculator!N23="","",Calculator!CL23)</f>
        <v/>
      </c>
      <c r="J53" s="38" t="str">
        <f aca="false">IF(Calculator!N23="","",Calculator!CN23)</f>
        <v/>
      </c>
      <c r="K53" s="34" t="str">
        <f aca="false">IF(Calculator!A23="","",Calculator!CP23)</f>
        <v/>
      </c>
    </row>
    <row r="54" customFormat="false" ht="15" hidden="false" customHeight="false" outlineLevel="0" collapsed="false">
      <c r="A54" s="16" t="n">
        <v>17</v>
      </c>
      <c r="B54" s="34" t="str">
        <f aca="false">IF(Calculator!A24="","",Calculator!A24)</f>
        <v/>
      </c>
      <c r="C54" s="34" t="str">
        <f aca="false">IF(Calculator!A24="","",Calculator!B24)</f>
        <v/>
      </c>
      <c r="D54" s="35" t="str">
        <f aca="false">IF(Calculator!A24="","",Calculator!C24)</f>
        <v/>
      </c>
      <c r="E54" s="36" t="str">
        <f aca="false">IF(Calculator!A24="","",Calculator!D24)</f>
        <v/>
      </c>
      <c r="F54" s="35" t="str">
        <f aca="false">IF(Calculator!A24="","",Calculator!CA24)</f>
        <v/>
      </c>
      <c r="G54" s="35" t="str">
        <f aca="false">IF(Calculator!A24="","",Calculator!CB24)</f>
        <v/>
      </c>
      <c r="H54" s="35" t="str">
        <f aca="false">IF(Calculator!N24="","",Calculator!N24)</f>
        <v/>
      </c>
      <c r="I54" s="35" t="str">
        <f aca="false">IF(Calculator!N24="","",Calculator!CL24)</f>
        <v/>
      </c>
      <c r="J54" s="38" t="str">
        <f aca="false">IF(Calculator!N24="","",Calculator!CN24)</f>
        <v/>
      </c>
      <c r="K54" s="34" t="str">
        <f aca="false">IF(Calculator!A24="","",Calculator!CP24)</f>
        <v/>
      </c>
    </row>
    <row r="55" customFormat="false" ht="15" hidden="false" customHeight="false" outlineLevel="0" collapsed="false">
      <c r="A55" s="16" t="n">
        <v>18</v>
      </c>
      <c r="B55" s="34" t="str">
        <f aca="false">IF(Calculator!A25="","",Calculator!A25)</f>
        <v/>
      </c>
      <c r="C55" s="34" t="str">
        <f aca="false">IF(Calculator!A25="","",Calculator!B25)</f>
        <v/>
      </c>
      <c r="D55" s="35" t="str">
        <f aca="false">IF(Calculator!A25="","",Calculator!C25)</f>
        <v/>
      </c>
      <c r="E55" s="36" t="str">
        <f aca="false">IF(Calculator!A25="","",Calculator!D25)</f>
        <v/>
      </c>
      <c r="F55" s="35" t="str">
        <f aca="false">IF(Calculator!A25="","",Calculator!CA25)</f>
        <v/>
      </c>
      <c r="G55" s="35" t="str">
        <f aca="false">IF(Calculator!A25="","",Calculator!CB25)</f>
        <v/>
      </c>
      <c r="H55" s="35" t="str">
        <f aca="false">IF(Calculator!N25="","",Calculator!N25)</f>
        <v/>
      </c>
      <c r="I55" s="35" t="str">
        <f aca="false">IF(Calculator!N25="","",Calculator!CL25)</f>
        <v/>
      </c>
      <c r="J55" s="38" t="str">
        <f aca="false">IF(Calculator!N25="","",Calculator!CN25)</f>
        <v/>
      </c>
      <c r="K55" s="34" t="str">
        <f aca="false">IF(Calculator!A25="","",Calculator!CP25)</f>
        <v/>
      </c>
    </row>
    <row r="56" customFormat="false" ht="15" hidden="false" customHeight="false" outlineLevel="0" collapsed="false">
      <c r="A56" s="16" t="n">
        <v>19</v>
      </c>
      <c r="B56" s="34" t="str">
        <f aca="false">IF(Calculator!A26="","",Calculator!A26)</f>
        <v/>
      </c>
      <c r="C56" s="34" t="str">
        <f aca="false">IF(Calculator!A26="","",Calculator!B26)</f>
        <v/>
      </c>
      <c r="D56" s="35" t="str">
        <f aca="false">IF(Calculator!A26="","",Calculator!C26)</f>
        <v/>
      </c>
      <c r="E56" s="36" t="str">
        <f aca="false">IF(Calculator!A26="","",Calculator!D26)</f>
        <v/>
      </c>
      <c r="F56" s="35" t="str">
        <f aca="false">IF(Calculator!A26="","",Calculator!CA26)</f>
        <v/>
      </c>
      <c r="G56" s="35" t="str">
        <f aca="false">IF(Calculator!A26="","",Calculator!CB26)</f>
        <v/>
      </c>
      <c r="H56" s="35" t="str">
        <f aca="false">IF(Calculator!N26="","",Calculator!N26)</f>
        <v/>
      </c>
      <c r="I56" s="35" t="str">
        <f aca="false">IF(Calculator!N26="","",Calculator!CL26)</f>
        <v/>
      </c>
      <c r="J56" s="38" t="str">
        <f aca="false">IF(Calculator!N26="","",Calculator!CN26)</f>
        <v/>
      </c>
      <c r="K56" s="34" t="str">
        <f aca="false">IF(Calculator!A26="","",Calculator!CP26)</f>
        <v/>
      </c>
    </row>
    <row r="57" customFormat="false" ht="15" hidden="false" customHeight="false" outlineLevel="0" collapsed="false">
      <c r="A57" s="16" t="n">
        <v>20</v>
      </c>
      <c r="B57" s="34" t="str">
        <f aca="false">IF(Calculator!A27="","",Calculator!A27)</f>
        <v/>
      </c>
      <c r="C57" s="34" t="str">
        <f aca="false">IF(Calculator!A27="","",Calculator!B27)</f>
        <v/>
      </c>
      <c r="D57" s="35" t="str">
        <f aca="false">IF(Calculator!A27="","",Calculator!C27)</f>
        <v/>
      </c>
      <c r="E57" s="36" t="str">
        <f aca="false">IF(Calculator!A27="","",Calculator!D27)</f>
        <v/>
      </c>
      <c r="F57" s="35" t="str">
        <f aca="false">IF(Calculator!A27="","",Calculator!CA27)</f>
        <v/>
      </c>
      <c r="G57" s="35" t="str">
        <f aca="false">IF(Calculator!A27="","",Calculator!CB27)</f>
        <v/>
      </c>
      <c r="H57" s="35" t="str">
        <f aca="false">IF(Calculator!N27="","",Calculator!N27)</f>
        <v/>
      </c>
      <c r="I57" s="35" t="str">
        <f aca="false">IF(Calculator!N27="","",Calculator!CL27)</f>
        <v/>
      </c>
      <c r="J57" s="38" t="str">
        <f aca="false">IF(Calculator!N27="","",Calculator!CN27)</f>
        <v/>
      </c>
      <c r="K57" s="34" t="str">
        <f aca="false">IF(Calculator!A27="","",Calculator!CP27)</f>
        <v/>
      </c>
    </row>
  </sheetData>
  <dataValidations count="1">
    <dataValidation allowBlank="false" errorStyle="stop" operator="between" showDropDown="false" showErrorMessage="false" showInputMessage="false" sqref="B3" type="whole">
      <formula1>1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1" min="2" style="0" width="20"/>
  </cols>
  <sheetData>
    <row r="1" customFormat="false" ht="17.35" hidden="false" customHeight="false" outlineLevel="0" collapsed="false">
      <c r="A1" s="1" t="s">
        <v>280</v>
      </c>
    </row>
    <row r="2" customFormat="false" ht="15" hidden="false" customHeight="false" outlineLevel="0" collapsed="false">
      <c r="A2" s="4" t="s">
        <v>281</v>
      </c>
    </row>
    <row r="5" customFormat="false" ht="66" hidden="false" customHeight="true" outlineLevel="0" collapsed="false">
      <c r="A5" s="43" t="s">
        <v>28</v>
      </c>
      <c r="B5" s="43" t="s">
        <v>282</v>
      </c>
      <c r="C5" s="43" t="s">
        <v>283</v>
      </c>
      <c r="D5" s="43" t="s">
        <v>284</v>
      </c>
      <c r="E5" s="43" t="s">
        <v>285</v>
      </c>
      <c r="F5" s="43" t="s">
        <v>286</v>
      </c>
      <c r="G5" s="43" t="s">
        <v>287</v>
      </c>
      <c r="H5" s="43" t="s">
        <v>288</v>
      </c>
      <c r="I5" s="43" t="s">
        <v>289</v>
      </c>
      <c r="J5" s="43" t="s">
        <v>290</v>
      </c>
      <c r="K5" s="43" t="s">
        <v>291</v>
      </c>
      <c r="L5" s="43" t="s">
        <v>292</v>
      </c>
      <c r="M5" s="43" t="s">
        <v>293</v>
      </c>
      <c r="N5" s="43" t="s">
        <v>294</v>
      </c>
      <c r="O5" s="43" t="s">
        <v>295</v>
      </c>
      <c r="P5" s="43" t="s">
        <v>296</v>
      </c>
      <c r="Q5" s="43" t="s">
        <v>297</v>
      </c>
      <c r="R5" s="43" t="s">
        <v>298</v>
      </c>
      <c r="S5" s="43" t="s">
        <v>299</v>
      </c>
      <c r="T5" s="43" t="s">
        <v>300</v>
      </c>
      <c r="U5" s="43" t="s">
        <v>301</v>
      </c>
    </row>
    <row r="6" customFormat="false" ht="15" hidden="false" customHeight="false" outlineLevel="0" collapsed="false">
      <c r="A6" s="33" t="s">
        <v>134</v>
      </c>
      <c r="B6" s="33" t="s">
        <v>302</v>
      </c>
      <c r="C6" s="10" t="n">
        <v>1</v>
      </c>
      <c r="D6" s="33" t="s">
        <v>303</v>
      </c>
      <c r="E6" s="33" t="s">
        <v>304</v>
      </c>
      <c r="F6" s="10" t="n">
        <v>3500</v>
      </c>
      <c r="G6" s="29" t="n">
        <v>1.5</v>
      </c>
      <c r="H6" s="29" t="n">
        <v>2</v>
      </c>
      <c r="I6" s="29" t="n">
        <v>5</v>
      </c>
      <c r="J6" s="29" t="n">
        <v>5</v>
      </c>
      <c r="K6" s="10" t="n">
        <v>3</v>
      </c>
      <c r="L6" s="10" t="n">
        <v>2</v>
      </c>
      <c r="M6" s="29" t="n">
        <v>2</v>
      </c>
      <c r="N6" s="33" t="s">
        <v>305</v>
      </c>
      <c r="O6" s="10" t="n">
        <v>15000</v>
      </c>
      <c r="P6" s="10" t="n">
        <v>800</v>
      </c>
      <c r="Q6" s="29" t="n">
        <v>0.8</v>
      </c>
      <c r="R6" s="10" t="n">
        <v>1</v>
      </c>
      <c r="S6" s="10" t="n">
        <v>600000</v>
      </c>
      <c r="T6" s="10" t="n">
        <v>900000</v>
      </c>
      <c r="U6" s="29" t="n">
        <v>0.55</v>
      </c>
    </row>
    <row r="7" customFormat="false" ht="15" hidden="false" customHeight="false" outlineLevel="0" collapsed="false">
      <c r="A7" s="33" t="s">
        <v>138</v>
      </c>
      <c r="B7" s="33" t="s">
        <v>306</v>
      </c>
      <c r="C7" s="10" t="n">
        <v>1</v>
      </c>
      <c r="D7" s="33" t="s">
        <v>303</v>
      </c>
      <c r="E7" s="33" t="s">
        <v>307</v>
      </c>
      <c r="F7" s="10" t="n">
        <v>800</v>
      </c>
      <c r="G7" s="29" t="n">
        <v>1.5</v>
      </c>
      <c r="H7" s="29" t="n">
        <v>2</v>
      </c>
      <c r="I7" s="29" t="n">
        <v>5</v>
      </c>
      <c r="J7" s="29" t="n">
        <v>5</v>
      </c>
      <c r="K7" s="10" t="n">
        <v>3</v>
      </c>
      <c r="L7" s="10" t="n">
        <v>2</v>
      </c>
      <c r="M7" s="29" t="n">
        <v>2</v>
      </c>
      <c r="N7" s="33" t="s">
        <v>305</v>
      </c>
      <c r="O7" s="10" t="n">
        <v>15000</v>
      </c>
      <c r="P7" s="10" t="n">
        <v>800</v>
      </c>
      <c r="Q7" s="29" t="n">
        <v>0.8</v>
      </c>
      <c r="R7" s="10" t="n">
        <v>1</v>
      </c>
      <c r="S7" s="10" t="n">
        <v>400000</v>
      </c>
      <c r="T7" s="10" t="n">
        <v>700000</v>
      </c>
      <c r="U7" s="29" t="n">
        <v>0.55</v>
      </c>
    </row>
    <row r="8" customFormat="false" ht="15" hidden="false" customHeight="false" outlineLevel="0" collapsed="false">
      <c r="A8" s="33" t="s">
        <v>142</v>
      </c>
      <c r="B8" s="33" t="s">
        <v>308</v>
      </c>
      <c r="C8" s="10" t="n">
        <v>1</v>
      </c>
      <c r="D8" s="33" t="s">
        <v>309</v>
      </c>
      <c r="E8" s="33" t="s">
        <v>307</v>
      </c>
      <c r="F8" s="10" t="n">
        <v>500</v>
      </c>
      <c r="G8" s="29" t="n">
        <v>2</v>
      </c>
      <c r="H8" s="29" t="n">
        <v>2.5</v>
      </c>
      <c r="I8" s="29" t="n">
        <v>3.8</v>
      </c>
      <c r="J8" s="29" t="n">
        <v>4.5</v>
      </c>
      <c r="K8" s="10" t="n">
        <v>2</v>
      </c>
      <c r="L8" s="10" t="n">
        <v>2</v>
      </c>
      <c r="M8" s="29" t="n">
        <v>1.8</v>
      </c>
      <c r="N8" s="33" t="s">
        <v>305</v>
      </c>
      <c r="O8" s="10" t="n">
        <v>11000</v>
      </c>
      <c r="P8" s="10" t="n">
        <v>300</v>
      </c>
      <c r="Q8" s="29" t="n">
        <v>0.85</v>
      </c>
      <c r="R8" s="10" t="n">
        <v>0</v>
      </c>
      <c r="S8" s="10" t="n">
        <v>0</v>
      </c>
      <c r="T8" s="10" t="n">
        <v>500000</v>
      </c>
      <c r="U8" s="29" t="n">
        <v>0.45</v>
      </c>
    </row>
    <row r="9" customFormat="false" ht="15" hidden="false" customHeight="false" outlineLevel="0" collapsed="false">
      <c r="A9" s="33" t="s">
        <v>144</v>
      </c>
      <c r="B9" s="33" t="s">
        <v>310</v>
      </c>
      <c r="C9" s="10" t="n">
        <v>0</v>
      </c>
      <c r="D9" s="33" t="s">
        <v>309</v>
      </c>
      <c r="E9" s="33" t="s">
        <v>307</v>
      </c>
      <c r="F9" s="10" t="n">
        <v>450</v>
      </c>
      <c r="G9" s="29" t="n">
        <v>3</v>
      </c>
      <c r="H9" s="29" t="n">
        <v>15</v>
      </c>
      <c r="I9" s="29" t="n">
        <v>3.2</v>
      </c>
      <c r="J9" s="10" t="n">
        <v>0</v>
      </c>
      <c r="K9" s="10" t="n">
        <v>2</v>
      </c>
      <c r="L9" s="10" t="n">
        <v>0</v>
      </c>
      <c r="M9" s="29" t="n">
        <v>1.8</v>
      </c>
      <c r="N9" s="33" t="s">
        <v>305</v>
      </c>
      <c r="O9" s="10" t="n">
        <v>11000</v>
      </c>
      <c r="P9" s="10" t="n">
        <v>300</v>
      </c>
      <c r="Q9" s="29" t="n">
        <v>0.85</v>
      </c>
      <c r="R9" s="10" t="n">
        <v>0</v>
      </c>
      <c r="S9" s="10" t="n">
        <v>0</v>
      </c>
      <c r="T9" s="10" t="n">
        <v>400000</v>
      </c>
      <c r="U9" s="29" t="n">
        <v>0.4</v>
      </c>
    </row>
    <row r="10" customFormat="false" ht="15" hidden="false" customHeight="false" outlineLevel="0" collapsed="false">
      <c r="A10" s="33" t="s">
        <v>147</v>
      </c>
      <c r="B10" s="33" t="s">
        <v>311</v>
      </c>
      <c r="C10" s="10" t="n">
        <v>0</v>
      </c>
      <c r="D10" s="33" t="s">
        <v>312</v>
      </c>
      <c r="E10" s="33" t="s">
        <v>307</v>
      </c>
      <c r="F10" s="10" t="n">
        <v>250</v>
      </c>
      <c r="G10" s="29" t="n">
        <v>3</v>
      </c>
      <c r="H10" s="29" t="n">
        <v>14</v>
      </c>
      <c r="I10" s="29" t="n">
        <v>4.5</v>
      </c>
      <c r="J10" s="10" t="n">
        <v>0</v>
      </c>
      <c r="K10" s="10" t="n">
        <v>0</v>
      </c>
      <c r="L10" s="10" t="n">
        <v>0</v>
      </c>
      <c r="M10" s="10" t="n">
        <v>0</v>
      </c>
      <c r="N10" s="33" t="s">
        <v>313</v>
      </c>
      <c r="O10" s="10" t="n">
        <v>9500</v>
      </c>
      <c r="P10" s="10" t="n">
        <v>80</v>
      </c>
      <c r="Q10" s="29" t="n">
        <v>0.95</v>
      </c>
      <c r="R10" s="10" t="n">
        <v>0</v>
      </c>
      <c r="S10" s="10" t="n">
        <v>0</v>
      </c>
      <c r="T10" s="10" t="n">
        <v>250000</v>
      </c>
      <c r="U10" s="29" t="n">
        <v>0.3</v>
      </c>
    </row>
    <row r="13" customFormat="false" ht="15.75" hidden="false" customHeight="true" outlineLevel="0" collapsed="false">
      <c r="A13" s="25" t="s">
        <v>314</v>
      </c>
      <c r="B13" s="44"/>
      <c r="C13" s="44"/>
      <c r="D13" s="44"/>
      <c r="E13" s="44"/>
      <c r="F13" s="44"/>
      <c r="G13" s="44"/>
      <c r="H13" s="44"/>
      <c r="I13" s="44"/>
      <c r="J13" s="44"/>
    </row>
    <row r="14" customFormat="false" ht="43.5" hidden="false" customHeight="true" outlineLevel="0" collapsed="false">
      <c r="A14" s="25" t="s">
        <v>315</v>
      </c>
      <c r="B14" s="44" t="s">
        <v>316</v>
      </c>
      <c r="C14" s="44"/>
      <c r="D14" s="44"/>
      <c r="E14" s="44"/>
      <c r="F14" s="44"/>
      <c r="G14" s="44"/>
      <c r="H14" s="44"/>
      <c r="I14" s="44"/>
      <c r="J14" s="44"/>
    </row>
    <row r="15" customFormat="false" ht="43.5" hidden="false" customHeight="true" outlineLevel="0" collapsed="false">
      <c r="A15" s="25" t="s">
        <v>317</v>
      </c>
      <c r="B15" s="44" t="s">
        <v>318</v>
      </c>
      <c r="C15" s="44"/>
      <c r="D15" s="44"/>
      <c r="E15" s="44"/>
      <c r="F15" s="44"/>
      <c r="G15" s="44"/>
      <c r="H15" s="44"/>
      <c r="I15" s="44"/>
      <c r="J15" s="44"/>
    </row>
    <row r="16" customFormat="false" ht="43.5" hidden="false" customHeight="true" outlineLevel="0" collapsed="false">
      <c r="A16" s="25" t="s">
        <v>319</v>
      </c>
      <c r="B16" s="44" t="s">
        <v>320</v>
      </c>
      <c r="C16" s="44"/>
      <c r="D16" s="44"/>
      <c r="E16" s="44"/>
      <c r="F16" s="44"/>
      <c r="G16" s="44"/>
      <c r="H16" s="44"/>
      <c r="I16" s="44"/>
      <c r="J16" s="44"/>
    </row>
    <row r="17" customFormat="false" ht="43.5" hidden="false" customHeight="true" outlineLevel="0" collapsed="false">
      <c r="A17" s="25" t="s">
        <v>321</v>
      </c>
      <c r="B17" s="44" t="s">
        <v>322</v>
      </c>
      <c r="C17" s="44"/>
      <c r="D17" s="44"/>
      <c r="E17" s="44"/>
      <c r="F17" s="44"/>
      <c r="G17" s="44"/>
      <c r="H17" s="44"/>
      <c r="I17" s="44"/>
      <c r="J17" s="44"/>
    </row>
    <row r="18" customFormat="false" ht="43.5" hidden="false" customHeight="true" outlineLevel="0" collapsed="false">
      <c r="A18" s="25" t="s">
        <v>323</v>
      </c>
      <c r="B18" s="44" t="s">
        <v>324</v>
      </c>
      <c r="C18" s="44"/>
      <c r="D18" s="44"/>
      <c r="E18" s="44"/>
      <c r="F18" s="44"/>
      <c r="G18" s="44"/>
      <c r="H18" s="44"/>
      <c r="I18" s="44"/>
      <c r="J18" s="44"/>
    </row>
  </sheetData>
  <mergeCells count="6">
    <mergeCell ref="B13:J13"/>
    <mergeCell ref="B14:J14"/>
    <mergeCell ref="B15:J15"/>
    <mergeCell ref="B16:J16"/>
    <mergeCell ref="B17:J17"/>
    <mergeCell ref="B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D537FC6EEFA3469C67318615635BCD" ma:contentTypeVersion="15" ma:contentTypeDescription="Create a new document." ma:contentTypeScope="" ma:versionID="477fc19a782d09aa75c3c7510055fafc">
  <xsd:schema xmlns:xsd="http://www.w3.org/2001/XMLSchema" xmlns:xs="http://www.w3.org/2001/XMLSchema" xmlns:p="http://schemas.microsoft.com/office/2006/metadata/properties" xmlns:ns2="937d96c5-689a-445c-b497-c26898801115" xmlns:ns3="66e154ca-c873-43d1-adfc-28c8beb208b8" targetNamespace="http://schemas.microsoft.com/office/2006/metadata/properties" ma:root="true" ma:fieldsID="aa484b9a09f85fc0eec517f46bbdb829" ns2:_="" ns3:_="">
    <xsd:import namespace="937d96c5-689a-445c-b497-c26898801115"/>
    <xsd:import namespace="66e154ca-c873-43d1-adfc-28c8beb208b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d96c5-689a-445c-b497-c2689880111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89be9f9-5296-4597-8f73-1ef66ab78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154ca-c873-43d1-adfc-28c8beb208b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b9c3baa-e231-45e7-b610-86feff5dadb7}" ma:internalName="TaxCatchAll" ma:showField="CatchAllData" ma:web="66e154ca-c873-43d1-adfc-28c8beb20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7d96c5-689a-445c-b497-c26898801115">
      <Terms xmlns="http://schemas.microsoft.com/office/infopath/2007/PartnerControls"/>
    </lcf76f155ced4ddcb4097134ff3c332f>
    <TaxCatchAll xmlns="66e154ca-c873-43d1-adfc-28c8beb208b8" xsi:nil="true"/>
  </documentManagement>
</p:properties>
</file>

<file path=customXml/itemProps1.xml><?xml version="1.0" encoding="utf-8"?>
<ds:datastoreItem xmlns:ds="http://schemas.openxmlformats.org/officeDocument/2006/customXml" ds:itemID="{588B522F-F463-4322-B602-0FC0049AD17D}"/>
</file>

<file path=customXml/itemProps2.xml><?xml version="1.0" encoding="utf-8"?>
<ds:datastoreItem xmlns:ds="http://schemas.openxmlformats.org/officeDocument/2006/customXml" ds:itemID="{70A23634-B7B7-4A01-B17E-860FEFB25D13}"/>
</file>

<file path=customXml/itemProps3.xml><?xml version="1.0" encoding="utf-8"?>
<ds:datastoreItem xmlns:ds="http://schemas.openxmlformats.org/officeDocument/2006/customXml" ds:itemID="{4D871CA9-C9A5-407E-A599-F72591B741B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2026-10-14T09:35:43Z</dcterms:created>
  <dcterms:modified xsi:type="dcterms:W3CDTF">2026-10-14T09:35:44Z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0x010100DAD537FC6EEFA3469C67318615635BCD</vt:lpwstr>
  </property>
</Properties>
</file>