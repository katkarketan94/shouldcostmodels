
<file path=[Content_Types].xml><?xml version="1.0" encoding="utf-8"?>
<Types xmlns="http://schemas.openxmlformats.org/package/2006/content-types">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omments1.xml" ContentType="application/vnd.openxmlformats-officedocument.spreadsheetml.comments+xml"/>
  <Override PartName="/xl/comments2.xml" ContentType="application/vnd.openxmlformats-officedocument.spreadsheetml.comments+xml"/>
  <Override PartName="/xl/calcChain.xml" ContentType="application/vnd.openxmlformats-officedocument.spreadsheetml.calcChai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326"/>
  <workbookPr/>
  <mc:AlternateContent xmlns:mc="http://schemas.openxmlformats.org/markup-compatibility/2006">
    <mc:Choice Requires="x15">
      <x15ac:absPath xmlns:x15ac="http://schemas.microsoft.com/office/spreadsheetml/2010/11/ac" url="https://tsmgrp.sharepoint.com/sites/Tplbusinesstransformation/Shared Documents/General/Tata Projects/9A Working Files/03. Cost Models/"/>
    </mc:Choice>
  </mc:AlternateContent>
  <xr:revisionPtr revIDLastSave="120" documentId="13_ncr:1_{5AF7DD94-1576-4DC2-952C-A4BC64191FC8}" xr6:coauthVersionLast="47" xr6:coauthVersionMax="47" xr10:uidLastSave="{B66C1E90-8AA8-4A3C-B373-D6A0386EE7DF}"/>
  <bookViews>
    <workbookView xWindow="-120" yWindow="-120" windowWidth="20730" windowHeight="11040" tabRatio="933" xr2:uid="{00000000-000D-0000-FFFF-FFFF00000000}"/>
  </bookViews>
  <sheets>
    <sheet name="LT Batch Calculator" sheetId="1" r:id="rId1"/>
    <sheet name="HT Batch Calculator" sheetId="2" r:id="rId2"/>
    <sheet name="Assumptions &amp; Ref" sheetId="3" r:id="rId3"/>
    <sheet name="Read Me" sheetId="4" state="hidden" r:id="rId4"/>
  </sheets>
  <calcPr calcId="191029" iterateDelta="1E-4"/>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 xmlns:loext="http://schemas.libreoffice.org/" uri="{7626C862-2A13-11E5-B345-FEFF819CDC9F}">
      <loext:extCalcPr stringRefSyntax="ExcelA1"/>
    </ext>
  </extLst>
</workbook>
</file>

<file path=xl/calcChain.xml><?xml version="1.0" encoding="utf-8"?>
<calcChain xmlns="http://schemas.openxmlformats.org/spreadsheetml/2006/main">
  <c r="BD15" i="1" l="1"/>
  <c r="BC15" i="1"/>
  <c r="BB15" i="1"/>
  <c r="AT15" i="1"/>
  <c r="AQ15" i="1"/>
  <c r="AN15" i="1"/>
  <c r="AG15" i="1"/>
  <c r="AH15" i="1" s="1"/>
  <c r="AF15" i="1"/>
  <c r="AD15" i="1"/>
  <c r="AC15" i="1"/>
  <c r="AA15" i="1"/>
  <c r="AB15" i="1" s="1"/>
  <c r="BD14" i="1"/>
  <c r="BC14" i="1"/>
  <c r="BB14" i="1"/>
  <c r="AT14" i="1"/>
  <c r="AQ14" i="1"/>
  <c r="AO14" i="1"/>
  <c r="AN14" i="1"/>
  <c r="AG14" i="1"/>
  <c r="AI14" i="1" s="1"/>
  <c r="AF14" i="1"/>
  <c r="AD14" i="1"/>
  <c r="AC14" i="1"/>
  <c r="AA14" i="1"/>
  <c r="AB14" i="1" s="1"/>
  <c r="BD13" i="1"/>
  <c r="BC13" i="1"/>
  <c r="BB13" i="1"/>
  <c r="AT13" i="1"/>
  <c r="AQ13" i="1"/>
  <c r="AO13" i="1"/>
  <c r="AN13" i="1"/>
  <c r="AG13" i="1"/>
  <c r="AI13" i="1" s="1"/>
  <c r="AF13" i="1"/>
  <c r="AD13" i="1"/>
  <c r="AC13" i="1"/>
  <c r="AA13" i="1"/>
  <c r="AB13" i="1" s="1"/>
  <c r="AE13" i="1" s="1"/>
  <c r="AV15" i="1" l="1"/>
  <c r="Y15" i="1" s="1"/>
  <c r="AE15" i="1"/>
  <c r="AI15" i="1"/>
  <c r="AJ15" i="1" s="1"/>
  <c r="AV14" i="1"/>
  <c r="Y14" i="1" s="1"/>
  <c r="AE14" i="1"/>
  <c r="AH14" i="1"/>
  <c r="AJ14" i="1" s="1"/>
  <c r="AV13" i="1"/>
  <c r="AH13" i="1"/>
  <c r="AJ13" i="1" s="1"/>
  <c r="AW13" i="1" s="1"/>
  <c r="AW15" i="1" l="1"/>
  <c r="AK15" i="1"/>
  <c r="AW14" i="1"/>
  <c r="AK14" i="1"/>
  <c r="AL14" i="1" s="1"/>
  <c r="AK13" i="1"/>
  <c r="AL13" i="1"/>
  <c r="AM13" i="1" s="1"/>
  <c r="Y13" i="1"/>
  <c r="AL15" i="1" l="1"/>
  <c r="AM15" i="1" s="1"/>
  <c r="AO15" i="1" s="1"/>
  <c r="AM14" i="1"/>
  <c r="AX14" i="1"/>
  <c r="AP14" i="1"/>
  <c r="AP13" i="1"/>
  <c r="AX13" i="1"/>
  <c r="AP15" i="1" l="1"/>
  <c r="AX15" i="1"/>
  <c r="AR14" i="1"/>
  <c r="AS14" i="1" s="1"/>
  <c r="AZ14" i="1"/>
  <c r="AR13" i="1"/>
  <c r="AS13" i="1" s="1"/>
  <c r="AZ13" i="1"/>
  <c r="AR15" i="1" l="1"/>
  <c r="AS15" i="1" s="1"/>
  <c r="AZ15" i="1"/>
  <c r="AU14" i="1"/>
  <c r="X14" i="1" s="1"/>
  <c r="AY14" i="1"/>
  <c r="BA14" i="1" s="1"/>
  <c r="AY13" i="1"/>
  <c r="BA13" i="1" s="1"/>
  <c r="AU13" i="1"/>
  <c r="X13" i="1" s="1"/>
  <c r="AU15" i="1" l="1"/>
  <c r="X15" i="1" s="1"/>
  <c r="AY15" i="1"/>
  <c r="BA15" i="1" s="1"/>
  <c r="BF14" i="1"/>
  <c r="BH14" i="1" s="1"/>
  <c r="W14" i="1"/>
  <c r="BE14" i="1"/>
  <c r="BG14" i="1" s="1"/>
  <c r="W13" i="1"/>
  <c r="BF13" i="1"/>
  <c r="BH13" i="1" s="1"/>
  <c r="BE13" i="1"/>
  <c r="BG13" i="1" s="1"/>
  <c r="W15" i="1" l="1"/>
  <c r="BF15" i="1"/>
  <c r="BH15" i="1" s="1"/>
  <c r="BE15" i="1"/>
  <c r="BG15" i="1" s="1"/>
  <c r="V14" i="1"/>
  <c r="U14" i="1"/>
  <c r="V13" i="1"/>
  <c r="U13" i="1"/>
  <c r="U15" i="1" l="1"/>
  <c r="V15" i="1"/>
  <c r="BD12" i="1" l="1"/>
  <c r="BC12" i="1"/>
  <c r="BB12" i="1"/>
  <c r="AT12" i="1"/>
  <c r="AQ12" i="1"/>
  <c r="AO12" i="1"/>
  <c r="AN12" i="1"/>
  <c r="AG12" i="1"/>
  <c r="AI12" i="1" s="1"/>
  <c r="AF12" i="1"/>
  <c r="AD12" i="1"/>
  <c r="AC12" i="1"/>
  <c r="AV12" i="1" s="1"/>
  <c r="AA12" i="1"/>
  <c r="AB12" i="1" s="1"/>
  <c r="AE12" i="1" s="1"/>
  <c r="BM33" i="2"/>
  <c r="BL33" i="2"/>
  <c r="BK33" i="2"/>
  <c r="BJ33" i="2"/>
  <c r="BI33" i="2"/>
  <c r="BH33" i="2"/>
  <c r="BG33" i="2"/>
  <c r="BF33" i="2"/>
  <c r="BE33" i="2"/>
  <c r="BD33" i="2"/>
  <c r="BC33" i="2"/>
  <c r="BB33" i="2"/>
  <c r="BA33" i="2"/>
  <c r="AZ33" i="2"/>
  <c r="AY33" i="2"/>
  <c r="AX33" i="2"/>
  <c r="AW33" i="2"/>
  <c r="AV33" i="2"/>
  <c r="AU33" i="2"/>
  <c r="AT33" i="2"/>
  <c r="AS33" i="2"/>
  <c r="AR33" i="2"/>
  <c r="AQ33" i="2"/>
  <c r="AP33" i="2"/>
  <c r="AO33" i="2"/>
  <c r="AN33" i="2"/>
  <c r="AM33" i="2"/>
  <c r="AL33" i="2"/>
  <c r="AK33" i="2"/>
  <c r="AJ33" i="2"/>
  <c r="AI33" i="2"/>
  <c r="AH33" i="2"/>
  <c r="AG33" i="2"/>
  <c r="AF33" i="2"/>
  <c r="AE33" i="2"/>
  <c r="AD33" i="2"/>
  <c r="AC33" i="2"/>
  <c r="AB33" i="2"/>
  <c r="Z33" i="2"/>
  <c r="Y33" i="2"/>
  <c r="X33" i="2"/>
  <c r="W33" i="2"/>
  <c r="V33" i="2"/>
  <c r="U33" i="2"/>
  <c r="T33" i="2"/>
  <c r="S33" i="2"/>
  <c r="BM32" i="2"/>
  <c r="BL32" i="2"/>
  <c r="BK32" i="2"/>
  <c r="BJ32" i="2"/>
  <c r="BI32" i="2"/>
  <c r="BH32" i="2"/>
  <c r="BG32" i="2"/>
  <c r="BF32" i="2"/>
  <c r="BE32" i="2"/>
  <c r="BD32" i="2"/>
  <c r="BC32" i="2"/>
  <c r="BB32" i="2"/>
  <c r="BA32" i="2"/>
  <c r="AZ32" i="2"/>
  <c r="AY32" i="2"/>
  <c r="AX32" i="2"/>
  <c r="AW32" i="2"/>
  <c r="AV32" i="2"/>
  <c r="AU32" i="2"/>
  <c r="AT32" i="2"/>
  <c r="AS32" i="2"/>
  <c r="AR32" i="2"/>
  <c r="AQ32" i="2"/>
  <c r="AP32" i="2"/>
  <c r="AO32" i="2"/>
  <c r="AN32" i="2"/>
  <c r="AM32" i="2"/>
  <c r="AL32" i="2"/>
  <c r="AK32" i="2"/>
  <c r="AJ32" i="2"/>
  <c r="AI32" i="2"/>
  <c r="AH32" i="2"/>
  <c r="AG32" i="2"/>
  <c r="AF32" i="2"/>
  <c r="AE32" i="2"/>
  <c r="AD32" i="2"/>
  <c r="AC32" i="2"/>
  <c r="AB32" i="2"/>
  <c r="Z32" i="2"/>
  <c r="Y32" i="2"/>
  <c r="X32" i="2"/>
  <c r="W32" i="2"/>
  <c r="V32" i="2"/>
  <c r="U32" i="2"/>
  <c r="T32" i="2"/>
  <c r="S32" i="2"/>
  <c r="BM31" i="2"/>
  <c r="BL31" i="2"/>
  <c r="BK31" i="2"/>
  <c r="BJ31" i="2"/>
  <c r="BI31" i="2"/>
  <c r="BH31" i="2"/>
  <c r="BG31" i="2"/>
  <c r="BF31" i="2"/>
  <c r="BE31" i="2"/>
  <c r="BD31" i="2"/>
  <c r="BC31" i="2"/>
  <c r="BB31" i="2"/>
  <c r="BA31" i="2"/>
  <c r="AZ31" i="2"/>
  <c r="AY31" i="2"/>
  <c r="AX31" i="2"/>
  <c r="AW31" i="2"/>
  <c r="AV31" i="2"/>
  <c r="AU31" i="2"/>
  <c r="AT31" i="2"/>
  <c r="AS31" i="2"/>
  <c r="AR31" i="2"/>
  <c r="AQ31" i="2"/>
  <c r="AP31" i="2"/>
  <c r="AO31" i="2"/>
  <c r="AN31" i="2"/>
  <c r="AM31" i="2"/>
  <c r="AL31" i="2"/>
  <c r="AK31" i="2"/>
  <c r="AJ31" i="2"/>
  <c r="AI31" i="2"/>
  <c r="AH31" i="2"/>
  <c r="AG31" i="2"/>
  <c r="AF31" i="2"/>
  <c r="AE31" i="2"/>
  <c r="AD31" i="2"/>
  <c r="AC31" i="2"/>
  <c r="AB31" i="2"/>
  <c r="Z31" i="2"/>
  <c r="Y31" i="2"/>
  <c r="X31" i="2"/>
  <c r="W31" i="2"/>
  <c r="V31" i="2"/>
  <c r="U31" i="2"/>
  <c r="T31" i="2"/>
  <c r="S31" i="2"/>
  <c r="BM30" i="2"/>
  <c r="BL30" i="2"/>
  <c r="BK30" i="2"/>
  <c r="BJ30" i="2"/>
  <c r="BI30" i="2"/>
  <c r="BH30" i="2"/>
  <c r="BG30" i="2"/>
  <c r="BF30" i="2"/>
  <c r="BE30" i="2"/>
  <c r="BD30" i="2"/>
  <c r="BC30" i="2"/>
  <c r="BB30" i="2"/>
  <c r="BA30" i="2"/>
  <c r="AZ30" i="2"/>
  <c r="AY30" i="2"/>
  <c r="AX30" i="2"/>
  <c r="AW30" i="2"/>
  <c r="AV30" i="2"/>
  <c r="AU30" i="2"/>
  <c r="AT30" i="2"/>
  <c r="AS30" i="2"/>
  <c r="AR30" i="2"/>
  <c r="AQ30" i="2"/>
  <c r="AP30" i="2"/>
  <c r="AO30" i="2"/>
  <c r="AN30" i="2"/>
  <c r="AM30" i="2"/>
  <c r="AL30" i="2"/>
  <c r="AK30" i="2"/>
  <c r="AJ30" i="2"/>
  <c r="AI30" i="2"/>
  <c r="AH30" i="2"/>
  <c r="AG30" i="2"/>
  <c r="AF30" i="2"/>
  <c r="AE30" i="2"/>
  <c r="AD30" i="2"/>
  <c r="AC30" i="2"/>
  <c r="AB30" i="2"/>
  <c r="Z30" i="2"/>
  <c r="Y30" i="2"/>
  <c r="X30" i="2"/>
  <c r="W30" i="2"/>
  <c r="V30" i="2"/>
  <c r="U30" i="2"/>
  <c r="T30" i="2"/>
  <c r="S30" i="2"/>
  <c r="BM29" i="2"/>
  <c r="BL29" i="2"/>
  <c r="BK29" i="2"/>
  <c r="BJ29" i="2"/>
  <c r="BI29" i="2"/>
  <c r="BH29" i="2"/>
  <c r="BG29" i="2"/>
  <c r="BF29" i="2"/>
  <c r="BE29" i="2"/>
  <c r="BD29" i="2"/>
  <c r="BC29" i="2"/>
  <c r="BB29" i="2"/>
  <c r="BA29" i="2"/>
  <c r="AZ29" i="2"/>
  <c r="AY29" i="2"/>
  <c r="AX29" i="2"/>
  <c r="AW29" i="2"/>
  <c r="AV29" i="2"/>
  <c r="AU29" i="2"/>
  <c r="AT29" i="2"/>
  <c r="AS29" i="2"/>
  <c r="AR29" i="2"/>
  <c r="AQ29" i="2"/>
  <c r="AP29" i="2"/>
  <c r="AO29" i="2"/>
  <c r="AN29" i="2"/>
  <c r="AM29" i="2"/>
  <c r="AL29" i="2"/>
  <c r="AK29" i="2"/>
  <c r="AJ29" i="2"/>
  <c r="AI29" i="2"/>
  <c r="AH29" i="2"/>
  <c r="AG29" i="2"/>
  <c r="AF29" i="2"/>
  <c r="AE29" i="2"/>
  <c r="AD29" i="2"/>
  <c r="AC29" i="2"/>
  <c r="AB29" i="2"/>
  <c r="Z29" i="2"/>
  <c r="Y29" i="2"/>
  <c r="X29" i="2"/>
  <c r="W29" i="2"/>
  <c r="V29" i="2"/>
  <c r="U29" i="2"/>
  <c r="T29" i="2"/>
  <c r="S29" i="2"/>
  <c r="BM28" i="2"/>
  <c r="BL28" i="2"/>
  <c r="BK28" i="2"/>
  <c r="BJ28" i="2"/>
  <c r="BI28" i="2"/>
  <c r="BH28" i="2"/>
  <c r="BG28" i="2"/>
  <c r="BF28" i="2"/>
  <c r="BE28" i="2"/>
  <c r="BD28" i="2"/>
  <c r="BC28" i="2"/>
  <c r="BB28" i="2"/>
  <c r="BA28" i="2"/>
  <c r="AZ28" i="2"/>
  <c r="AY28" i="2"/>
  <c r="AX28" i="2"/>
  <c r="AW28" i="2"/>
  <c r="AV28" i="2"/>
  <c r="AU28" i="2"/>
  <c r="AT28" i="2"/>
  <c r="AS28" i="2"/>
  <c r="AR28" i="2"/>
  <c r="AQ28" i="2"/>
  <c r="AP28" i="2"/>
  <c r="AO28" i="2"/>
  <c r="AN28" i="2"/>
  <c r="AM28" i="2"/>
  <c r="AL28" i="2"/>
  <c r="AK28" i="2"/>
  <c r="AJ28" i="2"/>
  <c r="AI28" i="2"/>
  <c r="AH28" i="2"/>
  <c r="AG28" i="2"/>
  <c r="AF28" i="2"/>
  <c r="AE28" i="2"/>
  <c r="AD28" i="2"/>
  <c r="AC28" i="2"/>
  <c r="AB28" i="2"/>
  <c r="Z28" i="2"/>
  <c r="Y28" i="2"/>
  <c r="X28" i="2"/>
  <c r="W28" i="2"/>
  <c r="V28" i="2"/>
  <c r="U28" i="2"/>
  <c r="T28" i="2"/>
  <c r="S28" i="2"/>
  <c r="BM27" i="2"/>
  <c r="BL27" i="2"/>
  <c r="BK27" i="2"/>
  <c r="BJ27" i="2"/>
  <c r="BI27" i="2"/>
  <c r="BH27" i="2"/>
  <c r="BG27" i="2"/>
  <c r="BF27" i="2"/>
  <c r="BE27" i="2"/>
  <c r="BD27" i="2"/>
  <c r="BC27" i="2"/>
  <c r="BB27" i="2"/>
  <c r="BA27" i="2"/>
  <c r="AZ27" i="2"/>
  <c r="AY27" i="2"/>
  <c r="AX27" i="2"/>
  <c r="AW27" i="2"/>
  <c r="AV27" i="2"/>
  <c r="AU27" i="2"/>
  <c r="AT27" i="2"/>
  <c r="AS27" i="2"/>
  <c r="AR27" i="2"/>
  <c r="AQ27" i="2"/>
  <c r="AP27" i="2"/>
  <c r="AO27" i="2"/>
  <c r="AN27" i="2"/>
  <c r="AM27" i="2"/>
  <c r="AL27" i="2"/>
  <c r="AK27" i="2"/>
  <c r="AJ27" i="2"/>
  <c r="AI27" i="2"/>
  <c r="AH27" i="2"/>
  <c r="AG27" i="2"/>
  <c r="AF27" i="2"/>
  <c r="AE27" i="2"/>
  <c r="AD27" i="2"/>
  <c r="AC27" i="2"/>
  <c r="AB27" i="2"/>
  <c r="Z27" i="2"/>
  <c r="Y27" i="2"/>
  <c r="X27" i="2"/>
  <c r="W27" i="2"/>
  <c r="V27" i="2"/>
  <c r="U27" i="2"/>
  <c r="T27" i="2"/>
  <c r="S27" i="2"/>
  <c r="BM26" i="2"/>
  <c r="BL26" i="2"/>
  <c r="BK26" i="2"/>
  <c r="BJ26" i="2"/>
  <c r="BI26" i="2"/>
  <c r="BH26" i="2"/>
  <c r="BG26" i="2"/>
  <c r="BF26" i="2"/>
  <c r="BE26" i="2"/>
  <c r="BD26" i="2"/>
  <c r="BC26" i="2"/>
  <c r="BB26" i="2"/>
  <c r="BA26" i="2"/>
  <c r="AZ26" i="2"/>
  <c r="AY26" i="2"/>
  <c r="AX26" i="2"/>
  <c r="AW26" i="2"/>
  <c r="AV26" i="2"/>
  <c r="AU26" i="2"/>
  <c r="AT26" i="2"/>
  <c r="AS26" i="2"/>
  <c r="AR26" i="2"/>
  <c r="AQ26" i="2"/>
  <c r="AP26" i="2"/>
  <c r="AO26" i="2"/>
  <c r="AN26" i="2"/>
  <c r="AM26" i="2"/>
  <c r="AL26" i="2"/>
  <c r="AK26" i="2"/>
  <c r="AJ26" i="2"/>
  <c r="AI26" i="2"/>
  <c r="AH26" i="2"/>
  <c r="AG26" i="2"/>
  <c r="AF26" i="2"/>
  <c r="AE26" i="2"/>
  <c r="AD26" i="2"/>
  <c r="AC26" i="2"/>
  <c r="AB26" i="2"/>
  <c r="Z26" i="2"/>
  <c r="Y26" i="2"/>
  <c r="X26" i="2"/>
  <c r="W26" i="2"/>
  <c r="V26" i="2"/>
  <c r="U26" i="2"/>
  <c r="T26" i="2"/>
  <c r="S26" i="2"/>
  <c r="BM25" i="2"/>
  <c r="BL25" i="2"/>
  <c r="BK25" i="2"/>
  <c r="BJ25" i="2"/>
  <c r="BI25" i="2"/>
  <c r="BH25" i="2"/>
  <c r="BG25" i="2"/>
  <c r="BF25" i="2"/>
  <c r="BE25" i="2"/>
  <c r="BD25" i="2"/>
  <c r="BC25" i="2"/>
  <c r="BB25" i="2"/>
  <c r="BA25" i="2"/>
  <c r="AZ25" i="2"/>
  <c r="AY25" i="2"/>
  <c r="AX25" i="2"/>
  <c r="AW25" i="2"/>
  <c r="AV25" i="2"/>
  <c r="AU25" i="2"/>
  <c r="AT25" i="2"/>
  <c r="AS25" i="2"/>
  <c r="AR25" i="2"/>
  <c r="AQ25" i="2"/>
  <c r="AP25" i="2"/>
  <c r="AO25" i="2"/>
  <c r="AN25" i="2"/>
  <c r="AM25" i="2"/>
  <c r="AL25" i="2"/>
  <c r="AK25" i="2"/>
  <c r="AJ25" i="2"/>
  <c r="AI25" i="2"/>
  <c r="AH25" i="2"/>
  <c r="AG25" i="2"/>
  <c r="AF25" i="2"/>
  <c r="AE25" i="2"/>
  <c r="AD25" i="2"/>
  <c r="AC25" i="2"/>
  <c r="AB25" i="2"/>
  <c r="Z25" i="2"/>
  <c r="Y25" i="2"/>
  <c r="X25" i="2"/>
  <c r="W25" i="2"/>
  <c r="V25" i="2"/>
  <c r="U25" i="2"/>
  <c r="T25" i="2"/>
  <c r="S25" i="2"/>
  <c r="BM24" i="2"/>
  <c r="BL24" i="2"/>
  <c r="BK24" i="2"/>
  <c r="BJ24" i="2"/>
  <c r="BI24" i="2"/>
  <c r="BH24" i="2"/>
  <c r="BG24" i="2"/>
  <c r="BF24" i="2"/>
  <c r="BE24" i="2"/>
  <c r="BD24" i="2"/>
  <c r="BC24" i="2"/>
  <c r="BB24" i="2"/>
  <c r="BA24" i="2"/>
  <c r="AZ24" i="2"/>
  <c r="AY24" i="2"/>
  <c r="AX24" i="2"/>
  <c r="AW24" i="2"/>
  <c r="AV24" i="2"/>
  <c r="AU24" i="2"/>
  <c r="AT24" i="2"/>
  <c r="AS24" i="2"/>
  <c r="AR24" i="2"/>
  <c r="AQ24" i="2"/>
  <c r="AP24" i="2"/>
  <c r="AO24" i="2"/>
  <c r="AN24" i="2"/>
  <c r="AM24" i="2"/>
  <c r="AL24" i="2"/>
  <c r="AK24" i="2"/>
  <c r="AJ24" i="2"/>
  <c r="AI24" i="2"/>
  <c r="AH24" i="2"/>
  <c r="AG24" i="2"/>
  <c r="AF24" i="2"/>
  <c r="AE24" i="2"/>
  <c r="AD24" i="2"/>
  <c r="AC24" i="2"/>
  <c r="AB24" i="2"/>
  <c r="Z24" i="2"/>
  <c r="Y24" i="2"/>
  <c r="X24" i="2"/>
  <c r="W24" i="2"/>
  <c r="V24" i="2"/>
  <c r="U24" i="2"/>
  <c r="T24" i="2"/>
  <c r="S24" i="2"/>
  <c r="BM23" i="2"/>
  <c r="BL23" i="2"/>
  <c r="BK23" i="2"/>
  <c r="BJ23" i="2"/>
  <c r="BI23" i="2"/>
  <c r="BH23" i="2"/>
  <c r="BG23" i="2"/>
  <c r="BF23" i="2"/>
  <c r="BE23" i="2"/>
  <c r="BD23" i="2"/>
  <c r="BC23" i="2"/>
  <c r="BB23" i="2"/>
  <c r="BA23" i="2"/>
  <c r="AZ23" i="2"/>
  <c r="AY23" i="2"/>
  <c r="AX23" i="2"/>
  <c r="AW23" i="2"/>
  <c r="AV23" i="2"/>
  <c r="AU23" i="2"/>
  <c r="AT23" i="2"/>
  <c r="AS23" i="2"/>
  <c r="AR23" i="2"/>
  <c r="AQ23" i="2"/>
  <c r="AP23" i="2"/>
  <c r="AO23" i="2"/>
  <c r="AN23" i="2"/>
  <c r="AM23" i="2"/>
  <c r="AL23" i="2"/>
  <c r="AK23" i="2"/>
  <c r="AJ23" i="2"/>
  <c r="AI23" i="2"/>
  <c r="AH23" i="2"/>
  <c r="AG23" i="2"/>
  <c r="AF23" i="2"/>
  <c r="AE23" i="2"/>
  <c r="AD23" i="2"/>
  <c r="AC23" i="2"/>
  <c r="AB23" i="2"/>
  <c r="Z23" i="2"/>
  <c r="Y23" i="2"/>
  <c r="X23" i="2"/>
  <c r="W23" i="2"/>
  <c r="V23" i="2"/>
  <c r="U23" i="2"/>
  <c r="T23" i="2"/>
  <c r="S23" i="2"/>
  <c r="BM22" i="2"/>
  <c r="BL22" i="2"/>
  <c r="BK22" i="2"/>
  <c r="BJ22" i="2"/>
  <c r="BI22" i="2"/>
  <c r="BH22" i="2"/>
  <c r="BG22" i="2"/>
  <c r="BF22" i="2"/>
  <c r="BE22" i="2"/>
  <c r="BD22" i="2"/>
  <c r="BC22" i="2"/>
  <c r="BB22" i="2"/>
  <c r="BA22" i="2"/>
  <c r="AZ22" i="2"/>
  <c r="AY22" i="2"/>
  <c r="AX22" i="2"/>
  <c r="AW22" i="2"/>
  <c r="AV22" i="2"/>
  <c r="AU22" i="2"/>
  <c r="AT22" i="2"/>
  <c r="AS22" i="2"/>
  <c r="AR22" i="2"/>
  <c r="AQ22" i="2"/>
  <c r="AP22" i="2"/>
  <c r="AO22" i="2"/>
  <c r="AN22" i="2"/>
  <c r="AM22" i="2"/>
  <c r="AL22" i="2"/>
  <c r="AK22" i="2"/>
  <c r="AJ22" i="2"/>
  <c r="AI22" i="2"/>
  <c r="AH22" i="2"/>
  <c r="AG22" i="2"/>
  <c r="AF22" i="2"/>
  <c r="AE22" i="2"/>
  <c r="AD22" i="2"/>
  <c r="AC22" i="2"/>
  <c r="AB22" i="2"/>
  <c r="Z22" i="2"/>
  <c r="Y22" i="2"/>
  <c r="X22" i="2"/>
  <c r="W22" i="2"/>
  <c r="V22" i="2"/>
  <c r="U22" i="2"/>
  <c r="T22" i="2"/>
  <c r="S22" i="2"/>
  <c r="BM21" i="2"/>
  <c r="BL21" i="2"/>
  <c r="BK21" i="2"/>
  <c r="BJ21" i="2"/>
  <c r="BI21" i="2"/>
  <c r="BH21" i="2"/>
  <c r="BG21" i="2"/>
  <c r="BF21" i="2"/>
  <c r="BE21" i="2"/>
  <c r="BD21" i="2"/>
  <c r="BC21" i="2"/>
  <c r="BB21" i="2"/>
  <c r="BA21" i="2"/>
  <c r="AZ21" i="2"/>
  <c r="AY21" i="2"/>
  <c r="AX21" i="2"/>
  <c r="AW21" i="2"/>
  <c r="AV21" i="2"/>
  <c r="AU21" i="2"/>
  <c r="AT21" i="2"/>
  <c r="AS21" i="2"/>
  <c r="AR21" i="2"/>
  <c r="AQ21" i="2"/>
  <c r="AP21" i="2"/>
  <c r="AO21" i="2"/>
  <c r="AN21" i="2"/>
  <c r="AM21" i="2"/>
  <c r="AL21" i="2"/>
  <c r="AK21" i="2"/>
  <c r="AJ21" i="2"/>
  <c r="AI21" i="2"/>
  <c r="AH21" i="2"/>
  <c r="AG21" i="2"/>
  <c r="AF21" i="2"/>
  <c r="AE21" i="2"/>
  <c r="AD21" i="2"/>
  <c r="AC21" i="2"/>
  <c r="AB21" i="2"/>
  <c r="Z21" i="2"/>
  <c r="Y21" i="2"/>
  <c r="X21" i="2"/>
  <c r="W21" i="2"/>
  <c r="V21" i="2"/>
  <c r="U21" i="2"/>
  <c r="T21" i="2"/>
  <c r="S21" i="2"/>
  <c r="BM20" i="2"/>
  <c r="BL20" i="2"/>
  <c r="BK20" i="2"/>
  <c r="BJ20" i="2"/>
  <c r="BI20" i="2"/>
  <c r="BH20" i="2"/>
  <c r="BG20" i="2"/>
  <c r="BF20" i="2"/>
  <c r="BE20" i="2"/>
  <c r="BD20" i="2"/>
  <c r="BC20" i="2"/>
  <c r="BB20" i="2"/>
  <c r="BA20" i="2"/>
  <c r="AZ20" i="2"/>
  <c r="AY20" i="2"/>
  <c r="AX20" i="2"/>
  <c r="AW20" i="2"/>
  <c r="AV20" i="2"/>
  <c r="AU20" i="2"/>
  <c r="AT20" i="2"/>
  <c r="AS20" i="2"/>
  <c r="AR20" i="2"/>
  <c r="AQ20" i="2"/>
  <c r="AP20" i="2"/>
  <c r="AO20" i="2"/>
  <c r="AN20" i="2"/>
  <c r="AM20" i="2"/>
  <c r="AL20" i="2"/>
  <c r="AK20" i="2"/>
  <c r="AJ20" i="2"/>
  <c r="AI20" i="2"/>
  <c r="AH20" i="2"/>
  <c r="AG20" i="2"/>
  <c r="AF20" i="2"/>
  <c r="AE20" i="2"/>
  <c r="AD20" i="2"/>
  <c r="AC20" i="2"/>
  <c r="AB20" i="2"/>
  <c r="Z20" i="2"/>
  <c r="Y20" i="2"/>
  <c r="X20" i="2"/>
  <c r="W20" i="2"/>
  <c r="V20" i="2"/>
  <c r="U20" i="2"/>
  <c r="T20" i="2"/>
  <c r="S20" i="2"/>
  <c r="BM19" i="2"/>
  <c r="BL19" i="2"/>
  <c r="BK19" i="2"/>
  <c r="BJ19" i="2"/>
  <c r="BI19" i="2"/>
  <c r="BH19" i="2"/>
  <c r="BG19" i="2"/>
  <c r="BF19" i="2"/>
  <c r="BE19" i="2"/>
  <c r="BD19" i="2"/>
  <c r="BC19" i="2"/>
  <c r="BB19" i="2"/>
  <c r="BA19" i="2"/>
  <c r="AZ19" i="2"/>
  <c r="AY19" i="2"/>
  <c r="AX19" i="2"/>
  <c r="AW19" i="2"/>
  <c r="AV19" i="2"/>
  <c r="AU19" i="2"/>
  <c r="AT19" i="2"/>
  <c r="AS19" i="2"/>
  <c r="AR19" i="2"/>
  <c r="AQ19" i="2"/>
  <c r="AP19" i="2"/>
  <c r="AO19" i="2"/>
  <c r="AN19" i="2"/>
  <c r="AM19" i="2"/>
  <c r="AL19" i="2"/>
  <c r="AK19" i="2"/>
  <c r="AJ19" i="2"/>
  <c r="AI19" i="2"/>
  <c r="AH19" i="2"/>
  <c r="AG19" i="2"/>
  <c r="AF19" i="2"/>
  <c r="AE19" i="2"/>
  <c r="AD19" i="2"/>
  <c r="AC19" i="2"/>
  <c r="AB19" i="2"/>
  <c r="Z19" i="2"/>
  <c r="Y19" i="2"/>
  <c r="X19" i="2"/>
  <c r="W19" i="2"/>
  <c r="V19" i="2"/>
  <c r="U19" i="2"/>
  <c r="T19" i="2"/>
  <c r="S19" i="2"/>
  <c r="BM18" i="2"/>
  <c r="BL18" i="2"/>
  <c r="BK18" i="2"/>
  <c r="BJ18" i="2"/>
  <c r="BI18" i="2"/>
  <c r="BH18" i="2"/>
  <c r="BG18" i="2"/>
  <c r="BF18" i="2"/>
  <c r="BE18" i="2"/>
  <c r="BD18" i="2"/>
  <c r="BC18" i="2"/>
  <c r="BB18" i="2"/>
  <c r="BA18" i="2"/>
  <c r="AZ18" i="2"/>
  <c r="AY18" i="2"/>
  <c r="AX18" i="2"/>
  <c r="AW18" i="2"/>
  <c r="AV18" i="2"/>
  <c r="AU18" i="2"/>
  <c r="AT18" i="2"/>
  <c r="AS18" i="2"/>
  <c r="AR18" i="2"/>
  <c r="AQ18" i="2"/>
  <c r="AP18" i="2"/>
  <c r="AO18" i="2"/>
  <c r="AN18" i="2"/>
  <c r="AM18" i="2"/>
  <c r="AL18" i="2"/>
  <c r="AK18" i="2"/>
  <c r="AJ18" i="2"/>
  <c r="AI18" i="2"/>
  <c r="AH18" i="2"/>
  <c r="AG18" i="2"/>
  <c r="AF18" i="2"/>
  <c r="AE18" i="2"/>
  <c r="AD18" i="2"/>
  <c r="AC18" i="2"/>
  <c r="AB18" i="2"/>
  <c r="Z18" i="2"/>
  <c r="Y18" i="2"/>
  <c r="X18" i="2"/>
  <c r="W18" i="2"/>
  <c r="V18" i="2"/>
  <c r="U18" i="2"/>
  <c r="T18" i="2"/>
  <c r="S18" i="2"/>
  <c r="BM17" i="2"/>
  <c r="BL17" i="2"/>
  <c r="BK17" i="2"/>
  <c r="BJ17" i="2"/>
  <c r="BI17" i="2"/>
  <c r="BH17" i="2"/>
  <c r="BG17" i="2"/>
  <c r="BF17" i="2"/>
  <c r="BE17" i="2"/>
  <c r="BD17" i="2"/>
  <c r="BC17" i="2"/>
  <c r="BB17" i="2"/>
  <c r="BA17" i="2"/>
  <c r="AZ17" i="2"/>
  <c r="AY17" i="2"/>
  <c r="AX17" i="2"/>
  <c r="AW17" i="2"/>
  <c r="AV17" i="2"/>
  <c r="AU17" i="2"/>
  <c r="AT17" i="2"/>
  <c r="AS17" i="2"/>
  <c r="AR17" i="2"/>
  <c r="AQ17" i="2"/>
  <c r="AP17" i="2"/>
  <c r="AO17" i="2"/>
  <c r="AN17" i="2"/>
  <c r="AM17" i="2"/>
  <c r="AL17" i="2"/>
  <c r="AK17" i="2"/>
  <c r="AJ17" i="2"/>
  <c r="AI17" i="2"/>
  <c r="AH17" i="2"/>
  <c r="AG17" i="2"/>
  <c r="AF17" i="2"/>
  <c r="AE17" i="2"/>
  <c r="AD17" i="2"/>
  <c r="AC17" i="2"/>
  <c r="AB17" i="2"/>
  <c r="Z17" i="2"/>
  <c r="Y17" i="2"/>
  <c r="X17" i="2"/>
  <c r="W17" i="2"/>
  <c r="V17" i="2"/>
  <c r="U17" i="2"/>
  <c r="T17" i="2"/>
  <c r="S17" i="2"/>
  <c r="BM16" i="2"/>
  <c r="BL16" i="2"/>
  <c r="BK16" i="2"/>
  <c r="BJ16" i="2"/>
  <c r="BI16" i="2"/>
  <c r="BH16" i="2"/>
  <c r="BG16" i="2"/>
  <c r="BF16" i="2"/>
  <c r="BE16" i="2"/>
  <c r="BD16" i="2"/>
  <c r="BC16" i="2"/>
  <c r="BB16" i="2"/>
  <c r="BA16" i="2"/>
  <c r="AZ16" i="2"/>
  <c r="AY16" i="2"/>
  <c r="AX16" i="2"/>
  <c r="AW16" i="2"/>
  <c r="AV16" i="2"/>
  <c r="AU16" i="2"/>
  <c r="AT16" i="2"/>
  <c r="AS16" i="2"/>
  <c r="AR16" i="2"/>
  <c r="AQ16" i="2"/>
  <c r="AP16" i="2"/>
  <c r="AO16" i="2"/>
  <c r="AN16" i="2"/>
  <c r="AM16" i="2"/>
  <c r="AL16" i="2"/>
  <c r="AK16" i="2"/>
  <c r="AJ16" i="2"/>
  <c r="AI16" i="2"/>
  <c r="AH16" i="2"/>
  <c r="AG16" i="2"/>
  <c r="AF16" i="2"/>
  <c r="AE16" i="2"/>
  <c r="AD16" i="2"/>
  <c r="AC16" i="2"/>
  <c r="AB16" i="2"/>
  <c r="Z16" i="2"/>
  <c r="Y16" i="2"/>
  <c r="X16" i="2"/>
  <c r="W16" i="2"/>
  <c r="V16" i="2"/>
  <c r="U16" i="2"/>
  <c r="T16" i="2"/>
  <c r="S16" i="2"/>
  <c r="BM15" i="2"/>
  <c r="BL15" i="2"/>
  <c r="BK15" i="2"/>
  <c r="BJ15" i="2"/>
  <c r="BI15" i="2"/>
  <c r="BH15" i="2"/>
  <c r="BG15" i="2"/>
  <c r="BF15" i="2"/>
  <c r="BE15" i="2"/>
  <c r="BD15" i="2"/>
  <c r="BC15" i="2"/>
  <c r="BB15" i="2"/>
  <c r="BA15" i="2"/>
  <c r="AZ15" i="2"/>
  <c r="AY15" i="2"/>
  <c r="AX15" i="2"/>
  <c r="AW15" i="2"/>
  <c r="AV15" i="2"/>
  <c r="AU15" i="2"/>
  <c r="AT15" i="2"/>
  <c r="AS15" i="2"/>
  <c r="AR15" i="2"/>
  <c r="AQ15" i="2"/>
  <c r="AP15" i="2"/>
  <c r="AO15" i="2"/>
  <c r="AN15" i="2"/>
  <c r="AM15" i="2"/>
  <c r="AL15" i="2"/>
  <c r="AK15" i="2"/>
  <c r="AJ15" i="2"/>
  <c r="AI15" i="2"/>
  <c r="AH15" i="2"/>
  <c r="AG15" i="2"/>
  <c r="AF15" i="2"/>
  <c r="AE15" i="2"/>
  <c r="AD15" i="2"/>
  <c r="AC15" i="2"/>
  <c r="AB15" i="2"/>
  <c r="Z15" i="2"/>
  <c r="Y15" i="2"/>
  <c r="X15" i="2"/>
  <c r="W15" i="2"/>
  <c r="V15" i="2"/>
  <c r="U15" i="2"/>
  <c r="T15" i="2"/>
  <c r="S15" i="2"/>
  <c r="BM14" i="2"/>
  <c r="BL14" i="2"/>
  <c r="BK14" i="2"/>
  <c r="BJ14" i="2"/>
  <c r="BI14" i="2"/>
  <c r="BH14" i="2"/>
  <c r="BG14" i="2"/>
  <c r="BF14" i="2"/>
  <c r="BE14" i="2"/>
  <c r="BD14" i="2"/>
  <c r="BC14" i="2"/>
  <c r="BB14" i="2"/>
  <c r="BA14" i="2"/>
  <c r="AZ14" i="2"/>
  <c r="AY14" i="2"/>
  <c r="AX14" i="2"/>
  <c r="AW14" i="2"/>
  <c r="AV14" i="2"/>
  <c r="AU14" i="2"/>
  <c r="AT14" i="2"/>
  <c r="AS14" i="2"/>
  <c r="AR14" i="2"/>
  <c r="AQ14" i="2"/>
  <c r="AP14" i="2"/>
  <c r="AO14" i="2"/>
  <c r="AN14" i="2"/>
  <c r="AM14" i="2"/>
  <c r="AL14" i="2"/>
  <c r="AK14" i="2"/>
  <c r="AJ14" i="2"/>
  <c r="AI14" i="2"/>
  <c r="AH14" i="2"/>
  <c r="AG14" i="2"/>
  <c r="AF14" i="2"/>
  <c r="AE14" i="2"/>
  <c r="AD14" i="2"/>
  <c r="AC14" i="2"/>
  <c r="AB14" i="2"/>
  <c r="Z14" i="2"/>
  <c r="Y14" i="2"/>
  <c r="X14" i="2"/>
  <c r="W14" i="2"/>
  <c r="V14" i="2"/>
  <c r="U14" i="2"/>
  <c r="T14" i="2"/>
  <c r="S14" i="2"/>
  <c r="BI13" i="2"/>
  <c r="BH13" i="2"/>
  <c r="BG13" i="2"/>
  <c r="AX13" i="2"/>
  <c r="Y13" i="2" s="1"/>
  <c r="AV13" i="2"/>
  <c r="AS13" i="2"/>
  <c r="AP13" i="2"/>
  <c r="AL13" i="2"/>
  <c r="AK13" i="2"/>
  <c r="AJ13" i="2"/>
  <c r="AI13" i="2"/>
  <c r="AH13" i="2"/>
  <c r="AF13" i="2"/>
  <c r="AE13" i="2"/>
  <c r="BA13" i="2" s="1"/>
  <c r="AD13" i="2"/>
  <c r="AG13" i="2" s="1"/>
  <c r="AC13" i="2"/>
  <c r="AB13" i="2"/>
  <c r="BI12" i="2"/>
  <c r="BH12" i="2"/>
  <c r="BG12" i="2"/>
  <c r="AV12" i="2"/>
  <c r="AS12" i="2"/>
  <c r="AP12" i="2"/>
  <c r="AK12" i="2"/>
  <c r="AJ12" i="2"/>
  <c r="AL12" i="2" s="1"/>
  <c r="AI12" i="2"/>
  <c r="AH12" i="2"/>
  <c r="AF12" i="2"/>
  <c r="AE12" i="2"/>
  <c r="BA12" i="2" s="1"/>
  <c r="AC12" i="2"/>
  <c r="AB12" i="2"/>
  <c r="BI11" i="2"/>
  <c r="BH11" i="2"/>
  <c r="BG11" i="2"/>
  <c r="AX11" i="2"/>
  <c r="Y11" i="2" s="1"/>
  <c r="AV11" i="2"/>
  <c r="AS11" i="2"/>
  <c r="AQ11" i="2"/>
  <c r="AP11" i="2"/>
  <c r="AL11" i="2"/>
  <c r="AK11" i="2"/>
  <c r="AJ11" i="2"/>
  <c r="AI11" i="2"/>
  <c r="BA11" i="2" s="1"/>
  <c r="AH11" i="2"/>
  <c r="AF11" i="2"/>
  <c r="AE11" i="2"/>
  <c r="AD11" i="2"/>
  <c r="AG11" i="2" s="1"/>
  <c r="AC11" i="2"/>
  <c r="AB11" i="2"/>
  <c r="BI10" i="2"/>
  <c r="BH10" i="2"/>
  <c r="BG10" i="2"/>
  <c r="AV10" i="2"/>
  <c r="AS10" i="2"/>
  <c r="AP10" i="2"/>
  <c r="AK10" i="2"/>
  <c r="AJ10" i="2"/>
  <c r="AL10" i="2" s="1"/>
  <c r="AI10" i="2"/>
  <c r="AH10" i="2"/>
  <c r="AF10" i="2"/>
  <c r="AG10" i="2" s="1"/>
  <c r="AE10" i="2"/>
  <c r="BA10" i="2" s="1"/>
  <c r="AD10" i="2"/>
  <c r="AX10" i="2" s="1"/>
  <c r="Y10" i="2" s="1"/>
  <c r="AC10" i="2"/>
  <c r="AB10" i="2"/>
  <c r="BI9" i="2"/>
  <c r="BH9" i="2"/>
  <c r="BG9" i="2"/>
  <c r="AV9" i="2"/>
  <c r="AS9" i="2"/>
  <c r="AP9" i="2"/>
  <c r="AK9" i="2"/>
  <c r="AI9" i="2"/>
  <c r="AJ9" i="2" s="1"/>
  <c r="AL9" i="2" s="1"/>
  <c r="AH9" i="2"/>
  <c r="AF9" i="2"/>
  <c r="AE9" i="2"/>
  <c r="BA9" i="2" s="1"/>
  <c r="AD9" i="2"/>
  <c r="AX9" i="2" s="1"/>
  <c r="Y9" i="2" s="1"/>
  <c r="AC9" i="2"/>
  <c r="AB9" i="2"/>
  <c r="BH33" i="1"/>
  <c r="BG33" i="1"/>
  <c r="BF33" i="1"/>
  <c r="BE33" i="1"/>
  <c r="BD33" i="1"/>
  <c r="BC33" i="1"/>
  <c r="BB33" i="1"/>
  <c r="BA33" i="1"/>
  <c r="AZ33" i="1"/>
  <c r="AY33" i="1"/>
  <c r="AX33" i="1"/>
  <c r="AW33" i="1"/>
  <c r="AV33" i="1"/>
  <c r="AU33" i="1"/>
  <c r="AT33" i="1"/>
  <c r="AS33" i="1"/>
  <c r="AR33" i="1"/>
  <c r="AQ33" i="1"/>
  <c r="AP33" i="1"/>
  <c r="AO33" i="1"/>
  <c r="AN33" i="1"/>
  <c r="AM33" i="1"/>
  <c r="AL33" i="1"/>
  <c r="AK33" i="1"/>
  <c r="AJ33" i="1"/>
  <c r="AI33" i="1"/>
  <c r="AH33" i="1"/>
  <c r="AG33" i="1"/>
  <c r="AF33" i="1"/>
  <c r="AE33" i="1"/>
  <c r="AD33" i="1"/>
  <c r="AC33" i="1"/>
  <c r="AB33" i="1"/>
  <c r="AA33" i="1"/>
  <c r="Y33" i="1"/>
  <c r="X33" i="1"/>
  <c r="W33" i="1"/>
  <c r="V33" i="1"/>
  <c r="U33" i="1"/>
  <c r="BH32" i="1"/>
  <c r="BG32" i="1"/>
  <c r="BF32" i="1"/>
  <c r="BE32" i="1"/>
  <c r="BD32" i="1"/>
  <c r="BC32" i="1"/>
  <c r="BB32" i="1"/>
  <c r="BA32" i="1"/>
  <c r="AZ32" i="1"/>
  <c r="AY32" i="1"/>
  <c r="AX32" i="1"/>
  <c r="AW32" i="1"/>
  <c r="AV32" i="1"/>
  <c r="AU32" i="1"/>
  <c r="AT32" i="1"/>
  <c r="AS32" i="1"/>
  <c r="AR32" i="1"/>
  <c r="AQ32" i="1"/>
  <c r="AP32" i="1"/>
  <c r="AO32" i="1"/>
  <c r="AN32" i="1"/>
  <c r="AM32" i="1"/>
  <c r="AL32" i="1"/>
  <c r="AK32" i="1"/>
  <c r="AJ32" i="1"/>
  <c r="AI32" i="1"/>
  <c r="AH32" i="1"/>
  <c r="AG32" i="1"/>
  <c r="AF32" i="1"/>
  <c r="AE32" i="1"/>
  <c r="AD32" i="1"/>
  <c r="AC32" i="1"/>
  <c r="AB32" i="1"/>
  <c r="AA32" i="1"/>
  <c r="Y32" i="1"/>
  <c r="X32" i="1"/>
  <c r="W32" i="1"/>
  <c r="V32" i="1"/>
  <c r="U32" i="1"/>
  <c r="BH31" i="1"/>
  <c r="BG31" i="1"/>
  <c r="BF31" i="1"/>
  <c r="BE31" i="1"/>
  <c r="BD31" i="1"/>
  <c r="BC31" i="1"/>
  <c r="BB31" i="1"/>
  <c r="BA31" i="1"/>
  <c r="AZ31" i="1"/>
  <c r="AY31" i="1"/>
  <c r="AX31" i="1"/>
  <c r="AW31" i="1"/>
  <c r="AV31" i="1"/>
  <c r="AU31" i="1"/>
  <c r="AT31" i="1"/>
  <c r="AS31" i="1"/>
  <c r="AR31" i="1"/>
  <c r="AQ31" i="1"/>
  <c r="AP31" i="1"/>
  <c r="AO31" i="1"/>
  <c r="AN31" i="1"/>
  <c r="AM31" i="1"/>
  <c r="AL31" i="1"/>
  <c r="AK31" i="1"/>
  <c r="AJ31" i="1"/>
  <c r="AI31" i="1"/>
  <c r="AH31" i="1"/>
  <c r="AG31" i="1"/>
  <c r="AF31" i="1"/>
  <c r="AE31" i="1"/>
  <c r="AD31" i="1"/>
  <c r="AC31" i="1"/>
  <c r="AB31" i="1"/>
  <c r="AA31" i="1"/>
  <c r="Y31" i="1"/>
  <c r="X31" i="1"/>
  <c r="W31" i="1"/>
  <c r="V31" i="1"/>
  <c r="U31" i="1"/>
  <c r="BH30" i="1"/>
  <c r="BG30" i="1"/>
  <c r="BF30" i="1"/>
  <c r="BE30" i="1"/>
  <c r="BD30" i="1"/>
  <c r="BC30" i="1"/>
  <c r="BB30" i="1"/>
  <c r="BA30" i="1"/>
  <c r="AZ30" i="1"/>
  <c r="AY30" i="1"/>
  <c r="AX30" i="1"/>
  <c r="AW30" i="1"/>
  <c r="AV30" i="1"/>
  <c r="AU30" i="1"/>
  <c r="AT30" i="1"/>
  <c r="AS30" i="1"/>
  <c r="AR30" i="1"/>
  <c r="AQ30" i="1"/>
  <c r="AP30" i="1"/>
  <c r="AO30" i="1"/>
  <c r="AN30" i="1"/>
  <c r="AM30" i="1"/>
  <c r="AL30" i="1"/>
  <c r="AK30" i="1"/>
  <c r="AJ30" i="1"/>
  <c r="AI30" i="1"/>
  <c r="AH30" i="1"/>
  <c r="AG30" i="1"/>
  <c r="AF30" i="1"/>
  <c r="AE30" i="1"/>
  <c r="AD30" i="1"/>
  <c r="AC30" i="1"/>
  <c r="AB30" i="1"/>
  <c r="AA30" i="1"/>
  <c r="Y30" i="1"/>
  <c r="X30" i="1"/>
  <c r="W30" i="1"/>
  <c r="V30" i="1"/>
  <c r="U30" i="1"/>
  <c r="BH29" i="1"/>
  <c r="BG29" i="1"/>
  <c r="BF29" i="1"/>
  <c r="BE29" i="1"/>
  <c r="BD29" i="1"/>
  <c r="BC29" i="1"/>
  <c r="BB29" i="1"/>
  <c r="BA29" i="1"/>
  <c r="AZ29" i="1"/>
  <c r="AY29" i="1"/>
  <c r="AX29" i="1"/>
  <c r="AW29" i="1"/>
  <c r="AV29" i="1"/>
  <c r="AU29" i="1"/>
  <c r="AT29" i="1"/>
  <c r="AS29" i="1"/>
  <c r="AR29" i="1"/>
  <c r="AQ29" i="1"/>
  <c r="AP29" i="1"/>
  <c r="AO29" i="1"/>
  <c r="AN29" i="1"/>
  <c r="AM29" i="1"/>
  <c r="AL29" i="1"/>
  <c r="AK29" i="1"/>
  <c r="AJ29" i="1"/>
  <c r="AI29" i="1"/>
  <c r="AH29" i="1"/>
  <c r="AG29" i="1"/>
  <c r="AF29" i="1"/>
  <c r="AE29" i="1"/>
  <c r="AD29" i="1"/>
  <c r="AC29" i="1"/>
  <c r="AB29" i="1"/>
  <c r="AA29" i="1"/>
  <c r="Y29" i="1"/>
  <c r="X29" i="1"/>
  <c r="W29" i="1"/>
  <c r="V29" i="1"/>
  <c r="U29" i="1"/>
  <c r="BH28" i="1"/>
  <c r="BG28" i="1"/>
  <c r="BF28" i="1"/>
  <c r="BE28" i="1"/>
  <c r="BD28" i="1"/>
  <c r="BC28" i="1"/>
  <c r="BB28" i="1"/>
  <c r="BA28" i="1"/>
  <c r="AZ28" i="1"/>
  <c r="AY28" i="1"/>
  <c r="AX28" i="1"/>
  <c r="AW28" i="1"/>
  <c r="AV28" i="1"/>
  <c r="AU28" i="1"/>
  <c r="AT28" i="1"/>
  <c r="AS28" i="1"/>
  <c r="AR28" i="1"/>
  <c r="AQ28" i="1"/>
  <c r="AP28" i="1"/>
  <c r="AO28" i="1"/>
  <c r="AN28" i="1"/>
  <c r="AM28" i="1"/>
  <c r="AL28" i="1"/>
  <c r="AK28" i="1"/>
  <c r="AJ28" i="1"/>
  <c r="AI28" i="1"/>
  <c r="AH28" i="1"/>
  <c r="AG28" i="1"/>
  <c r="AF28" i="1"/>
  <c r="AE28" i="1"/>
  <c r="AD28" i="1"/>
  <c r="AC28" i="1"/>
  <c r="AB28" i="1"/>
  <c r="AA28" i="1"/>
  <c r="Y28" i="1"/>
  <c r="X28" i="1"/>
  <c r="W28" i="1"/>
  <c r="V28" i="1"/>
  <c r="U28" i="1"/>
  <c r="BH27" i="1"/>
  <c r="BG27" i="1"/>
  <c r="BF27" i="1"/>
  <c r="BE27" i="1"/>
  <c r="BD27" i="1"/>
  <c r="BC27" i="1"/>
  <c r="BB27" i="1"/>
  <c r="BA27" i="1"/>
  <c r="AZ27" i="1"/>
  <c r="AY27" i="1"/>
  <c r="AX27" i="1"/>
  <c r="AW27" i="1"/>
  <c r="AV27" i="1"/>
  <c r="AU27" i="1"/>
  <c r="AT27" i="1"/>
  <c r="AS27" i="1"/>
  <c r="AR27" i="1"/>
  <c r="AQ27" i="1"/>
  <c r="AP27" i="1"/>
  <c r="AO27" i="1"/>
  <c r="AN27" i="1"/>
  <c r="AM27" i="1"/>
  <c r="AL27" i="1"/>
  <c r="AK27" i="1"/>
  <c r="AJ27" i="1"/>
  <c r="AI27" i="1"/>
  <c r="AH27" i="1"/>
  <c r="AG27" i="1"/>
  <c r="AF27" i="1"/>
  <c r="AE27" i="1"/>
  <c r="AD27" i="1"/>
  <c r="AC27" i="1"/>
  <c r="AB27" i="1"/>
  <c r="AA27" i="1"/>
  <c r="Y27" i="1"/>
  <c r="X27" i="1"/>
  <c r="W27" i="1"/>
  <c r="V27" i="1"/>
  <c r="U27" i="1"/>
  <c r="BH26" i="1"/>
  <c r="BG26" i="1"/>
  <c r="BF26" i="1"/>
  <c r="BE26" i="1"/>
  <c r="BD26" i="1"/>
  <c r="BC26" i="1"/>
  <c r="BB26" i="1"/>
  <c r="BA26" i="1"/>
  <c r="AZ26" i="1"/>
  <c r="AY26" i="1"/>
  <c r="AX26" i="1"/>
  <c r="AW26" i="1"/>
  <c r="AV26" i="1"/>
  <c r="AU26" i="1"/>
  <c r="AT26" i="1"/>
  <c r="AS26" i="1"/>
  <c r="AR26" i="1"/>
  <c r="AQ26" i="1"/>
  <c r="AP26" i="1"/>
  <c r="AO26" i="1"/>
  <c r="AN26" i="1"/>
  <c r="AM26" i="1"/>
  <c r="AL26" i="1"/>
  <c r="AK26" i="1"/>
  <c r="AJ26" i="1"/>
  <c r="AI26" i="1"/>
  <c r="AH26" i="1"/>
  <c r="AG26" i="1"/>
  <c r="AF26" i="1"/>
  <c r="AE26" i="1"/>
  <c r="AD26" i="1"/>
  <c r="AC26" i="1"/>
  <c r="AB26" i="1"/>
  <c r="AA26" i="1"/>
  <c r="Y26" i="1"/>
  <c r="X26" i="1"/>
  <c r="W26" i="1"/>
  <c r="V26" i="1"/>
  <c r="U26" i="1"/>
  <c r="BH25" i="1"/>
  <c r="BG25" i="1"/>
  <c r="BF25" i="1"/>
  <c r="BE25" i="1"/>
  <c r="BD25" i="1"/>
  <c r="BC25" i="1"/>
  <c r="BB25" i="1"/>
  <c r="BA25" i="1"/>
  <c r="AZ25" i="1"/>
  <c r="AY25" i="1"/>
  <c r="AX25" i="1"/>
  <c r="AW25" i="1"/>
  <c r="AV25" i="1"/>
  <c r="AU25" i="1"/>
  <c r="AT25" i="1"/>
  <c r="AS25" i="1"/>
  <c r="AR25" i="1"/>
  <c r="AQ25" i="1"/>
  <c r="AP25" i="1"/>
  <c r="AO25" i="1"/>
  <c r="AN25" i="1"/>
  <c r="AM25" i="1"/>
  <c r="AL25" i="1"/>
  <c r="AK25" i="1"/>
  <c r="AJ25" i="1"/>
  <c r="AI25" i="1"/>
  <c r="AH25" i="1"/>
  <c r="AG25" i="1"/>
  <c r="AF25" i="1"/>
  <c r="AE25" i="1"/>
  <c r="AD25" i="1"/>
  <c r="AC25" i="1"/>
  <c r="AB25" i="1"/>
  <c r="AA25" i="1"/>
  <c r="Y25" i="1"/>
  <c r="X25" i="1"/>
  <c r="W25" i="1"/>
  <c r="V25" i="1"/>
  <c r="U25" i="1"/>
  <c r="BH24" i="1"/>
  <c r="BG24" i="1"/>
  <c r="BF24" i="1"/>
  <c r="BE24" i="1"/>
  <c r="BD24" i="1"/>
  <c r="BC24" i="1"/>
  <c r="BB24" i="1"/>
  <c r="BA24" i="1"/>
  <c r="AZ24" i="1"/>
  <c r="AY24" i="1"/>
  <c r="AX24" i="1"/>
  <c r="AW24" i="1"/>
  <c r="AV24" i="1"/>
  <c r="AU24" i="1"/>
  <c r="AT24" i="1"/>
  <c r="AS24" i="1"/>
  <c r="AR24" i="1"/>
  <c r="AQ24" i="1"/>
  <c r="AP24" i="1"/>
  <c r="AO24" i="1"/>
  <c r="AN24" i="1"/>
  <c r="AM24" i="1"/>
  <c r="AL24" i="1"/>
  <c r="AK24" i="1"/>
  <c r="AJ24" i="1"/>
  <c r="AI24" i="1"/>
  <c r="AH24" i="1"/>
  <c r="AG24" i="1"/>
  <c r="AF24" i="1"/>
  <c r="AE24" i="1"/>
  <c r="AD24" i="1"/>
  <c r="AC24" i="1"/>
  <c r="AB24" i="1"/>
  <c r="AA24" i="1"/>
  <c r="Y24" i="1"/>
  <c r="X24" i="1"/>
  <c r="W24" i="1"/>
  <c r="V24" i="1"/>
  <c r="U24" i="1"/>
  <c r="BH23" i="1"/>
  <c r="BG23" i="1"/>
  <c r="BF23" i="1"/>
  <c r="BE23" i="1"/>
  <c r="BD23" i="1"/>
  <c r="BC23" i="1"/>
  <c r="BB23" i="1"/>
  <c r="BA23" i="1"/>
  <c r="AZ23" i="1"/>
  <c r="AY23" i="1"/>
  <c r="AX23" i="1"/>
  <c r="AW23" i="1"/>
  <c r="AV23" i="1"/>
  <c r="AU23" i="1"/>
  <c r="AT23" i="1"/>
  <c r="AS23" i="1"/>
  <c r="AR23" i="1"/>
  <c r="AQ23" i="1"/>
  <c r="AP23" i="1"/>
  <c r="AO23" i="1"/>
  <c r="AN23" i="1"/>
  <c r="AM23" i="1"/>
  <c r="AL23" i="1"/>
  <c r="AK23" i="1"/>
  <c r="AJ23" i="1"/>
  <c r="AI23" i="1"/>
  <c r="AH23" i="1"/>
  <c r="AG23" i="1"/>
  <c r="AF23" i="1"/>
  <c r="AE23" i="1"/>
  <c r="AD23" i="1"/>
  <c r="AC23" i="1"/>
  <c r="AB23" i="1"/>
  <c r="AA23" i="1"/>
  <c r="Y23" i="1"/>
  <c r="X23" i="1"/>
  <c r="W23" i="1"/>
  <c r="V23" i="1"/>
  <c r="U23" i="1"/>
  <c r="BH22" i="1"/>
  <c r="BG22" i="1"/>
  <c r="BF22" i="1"/>
  <c r="BE22" i="1"/>
  <c r="BD22" i="1"/>
  <c r="BC22" i="1"/>
  <c r="BB22" i="1"/>
  <c r="BA22" i="1"/>
  <c r="AZ22" i="1"/>
  <c r="AY22" i="1"/>
  <c r="AX22" i="1"/>
  <c r="AW22" i="1"/>
  <c r="AV22" i="1"/>
  <c r="AU22" i="1"/>
  <c r="AT22" i="1"/>
  <c r="AS22" i="1"/>
  <c r="AR22" i="1"/>
  <c r="AQ22" i="1"/>
  <c r="AP22" i="1"/>
  <c r="AO22" i="1"/>
  <c r="AN22" i="1"/>
  <c r="AM22" i="1"/>
  <c r="AL22" i="1"/>
  <c r="AK22" i="1"/>
  <c r="AJ22" i="1"/>
  <c r="AI22" i="1"/>
  <c r="AH22" i="1"/>
  <c r="AG22" i="1"/>
  <c r="AF22" i="1"/>
  <c r="AE22" i="1"/>
  <c r="AD22" i="1"/>
  <c r="AC22" i="1"/>
  <c r="AB22" i="1"/>
  <c r="AA22" i="1"/>
  <c r="Y22" i="1"/>
  <c r="X22" i="1"/>
  <c r="W22" i="1"/>
  <c r="V22" i="1"/>
  <c r="U22" i="1"/>
  <c r="BH21" i="1"/>
  <c r="BG21" i="1"/>
  <c r="BF21" i="1"/>
  <c r="BE21" i="1"/>
  <c r="BD21" i="1"/>
  <c r="BC21" i="1"/>
  <c r="BB21" i="1"/>
  <c r="BA21" i="1"/>
  <c r="AZ21" i="1"/>
  <c r="AY21" i="1"/>
  <c r="AX21" i="1"/>
  <c r="AW21" i="1"/>
  <c r="AV21" i="1"/>
  <c r="AU21" i="1"/>
  <c r="AT21" i="1"/>
  <c r="AS21" i="1"/>
  <c r="AR21" i="1"/>
  <c r="AQ21" i="1"/>
  <c r="AP21" i="1"/>
  <c r="AO21" i="1"/>
  <c r="AN21" i="1"/>
  <c r="AM21" i="1"/>
  <c r="AL21" i="1"/>
  <c r="AK21" i="1"/>
  <c r="AJ21" i="1"/>
  <c r="AI21" i="1"/>
  <c r="AH21" i="1"/>
  <c r="AG21" i="1"/>
  <c r="AF21" i="1"/>
  <c r="AE21" i="1"/>
  <c r="AD21" i="1"/>
  <c r="AC21" i="1"/>
  <c r="AB21" i="1"/>
  <c r="AA21" i="1"/>
  <c r="Y21" i="1"/>
  <c r="X21" i="1"/>
  <c r="W21" i="1"/>
  <c r="V21" i="1"/>
  <c r="U21" i="1"/>
  <c r="BH20" i="1"/>
  <c r="BG20" i="1"/>
  <c r="BF20" i="1"/>
  <c r="BE20" i="1"/>
  <c r="BD20" i="1"/>
  <c r="BC20" i="1"/>
  <c r="BB20" i="1"/>
  <c r="BA20" i="1"/>
  <c r="AZ20" i="1"/>
  <c r="AY20" i="1"/>
  <c r="AX20" i="1"/>
  <c r="AW20" i="1"/>
  <c r="AV20" i="1"/>
  <c r="AU20" i="1"/>
  <c r="AT20" i="1"/>
  <c r="AS20" i="1"/>
  <c r="AR20" i="1"/>
  <c r="AQ20" i="1"/>
  <c r="AP20" i="1"/>
  <c r="AO20" i="1"/>
  <c r="AN20" i="1"/>
  <c r="AM20" i="1"/>
  <c r="AL20" i="1"/>
  <c r="AK20" i="1"/>
  <c r="AJ20" i="1"/>
  <c r="AI20" i="1"/>
  <c r="AH20" i="1"/>
  <c r="AG20" i="1"/>
  <c r="AF20" i="1"/>
  <c r="AE20" i="1"/>
  <c r="AD20" i="1"/>
  <c r="AC20" i="1"/>
  <c r="AB20" i="1"/>
  <c r="AA20" i="1"/>
  <c r="Y20" i="1"/>
  <c r="X20" i="1"/>
  <c r="W20" i="1"/>
  <c r="V20" i="1"/>
  <c r="U20" i="1"/>
  <c r="BH19" i="1"/>
  <c r="BG19" i="1"/>
  <c r="BF19" i="1"/>
  <c r="BE19" i="1"/>
  <c r="BD19" i="1"/>
  <c r="BC19" i="1"/>
  <c r="BB19" i="1"/>
  <c r="BA19" i="1"/>
  <c r="AZ19" i="1"/>
  <c r="AY19" i="1"/>
  <c r="AX19" i="1"/>
  <c r="AW19" i="1"/>
  <c r="AV19" i="1"/>
  <c r="AU19" i="1"/>
  <c r="AT19" i="1"/>
  <c r="AS19" i="1"/>
  <c r="AR19" i="1"/>
  <c r="AQ19" i="1"/>
  <c r="AP19" i="1"/>
  <c r="AO19" i="1"/>
  <c r="AN19" i="1"/>
  <c r="AM19" i="1"/>
  <c r="AL19" i="1"/>
  <c r="AK19" i="1"/>
  <c r="AJ19" i="1"/>
  <c r="AI19" i="1"/>
  <c r="AH19" i="1"/>
  <c r="AG19" i="1"/>
  <c r="AF19" i="1"/>
  <c r="AE19" i="1"/>
  <c r="AD19" i="1"/>
  <c r="AC19" i="1"/>
  <c r="AB19" i="1"/>
  <c r="AA19" i="1"/>
  <c r="Y19" i="1"/>
  <c r="X19" i="1"/>
  <c r="W19" i="1"/>
  <c r="V19" i="1"/>
  <c r="U19" i="1"/>
  <c r="BH18" i="1"/>
  <c r="BG18" i="1"/>
  <c r="BF18" i="1"/>
  <c r="BE18" i="1"/>
  <c r="BD18" i="1"/>
  <c r="BC18" i="1"/>
  <c r="BB18" i="1"/>
  <c r="BA18" i="1"/>
  <c r="AZ18" i="1"/>
  <c r="AY18" i="1"/>
  <c r="AX18" i="1"/>
  <c r="AW18" i="1"/>
  <c r="AV18" i="1"/>
  <c r="AU18" i="1"/>
  <c r="AT18" i="1"/>
  <c r="AS18" i="1"/>
  <c r="AR18" i="1"/>
  <c r="AQ18" i="1"/>
  <c r="AP18" i="1"/>
  <c r="AO18" i="1"/>
  <c r="AN18" i="1"/>
  <c r="AM18" i="1"/>
  <c r="AL18" i="1"/>
  <c r="AK18" i="1"/>
  <c r="AJ18" i="1"/>
  <c r="AI18" i="1"/>
  <c r="AH18" i="1"/>
  <c r="AG18" i="1"/>
  <c r="AF18" i="1"/>
  <c r="AE18" i="1"/>
  <c r="AD18" i="1"/>
  <c r="AC18" i="1"/>
  <c r="AB18" i="1"/>
  <c r="AA18" i="1"/>
  <c r="Y18" i="1"/>
  <c r="X18" i="1"/>
  <c r="W18" i="1"/>
  <c r="V18" i="1"/>
  <c r="U18" i="1"/>
  <c r="BH17" i="1"/>
  <c r="BG17" i="1"/>
  <c r="BF17" i="1"/>
  <c r="BE17" i="1"/>
  <c r="BD17" i="1"/>
  <c r="BC17" i="1"/>
  <c r="BB17" i="1"/>
  <c r="BA17" i="1"/>
  <c r="AZ17" i="1"/>
  <c r="AY17" i="1"/>
  <c r="AX17" i="1"/>
  <c r="AW17" i="1"/>
  <c r="AV17" i="1"/>
  <c r="AU17" i="1"/>
  <c r="AT17" i="1"/>
  <c r="AS17" i="1"/>
  <c r="AR17" i="1"/>
  <c r="AQ17" i="1"/>
  <c r="AP17" i="1"/>
  <c r="AO17" i="1"/>
  <c r="AN17" i="1"/>
  <c r="AM17" i="1"/>
  <c r="AL17" i="1"/>
  <c r="AK17" i="1"/>
  <c r="AJ17" i="1"/>
  <c r="AI17" i="1"/>
  <c r="AH17" i="1"/>
  <c r="AG17" i="1"/>
  <c r="AF17" i="1"/>
  <c r="AE17" i="1"/>
  <c r="AD17" i="1"/>
  <c r="AC17" i="1"/>
  <c r="AB17" i="1"/>
  <c r="AA17" i="1"/>
  <c r="Y17" i="1"/>
  <c r="X17" i="1"/>
  <c r="W17" i="1"/>
  <c r="V17" i="1"/>
  <c r="U17" i="1"/>
  <c r="BH16" i="1"/>
  <c r="BG16" i="1"/>
  <c r="BF16" i="1"/>
  <c r="BE16" i="1"/>
  <c r="BD16" i="1"/>
  <c r="BC16" i="1"/>
  <c r="BB16" i="1"/>
  <c r="BA16" i="1"/>
  <c r="AZ16" i="1"/>
  <c r="AY16" i="1"/>
  <c r="AX16" i="1"/>
  <c r="AW16" i="1"/>
  <c r="AV16" i="1"/>
  <c r="AU16" i="1"/>
  <c r="AT16" i="1"/>
  <c r="AS16" i="1"/>
  <c r="AR16" i="1"/>
  <c r="AQ16" i="1"/>
  <c r="AP16" i="1"/>
  <c r="AO16" i="1"/>
  <c r="AN16" i="1"/>
  <c r="AM16" i="1"/>
  <c r="AL16" i="1"/>
  <c r="AK16" i="1"/>
  <c r="AJ16" i="1"/>
  <c r="AI16" i="1"/>
  <c r="AH16" i="1"/>
  <c r="AG16" i="1"/>
  <c r="AF16" i="1"/>
  <c r="AE16" i="1"/>
  <c r="AD16" i="1"/>
  <c r="AC16" i="1"/>
  <c r="AB16" i="1"/>
  <c r="AA16" i="1"/>
  <c r="Y16" i="1"/>
  <c r="X16" i="1"/>
  <c r="W16" i="1"/>
  <c r="V16" i="1"/>
  <c r="U16" i="1"/>
  <c r="BD11" i="1"/>
  <c r="BC11" i="1"/>
  <c r="BB11" i="1"/>
  <c r="AT11" i="1"/>
  <c r="AQ11" i="1"/>
  <c r="AN11" i="1"/>
  <c r="AG11" i="1"/>
  <c r="AH11" i="1" s="1"/>
  <c r="AF11" i="1"/>
  <c r="AD11" i="1"/>
  <c r="AC11" i="1"/>
  <c r="AA11" i="1"/>
  <c r="AB11" i="1" s="1"/>
  <c r="BD10" i="1"/>
  <c r="BC10" i="1"/>
  <c r="BB10" i="1"/>
  <c r="AT10" i="1"/>
  <c r="AQ10" i="1"/>
  <c r="AN10" i="1"/>
  <c r="AG10" i="1"/>
  <c r="AF10" i="1"/>
  <c r="AD10" i="1"/>
  <c r="AC10" i="1"/>
  <c r="AA10" i="1"/>
  <c r="AB10" i="1" s="1"/>
  <c r="AE10" i="1" s="1"/>
  <c r="BD9" i="1"/>
  <c r="BC9" i="1"/>
  <c r="BB9" i="1"/>
  <c r="AT9" i="1"/>
  <c r="AQ9" i="1"/>
  <c r="AN9" i="1"/>
  <c r="AI9" i="1"/>
  <c r="AH9" i="1"/>
  <c r="AG9" i="1"/>
  <c r="AF9" i="1"/>
  <c r="AD9" i="1"/>
  <c r="AC9" i="1"/>
  <c r="AA9" i="1"/>
  <c r="AB9" i="1" s="1"/>
  <c r="AV9" i="1" l="1"/>
  <c r="Y9" i="1" s="1"/>
  <c r="Y12" i="1"/>
  <c r="AW12" i="1"/>
  <c r="AH12" i="1"/>
  <c r="AJ12" i="1" s="1"/>
  <c r="AK12" i="1" s="1"/>
  <c r="AI11" i="1"/>
  <c r="AJ11" i="1" s="1"/>
  <c r="AE11" i="1"/>
  <c r="AV11" i="1"/>
  <c r="AJ9" i="1"/>
  <c r="AE9" i="1"/>
  <c r="AW9" i="1" s="1"/>
  <c r="AV10" i="1"/>
  <c r="Y11" i="1"/>
  <c r="BB10" i="2"/>
  <c r="AY10" i="2"/>
  <c r="Z10" i="2" s="1"/>
  <c r="AM10" i="2"/>
  <c r="Y10" i="1"/>
  <c r="BB13" i="2"/>
  <c r="AY13" i="2"/>
  <c r="Z13" i="2" s="1"/>
  <c r="AM13" i="2"/>
  <c r="BB11" i="2"/>
  <c r="AY11" i="2"/>
  <c r="Z11" i="2" s="1"/>
  <c r="AM11" i="2"/>
  <c r="AH10" i="1"/>
  <c r="AI10" i="1"/>
  <c r="AG9" i="2"/>
  <c r="AD12" i="2"/>
  <c r="AL12" i="1" l="1"/>
  <c r="AM12" i="1" s="1"/>
  <c r="AW11" i="1"/>
  <c r="AK11" i="1"/>
  <c r="AJ10" i="1"/>
  <c r="AK9" i="1"/>
  <c r="AL9" i="1" s="1"/>
  <c r="AM9" i="1" s="1"/>
  <c r="AO9" i="1" s="1"/>
  <c r="AL11" i="1"/>
  <c r="AM11" i="1" s="1"/>
  <c r="AN10" i="2"/>
  <c r="AO10" i="2" s="1"/>
  <c r="AG12" i="2"/>
  <c r="AX12" i="2"/>
  <c r="Y12" i="2" s="1"/>
  <c r="BB9" i="2"/>
  <c r="AY9" i="2"/>
  <c r="Z9" i="2" s="1"/>
  <c r="AM9" i="2"/>
  <c r="AO13" i="2"/>
  <c r="AN13" i="2"/>
  <c r="AO11" i="2"/>
  <c r="AN11" i="2"/>
  <c r="AP12" i="1" l="1"/>
  <c r="AX12" i="1"/>
  <c r="AK10" i="1"/>
  <c r="AL10" i="1" s="1"/>
  <c r="AM10" i="1" s="1"/>
  <c r="AW10" i="1"/>
  <c r="BC10" i="2"/>
  <c r="AQ10" i="2"/>
  <c r="AR10" i="2"/>
  <c r="AP9" i="1"/>
  <c r="AX9" i="1"/>
  <c r="AX11" i="1"/>
  <c r="AO11" i="1"/>
  <c r="AP11" i="1" s="1"/>
  <c r="AR13" i="2"/>
  <c r="BC13" i="2"/>
  <c r="AQ13" i="2"/>
  <c r="AO9" i="2"/>
  <c r="AN9" i="2"/>
  <c r="AY12" i="2"/>
  <c r="Z12" i="2" s="1"/>
  <c r="AM12" i="2"/>
  <c r="BB12" i="2"/>
  <c r="AR11" i="2"/>
  <c r="BC11" i="2"/>
  <c r="AR12" i="1" l="1"/>
  <c r="AS12" i="1" s="1"/>
  <c r="AZ12" i="1"/>
  <c r="AX10" i="1"/>
  <c r="AO10" i="1"/>
  <c r="AP10" i="1" s="1"/>
  <c r="AZ11" i="1"/>
  <c r="AR11" i="1"/>
  <c r="AS11" i="1" s="1"/>
  <c r="AR9" i="1"/>
  <c r="AS9" i="1" s="1"/>
  <c r="AZ9" i="1"/>
  <c r="AN12" i="2"/>
  <c r="AO12" i="2"/>
  <c r="BE10" i="2"/>
  <c r="AT10" i="2"/>
  <c r="AU10" i="2" s="1"/>
  <c r="BC9" i="2"/>
  <c r="AQ9" i="2"/>
  <c r="AR9" i="2"/>
  <c r="AU13" i="2"/>
  <c r="BE13" i="2"/>
  <c r="AT13" i="2"/>
  <c r="BE11" i="2"/>
  <c r="AT11" i="2"/>
  <c r="AU11" i="2"/>
  <c r="AU12" i="1" l="1"/>
  <c r="X12" i="1" s="1"/>
  <c r="AY12" i="1"/>
  <c r="BA12" i="1" s="1"/>
  <c r="AZ10" i="1"/>
  <c r="AR10" i="1"/>
  <c r="AS10" i="1" s="1"/>
  <c r="AY10" i="1" s="1"/>
  <c r="BA10" i="1" s="1"/>
  <c r="W10" i="1" s="1"/>
  <c r="AZ10" i="2"/>
  <c r="AW10" i="2"/>
  <c r="AY9" i="1"/>
  <c r="BA9" i="1" s="1"/>
  <c r="W9" i="1" s="1"/>
  <c r="AU9" i="1"/>
  <c r="X9" i="1" s="1"/>
  <c r="AY11" i="1"/>
  <c r="BA11" i="1" s="1"/>
  <c r="W11" i="1" s="1"/>
  <c r="AU11" i="1"/>
  <c r="X11" i="1" s="1"/>
  <c r="AW13" i="2"/>
  <c r="AZ13" i="2"/>
  <c r="BC12" i="2"/>
  <c r="AQ12" i="2"/>
  <c r="AR12" i="2" s="1"/>
  <c r="AZ11" i="2"/>
  <c r="AW11" i="2"/>
  <c r="AT9" i="2"/>
  <c r="AU9" i="2"/>
  <c r="BE9" i="2"/>
  <c r="W12" i="1" l="1"/>
  <c r="BE12" i="1"/>
  <c r="BG12" i="1" s="1"/>
  <c r="BF12" i="1"/>
  <c r="BH12" i="1" s="1"/>
  <c r="AU10" i="1"/>
  <c r="X10" i="1" s="1"/>
  <c r="AT12" i="2"/>
  <c r="AU12" i="2" s="1"/>
  <c r="BE12" i="2"/>
  <c r="X13" i="2"/>
  <c r="W13" i="2"/>
  <c r="X10" i="2"/>
  <c r="W10" i="2"/>
  <c r="X11" i="2"/>
  <c r="W11" i="2"/>
  <c r="BE10" i="1"/>
  <c r="BG10" i="1" s="1"/>
  <c r="BF10" i="1"/>
  <c r="BH10" i="1" s="1"/>
  <c r="V10" i="2"/>
  <c r="BD10" i="2"/>
  <c r="BF10" i="2" s="1"/>
  <c r="V13" i="2"/>
  <c r="BD13" i="2"/>
  <c r="BF13" i="2" s="1"/>
  <c r="AZ9" i="2"/>
  <c r="AW9" i="2"/>
  <c r="BD11" i="2"/>
  <c r="BF11" i="2" s="1"/>
  <c r="V11" i="2"/>
  <c r="BF11" i="1"/>
  <c r="BH11" i="1" s="1"/>
  <c r="BE11" i="1"/>
  <c r="BG11" i="1" s="1"/>
  <c r="BF9" i="1"/>
  <c r="BH9" i="1" s="1"/>
  <c r="BE9" i="1"/>
  <c r="BG9" i="1" s="1"/>
  <c r="U11" i="1" l="1"/>
  <c r="V11" i="1"/>
  <c r="V12" i="1"/>
  <c r="U12" i="1"/>
  <c r="V10" i="1"/>
  <c r="U10" i="1"/>
  <c r="V9" i="1"/>
  <c r="U9" i="1"/>
  <c r="AZ12" i="2"/>
  <c r="AW12" i="2"/>
  <c r="V9" i="2"/>
  <c r="BD9" i="2"/>
  <c r="BF9" i="2" s="1"/>
  <c r="U13" i="2"/>
  <c r="BJ13" i="2"/>
  <c r="BL13" i="2" s="1"/>
  <c r="BK13" i="2"/>
  <c r="BM13" i="2" s="1"/>
  <c r="X9" i="2"/>
  <c r="W9" i="2"/>
  <c r="BK10" i="2"/>
  <c r="BM10" i="2" s="1"/>
  <c r="BJ10" i="2"/>
  <c r="BL10" i="2" s="1"/>
  <c r="U10" i="2"/>
  <c r="U11" i="2"/>
  <c r="BJ11" i="2"/>
  <c r="BL11" i="2" s="1"/>
  <c r="BK11" i="2"/>
  <c r="BM11" i="2" s="1"/>
  <c r="V12" i="2" l="1"/>
  <c r="BD12" i="2"/>
  <c r="BF12" i="2" s="1"/>
  <c r="W12" i="2"/>
  <c r="X12" i="2"/>
  <c r="BK9" i="2"/>
  <c r="BM9" i="2" s="1"/>
  <c r="BJ9" i="2"/>
  <c r="BL9" i="2" s="1"/>
  <c r="U9" i="2"/>
  <c r="T11" i="2"/>
  <c r="S11" i="2"/>
  <c r="T13" i="2"/>
  <c r="S13" i="2"/>
  <c r="T10" i="2"/>
  <c r="S10" i="2"/>
  <c r="T9" i="2" l="1"/>
  <c r="S9" i="2"/>
  <c r="U12" i="2"/>
  <c r="BK12" i="2"/>
  <c r="BM12" i="2" s="1"/>
  <c r="BJ12" i="2"/>
  <c r="BL12" i="2" s="1"/>
  <c r="T12" i="2" l="1"/>
  <c r="S12" i="2"/>
</calcChain>
</file>

<file path=xl/comments1.xml><?xml version="1.0" encoding="utf-8"?>
<comments xmlns="http://schemas.openxmlformats.org/spreadsheetml/2006/main" xmlns:mc="http://schemas.openxmlformats.org/markup-compatibility/2006" xmlns:xr="http://schemas.microsoft.com/office/spreadsheetml/2014/revision" mc:Ignorable="xr">
  <authors>
    <author>Unknown Author</author>
  </authors>
  <commentList>
    <comment ref="K8" authorId="0" shapeId="0" xr:uid="{00000000-0006-0000-0000-000001000000}">
      <text>
        <r>
          <rPr>
            <sz val="10"/>
            <rFont val="Arial"/>
            <family val="2"/>
          </rPr>
          <t>FRLS PVC inner sheath construction cost
Loading: 2.5% of total cost when set to Y.
Rate editable on Assumptions &amp; Ref, section 5.</t>
        </r>
      </text>
    </comment>
    <comment ref="L8" authorId="0" shapeId="0" xr:uid="{00000000-0006-0000-0000-000002000000}">
      <text>
        <r>
          <rPr>
            <sz val="10"/>
            <rFont val="Arial"/>
            <family val="2"/>
          </rPr>
          <t>FRLS PVC outer sheath construction cost
Loading: 2.5% of total cost when set to Y.
Rate editable on Assumptions &amp; Ref, section 5.</t>
        </r>
      </text>
    </comment>
    <comment ref="M8" authorId="0" shapeId="0" xr:uid="{00000000-0006-0000-0000-000003000000}">
      <text>
        <r>
          <rPr>
            <sz val="10"/>
            <rFont val="Arial"/>
            <family val="2"/>
          </rPr>
          <t>LSZH Inner sheath construction cost
Loading: 10.0% of total cost when set to Y.
Rate editable on Assumptions &amp; Ref, section 5.</t>
        </r>
      </text>
    </comment>
    <comment ref="N8" authorId="0" shapeId="0" xr:uid="{00000000-0006-0000-0000-000004000000}">
      <text>
        <r>
          <rPr>
            <sz val="10"/>
            <rFont val="Arial"/>
            <family val="2"/>
          </rPr>
          <t>LSZH outersheath construction cost
Loading: 10.0% of total cost when set to Y.
Rate editable on Assumptions &amp; Ref, section 5.</t>
        </r>
      </text>
    </comment>
    <comment ref="O8" authorId="0" shapeId="0" xr:uid="{00000000-0006-0000-0000-000005000000}">
      <text>
        <r>
          <rPr>
            <sz val="10"/>
            <rFont val="Arial"/>
            <family val="2"/>
          </rPr>
          <t>Oxygen Index (Outer sheath)
Loading: 2.5% of total cost when set to Y.
Rate editable on Assumptions &amp; Ref, section 5.</t>
        </r>
      </text>
    </comment>
    <comment ref="P8" authorId="0" shapeId="0" xr:uid="{00000000-0006-0000-0000-000006000000}">
      <text>
        <r>
          <rPr>
            <sz val="10"/>
            <rFont val="Arial"/>
            <family val="2"/>
          </rPr>
          <t>HRPVC Inner Sheath
Loading: 2.0% of total cost when set to Y.
Rate editable on Assumptions &amp; Ref, section 5.</t>
        </r>
      </text>
    </comment>
    <comment ref="Q8" authorId="0" shapeId="0" xr:uid="{00000000-0006-0000-0000-000007000000}">
      <text>
        <r>
          <rPr>
            <sz val="10"/>
            <rFont val="Arial"/>
            <family val="2"/>
          </rPr>
          <t>HRPVC Outer Sheath
Loading: 2.0% of total cost when set to Y.
Rate editable on Assumptions &amp; Ref, section 5.</t>
        </r>
      </text>
    </comment>
    <comment ref="R8" authorId="0" shapeId="0" xr:uid="{00000000-0006-0000-0000-000008000000}">
      <text>
        <r>
          <rPr>
            <sz val="10"/>
            <rFont val="Arial"/>
            <family val="2"/>
          </rPr>
          <t>Extruded PVC Inner sheath - Upto 50 sq.mm
Loading: 3.0% of total cost when set to Y.
Rate editable on Assumptions &amp; Ref, section 5.</t>
        </r>
      </text>
    </comment>
    <comment ref="S8" authorId="0" shapeId="0" xr:uid="{00000000-0006-0000-0000-000009000000}">
      <text>
        <r>
          <rPr>
            <sz val="10"/>
            <rFont val="Arial"/>
            <family val="2"/>
          </rPr>
          <t>Extruded PVC Inner sheath - 70 sq.mm
Loading: 2.5% of total cost when set to Y.
Rate editable on Assumptions &amp; Ref, section 5.</t>
        </r>
      </text>
    </comment>
    <comment ref="T8" authorId="0" shapeId="0" xr:uid="{00000000-0006-0000-0000-00000A000000}">
      <text>
        <r>
          <rPr>
            <sz val="10"/>
            <rFont val="Arial"/>
            <family val="2"/>
          </rPr>
          <t>Stranding of Conductor
Loading: 1.5% of total cost when set to Y.
Rate editable on Assumptions &amp; Ref, section 5.</t>
        </r>
      </text>
    </comment>
  </commentList>
</comments>
</file>

<file path=xl/comments2.xml><?xml version="1.0" encoding="utf-8"?>
<comments xmlns="http://schemas.openxmlformats.org/spreadsheetml/2006/main" xmlns:mc="http://schemas.openxmlformats.org/markup-compatibility/2006" xmlns:xr="http://schemas.microsoft.com/office/spreadsheetml/2014/revision" mc:Ignorable="xr">
  <authors>
    <author>Unknown Author</author>
  </authors>
  <commentList>
    <comment ref="L8" authorId="0" shapeId="0" xr:uid="{00000000-0006-0000-0100-000001000000}">
      <text>
        <r>
          <rPr>
            <sz val="10"/>
            <rFont val="Arial"/>
            <family val="2"/>
          </rPr>
          <t>FRLS PVC inner sheath construction cost
Loading: 2.5% of total cost when set to Y.
Rate editable on Assumptions &amp; Ref, section 6.</t>
        </r>
      </text>
    </comment>
    <comment ref="M8" authorId="0" shapeId="0" xr:uid="{00000000-0006-0000-0100-000002000000}">
      <text>
        <r>
          <rPr>
            <sz val="10"/>
            <rFont val="Arial"/>
            <family val="2"/>
          </rPr>
          <t>FRLS PVC outer sheath construction cost
Loading: 2.5% of total cost when set to Y.
Rate editable on Assumptions &amp; Ref, section 6.</t>
        </r>
      </text>
    </comment>
    <comment ref="N8" authorId="0" shapeId="0" xr:uid="{00000000-0006-0000-0100-000003000000}">
      <text>
        <r>
          <rPr>
            <sz val="10"/>
            <rFont val="Arial"/>
            <family val="2"/>
          </rPr>
          <t>LSZH Inner sheath construction cost
Loading: 10.0% of total cost when set to Y.
Rate editable on Assumptions &amp; Ref, section 6.</t>
        </r>
      </text>
    </comment>
    <comment ref="O8" authorId="0" shapeId="0" xr:uid="{00000000-0006-0000-0100-000004000000}">
      <text>
        <r>
          <rPr>
            <sz val="10"/>
            <rFont val="Arial"/>
            <family val="2"/>
          </rPr>
          <t>LSZH outersheath construction cost
Loading: 10.0% of total cost when set to Y.
Rate editable on Assumptions &amp; Ref, section 6.</t>
        </r>
      </text>
    </comment>
    <comment ref="P8" authorId="0" shapeId="0" xr:uid="{00000000-0006-0000-0100-000005000000}">
      <text>
        <r>
          <rPr>
            <sz val="10"/>
            <rFont val="Arial"/>
            <family val="2"/>
          </rPr>
          <t>Oxygen Index (Outer sheath)
Loading: 2.5% of total cost when set to Y.
Rate editable on Assumptions &amp; Ref, section 6.</t>
        </r>
      </text>
    </comment>
    <comment ref="Q8" authorId="0" shapeId="0" xr:uid="{00000000-0006-0000-0100-000006000000}">
      <text>
        <r>
          <rPr>
            <sz val="10"/>
            <rFont val="Arial"/>
            <family val="2"/>
          </rPr>
          <t>Extruded PVC Inner sheath
Loading: 3.0% of total cost when set to Y.
Rate editable on Assumptions &amp; Ref, section 6.</t>
        </r>
      </text>
    </comment>
    <comment ref="R8" authorId="0" shapeId="0" xr:uid="{00000000-0006-0000-0100-000007000000}">
      <text>
        <r>
          <rPr>
            <sz val="10"/>
            <rFont val="Arial"/>
            <family val="2"/>
          </rPr>
          <t>Pressure Extruded PVC Innersheath
Loading: 5.0% of total cost when set to Y.
Rate editable on Assumptions &amp; Ref, section 6.</t>
        </r>
      </text>
    </comment>
  </commentList>
</comments>
</file>

<file path=xl/sharedStrings.xml><?xml version="1.0" encoding="utf-8"?>
<sst xmlns="http://schemas.openxmlformats.org/spreadsheetml/2006/main" count="521" uniqueCount="234">
  <si>
    <t>LT POWER CABLE — BATCH SHOULD-COST CALCULATOR</t>
  </si>
  <si>
    <t>Refresh prices:</t>
  </si>
  <si>
    <t>https://liveindex.org/mcx-copper/</t>
  </si>
  <si>
    <t>https://economictimes.indiatimes.com/commoditysummary/symbol-ALUMINIUM.cms</t>
  </si>
  <si>
    <t>https://www.plastemart.com/polymer-pricelist/hdpe-reliance-deem-export/2/41</t>
  </si>
  <si>
    <t>https://plastemart.com/polymer-pricelist/pvc-reliance/7/9</t>
  </si>
  <si>
    <t>https://steel.gov.in/monthly-summery</t>
  </si>
  <si>
    <t>MATERIAL MASTER</t>
  </si>
  <si>
    <t>Copper</t>
  </si>
  <si>
    <t>Aluminium</t>
  </si>
  <si>
    <t>XLPE</t>
  </si>
  <si>
    <t>PVC</t>
  </si>
  <si>
    <t>Steel Wire</t>
  </si>
  <si>
    <t>Density (g/cm³)</t>
  </si>
  <si>
    <t>Edit density and price directly in these yellow cells; every row on this sheet updates instantly.</t>
  </si>
  <si>
    <t>Price (Rs/kg)</t>
  </si>
  <si>
    <t>SPECIAL CONSTRUCTION  (Y / N)</t>
  </si>
  <si>
    <t>Configuration label</t>
  </si>
  <si>
    <t>No. of
cores</t>
  </si>
  <si>
    <t>Shape</t>
  </si>
  <si>
    <t>Size
(sqmm)</t>
  </si>
  <si>
    <t>Conductor</t>
  </si>
  <si>
    <t>Insulation</t>
  </si>
  <si>
    <t>Inner
sheath</t>
  </si>
  <si>
    <t>Armour</t>
  </si>
  <si>
    <t>Outer
sheath</t>
  </si>
  <si>
    <t>FRLS
inner</t>
  </si>
  <si>
    <t>FRLS
outer</t>
  </si>
  <si>
    <t>LSZH
inner</t>
  </si>
  <si>
    <t>LSZH
outer</t>
  </si>
  <si>
    <t>Oxygen
Index</t>
  </si>
  <si>
    <t>HRPVC
inner</t>
  </si>
  <si>
    <t>HRPVC
outer</t>
  </si>
  <si>
    <t>Extr PVC
inner ≤50</t>
  </si>
  <si>
    <t>Extr PVC
inner 70</t>
  </si>
  <si>
    <t>Stranding
of cond.</t>
  </si>
  <si>
    <t>SELLING LOW
Rs/km</t>
  </si>
  <si>
    <t>SELLING HIGH
Rs/km</t>
  </si>
  <si>
    <t>Approx
OD mm</t>
  </si>
  <si>
    <t>cond angle</t>
  </si>
  <si>
    <t>cond dia</t>
  </si>
  <si>
    <t>cond dens</t>
  </si>
  <si>
    <t>ins thk</t>
  </si>
  <si>
    <t>dia/ins</t>
  </si>
  <si>
    <t>ins dens</t>
  </si>
  <si>
    <t>neut area</t>
  </si>
  <si>
    <t>neut dia</t>
  </si>
  <si>
    <t>neut ins thk</t>
  </si>
  <si>
    <t>neut core dia</t>
  </si>
  <si>
    <t>laid-up dia</t>
  </si>
  <si>
    <t>inner thk</t>
  </si>
  <si>
    <t>dia/inner</t>
  </si>
  <si>
    <t>inner dens</t>
  </si>
  <si>
    <t>armour thk</t>
  </si>
  <si>
    <t>dia/armour</t>
  </si>
  <si>
    <t>armour dens</t>
  </si>
  <si>
    <t>outer thk</t>
  </si>
  <si>
    <t>dia/outer</t>
  </si>
  <si>
    <t>outer dens</t>
  </si>
  <si>
    <t>approx OD</t>
  </si>
  <si>
    <t>wt cond</t>
  </si>
  <si>
    <t>wt ins</t>
  </si>
  <si>
    <t>wt inner</t>
  </si>
  <si>
    <t>wt outer</t>
  </si>
  <si>
    <t>wt armour</t>
  </si>
  <si>
    <t>mat cost</t>
  </si>
  <si>
    <t>special %</t>
  </si>
  <si>
    <t>load S1</t>
  </si>
  <si>
    <t>load S2</t>
  </si>
  <si>
    <t>total S1</t>
  </si>
  <si>
    <t>total S2</t>
  </si>
  <si>
    <t>selling S1</t>
  </si>
  <si>
    <t>selling S2</t>
  </si>
  <si>
    <t>Circular</t>
  </si>
  <si>
    <t>Unarmored</t>
  </si>
  <si>
    <t>Galvanised steel round wire</t>
  </si>
  <si>
    <t>N</t>
  </si>
  <si>
    <t>Galvanised steel flat strip</t>
  </si>
  <si>
    <t>HT POWER CABLE — BATCH SHOULD-COST CALCULATOR</t>
  </si>
  <si>
    <t>Voltage</t>
  </si>
  <si>
    <t>Extr PVC
inner</t>
  </si>
  <si>
    <t>Press extr
PVC inner</t>
  </si>
  <si>
    <t>Material cost
Rs/km</t>
  </si>
  <si>
    <t>Copper weight
kg/km</t>
  </si>
  <si>
    <t>Metallic screen
kg/km</t>
  </si>
  <si>
    <t>Conductor screen
kg/km</t>
  </si>
  <si>
    <t>Insulation screen
kg/km</t>
  </si>
  <si>
    <t>cond angle2</t>
  </si>
  <si>
    <t>main ins thk</t>
  </si>
  <si>
    <t>cond scr wt</t>
  </si>
  <si>
    <t>ins scr wt</t>
  </si>
  <si>
    <t>metallic wt</t>
  </si>
  <si>
    <t>3.5C x 300 Al 11kV (parity check)</t>
  </si>
  <si>
    <t>11kV</t>
  </si>
  <si>
    <t>3C x 240 Al 11kV armoured</t>
  </si>
  <si>
    <t>1C x 400 Cu 33kV unarmoured</t>
  </si>
  <si>
    <t>33kV</t>
  </si>
  <si>
    <t>3C x 95 Al 22kV armoured</t>
  </si>
  <si>
    <t>22kV</t>
  </si>
  <si>
    <t>3C x 150 Cu 6.6kV armoured</t>
  </si>
  <si>
    <t>6.6kV</t>
  </si>
  <si>
    <t>POWER CABLE — ASSUMPTIONS &amp; REFERENCE TABLES</t>
  </si>
  <si>
    <t>1.  MATERIAL MASTER  (reference copy only — live values are edited on each calculator tab)</t>
  </si>
  <si>
    <t>Material</t>
  </si>
  <si>
    <t>Density</t>
  </si>
  <si>
    <t>Price</t>
  </si>
  <si>
    <t>Status</t>
  </si>
  <si>
    <t>g/cm³</t>
  </si>
  <si>
    <t>Rs/kg</t>
  </si>
  <si>
    <t>Not used in calculations</t>
  </si>
  <si>
    <t>3.  LT COST STRUCTURE  (% of total cost — varies by conductor, per the source model)</t>
  </si>
  <si>
    <t>Cost element</t>
  </si>
  <si>
    <t>SCENARIO 1</t>
  </si>
  <si>
    <t>SCENARIO 2</t>
  </si>
  <si>
    <t>Note</t>
  </si>
  <si>
    <t>Material cost</t>
  </si>
  <si>
    <t>Conversion &amp; other</t>
  </si>
  <si>
    <t>Transportation</t>
  </si>
  <si>
    <t>Drum cost</t>
  </si>
  <si>
    <t>Overheads / insurance / finance</t>
  </si>
  <si>
    <t>Margin</t>
  </si>
  <si>
    <t>Applied to cable cost to give selling price</t>
  </si>
  <si>
    <t>Wastage (all materials)</t>
  </si>
  <si>
    <t>4.  HT COST STRUCTURE  (% of total cost — varies by conductor, per the source model)</t>
  </si>
  <si>
    <t>THIS is what drives the HT selling price — see note below</t>
  </si>
  <si>
    <t>Margin (reference only)</t>
  </si>
  <si>
    <t>Not used in the HT selling-price step — see note below</t>
  </si>
  <si>
    <t>Wastage: main materials</t>
  </si>
  <si>
    <t>Wastage: metallic screen</t>
  </si>
  <si>
    <t>Wastage: semicon screens</t>
  </si>
  <si>
    <t>NOTE: the source HT model's final selling-price step multiplies by (1 + Overheads %), not by the Margin % field. Reproduced here for exact parity.</t>
  </si>
  <si>
    <t>5.  LT SPECIAL CONSTRUCTION COSTS  (loading on total cost when selected 'Y' on the LT tab)</t>
  </si>
  <si>
    <t>Construction option</t>
  </si>
  <si>
    <t>Loading %</t>
  </si>
  <si>
    <t>Column</t>
  </si>
  <si>
    <t>FRLS PVC inner sheath construction cost</t>
  </si>
  <si>
    <t>K</t>
  </si>
  <si>
    <t>FRLS PVC outer sheath construction cost</t>
  </si>
  <si>
    <t>L</t>
  </si>
  <si>
    <t>LSZH Inner sheath construction cost</t>
  </si>
  <si>
    <t>M</t>
  </si>
  <si>
    <t>LSZH outersheath construction cost</t>
  </si>
  <si>
    <t>Oxygen Index (Outer sheath)</t>
  </si>
  <si>
    <t>O</t>
  </si>
  <si>
    <t>HRPVC Inner Sheath</t>
  </si>
  <si>
    <t>P</t>
  </si>
  <si>
    <t>HRPVC Outer Sheath</t>
  </si>
  <si>
    <t>Q</t>
  </si>
  <si>
    <t>Extruded PVC Inner sheath - Upto 50 sq.mm</t>
  </si>
  <si>
    <t>R</t>
  </si>
  <si>
    <t>Extruded PVC Inner sheath - 70 sq.mm</t>
  </si>
  <si>
    <t>S</t>
  </si>
  <si>
    <t>Stranding of Conductor</t>
  </si>
  <si>
    <t>T</t>
  </si>
  <si>
    <t>6.  HT SPECIAL CONSTRUCTION COSTS  (loading on total cost when selected 'Y' on the HT tab)</t>
  </si>
  <si>
    <t>Extruded PVC Inner sheath</t>
  </si>
  <si>
    <t>Pressure Extruded PVC Innersheath</t>
  </si>
  <si>
    <t>7.  HT SCREENS &amp; TAPE</t>
  </si>
  <si>
    <t>Semiconducting compound density (g/cm³)</t>
  </si>
  <si>
    <t>Conductor screen thickness (mm)</t>
  </si>
  <si>
    <t>Insulation screen thickness (mm)</t>
  </si>
  <si>
    <t>Metallic screen tape thickness (mm)</t>
  </si>
  <si>
    <t>Metallic screen: no. of tapes</t>
  </si>
  <si>
    <t>Metallic screen price = copper ×</t>
  </si>
  <si>
    <t>8.  LT IS LOOKUP TABLES  (do not delete rows; extend at the bottom keeping ascending order)</t>
  </si>
  <si>
    <t>Insul: area mm²</t>
  </si>
  <si>
    <t>1-core armd</t>
  </si>
  <si>
    <t>multi/unarmd</t>
  </si>
  <si>
    <t>Inner: dia LB</t>
  </si>
  <si>
    <t>thk</t>
  </si>
  <si>
    <t>Outer: dia LB</t>
  </si>
  <si>
    <t>nom (unarmd)</t>
  </si>
  <si>
    <t>min (armd)</t>
  </si>
  <si>
    <t>Armour: dia LB</t>
  </si>
  <si>
    <t>strip thk</t>
  </si>
  <si>
    <t>round dia</t>
  </si>
  <si>
    <t>Neutral: phase mm²</t>
  </si>
  <si>
    <t>neutral mm²</t>
  </si>
  <si>
    <t>9.  HT INSULATION THICKNESS  (mm, by voltage &amp; area — IS 7098)</t>
  </si>
  <si>
    <t>Area mm²</t>
  </si>
  <si>
    <t>3.3kV</t>
  </si>
  <si>
    <t>11kV earthed</t>
  </si>
  <si>
    <t>11kV unearthed</t>
  </si>
  <si>
    <t>10.  HT SHEATH / ARMOUR / OUTER TABLES  (match: largest lower-bound ≤ value)</t>
  </si>
  <si>
    <t>strip</t>
  </si>
  <si>
    <t>round</t>
  </si>
  <si>
    <t>POWER CABLE — BATCH SHOULD-COST CALCULATOR (LT + HT)</t>
  </si>
  <si>
    <t>Two row-per-configuration calculators. Each carries its own material master (density and price) edited on the sheet itself; cost structures, special-construction loadings and IS tables are shared from Assumptions &amp; Ref.</t>
  </si>
  <si>
    <t>THE TABS</t>
  </si>
  <si>
    <t>•  LT Batch Calculator — low-tension (1.1 kV) power cables.</t>
  </si>
  <si>
    <t>•  HT Batch Calculator — high-tension (3.3 / 6.6 / 11 / 22 / 33 kV) cables, with conductor, insulation and metallic screens.</t>
  </si>
  <si>
    <t>•  Assumptions &amp; Ref — cost structures (both scenarios, both conductors), special-construction loadings, screen parameters and all IS lookup tables. Its material master is a reference copy only and no longer drives any calculation.</t>
  </si>
  <si>
    <t>•  Read Me — this sheet.</t>
  </si>
  <si>
    <t>HOW TO USE</t>
  </si>
  <si>
    <t>1.  Fill one row per cable in the yellow input columns. LT: cores, shape, size, conductor, insulation, inner sheath, armour, outer sheath. HT adds a Voltage column, which sets the insulation thickness.</t>
  </si>
  <si>
    <t>2.  Set any special-construction options to 'Y' in the special-construction columns. Hover any of those headers to see its full name and loading %.</t>
  </si>
  <si>
    <t>3.  Read the results in the green columns — the selling price range, material cost, OD, conductor/copper weight (and screen weights on HT).</t>
  </si>
  <si>
    <t>4.  Grey calculation columns hold the full build-up; collapse them with the [-] outline button above them.</t>
  </si>
  <si>
    <t>5.  Density and price are edited in the yellow MATERIAL MASTER block at the top of each calculator (rows 4-6). Cost-structure percentages, special-construction loadings and the IS tables are edited on Assumptions &amp; Ref.</t>
  </si>
  <si>
    <t>MATERIAL MASTER AND PRICE REFRESH LINKS</t>
  </si>
  <si>
    <t>Row 3 of each calculator carries a clickable link above each material's column — MCX copper, Economic Times aluminium, Plastemart polymer price lists for XLPE and PVC, and the Ministry of Steel monthly summary. Click through, read the current rate, then type it straight into the yellow Price row beneath. Each calculator holds its own independent copy, so LT and HT can be run on different price dates if you need to; remember to update both when you want them aligned.</t>
  </si>
  <si>
    <t>SPECIAL CONSTRUCTION COSTS</t>
  </si>
  <si>
    <t>Each option is a Y/N switch on the calculator; when set to 'Y' its loading is added as a percentage of total cost, exactly as in the source models. Loadings are summed, so multiple options stack.</t>
  </si>
  <si>
    <t>LT (10 options): FRLS PVC inner sheath 2.5%, FRLS PVC outer sheath 2.5%, LSZH inner sheath 10%, LSZH outer sheath 10%, Oxygen Index (outer sheath) 2.5%, HRPVC inner sheath 2%, HRPVC outer sheath 2%, Extruded PVC inner sheath up to 50 sq.mm 3%, Extruded PVC inner sheath 70 sq.mm 2.5%, Stranding of conductor 1.5%.</t>
  </si>
  <si>
    <t>HT (7 options): FRLS PVC inner sheath 2.5%, FRLS PVC outer sheath 2.5%, LSZH inner sheath 10%, LSZH outer sheath 10%, Oxygen Index (outer sheath) 2.5%, Extruded PVC inner sheath 3%, Pressure extruded PVC inner sheath 5%.</t>
  </si>
  <si>
    <t>All rates are editable in sections 5 and 6 of Assumptions &amp; Ref.</t>
  </si>
  <si>
    <t>WEIGHT OUTPUTS</t>
  </si>
  <si>
    <t>•  LT reports Conductor weight (kg/km) — the conductor metal, whichever it is. HT reports Copper weight (kg/km) — conductor copper where the conductor is Copper, plus the copper metallic screen, which is present on every HT cable regardless of conductor material. Both include wastage, consistent with the costed weights.</t>
  </si>
  <si>
    <t>•  HT also reports Metallic screen, Conductor screen and Insulation screen weights (kg/km), all including their respective wastage allowances (2% metallic, 2.5% semiconducting), matching the 'Including Wastage' column of the source model.</t>
  </si>
  <si>
    <t>CORRECTION MADE IN THIS VERSION — COST STRUCTURE NOW VARIES BY CONDUCTOR</t>
  </si>
  <si>
    <t>Both source models set the cost-structure percentages conditionally on conductor material, e.g. Material cost = IF(conductor = Aluminium, 80%, 85%), and similarly for Conversion and Drum. Earlier versions of this workbook applied a single fixed set, which was right for the parity row but wrong for rows using the other conductor. Sections 3 and 4 of Assumptions &amp; Ref now hold a full Copper / Aluminium × Scenario 1 / Scenario 2 grid, and each row picks the right column from its own Conductor input. Aluminium LT rows and Copper HT rows will therefore differ from the earlier version — the current figures are the correct ones.</t>
  </si>
  <si>
    <t>SCENARIO 1 vs SCENARIO 2</t>
  </si>
  <si>
    <t>Both scenarios share the same material weights, prices and special-construction loadings; they differ only in the cost-structure split. Scenario 1 is the higher-cost view and Scenario 2 the leaner one, so the two together bound a negotiation range. The Low and High columns take the min and max automatically, so the range stays correct even if you re-tune the percentages.</t>
  </si>
  <si>
    <t>PARITY WITH THE ORIGINAL MODELS</t>
  </si>
  <si>
    <t>LT row 9 (3-core 25 sq.mm copper): Scenario 1 Rs 636,776/km, Scenario 2 Rs 601,399/km, material Rs 520,442/km, copper 677.2 kg/km.</t>
  </si>
  <si>
    <t>HT row 9 (3.5-core 300 sq.mm aluminium, 11 kV, flat-strip armoured): Scenario 1 Rs 1,459,125/km, Scenario 2 Rs 1,360,090/km, material Rs 1,122,404/km; metallic screen 268.2, conductor screen 17.9, insulation screen 27.9 kg/km.</t>
  </si>
  <si>
    <t>All match the source workbooks exactly. Keep both rows as checks whenever you change an assumption.</t>
  </si>
  <si>
    <t>QUIRKS CARRIED OVER FROM THE SOURCE MODELS (flagged, not silently changed)</t>
  </si>
  <si>
    <t>•  HT selling price: the source multiplies total cable cost by (1 + Overheads %), not by the separate Margin % field. In Scenario 1 the two coincide at 4%; in Scenario 2 the Overheads rate of 3% applies rather than the stated 4% Margin. Reproduced for exact parity — the HT Margin row on Assumptions &amp; Ref is kept for reference only and does not drive the price.</t>
  </si>
  <si>
    <t>•  HT outer-sheath weight is computed between the rounded-up overall diameter and the diameter under the outer sheath, rather than between the outer-sheath and armour diameters as on LT. Unusual, but required to match the source.</t>
  </si>
  <si>
    <t>•  Sheaths (inner + outer) are priced at the PVC rate regardless of the material named for them; only the insulation takes the XLPE / PVC split.</t>
  </si>
  <si>
    <t>•  One deliberate departure: in the source files the Scenario 2 special-construction adders were linked to Scenario 1's total cost (a copy-paste artefact). Here each scenario's adder is computed on its own total, which is what the '% of total cost' definition intends. With all options set to 'N' — the default — results are identical either way.</t>
  </si>
  <si>
    <t>Yellow = your input (including the material master).   Green = result.   Grey = intermediate working.</t>
  </si>
  <si>
    <t>SELLING HIGH
Rs/m</t>
  </si>
  <si>
    <t>SELLING LOW
Rs/m</t>
  </si>
  <si>
    <t>3.5C x 300 sq.mm CU, XLPE</t>
  </si>
  <si>
    <t>Material cost Rs/m</t>
  </si>
  <si>
    <t>Conductor weight g/m</t>
  </si>
  <si>
    <t>3.5C x 240 sq.mm CU, XLPE</t>
  </si>
  <si>
    <t>3.5C x 185 sq.mm CU, XLPE</t>
  </si>
  <si>
    <t>3.5C x 150 sq.mm CU, XLPE</t>
  </si>
  <si>
    <t>3.5C x 50 sq.mm CU, XLPE</t>
  </si>
  <si>
    <t>4C x 25 Cu XLPE</t>
  </si>
  <si>
    <t>3C x 50 sq.mm CU, XLPE</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</si>
</sst>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5">
    <numFmt numFmtId="164" formatCode="0.###"/>
    <numFmt numFmtId="165" formatCode="#,##0;\(#,##0\);\-"/>
    <numFmt numFmtId="166" formatCode="#,##0.0"/>
    <numFmt numFmtId="167" formatCode="0.0%"/>
    <numFmt numFmtId="168" formatCode="0.0000"/>
  </numFmts>
  <fonts count="20" x14ac:knownFonts="1">
    <font>
      <sz val="11"/>
      <color theme="1"/>
      <name val="Calibri"/>
      <family val="2"/>
      <charset val="1"/>
    </font>
    <font>
      <sz val="10"/>
      <name val="Arial"/>
      <family val="2"/>
    </font>
    <font>
      <b/>
      <sz val="13"/>
      <color rgb="FF1F3864"/>
      <name val="Arial"/>
      <family val="2"/>
      <charset val="1"/>
    </font>
    <font>
      <i/>
      <sz val="8"/>
      <color rgb="FF808080"/>
      <name val="Arial"/>
      <family val="2"/>
      <charset val="1"/>
    </font>
    <font>
      <b/>
      <sz val="9"/>
      <color rgb="FF1F3864"/>
      <name val="Arial"/>
      <family val="2"/>
      <charset val="1"/>
    </font>
    <font>
      <u/>
      <sz val="9"/>
      <color rgb="FF0563C1"/>
      <name val="Arial"/>
      <family val="2"/>
      <charset val="1"/>
    </font>
    <font>
      <sz val="9"/>
      <color rgb="FF375623"/>
      <name val="Arial"/>
      <family val="2"/>
      <charset val="1"/>
    </font>
    <font>
      <sz val="9"/>
      <color rgb="FF0000FF"/>
      <name val="Arial"/>
      <family val="2"/>
    </font>
    <font>
      <i/>
      <sz val="8"/>
      <color rgb="FF808080"/>
      <name val="Arial"/>
      <family val="2"/>
    </font>
    <font>
      <b/>
      <sz val="10"/>
      <color rgb="FFFFFFFF"/>
      <name val="Arial"/>
      <family val="2"/>
      <charset val="1"/>
    </font>
    <font>
      <sz val="8"/>
      <color rgb="FFFFFFFF"/>
      <name val="Arial"/>
      <family val="2"/>
      <charset val="1"/>
    </font>
    <font>
      <sz val="10"/>
      <color rgb="FF0000FF"/>
      <name val="Arial"/>
      <family val="2"/>
      <charset val="1"/>
    </font>
    <font>
      <b/>
      <sz val="10"/>
      <color rgb="FF006100"/>
      <name val="Arial"/>
      <family val="2"/>
      <charset val="1"/>
    </font>
    <font>
      <sz val="10"/>
      <name val="Arial"/>
      <family val="2"/>
      <charset val="1"/>
    </font>
    <font>
      <b/>
      <sz val="10"/>
      <color rgb="FF1F3864"/>
      <name val="Arial"/>
      <family val="2"/>
      <charset val="1"/>
    </font>
    <font>
      <sz val="9"/>
      <name val="Arial"/>
      <family val="2"/>
      <charset val="1"/>
    </font>
    <font>
      <i/>
      <sz val="8"/>
      <color rgb="FFC00000"/>
      <name val="Arial"/>
      <family val="2"/>
      <charset val="1"/>
    </font>
    <font>
      <i/>
      <sz val="9"/>
      <color rgb="FF595959"/>
      <name val="Arial"/>
      <family val="2"/>
      <charset val="1"/>
    </font>
    <font>
      <b/>
      <sz val="11"/>
      <color rgb="FFFFFFFF"/>
      <name val="Arial"/>
      <family val="2"/>
      <charset val="1"/>
    </font>
    <font>
      <sz val="10"/>
      <color rgb="FFC00000"/>
      <name val="Arial"/>
      <family val="2"/>
      <charset val="1"/>
    </font>
  </fonts>
  <fills count="11">
    <fill>
      <patternFill patternType="none"/>
    </fill>
    <fill>
      <patternFill patternType="gray125"/>
    </fill>
    <fill>
      <patternFill patternType="solid">
        <fgColor rgb="FFEDEDED"/>
        <bgColor rgb="FFE2EFDA"/>
      </patternFill>
    </fill>
    <fill>
      <patternFill patternType="solid">
        <fgColor rgb="FFFFF2CC"/>
        <bgColor rgb="FFFCE4D6"/>
      </patternFill>
    </fill>
    <fill>
      <patternFill patternType="solid">
        <fgColor rgb="FF1F3864"/>
        <bgColor rgb="FF333399"/>
      </patternFill>
    </fill>
    <fill>
      <patternFill patternType="solid">
        <fgColor rgb="FF375623"/>
        <bgColor rgb="FF595959"/>
      </patternFill>
    </fill>
    <fill>
      <patternFill patternType="solid">
        <fgColor rgb="FF808080"/>
        <bgColor rgb="FF969696"/>
      </patternFill>
    </fill>
    <fill>
      <patternFill patternType="solid">
        <fgColor rgb="FFFCE4D6"/>
        <bgColor rgb="FFFFF2CC"/>
      </patternFill>
    </fill>
    <fill>
      <patternFill patternType="solid">
        <fgColor rgb="FFBDD7EE"/>
        <bgColor rgb="FFD0D0D0"/>
      </patternFill>
    </fill>
    <fill>
      <patternFill patternType="solid">
        <fgColor rgb="FFE2EFDA"/>
        <bgColor rgb="FFEDEDED"/>
      </patternFill>
    </fill>
    <fill>
      <patternFill patternType="solid">
        <fgColor rgb="FFD9E1F2"/>
        <bgColor rgb="FFE2EFDA"/>
      </patternFill>
    </fill>
  </fills>
  <borders count="3">
    <border>
      <left/>
      <right/>
      <top/>
      <bottom/>
      <diagonal/>
    </border>
    <border>
      <left style="thin">
        <color rgb="FFD0D0D0"/>
      </left>
      <right style="thin">
        <color rgb="FFD0D0D0"/>
      </right>
      <top style="thin">
        <color rgb="FFD0D0D0"/>
      </top>
      <bottom style="thin">
        <color rgb="FFD0D0D0"/>
      </bottom>
      <diagonal/>
    </border>
    <border>
      <left style="thin">
        <color rgb="FFBFBFBF"/>
      </left>
      <right style="thin">
        <color rgb="FFBFBFBF"/>
      </right>
      <top style="thin">
        <color rgb="FFBFBFBF"/>
      </top>
      <bottom style="thin">
        <color rgb="FFBFBFBF"/>
      </bottom>
      <diagonal/>
    </border>
  </borders>
  <cellStyleXfs count="2">
    <xf numFmtId="0" fontId="0" fillId="0" borderId="0"/>
    <xf numFmtId="0" fontId="1" fillId="0" borderId="0"/>
  </cellStyleXfs>
  <cellXfs count="49">
    <xf numFmtId="0" fontId="0" fillId="0" borderId="0" xfId="0"/>
    <xf numFmtId="0" fontId="9" fillId="4" borderId="1" xfId="0" applyFont="1" applyFill="1" applyBorder="1" applyAlignment="1">
      <alignment horizontal="center" vertical="center" wrapText="1"/>
    </xf>
    <xf numFmtId="167" fontId="11" fillId="3" borderId="2" xfId="0" applyNumberFormat="1" applyFont="1" applyFill="1" applyBorder="1" applyAlignment="1">
      <alignment horizontal="center" vertical="center"/>
    </xf>
    <xf numFmtId="0" fontId="14" fillId="10" borderId="2" xfId="0" applyFont="1" applyFill="1" applyBorder="1" applyAlignment="1">
      <alignment horizontal="center" vertical="center"/>
    </xf>
    <xf numFmtId="0" fontId="2" fillId="0" borderId="0" xfId="0" applyFont="1" applyAlignment="1">
      <alignment horizontal="left" vertical="center"/>
    </xf>
    <xf numFmtId="0" fontId="3" fillId="0" borderId="0" xfId="0" applyFont="1" applyAlignment="1">
      <alignment horizontal="left" vertical="center"/>
    </xf>
    <xf numFmtId="0" fontId="4" fillId="0" borderId="0" xfId="0" applyFont="1" applyAlignment="1">
      <alignment horizontal="left" vertical="center"/>
    </xf>
    <xf numFmtId="0" fontId="5" fillId="0" borderId="0" xfId="0" applyFont="1" applyAlignment="1">
      <alignment horizontal="left" vertical="center"/>
    </xf>
    <xf numFmtId="0" fontId="6" fillId="2" borderId="1" xfId="0" applyFont="1" applyFill="1" applyBorder="1" applyAlignment="1">
      <alignment horizontal="center" vertical="center"/>
    </xf>
    <xf numFmtId="164" fontId="7" fillId="3" borderId="1" xfId="0" applyNumberFormat="1" applyFont="1" applyFill="1" applyBorder="1" applyAlignment="1">
      <alignment horizontal="center" vertical="center"/>
    </xf>
    <xf numFmtId="0" fontId="8" fillId="0" borderId="0" xfId="0" applyFont="1" applyAlignment="1">
      <alignment vertical="center"/>
    </xf>
    <xf numFmtId="0" fontId="9" fillId="5" borderId="1" xfId="0" applyFont="1" applyFill="1" applyBorder="1" applyAlignment="1">
      <alignment horizontal="center" vertical="center" wrapText="1"/>
    </xf>
    <xf numFmtId="0" fontId="10" fillId="6" borderId="1" xfId="0" applyFont="1" applyFill="1" applyBorder="1" applyAlignment="1">
      <alignment horizontal="center" vertical="center" wrapText="1"/>
    </xf>
    <xf numFmtId="0" fontId="11" fillId="3" borderId="1" xfId="0" applyFont="1" applyFill="1" applyBorder="1" applyAlignment="1">
      <alignment horizontal="left" vertical="center"/>
    </xf>
    <xf numFmtId="0" fontId="11" fillId="3" borderId="1" xfId="0" applyFont="1" applyFill="1" applyBorder="1" applyAlignment="1">
      <alignment horizontal="center" vertical="center"/>
    </xf>
    <xf numFmtId="0" fontId="11" fillId="7" borderId="1" xfId="0" applyFont="1" applyFill="1" applyBorder="1" applyAlignment="1">
      <alignment horizontal="center" vertical="center"/>
    </xf>
    <xf numFmtId="165" fontId="12" fillId="8" borderId="1" xfId="0" applyNumberFormat="1" applyFont="1" applyFill="1" applyBorder="1" applyAlignment="1">
      <alignment horizontal="center" vertical="center"/>
    </xf>
    <xf numFmtId="165" fontId="13" fillId="9" borderId="1" xfId="0" applyNumberFormat="1" applyFont="1" applyFill="1" applyBorder="1" applyAlignment="1">
      <alignment horizontal="center" vertical="center"/>
    </xf>
    <xf numFmtId="164" fontId="13" fillId="9" borderId="1" xfId="0" applyNumberFormat="1" applyFont="1" applyFill="1" applyBorder="1" applyAlignment="1">
      <alignment horizontal="center" vertical="center"/>
    </xf>
    <xf numFmtId="166" fontId="13" fillId="9" borderId="1" xfId="0" applyNumberFormat="1" applyFont="1" applyFill="1" applyBorder="1" applyAlignment="1">
      <alignment horizontal="center" vertical="center"/>
    </xf>
    <xf numFmtId="164" fontId="13" fillId="0" borderId="1" xfId="0" applyNumberFormat="1" applyFont="1" applyBorder="1" applyAlignment="1">
      <alignment horizontal="center" vertical="center"/>
    </xf>
    <xf numFmtId="165" fontId="13" fillId="0" borderId="1" xfId="0" applyNumberFormat="1" applyFont="1" applyBorder="1" applyAlignment="1">
      <alignment horizontal="center" vertical="center"/>
    </xf>
    <xf numFmtId="167" fontId="13" fillId="0" borderId="1" xfId="0" applyNumberFormat="1" applyFont="1" applyBorder="1" applyAlignment="1">
      <alignment horizontal="center" vertical="center"/>
    </xf>
    <xf numFmtId="168" fontId="13" fillId="0" borderId="1" xfId="0" applyNumberFormat="1" applyFont="1" applyBorder="1" applyAlignment="1">
      <alignment horizontal="center" vertical="center"/>
    </xf>
    <xf numFmtId="0" fontId="8" fillId="0" borderId="0" xfId="0" applyFont="1" applyAlignment="1">
      <alignment horizontal="left" vertical="center"/>
    </xf>
    <xf numFmtId="0" fontId="9" fillId="4" borderId="0" xfId="0" applyFont="1" applyFill="1" applyAlignment="1">
      <alignment horizontal="left" vertical="center"/>
    </xf>
    <xf numFmtId="0" fontId="0" fillId="4" borderId="0" xfId="0" applyFill="1"/>
    <xf numFmtId="0" fontId="14" fillId="10" borderId="2" xfId="0" applyFont="1" applyFill="1" applyBorder="1" applyAlignment="1">
      <alignment horizontal="left" vertical="center"/>
    </xf>
    <xf numFmtId="0" fontId="3" fillId="0" borderId="0" xfId="0" applyFont="1" applyAlignment="1">
      <alignment horizontal="center" vertical="center"/>
    </xf>
    <xf numFmtId="0" fontId="13" fillId="0" borderId="2" xfId="0" applyFont="1" applyBorder="1" applyAlignment="1">
      <alignment horizontal="left" vertical="center"/>
    </xf>
    <xf numFmtId="164" fontId="11" fillId="3" borderId="2" xfId="0" applyNumberFormat="1" applyFont="1" applyFill="1" applyBorder="1" applyAlignment="1">
      <alignment horizontal="center" vertical="center"/>
    </xf>
    <xf numFmtId="4" fontId="11" fillId="3" borderId="2" xfId="0" applyNumberFormat="1" applyFont="1" applyFill="1" applyBorder="1" applyAlignment="1">
      <alignment horizontal="center" vertical="center"/>
    </xf>
    <xf numFmtId="0" fontId="8" fillId="0" borderId="2" xfId="0" applyFont="1" applyBorder="1" applyAlignment="1">
      <alignment horizontal="left" vertical="center"/>
    </xf>
    <xf numFmtId="0" fontId="15" fillId="10" borderId="2" xfId="0" applyFont="1" applyFill="1" applyBorder="1" applyAlignment="1">
      <alignment horizontal="center" vertical="center"/>
    </xf>
    <xf numFmtId="0" fontId="3" fillId="0" borderId="2" xfId="0" applyFont="1" applyBorder="1" applyAlignment="1">
      <alignment horizontal="left" vertical="center"/>
    </xf>
    <xf numFmtId="0" fontId="16" fillId="0" borderId="2" xfId="0" applyFont="1" applyBorder="1" applyAlignment="1">
      <alignment horizontal="left" vertical="center"/>
    </xf>
    <xf numFmtId="0" fontId="3" fillId="0" borderId="2" xfId="0" applyFont="1" applyBorder="1" applyAlignment="1">
      <alignment horizontal="center" vertical="center"/>
    </xf>
    <xf numFmtId="164" fontId="13" fillId="0" borderId="2" xfId="0" applyNumberFormat="1" applyFont="1" applyBorder="1" applyAlignment="1">
      <alignment horizontal="center" vertical="center"/>
    </xf>
    <xf numFmtId="0" fontId="2" fillId="0" borderId="0" xfId="0" applyFont="1" applyAlignment="1">
      <alignment vertical="center" wrapText="1"/>
    </xf>
    <xf numFmtId="0" fontId="17" fillId="0" borderId="0" xfId="0" applyFont="1" applyAlignment="1">
      <alignment vertical="center" wrapText="1"/>
    </xf>
    <xf numFmtId="0" fontId="18" fillId="4" borderId="0" xfId="0" applyFont="1" applyFill="1" applyAlignment="1">
      <alignment vertical="center" wrapText="1"/>
    </xf>
    <xf numFmtId="0" fontId="13" fillId="0" borderId="0" xfId="0" applyFont="1" applyAlignment="1">
      <alignment vertical="center" wrapText="1"/>
    </xf>
    <xf numFmtId="0" fontId="19" fillId="0" borderId="0" xfId="0" applyFont="1" applyAlignment="1">
      <alignment vertical="center" wrapText="1"/>
    </xf>
    <xf numFmtId="0" fontId="17" fillId="3" borderId="0" xfId="0" applyFont="1" applyFill="1" applyAlignment="1">
      <alignment vertical="center" wrapText="1"/>
    </xf>
    <xf numFmtId="3" fontId="7" fillId="3" borderId="1" xfId="0" applyNumberFormat="1" applyFont="1" applyFill="1" applyBorder="1" applyAlignment="1">
      <alignment horizontal="center" vertical="center"/>
    </xf>
    <xf numFmtId="0" fontId="9" fillId="4" borderId="1" xfId="0" applyFont="1" applyFill="1" applyBorder="1" applyAlignment="1">
      <alignment horizontal="center" vertical="center" wrapText="1"/>
    </xf>
    <xf numFmtId="167" fontId="11" fillId="3" borderId="2" xfId="0" applyNumberFormat="1" applyFont="1" applyFill="1" applyBorder="1" applyAlignment="1">
      <alignment horizontal="center" vertical="center"/>
    </xf>
    <xf numFmtId="0" fontId="16" fillId="0" borderId="0" xfId="0" applyFont="1" applyAlignment="1">
      <alignment horizontal="left" vertical="center"/>
    </xf>
    <xf numFmtId="0" fontId="14" fillId="10" borderId="2" xfId="0" applyFont="1" applyFill="1" applyBorder="1" applyAlignment="1">
      <alignment horizontal="center" vertical="center"/>
    </xf>
  </cellXfs>
  <cellStyles count="2">
    <cellStyle name="Normal" xfId="0" builtinId="0"/>
    <cellStyle name="Normal 10 2" xfId="1" xr:uid="{32970818-A4F2-41DF-9988-86361C3B7A0D}"/>
  </cellStyles>
  <dxfs count="0"/>
  <tableStyles count="0" defaultTableStyle="TableStyleMedium2" defaultPivotStyle="PivotStyleLight16"/>
  <colors>
    <indexedColors>
      <rgbColor rgb="FF000000"/>
      <rgbColor rgb="FFFFFFFF"/>
      <rgbColor rgb="FFC00000"/>
      <rgbColor rgb="FF00FF00"/>
      <rgbColor rgb="FF0000FF"/>
      <rgbColor rgb="FFFFFF00"/>
      <rgbColor rgb="FFFF00FF"/>
      <rgbColor rgb="FF00FFFF"/>
      <rgbColor rgb="FF800000"/>
      <rgbColor rgb="FF006100"/>
      <rgbColor rgb="FF000080"/>
      <rgbColor rgb="FF808000"/>
      <rgbColor rgb="FF800080"/>
      <rgbColor rgb="FF008080"/>
      <rgbColor rgb="FFBFBFBF"/>
      <rgbColor rgb="FF808080"/>
      <rgbColor rgb="FF9999FF"/>
      <rgbColor rgb="FF993366"/>
      <rgbColor rgb="FFFFF2CC"/>
      <rgbColor rgb="FFEDEDED"/>
      <rgbColor rgb="FF660066"/>
      <rgbColor rgb="FFFF8080"/>
      <rgbColor rgb="FF0563C1"/>
      <rgbColor rgb="FFBDD7EE"/>
      <rgbColor rgb="FF000080"/>
      <rgbColor rgb="FFFF00FF"/>
      <rgbColor rgb="FFFFFF00"/>
      <rgbColor rgb="FF00FFFF"/>
      <rgbColor rgb="FF800080"/>
      <rgbColor rgb="FF800000"/>
      <rgbColor rgb="FF008080"/>
      <rgbColor rgb="FF0000FF"/>
      <rgbColor rgb="FF00CCFF"/>
      <rgbColor rgb="FFD9E1F2"/>
      <rgbColor rgb="FFE2EFDA"/>
      <rgbColor rgb="FFFFFF99"/>
      <rgbColor rgb="FFD0D0D0"/>
      <rgbColor rgb="FFFF99CC"/>
      <rgbColor rgb="FFCC99FF"/>
      <rgbColor rgb="FFFCE4D6"/>
      <rgbColor rgb="FF3366FF"/>
      <rgbColor rgb="FF33CCCC"/>
      <rgbColor rgb="FF99CC00"/>
      <rgbColor rgb="FFFFCC00"/>
      <rgbColor rgb="FFFF9900"/>
      <rgbColor rgb="FFFF6600"/>
      <rgbColor rgb="FF595959"/>
      <rgbColor rgb="FF969696"/>
      <rgbColor rgb="FF1F3864"/>
      <rgbColor rgb="FF339966"/>
      <rgbColor rgb="FF003300"/>
      <rgbColor rgb="FF333300"/>
      <rgbColor rgb="FF993300"/>
      <rgbColor rgb="FF993366"/>
      <rgbColor rgb="FF333399"/>
      <rgbColor rgb="FF375623"/>
      <rgbColor rgb="00003366"/>
      <rgbColor rgb="00339966"/>
      <rgbColor rgb="00003300"/>
      <rgbColor rgb="00333300"/>
      <rgbColor rgb="00993300"/>
      <rgbColor rgb="00993366"/>
      <rgbColor rgb="00333399"/>
      <rgbColor rgb="00333333"/>
    </indexed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calcChain" Target="calcChain.xml"/><Relationship Id="rId3" Type="http://schemas.openxmlformats.org/officeDocument/2006/relationships/worksheet" Target="worksheets/sheet3.xml"/><Relationship Id="rId7" Type="http://schemas.openxmlformats.org/officeDocument/2006/relationships/sharedStrings" Target="sharedString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tyles" Target="styles.xml"/><Relationship Id="rId11" Type="http://schemas.openxmlformats.org/officeDocument/2006/relationships/customXml" Target="../customXml/item3.xml"/><Relationship Id="rId5" Type="http://schemas.openxmlformats.org/officeDocument/2006/relationships/theme" Target="theme/theme1.xml"/><Relationship Id="rId10" Type="http://schemas.openxmlformats.org/officeDocument/2006/relationships/customXml" Target="../customXml/item2.xml"/><Relationship Id="rId4" Type="http://schemas.openxmlformats.org/officeDocument/2006/relationships/worksheet" Target="worksheets/sheet4.xml"/><Relationship Id="rId9" Type="http://schemas.openxmlformats.org/officeDocument/2006/relationships/customXml" Target="../customXml/item1.xml"/></Relationships>
</file>

<file path=xl/theme/theme1.xml><?xml version="1.0" encoding="utf-8"?>
<a:theme xmlns:a="http://schemas.openxmlformats.org/drawingml/2006/main" name="Office Theme">
  <a:themeElements>
    <a:clrScheme name="Office">
      <a:dk1>
        <a:srgbClr val="000000"/>
      </a:dk1>
      <a:lt1>
        <a:srgbClr val="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majorFont>
      <a:minorFont>
        <a:latin typeface="Calibri"/>
        <a:ea typeface=""/>
        <a:cs typeface=""/>
      </a:minorFont>
    </a:fontScheme>
    <a:fmtScheme>
      <a:fillStyleLst>
        <a:solidFill>
          <a:schemeClr val="phClr"/>
        </a:solidFill>
        <a:gradFill>
          <a:gsLst>
            <a:gs pos="0">
              <a:schemeClr val="phClr">
                <a:tint val="50000"/>
              </a:schemeClr>
            </a:gs>
            <a:gs pos="35000">
              <a:schemeClr val="phClr">
                <a:tint val="37000"/>
              </a:schemeClr>
            </a:gs>
            <a:gs pos="100000">
              <a:schemeClr val="phClr">
                <a:tint val="15000"/>
              </a:schemeClr>
            </a:gs>
          </a:gsLst>
          <a:lin ang="16200000" scaled="1"/>
          <a:tileRect/>
        </a:gradFill>
        <a:gradFill>
          <a:gsLst>
            <a:gs pos="0">
              <a:schemeClr val="phClr">
                <a:shade val="51000"/>
              </a:schemeClr>
            </a:gs>
            <a:gs pos="80000">
              <a:schemeClr val="phClr">
                <a:shade val="93000"/>
              </a:schemeClr>
            </a:gs>
            <a:gs pos="100000">
              <a:schemeClr val="phClr">
                <a:shade val="94000"/>
              </a:schemeClr>
            </a:gs>
          </a:gsLst>
          <a:lin ang="16200000" scaled="0"/>
          <a:tileRect/>
        </a:gradFill>
      </a:fillStyleLst>
      <a:lnStyleLst>
        <a:ln w="9525" cap="flat" cmpd="sng" algn="ctr">
          <a:prstDash val="solid"/>
        </a:ln>
        <a:ln w="25400" cap="flat" cmpd="sng" algn="ctr">
          <a:prstDash val="solid"/>
        </a:ln>
        <a:ln w="38100" cap="flat" cmpd="sng" algn="ctr">
          <a:prstDash val="solid"/>
        </a:ln>
      </a:lnStyleLst>
      <a:effectStyleLst>
        <a:effectStyle>
          <a:effectLst/>
        </a:effectStyle>
        <a:effectStyle>
          <a:effectLst/>
        </a:effectStyle>
        <a:effectStyle>
          <a:effectLst/>
        </a:effectStyle>
      </a:effectStyleLst>
      <a:bgFillStyleLst>
        <a:solidFill>
          <a:schemeClr val="phClr"/>
        </a:solidFill>
        <a:gradFill>
          <a:gsLst>
            <a:gs pos="0">
              <a:schemeClr val="phClr">
                <a:tint val="40000"/>
              </a:schemeClr>
            </a:gs>
            <a:gs pos="40000">
              <a:schemeClr val="phClr">
                <a:tint val="45000"/>
                <a:shade val="99000"/>
              </a:schemeClr>
            </a:gs>
            <a:gs pos="100000">
              <a:schemeClr val="phClr">
                <a:shade val="20000"/>
              </a:schemeClr>
            </a:gs>
          </a:gsLst>
          <a:path path="circle">
            <a:fillToRect l="50000" t="-80000" r="50000" b="180000"/>
          </a:path>
          <a:tileRect/>
        </a:gradFill>
        <a:gradFill>
          <a:gsLst>
            <a:gs pos="0">
              <a:schemeClr val="phClr">
                <a:tint val="80000"/>
              </a:schemeClr>
            </a:gs>
            <a:gs pos="100000">
              <a:schemeClr val="phClr">
                <a:shade val="30000"/>
              </a:schemeClr>
            </a:gs>
          </a:gsLst>
          <a:path path="circle">
            <a:fillToRect l="50000" t="50000" r="50000" b="50000"/>
          </a:path>
          <a:tileRect/>
        </a:gradFill>
      </a:bgFillStyleLst>
    </a:fmtScheme>
  </a:themeElements>
  <a:objectDefaults/>
  <a:extraClrSchemeLst/>
</a:theme>
</file>

<file path=xl/worksheets/_rels/sheet1.xml.rels><?xml version="1.0" encoding="UTF-8" standalone="yes"?>
<Relationships xmlns="http://schemas.openxmlformats.org/package/2006/relationships"><Relationship Id="rId3" Type="http://schemas.openxmlformats.org/officeDocument/2006/relationships/hyperlink" Target="https://www.plastemart.com/polymer-pricelist/hdpe-reliance-deem-export/2/41" TargetMode="External"/><Relationship Id="rId7" Type="http://schemas.openxmlformats.org/officeDocument/2006/relationships/comments" Target="../comments1.xml"/><Relationship Id="rId2" Type="http://schemas.openxmlformats.org/officeDocument/2006/relationships/hyperlink" Target="https://economictimes.indiatimes.com/commoditysummary/symbol-ALUMINIUM.cms" TargetMode="External"/><Relationship Id="rId1" Type="http://schemas.openxmlformats.org/officeDocument/2006/relationships/hyperlink" Target="https://liveindex.org/mcx-copper/" TargetMode="External"/><Relationship Id="rId6" Type="http://schemas.openxmlformats.org/officeDocument/2006/relationships/vmlDrawing" Target="../drawings/vmlDrawing1.vml"/><Relationship Id="rId5" Type="http://schemas.openxmlformats.org/officeDocument/2006/relationships/hyperlink" Target="https://steel.gov.in/monthly-summery" TargetMode="External"/><Relationship Id="rId4" Type="http://schemas.openxmlformats.org/officeDocument/2006/relationships/hyperlink" Target="https://plastemart.com/polymer-pricelist/pvc-reliance/7/9" TargetMode="External"/></Relationships>
</file>

<file path=xl/worksheets/_rels/sheet2.xml.rels><?xml version="1.0" encoding="UTF-8" standalone="yes"?>
<Relationships xmlns="http://schemas.openxmlformats.org/package/2006/relationships"><Relationship Id="rId3" Type="http://schemas.openxmlformats.org/officeDocument/2006/relationships/hyperlink" Target="https://www.plastemart.com/polymer-pricelist/hdpe-reliance-deem-export/2/41" TargetMode="External"/><Relationship Id="rId7" Type="http://schemas.openxmlformats.org/officeDocument/2006/relationships/comments" Target="../comments2.xml"/><Relationship Id="rId2" Type="http://schemas.openxmlformats.org/officeDocument/2006/relationships/hyperlink" Target="https://economictimes.indiatimes.com/commoditysummary/symbol-ALUMINIUM.cms" TargetMode="External"/><Relationship Id="rId1" Type="http://schemas.openxmlformats.org/officeDocument/2006/relationships/hyperlink" Target="https://liveindex.org/mcx-copper/" TargetMode="External"/><Relationship Id="rId6" Type="http://schemas.openxmlformats.org/officeDocument/2006/relationships/vmlDrawing" Target="../drawings/vmlDrawing2.vml"/><Relationship Id="rId5" Type="http://schemas.openxmlformats.org/officeDocument/2006/relationships/hyperlink" Target="https://steel.gov.in/monthly-summery" TargetMode="External"/><Relationship Id="rId4" Type="http://schemas.openxmlformats.org/officeDocument/2006/relationships/hyperlink" Target="https://plastemart.com/polymer-pricelist/pvc-reliance/7/9" TargetMode="External"/></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B1:BH33"/>
  <sheetViews>
    <sheetView showGridLines="0" tabSelected="1" zoomScale="70" zoomScaleNormal="70" workbookViewId="0">
      <pane xSplit="10" ySplit="8" topLeftCell="K9" activePane="bottomRight" state="frozen"/>
      <selection pane="topRight" activeCell="K1" sqref="K1"/>
      <selection pane="bottomLeft" activeCell="A9" sqref="A9"/>
      <selection pane="bottomRight" activeCell="E16" sqref="E16"/>
    </sheetView>
  </sheetViews>
  <sheetFormatPr defaultColWidth="8.7109375" defaultRowHeight="15" outlineLevelCol="1" x14ac:dyDescent="0.25"/>
  <cols>
    <col min="1" max="1" width="3.5703125" customWidth="1"/>
    <col min="2" max="2" width="22" customWidth="1"/>
    <col min="3" max="3" width="11.42578125" customWidth="1"/>
    <col min="4" max="4" width="13" customWidth="1"/>
    <col min="5" max="5" width="8.85546875" customWidth="1"/>
    <col min="6" max="7" width="11.85546875" customWidth="1"/>
    <col min="8" max="8" width="9" customWidth="1"/>
    <col min="9" max="9" width="21" customWidth="1"/>
    <col min="10" max="10" width="9" customWidth="1"/>
    <col min="11" max="20" width="11.28515625" hidden="1" customWidth="1" outlineLevel="1"/>
    <col min="21" max="21" width="15" customWidth="1" collapsed="1"/>
    <col min="22" max="22" width="15" customWidth="1"/>
    <col min="23" max="23" width="13" customWidth="1"/>
    <col min="24" max="24" width="8" customWidth="1"/>
    <col min="25" max="25" width="16.85546875" customWidth="1"/>
    <col min="26" max="26" width="2" customWidth="1"/>
    <col min="27" max="60" width="10" customWidth="1" outlineLevel="1"/>
  </cols>
  <sheetData>
    <row r="1" spans="2:60" ht="15.75" customHeight="1" x14ac:dyDescent="0.25">
      <c r="B1" s="4" t="s">
        <v>0</v>
      </c>
    </row>
    <row r="2" spans="2:60" ht="15" customHeight="1" x14ac:dyDescent="0.25">
      <c r="B2" s="5"/>
    </row>
    <row r="3" spans="2:60" ht="15" customHeight="1" x14ac:dyDescent="0.25">
      <c r="B3" s="6" t="s">
        <v>1</v>
      </c>
      <c r="C3" s="7" t="s">
        <v>2</v>
      </c>
      <c r="D3" s="7" t="s">
        <v>3</v>
      </c>
      <c r="E3" s="7" t="s">
        <v>4</v>
      </c>
      <c r="F3" s="7" t="s">
        <v>5</v>
      </c>
      <c r="G3" s="7" t="s">
        <v>6</v>
      </c>
      <c r="I3" s="7"/>
      <c r="K3" s="7"/>
    </row>
    <row r="4" spans="2:60" ht="15" customHeight="1" x14ac:dyDescent="0.25">
      <c r="B4" s="6" t="s">
        <v>7</v>
      </c>
      <c r="C4" s="8" t="s">
        <v>8</v>
      </c>
      <c r="D4" s="8" t="s">
        <v>9</v>
      </c>
      <c r="E4" s="8" t="s">
        <v>10</v>
      </c>
      <c r="F4" s="8" t="s">
        <v>11</v>
      </c>
      <c r="G4" s="8" t="s">
        <v>12</v>
      </c>
    </row>
    <row r="5" spans="2:60" ht="15" customHeight="1" x14ac:dyDescent="0.25">
      <c r="B5" s="5" t="s">
        <v>13</v>
      </c>
      <c r="C5" s="9">
        <v>8.94</v>
      </c>
      <c r="D5" s="9">
        <v>2.63</v>
      </c>
      <c r="E5" s="9">
        <v>0.93</v>
      </c>
      <c r="F5" s="9">
        <v>1.35</v>
      </c>
      <c r="G5" s="9">
        <v>7.76</v>
      </c>
      <c r="I5" s="10" t="s">
        <v>14</v>
      </c>
    </row>
    <row r="6" spans="2:60" ht="15" customHeight="1" x14ac:dyDescent="0.25">
      <c r="B6" s="5" t="s">
        <v>15</v>
      </c>
      <c r="C6" s="44">
        <v>1430</v>
      </c>
      <c r="D6" s="44">
        <v>349</v>
      </c>
      <c r="E6" s="44">
        <v>135</v>
      </c>
      <c r="F6" s="44">
        <v>100</v>
      </c>
      <c r="G6" s="44">
        <v>68</v>
      </c>
    </row>
    <row r="7" spans="2:60" ht="15" customHeight="1" x14ac:dyDescent="0.25">
      <c r="K7" s="45" t="s">
        <v>16</v>
      </c>
      <c r="L7" s="45"/>
      <c r="M7" s="45"/>
      <c r="N7" s="45"/>
      <c r="O7" s="45"/>
      <c r="P7" s="45"/>
      <c r="Q7" s="45"/>
      <c r="R7" s="45"/>
      <c r="S7" s="45"/>
      <c r="T7" s="45"/>
    </row>
    <row r="8" spans="2:60" ht="34.5" customHeight="1" x14ac:dyDescent="0.25">
      <c r="B8" s="1" t="s">
        <v>17</v>
      </c>
      <c r="C8" s="1" t="s">
        <v>18</v>
      </c>
      <c r="D8" s="1" t="s">
        <v>19</v>
      </c>
      <c r="E8" s="1" t="s">
        <v>20</v>
      </c>
      <c r="F8" s="1" t="s">
        <v>21</v>
      </c>
      <c r="G8" s="1" t="s">
        <v>22</v>
      </c>
      <c r="H8" s="1" t="s">
        <v>23</v>
      </c>
      <c r="I8" s="1" t="s">
        <v>24</v>
      </c>
      <c r="J8" s="1" t="s">
        <v>25</v>
      </c>
      <c r="K8" s="1" t="s">
        <v>26</v>
      </c>
      <c r="L8" s="1" t="s">
        <v>27</v>
      </c>
      <c r="M8" s="1" t="s">
        <v>28</v>
      </c>
      <c r="N8" s="1" t="s">
        <v>29</v>
      </c>
      <c r="O8" s="1" t="s">
        <v>30</v>
      </c>
      <c r="P8" s="1" t="s">
        <v>31</v>
      </c>
      <c r="Q8" s="1" t="s">
        <v>32</v>
      </c>
      <c r="R8" s="1" t="s">
        <v>33</v>
      </c>
      <c r="S8" s="1" t="s">
        <v>34</v>
      </c>
      <c r="T8" s="1" t="s">
        <v>35</v>
      </c>
      <c r="U8" s="11" t="s">
        <v>224</v>
      </c>
      <c r="V8" s="11" t="s">
        <v>223</v>
      </c>
      <c r="W8" s="11" t="s">
        <v>226</v>
      </c>
      <c r="X8" s="11" t="s">
        <v>38</v>
      </c>
      <c r="Y8" s="11" t="s">
        <v>227</v>
      </c>
      <c r="AA8" s="12" t="s">
        <v>39</v>
      </c>
      <c r="AB8" s="12" t="s">
        <v>40</v>
      </c>
      <c r="AC8" s="12" t="s">
        <v>41</v>
      </c>
      <c r="AD8" s="12" t="s">
        <v>42</v>
      </c>
      <c r="AE8" s="12" t="s">
        <v>43</v>
      </c>
      <c r="AF8" s="12" t="s">
        <v>44</v>
      </c>
      <c r="AG8" s="12" t="s">
        <v>45</v>
      </c>
      <c r="AH8" s="12" t="s">
        <v>46</v>
      </c>
      <c r="AI8" s="12" t="s">
        <v>47</v>
      </c>
      <c r="AJ8" s="12" t="s">
        <v>48</v>
      </c>
      <c r="AK8" s="12" t="s">
        <v>49</v>
      </c>
      <c r="AL8" s="12" t="s">
        <v>50</v>
      </c>
      <c r="AM8" s="12" t="s">
        <v>51</v>
      </c>
      <c r="AN8" s="12" t="s">
        <v>52</v>
      </c>
      <c r="AO8" s="12" t="s">
        <v>53</v>
      </c>
      <c r="AP8" s="12" t="s">
        <v>54</v>
      </c>
      <c r="AQ8" s="12" t="s">
        <v>55</v>
      </c>
      <c r="AR8" s="12" t="s">
        <v>56</v>
      </c>
      <c r="AS8" s="12" t="s">
        <v>57</v>
      </c>
      <c r="AT8" s="12" t="s">
        <v>58</v>
      </c>
      <c r="AU8" s="12" t="s">
        <v>59</v>
      </c>
      <c r="AV8" s="12" t="s">
        <v>60</v>
      </c>
      <c r="AW8" s="12" t="s">
        <v>61</v>
      </c>
      <c r="AX8" s="12" t="s">
        <v>62</v>
      </c>
      <c r="AY8" s="12" t="s">
        <v>63</v>
      </c>
      <c r="AZ8" s="12" t="s">
        <v>64</v>
      </c>
      <c r="BA8" s="12" t="s">
        <v>65</v>
      </c>
      <c r="BB8" s="12" t="s">
        <v>66</v>
      </c>
      <c r="BC8" s="12" t="s">
        <v>67</v>
      </c>
      <c r="BD8" s="12" t="s">
        <v>68</v>
      </c>
      <c r="BE8" s="12" t="s">
        <v>69</v>
      </c>
      <c r="BF8" s="12" t="s">
        <v>70</v>
      </c>
      <c r="BG8" s="12" t="s">
        <v>71</v>
      </c>
      <c r="BH8" s="12" t="s">
        <v>72</v>
      </c>
    </row>
    <row r="9" spans="2:60" ht="15" customHeight="1" x14ac:dyDescent="0.25">
      <c r="B9" s="13" t="s">
        <v>232</v>
      </c>
      <c r="C9" s="14">
        <v>4</v>
      </c>
      <c r="D9" s="14" t="s">
        <v>73</v>
      </c>
      <c r="E9" s="14">
        <v>6</v>
      </c>
      <c r="F9" s="14" t="s">
        <v>8</v>
      </c>
      <c r="G9" s="14" t="s">
        <v>10</v>
      </c>
      <c r="H9" s="14" t="s">
        <v>11</v>
      </c>
      <c r="I9" s="14" t="s">
        <v>75</v>
      </c>
      <c r="J9" s="14" t="s">
        <v>10</v>
      </c>
      <c r="K9" s="15" t="s">
        <v>76</v>
      </c>
      <c r="L9" s="15" t="s">
        <v>76</v>
      </c>
      <c r="M9" s="15" t="s">
        <v>76</v>
      </c>
      <c r="N9" s="15" t="s">
        <v>76</v>
      </c>
      <c r="O9" s="15" t="s">
        <v>76</v>
      </c>
      <c r="P9" s="15" t="s">
        <v>76</v>
      </c>
      <c r="Q9" s="15" t="s">
        <v>76</v>
      </c>
      <c r="R9" s="15" t="s">
        <v>76</v>
      </c>
      <c r="S9" s="15" t="s">
        <v>76</v>
      </c>
      <c r="T9" s="15" t="s">
        <v>76</v>
      </c>
      <c r="U9" s="16">
        <f>IF($C9="","",MIN(BG9,BH9))/1000</f>
        <v>410.73303073874916</v>
      </c>
      <c r="V9" s="16">
        <f>IF($C9="","",MAX(BG9,BH9))/1000</f>
        <v>434.89379725279326</v>
      </c>
      <c r="W9" s="17">
        <f>IF($C9="","",BA9)/1000</f>
        <v>355.44204583160985</v>
      </c>
      <c r="X9" s="18">
        <f t="shared" ref="X9:Y11" si="0">IF($C9="","",AU9)</f>
        <v>17</v>
      </c>
      <c r="Y9" s="19">
        <f t="shared" si="0"/>
        <v>216.7056</v>
      </c>
      <c r="AA9" s="20">
        <f t="shared" ref="AA9:AA33" si="1">IF($C9="","",IF(D9="Sector shaped",360/C9,360))</f>
        <v>360</v>
      </c>
      <c r="AB9" s="20">
        <f t="shared" ref="AB9:AB33" si="2">IF($C9="","",SQRT(E9*(360/AA9)/PI())*2)</f>
        <v>2.763953195770684</v>
      </c>
      <c r="AC9" s="20">
        <f t="shared" ref="AC9:AC33" si="3">IF($C9="","",INDEX($C$5:$G$5,MATCH(F9,$C$4:$G$4,0)))</f>
        <v>8.94</v>
      </c>
      <c r="AD9" s="20">
        <f>IF($C9="","",IF(AND(C9=1,I9="Unarmored"),INDEX('Assumptions &amp; Ref'!$C$70:$C$90,MATCH(E9,'Assumptions &amp; Ref'!$B$70:$B$90,0)),INDEX('Assumptions &amp; Ref'!$D$70:$D$90,MATCH(E9,'Assumptions &amp; Ref'!$B$70:$B$90,0))))</f>
        <v>0.7</v>
      </c>
      <c r="AE9" s="20">
        <f t="shared" ref="AE9:AE33" si="4">IF($C9="","",IF(D9="Circular",AB9+2*AD9,AB9+4*AD9))</f>
        <v>4.1639531957706843</v>
      </c>
      <c r="AF9" s="20">
        <f t="shared" ref="AF9:AF33" si="5">IF($C9="","",INDEX($C$5:$G$5,MATCH(G9,$C$4:$G$4,0)))</f>
        <v>0.93</v>
      </c>
      <c r="AG9" s="20">
        <f>IF($C9="","",IF(C9=3.5,IFERROR(INDEX('Assumptions &amp; Ref'!$G$93:$G$105,MATCH(E9,'Assumptions &amp; Ref'!$F$93:$F$105,0)),0),0))</f>
        <v>0</v>
      </c>
      <c r="AH9" s="20">
        <f t="shared" ref="AH9:AH33" si="6">IF($C9="","",IF(C9=3.5,SQRT(AG9/PI())*2,0))</f>
        <v>0</v>
      </c>
      <c r="AI9" s="20">
        <f>IF($C9="","",IF(C9=3.5,IFERROR(INDEX('Assumptions &amp; Ref'!$D$70:$D$90,MATCH(AG9,'Assumptions &amp; Ref'!$B$70:$B$90,0)),0),0))</f>
        <v>0</v>
      </c>
      <c r="AJ9" s="20">
        <f t="shared" ref="AJ9:AJ33" si="7">IF($C9="","",AH9+2*AI9)</f>
        <v>0</v>
      </c>
      <c r="AK9" s="20">
        <f t="shared" ref="AK9:AK33" si="8">IF($C9="","",ROUND(IF(C9=1,AE9,IF(C9=2,2*AE9,IF(C9=3,2.16*AE9,IF(C9=3.5,2.42*(3*AE9+AJ9)/4,IF(C9=4,2.42*AE9,0))))),1))</f>
        <v>10.1</v>
      </c>
      <c r="AL9" s="20">
        <f>IF($C9="","",IFERROR(INDEX('Assumptions &amp; Ref'!$G$70:$G$74,IF(INDEX('Assumptions &amp; Ref'!$F$70:$F$74,MATCH(AK9,'Assumptions &amp; Ref'!$F$70:$F$74,1))=AK9,MATCH(AK9,'Assumptions &amp; Ref'!$F$70:$F$74,1),MIN(MATCH(AK9,'Assumptions &amp; Ref'!$F$70:$F$74,1)+1,5))),INDEX('Assumptions &amp; Ref'!$G$70:$G$74,1)))</f>
        <v>0.4</v>
      </c>
      <c r="AM9" s="20">
        <f t="shared" ref="AM9:AM33" si="9">IF($C9="","",AK9+2*AL9)</f>
        <v>10.9</v>
      </c>
      <c r="AN9" s="20">
        <f t="shared" ref="AN9:AN33" si="10">IF($C9="","",INDEX($C$5:$G$5,MATCH(H9,$C$4:$G$4,0)))</f>
        <v>1.35</v>
      </c>
      <c r="AO9" s="20">
        <f>IF($C9="","",IF(I9="Unarmored",0,IF(OR(I9="Galvanised steel flat strip",I9="Aluminium Flat Strip"),IFERROR(INDEX('Assumptions &amp; Ref'!$C$93:$C$98,IF(INDEX('Assumptions &amp; Ref'!$B$93:$B$98,MATCH(AM9,'Assumptions &amp; Ref'!$B$93:$B$98,1))=AM9,MATCH(AM9,'Assumptions &amp; Ref'!$B$93:$B$98,1),MIN(MATCH(AM9,'Assumptions &amp; Ref'!$B$93:$B$98,1)+1,6))),INDEX('Assumptions &amp; Ref'!$C$93:$C$98,1)),IFERROR(INDEX('Assumptions &amp; Ref'!$D$93:$D$98,IF(INDEX('Assumptions &amp; Ref'!$B$93:$B$98,MATCH(AM9,'Assumptions &amp; Ref'!$B$93:$B$98,1))=AM9,MATCH(AM9,'Assumptions &amp; Ref'!$B$93:$B$98,1),MIN(MATCH(AM9,'Assumptions &amp; Ref'!$B$93:$B$98,1)+1,6))),INDEX('Assumptions &amp; Ref'!$D$93:$D$98,1)))))</f>
        <v>1.6</v>
      </c>
      <c r="AP9" s="20">
        <f t="shared" ref="AP9:AP33" si="11">IF($C9="","",AM9+2*AO9)</f>
        <v>14.100000000000001</v>
      </c>
      <c r="AQ9" s="20">
        <f t="shared" ref="AQ9:AQ33" si="12">IF($C9="","",IF(I9="Unarmored",0,IF(OR(I9="Aluminium Flat Strip",I9="Aluminium Round Wired"),INDEX($C$5:$G$5,MATCH("Aluminium",$C$4:$G$4,0)),INDEX($C$5:$G$5,MATCH("Steel Wire",$C$4:$G$4,0)))))</f>
        <v>7.76</v>
      </c>
      <c r="AR9" s="20">
        <f>IF($C9="","",IF(I9="Unarmored",IFERROR(INDEX('Assumptions &amp; Ref'!$J$70:$J$81,IF(INDEX('Assumptions &amp; Ref'!$I$70:$I$81,MATCH(AP9,'Assumptions &amp; Ref'!$I$70:$I$81,1))=AP9,MATCH(AP9,'Assumptions &amp; Ref'!$I$70:$I$81,1),MIN(MATCH(AP9,'Assumptions &amp; Ref'!$I$70:$I$81,1)+1,12))),INDEX('Assumptions &amp; Ref'!$J$70:$J$81,1)),IFERROR(INDEX('Assumptions &amp; Ref'!$K$70:$K$81,IF(INDEX('Assumptions &amp; Ref'!$I$70:$I$81,MATCH(AP9,'Assumptions &amp; Ref'!$I$70:$I$81,1))=AP9,MATCH(AP9,'Assumptions &amp; Ref'!$I$70:$I$81,1),MIN(MATCH(AP9,'Assumptions &amp; Ref'!$I$70:$I$81,1)+1,12))),INDEX('Assumptions &amp; Ref'!$K$70:$K$81,1))))</f>
        <v>1.4</v>
      </c>
      <c r="AS9" s="20">
        <f t="shared" ref="AS9:AS33" si="13">IF($C9="","",AP9+2*AR9)</f>
        <v>16.900000000000002</v>
      </c>
      <c r="AT9" s="20">
        <f t="shared" ref="AT9:AT33" si="14">IF($C9="","",INDEX($C$5:$G$5,MATCH(J9,$C$4:$G$4,0)))</f>
        <v>0.93</v>
      </c>
      <c r="AU9" s="20">
        <f t="shared" ref="AU9:AU33" si="15">IF($C9="","",TRUNC(AS9+1))</f>
        <v>17</v>
      </c>
      <c r="AV9" s="20">
        <f>IF($C9="","",((E9*AC9*IF(C9=3.5,3,C9))+(AG9*AC9*IF(C9=3.5,1,0)))*(1+'Assumptions &amp; Ref'!$C$22))</f>
        <v>216.7056</v>
      </c>
      <c r="AW9" s="20">
        <f>IF($C9="","",IF(C9=3.5,(PI()*(AE9^2-AB9^2)/4*AF9*3)+(PI()*(AJ9^2-AH9^2)/4*AF9),PI()*(AE9^2-AB9^2)/4*AF9*C9)*(1+'Assumptions &amp; Ref'!$C$22))</f>
        <v>28.620962962314238</v>
      </c>
      <c r="AX9" s="20">
        <f>IF($C9="","",PI()*(AM9^2-AK9^2)/4*AN9*(1+'Assumptions &amp; Ref'!$C$22))</f>
        <v>17.990958649312685</v>
      </c>
      <c r="AY9" s="20">
        <f>IF($C9="","",PI()*(AS9^2-AP9^2)/4*AT9*(1+'Assumptions &amp; Ref'!$C$22))</f>
        <v>64.034486155516603</v>
      </c>
      <c r="AZ9" s="20">
        <f>IF($C9="","",PI()*(AP9^2-AM9^2)/4*AQ9*(1+'Assumptions &amp; Ref'!$C$22))</f>
        <v>492.4509316355074</v>
      </c>
      <c r="BA9" s="21">
        <f t="shared" ref="BA9:BA33" si="16">IF($C9="","",AV9*INDEX($C$6:$G$6,MATCH(F9,$C$4:$G$4,0))+IF(G9="XLPE",AW9*INDEX($C$6:$G$6,MATCH("XLPE",$C$4:$G$4,0)),0)+IF(G9="PVC",(AW9+AX9+AY9)*INDEX($C$6:$G$6,MATCH("PVC",$C$4:$G$4,0)),(AX9+AY9)*INDEX($C$6:$G$6,MATCH("PVC",$C$4:$G$4,0)))+IF(I9="Unarmored",0,IF(OR(I9="Aluminium Flat Strip",I9="Aluminium Round Wired"),AZ9*INDEX($C$6:$G$6,MATCH("Aluminium",$C$4:$G$4,0)),AZ9*INDEX($C$6:$G$6,MATCH("Steel Wire",$C$4:$G$4,0)))))</f>
        <v>355442.04583160987</v>
      </c>
      <c r="BB9" s="22">
        <f>IF($C9="","",IF(K9="Y",'Assumptions &amp; Ref'!$C$40,0)+IF(L9="Y",'Assumptions &amp; Ref'!$C$41,0)+IF(M9="Y",'Assumptions &amp; Ref'!$C$42,0)+IF(N9="Y",'Assumptions &amp; Ref'!$C$43,0)+IF(O9="Y",'Assumptions &amp; Ref'!$C$44,0)+IF(P9="Y",'Assumptions &amp; Ref'!$C$45,0)+IF(Q9="Y",'Assumptions &amp; Ref'!$C$46,0)+IF(R9="Y",'Assumptions &amp; Ref'!$C$47,0)+IF(S9="Y",'Assumptions &amp; Ref'!$C$48,0)+IF(T9="Y",'Assumptions &amp; Ref'!$C$49,0))</f>
        <v>0</v>
      </c>
      <c r="BC9" s="23">
        <f>IF($C9="","",(IF($F9="Aluminium",'Assumptions &amp; Ref'!$D$17,'Assumptions &amp; Ref'!$C$17)+IF($F9="Aluminium",'Assumptions &amp; Ref'!$D$18,'Assumptions &amp; Ref'!$C$18)+IF($F9="Aluminium",'Assumptions &amp; Ref'!$D$19,'Assumptions &amp; Ref'!$C$19)+IF($F9="Aluminium",'Assumptions &amp; Ref'!$D$20,'Assumptions &amp; Ref'!$C$20))/IF($F9="Aluminium",'Assumptions &amp; Ref'!$D$16,'Assumptions &amp; Ref'!$C$16))</f>
        <v>0.17647058823529413</v>
      </c>
      <c r="BD9" s="23">
        <f>IF($C9="","",(IF($F9="Aluminium",'Assumptions &amp; Ref'!$F$17,'Assumptions &amp; Ref'!$E$17)+IF($F9="Aluminium",'Assumptions &amp; Ref'!$F$18,'Assumptions &amp; Ref'!$E$18)+IF($F9="Aluminium",'Assumptions &amp; Ref'!$F$19,'Assumptions &amp; Ref'!$E$19)+IF($F9="Aluminium",'Assumptions &amp; Ref'!$F$20,'Assumptions &amp; Ref'!$E$20))/IF($F9="Aluminium",'Assumptions &amp; Ref'!$F$16,'Assumptions &amp; Ref'!$E$16))</f>
        <v>0.11111111111111112</v>
      </c>
      <c r="BE9" s="21">
        <f t="shared" ref="BE9:BE33" si="17">IF($C9="","",BA9*(1+BC9))</f>
        <v>418167.11274307047</v>
      </c>
      <c r="BF9" s="21">
        <f t="shared" ref="BF9:BF33" si="18">IF($C9="","",BA9*(1+BD9))</f>
        <v>394935.60647956654</v>
      </c>
      <c r="BG9" s="21">
        <f>IF($C9="","",BE9*(1+BB9)*(1+IF($F9="Aluminium",'Assumptions &amp; Ref'!$D$21,'Assumptions &amp; Ref'!$C$21)))</f>
        <v>434893.79725279327</v>
      </c>
      <c r="BH9" s="21">
        <f>IF($C9="","",BF9*(1+BB9)*(1+IF($F9="Aluminium",'Assumptions &amp; Ref'!$F$21,'Assumptions &amp; Ref'!$E$21)))</f>
        <v>410733.03073874919</v>
      </c>
    </row>
    <row r="10" spans="2:60" ht="15" customHeight="1" x14ac:dyDescent="0.25">
      <c r="B10" s="13" t="s">
        <v>225</v>
      </c>
      <c r="C10" s="14">
        <v>3.5</v>
      </c>
      <c r="D10" s="14" t="s">
        <v>73</v>
      </c>
      <c r="E10" s="14">
        <v>300</v>
      </c>
      <c r="F10" s="14" t="s">
        <v>8</v>
      </c>
      <c r="G10" s="14" t="s">
        <v>10</v>
      </c>
      <c r="H10" s="14" t="s">
        <v>11</v>
      </c>
      <c r="I10" s="14" t="s">
        <v>74</v>
      </c>
      <c r="J10" s="14" t="s">
        <v>10</v>
      </c>
      <c r="K10" s="15" t="s">
        <v>76</v>
      </c>
      <c r="L10" s="15" t="s">
        <v>76</v>
      </c>
      <c r="M10" s="15" t="s">
        <v>76</v>
      </c>
      <c r="N10" s="15" t="s">
        <v>76</v>
      </c>
      <c r="O10" s="15" t="s">
        <v>76</v>
      </c>
      <c r="P10" s="15" t="s">
        <v>76</v>
      </c>
      <c r="Q10" s="15" t="s">
        <v>76</v>
      </c>
      <c r="R10" s="15" t="s">
        <v>76</v>
      </c>
      <c r="S10" s="15" t="s">
        <v>76</v>
      </c>
      <c r="T10" s="15" t="s">
        <v>76</v>
      </c>
      <c r="U10" s="16">
        <f>IF($C10="","",MIN(BG10,BH10))/1000</f>
        <v>15809.642192180241</v>
      </c>
      <c r="V10" s="16">
        <f>IF($C10="","",MAX(BG10,BH10))/1000</f>
        <v>16739.621144661429</v>
      </c>
      <c r="W10" s="17">
        <f>IF($C10="","",BA10)/1000</f>
        <v>13681.421127848284</v>
      </c>
      <c r="X10" s="18">
        <f t="shared" si="0"/>
        <v>60</v>
      </c>
      <c r="Y10" s="19">
        <f t="shared" si="0"/>
        <v>9480.8700000000008</v>
      </c>
      <c r="AA10" s="20">
        <f t="shared" si="1"/>
        <v>360</v>
      </c>
      <c r="AB10" s="20">
        <f t="shared" si="2"/>
        <v>19.544100476116796</v>
      </c>
      <c r="AC10" s="20">
        <f t="shared" si="3"/>
        <v>8.94</v>
      </c>
      <c r="AD10" s="20">
        <f>IF($C10="","",IF(AND(C10=1,I10="Unarmored"),INDEX('Assumptions &amp; Ref'!$C$70:$C$90,MATCH(E10,'Assumptions &amp; Ref'!$B$70:$B$90,0)),INDEX('Assumptions &amp; Ref'!$D$70:$D$90,MATCH(E10,'Assumptions &amp; Ref'!$B$70:$B$90,0))))</f>
        <v>1.8</v>
      </c>
      <c r="AE10" s="20">
        <f t="shared" si="4"/>
        <v>23.144100476116797</v>
      </c>
      <c r="AF10" s="20">
        <f t="shared" si="5"/>
        <v>0.93</v>
      </c>
      <c r="AG10" s="20">
        <f>IF($C10="","",IF(C10=3.5,IFERROR(INDEX('Assumptions &amp; Ref'!$G$93:$G$105,MATCH(E10,'Assumptions &amp; Ref'!$F$93:$F$105,0)),0),0))</f>
        <v>150</v>
      </c>
      <c r="AH10" s="20">
        <f t="shared" si="6"/>
        <v>13.81976597885342</v>
      </c>
      <c r="AI10" s="20">
        <f>IF($C10="","",IF(C10=3.5,IFERROR(INDEX('Assumptions &amp; Ref'!$D$70:$D$90,MATCH(AG10,'Assumptions &amp; Ref'!$B$70:$B$90,0)),0),0))</f>
        <v>1.4</v>
      </c>
      <c r="AJ10" s="20">
        <f t="shared" si="7"/>
        <v>16.619765978853419</v>
      </c>
      <c r="AK10" s="20">
        <f t="shared" si="8"/>
        <v>52.1</v>
      </c>
      <c r="AL10" s="20">
        <f>IF($C10="","",IFERROR(INDEX('Assumptions &amp; Ref'!$G$70:$G$74,IF(INDEX('Assumptions &amp; Ref'!$F$70:$F$74,MATCH(AK10,'Assumptions &amp; Ref'!$F$70:$F$74,1))=AK10,MATCH(AK10,'Assumptions &amp; Ref'!$F$70:$F$74,1),MIN(MATCH(AK10,'Assumptions &amp; Ref'!$F$70:$F$74,1)+1,5))),INDEX('Assumptions &amp; Ref'!$G$70:$G$74,1)))</f>
        <v>0.7</v>
      </c>
      <c r="AM10" s="20">
        <f t="shared" si="9"/>
        <v>53.5</v>
      </c>
      <c r="AN10" s="20">
        <f t="shared" si="10"/>
        <v>1.35</v>
      </c>
      <c r="AO10" s="20">
        <f>IF($C10="","",IF(I10="Unarmored",0,IF(OR(I10="Galvanised steel flat strip",I10="Aluminium Flat Strip"),IFERROR(INDEX('Assumptions &amp; Ref'!$C$93:$C$98,IF(INDEX('Assumptions &amp; Ref'!$B$93:$B$98,MATCH(AM10,'Assumptions &amp; Ref'!$B$93:$B$98,1))=AM10,MATCH(AM10,'Assumptions &amp; Ref'!$B$93:$B$98,1),MIN(MATCH(AM10,'Assumptions &amp; Ref'!$B$93:$B$98,1)+1,6))),INDEX('Assumptions &amp; Ref'!$C$93:$C$98,1)),IFERROR(INDEX('Assumptions &amp; Ref'!$D$93:$D$98,IF(INDEX('Assumptions &amp; Ref'!$B$93:$B$98,MATCH(AM10,'Assumptions &amp; Ref'!$B$93:$B$98,1))=AM10,MATCH(AM10,'Assumptions &amp; Ref'!$B$93:$B$98,1),MIN(MATCH(AM10,'Assumptions &amp; Ref'!$B$93:$B$98,1)+1,6))),INDEX('Assumptions &amp; Ref'!$D$93:$D$98,1)))))</f>
        <v>0</v>
      </c>
      <c r="AP10" s="20">
        <f t="shared" si="11"/>
        <v>53.5</v>
      </c>
      <c r="AQ10" s="20">
        <f t="shared" si="12"/>
        <v>0</v>
      </c>
      <c r="AR10" s="20">
        <f>IF($C10="","",IF(I10="Unarmored",IFERROR(INDEX('Assumptions &amp; Ref'!$J$70:$J$81,IF(INDEX('Assumptions &amp; Ref'!$I$70:$I$81,MATCH(AP10,'Assumptions &amp; Ref'!$I$70:$I$81,1))=AP10,MATCH(AP10,'Assumptions &amp; Ref'!$I$70:$I$81,1),MIN(MATCH(AP10,'Assumptions &amp; Ref'!$I$70:$I$81,1)+1,12))),INDEX('Assumptions &amp; Ref'!$J$70:$J$81,1)),IFERROR(INDEX('Assumptions &amp; Ref'!$K$70:$K$81,IF(INDEX('Assumptions &amp; Ref'!$I$70:$I$81,MATCH(AP10,'Assumptions &amp; Ref'!$I$70:$I$81,1))=AP10,MATCH(AP10,'Assumptions &amp; Ref'!$I$70:$I$81,1),MIN(MATCH(AP10,'Assumptions &amp; Ref'!$I$70:$I$81,1)+1,12))),INDEX('Assumptions &amp; Ref'!$K$70:$K$81,1))))</f>
        <v>3.2</v>
      </c>
      <c r="AS10" s="20">
        <f t="shared" si="13"/>
        <v>59.9</v>
      </c>
      <c r="AT10" s="20">
        <f t="shared" si="14"/>
        <v>0.93</v>
      </c>
      <c r="AU10" s="20">
        <f t="shared" si="15"/>
        <v>60</v>
      </c>
      <c r="AV10" s="20">
        <f>IF($C10="","",((E10*AC10*IF(C10=3.5,3,C10))+(AG10*AC10*IF(C10=3.5,1,0)))*(1+'Assumptions &amp; Ref'!$C$22))</f>
        <v>9480.8700000000008</v>
      </c>
      <c r="AW10" s="20">
        <f>IF($C10="","",IF(C10=3.5,(PI()*(AE10^2-AB10^2)/4*AF10*3)+(PI()*(AJ10^2-AH10^2)/4*AF10),PI()*(AE10^2-AB10^2)/4*AF10*C10)*(1+'Assumptions &amp; Ref'!$C$22))</f>
        <v>402.99178738173043</v>
      </c>
      <c r="AX10" s="20">
        <f>IF($C10="","",PI()*(AM10^2-AK10^2)/4*AN10*(1+'Assumptions &amp; Ref'!$C$22))</f>
        <v>158.32043611395116</v>
      </c>
      <c r="AY10" s="20">
        <f>IF($C10="","",PI()*(AS10^2-AP10^2)/4*AT10*(1+'Assumptions &amp; Ref'!$C$22))</f>
        <v>535.41092940354474</v>
      </c>
      <c r="AZ10" s="20">
        <f>IF($C10="","",PI()*(AP10^2-AM10^2)/4*AQ10*(1+'Assumptions &amp; Ref'!$C$22))</f>
        <v>0</v>
      </c>
      <c r="BA10" s="21">
        <f t="shared" si="16"/>
        <v>13681421.127848284</v>
      </c>
      <c r="BB10" s="22">
        <f>IF($C10="","",IF(K10="Y",'Assumptions &amp; Ref'!$C$40,0)+IF(L10="Y",'Assumptions &amp; Ref'!$C$41,0)+IF(M10="Y",'Assumptions &amp; Ref'!$C$42,0)+IF(N10="Y",'Assumptions &amp; Ref'!$C$43,0)+IF(O10="Y",'Assumptions &amp; Ref'!$C$44,0)+IF(P10="Y",'Assumptions &amp; Ref'!$C$45,0)+IF(Q10="Y",'Assumptions &amp; Ref'!$C$46,0)+IF(R10="Y",'Assumptions &amp; Ref'!$C$47,0)+IF(S10="Y",'Assumptions &amp; Ref'!$C$48,0)+IF(T10="Y",'Assumptions &amp; Ref'!$C$49,0))</f>
        <v>0</v>
      </c>
      <c r="BC10" s="23">
        <f>IF($C10="","",(IF($F10="Aluminium",'Assumptions &amp; Ref'!$D$17,'Assumptions &amp; Ref'!$C$17)+IF($F10="Aluminium",'Assumptions &amp; Ref'!$D$18,'Assumptions &amp; Ref'!$C$18)+IF($F10="Aluminium",'Assumptions &amp; Ref'!$D$19,'Assumptions &amp; Ref'!$C$19)+IF($F10="Aluminium",'Assumptions &amp; Ref'!$D$20,'Assumptions &amp; Ref'!$C$20))/IF($F10="Aluminium",'Assumptions &amp; Ref'!$D$16,'Assumptions &amp; Ref'!$C$16))</f>
        <v>0.17647058823529413</v>
      </c>
      <c r="BD10" s="23">
        <f>IF($C10="","",(IF($F10="Aluminium",'Assumptions &amp; Ref'!$F$17,'Assumptions &amp; Ref'!$E$17)+IF($F10="Aluminium",'Assumptions &amp; Ref'!$F$18,'Assumptions &amp; Ref'!$E$18)+IF($F10="Aluminium",'Assumptions &amp; Ref'!$F$19,'Assumptions &amp; Ref'!$E$19)+IF($F10="Aluminium",'Assumptions &amp; Ref'!$F$20,'Assumptions &amp; Ref'!$E$20))/IF($F10="Aluminium",'Assumptions &amp; Ref'!$F$16,'Assumptions &amp; Ref'!$E$16))</f>
        <v>0.11111111111111112</v>
      </c>
      <c r="BE10" s="21">
        <f t="shared" si="17"/>
        <v>16095789.562174452</v>
      </c>
      <c r="BF10" s="21">
        <f t="shared" si="18"/>
        <v>15201579.030942539</v>
      </c>
      <c r="BG10" s="21">
        <f>IF($C10="","",BE10*(1+BB10)*(1+IF($F10="Aluminium",'Assumptions &amp; Ref'!$D$21,'Assumptions &amp; Ref'!$C$21)))</f>
        <v>16739621.14466143</v>
      </c>
      <c r="BH10" s="21">
        <f>IF($C10="","",BF10*(1+BB10)*(1+IF($F10="Aluminium",'Assumptions &amp; Ref'!$F$21,'Assumptions &amp; Ref'!$E$21)))</f>
        <v>15809642.192180241</v>
      </c>
    </row>
    <row r="11" spans="2:60" ht="15" customHeight="1" x14ac:dyDescent="0.25">
      <c r="B11" s="13" t="s">
        <v>228</v>
      </c>
      <c r="C11" s="14">
        <v>3.5</v>
      </c>
      <c r="D11" s="14" t="s">
        <v>73</v>
      </c>
      <c r="E11" s="14">
        <v>240</v>
      </c>
      <c r="F11" s="14" t="s">
        <v>8</v>
      </c>
      <c r="G11" s="14" t="s">
        <v>10</v>
      </c>
      <c r="H11" s="14" t="s">
        <v>11</v>
      </c>
      <c r="I11" s="14" t="s">
        <v>74</v>
      </c>
      <c r="J11" s="14" t="s">
        <v>10</v>
      </c>
      <c r="K11" s="15" t="s">
        <v>76</v>
      </c>
      <c r="L11" s="15" t="s">
        <v>76</v>
      </c>
      <c r="M11" s="15" t="s">
        <v>76</v>
      </c>
      <c r="N11" s="15" t="s">
        <v>76</v>
      </c>
      <c r="O11" s="15" t="s">
        <v>76</v>
      </c>
      <c r="P11" s="15" t="s">
        <v>76</v>
      </c>
      <c r="Q11" s="15" t="s">
        <v>76</v>
      </c>
      <c r="R11" s="15" t="s">
        <v>76</v>
      </c>
      <c r="S11" s="15" t="s">
        <v>76</v>
      </c>
      <c r="T11" s="15" t="s">
        <v>76</v>
      </c>
      <c r="U11" s="16">
        <f>IF($C11="","",MIN(BG11,BH11))/1000</f>
        <v>12654.646082706875</v>
      </c>
      <c r="V11" s="16">
        <f>IF($C11="","",MAX(BG11,BH11))/1000</f>
        <v>13399.037028748453</v>
      </c>
      <c r="W11" s="17">
        <f>IF($C11="","",BA11)/1000</f>
        <v>10951.136033111716</v>
      </c>
      <c r="X11" s="18">
        <f t="shared" si="0"/>
        <v>55</v>
      </c>
      <c r="Y11" s="19">
        <f t="shared" si="0"/>
        <v>7584.6959999999999</v>
      </c>
      <c r="AA11" s="20">
        <f t="shared" si="1"/>
        <v>360</v>
      </c>
      <c r="AB11" s="20">
        <f t="shared" si="2"/>
        <v>17.480774889473267</v>
      </c>
      <c r="AC11" s="20">
        <f t="shared" si="3"/>
        <v>8.94</v>
      </c>
      <c r="AD11" s="20">
        <f>IF($C11="","",IF(AND(C11=1,I11="Unarmored"),INDEX('Assumptions &amp; Ref'!$C$70:$C$90,MATCH(E11,'Assumptions &amp; Ref'!$B$70:$B$90,0)),INDEX('Assumptions &amp; Ref'!$D$70:$D$90,MATCH(E11,'Assumptions &amp; Ref'!$B$70:$B$90,0))))</f>
        <v>1.7</v>
      </c>
      <c r="AE11" s="20">
        <f t="shared" si="4"/>
        <v>20.880774889473265</v>
      </c>
      <c r="AF11" s="20">
        <f t="shared" si="5"/>
        <v>0.93</v>
      </c>
      <c r="AG11" s="20">
        <f>IF($C11="","",IF(C11=3.5,IFERROR(INDEX('Assumptions &amp; Ref'!$G$93:$G$105,MATCH(E11,'Assumptions &amp; Ref'!$F$93:$F$105,0)),0),0))</f>
        <v>120</v>
      </c>
      <c r="AH11" s="20">
        <f t="shared" si="6"/>
        <v>12.360774464742066</v>
      </c>
      <c r="AI11" s="20">
        <f>IF($C11="","",IF(C11=3.5,IFERROR(INDEX('Assumptions &amp; Ref'!$D$70:$D$90,MATCH(AG11,'Assumptions &amp; Ref'!$B$70:$B$90,0)),0),0))</f>
        <v>1.2</v>
      </c>
      <c r="AJ11" s="20">
        <f t="shared" si="7"/>
        <v>14.760774464742067</v>
      </c>
      <c r="AK11" s="20">
        <f t="shared" si="8"/>
        <v>46.8</v>
      </c>
      <c r="AL11" s="20">
        <f>IF($C11="","",IFERROR(INDEX('Assumptions &amp; Ref'!$G$70:$G$74,IF(INDEX('Assumptions &amp; Ref'!$F$70:$F$74,MATCH(AK11,'Assumptions &amp; Ref'!$F$70:$F$74,1))=AK11,MATCH(AK11,'Assumptions &amp; Ref'!$F$70:$F$74,1),MIN(MATCH(AK11,'Assumptions &amp; Ref'!$F$70:$F$74,1)+1,5))),INDEX('Assumptions &amp; Ref'!$G$70:$G$74,1)))</f>
        <v>0.7</v>
      </c>
      <c r="AM11" s="20">
        <f t="shared" si="9"/>
        <v>48.199999999999996</v>
      </c>
      <c r="AN11" s="20">
        <f t="shared" si="10"/>
        <v>1.35</v>
      </c>
      <c r="AO11" s="20">
        <f>IF($C11="","",IF(I11="Unarmored",0,IF(OR(I11="Galvanised steel flat strip",I11="Aluminium Flat Strip"),IFERROR(INDEX('Assumptions &amp; Ref'!$C$93:$C$98,IF(INDEX('Assumptions &amp; Ref'!$B$93:$B$98,MATCH(AM11,'Assumptions &amp; Ref'!$B$93:$B$98,1))=AM11,MATCH(AM11,'Assumptions &amp; Ref'!$B$93:$B$98,1),MIN(MATCH(AM11,'Assumptions &amp; Ref'!$B$93:$B$98,1)+1,6))),INDEX('Assumptions &amp; Ref'!$C$93:$C$98,1)),IFERROR(INDEX('Assumptions &amp; Ref'!$D$93:$D$98,IF(INDEX('Assumptions &amp; Ref'!$B$93:$B$98,MATCH(AM11,'Assumptions &amp; Ref'!$B$93:$B$98,1))=AM11,MATCH(AM11,'Assumptions &amp; Ref'!$B$93:$B$98,1),MIN(MATCH(AM11,'Assumptions &amp; Ref'!$B$93:$B$98,1)+1,6))),INDEX('Assumptions &amp; Ref'!$D$93:$D$98,1)))))</f>
        <v>0</v>
      </c>
      <c r="AP11" s="20">
        <f t="shared" si="11"/>
        <v>48.199999999999996</v>
      </c>
      <c r="AQ11" s="20">
        <f t="shared" si="12"/>
        <v>0</v>
      </c>
      <c r="AR11" s="20">
        <f>IF($C11="","",IF(I11="Unarmored",IFERROR(INDEX('Assumptions &amp; Ref'!$J$70:$J$81,IF(INDEX('Assumptions &amp; Ref'!$I$70:$I$81,MATCH(AP11,'Assumptions &amp; Ref'!$I$70:$I$81,1))=AP11,MATCH(AP11,'Assumptions &amp; Ref'!$I$70:$I$81,1),MIN(MATCH(AP11,'Assumptions &amp; Ref'!$I$70:$I$81,1)+1,12))),INDEX('Assumptions &amp; Ref'!$J$70:$J$81,1)),IFERROR(INDEX('Assumptions &amp; Ref'!$K$70:$K$81,IF(INDEX('Assumptions &amp; Ref'!$I$70:$I$81,MATCH(AP11,'Assumptions &amp; Ref'!$I$70:$I$81,1))=AP11,MATCH(AP11,'Assumptions &amp; Ref'!$I$70:$I$81,1),MIN(MATCH(AP11,'Assumptions &amp; Ref'!$I$70:$I$81,1)+1,12))),INDEX('Assumptions &amp; Ref'!$K$70:$K$81,1))))</f>
        <v>3</v>
      </c>
      <c r="AS11" s="20">
        <f t="shared" si="13"/>
        <v>54.199999999999996</v>
      </c>
      <c r="AT11" s="20">
        <f t="shared" si="14"/>
        <v>0.93</v>
      </c>
      <c r="AU11" s="20">
        <f t="shared" si="15"/>
        <v>55</v>
      </c>
      <c r="AV11" s="20">
        <f>IF($C11="","",((E11*AC11*IF(C11=3.5,3,C11))+(AG11*AC11*IF(C11=3.5,1,0)))*(1+'Assumptions &amp; Ref'!$C$22))</f>
        <v>7584.6959999999999</v>
      </c>
      <c r="AW11" s="20">
        <f>IF($C11="","",IF(C11=3.5,(PI()*(AE11^2-AB11^2)/4*AF11*3)+(PI()*(AJ11^2-AH11^2)/4*AF11),PI()*(AE11^2-AB11^2)/4*AF11*C11)*(1+'Assumptions &amp; Ref'!$C$22))</f>
        <v>336.68235468369625</v>
      </c>
      <c r="AX11" s="20">
        <f>IF($C11="","",PI()*(AM11^2-AK11^2)/4*AN11*(1+'Assumptions &amp; Ref'!$C$22))</f>
        <v>142.42842264039197</v>
      </c>
      <c r="AY11" s="20">
        <f>IF($C11="","",PI()*(AS11^2-AP11^2)/4*AT11*(1+'Assumptions &amp; Ref'!$C$22))</f>
        <v>453.25792965379446</v>
      </c>
      <c r="AZ11" s="20">
        <f>IF($C11="","",PI()*(AP11^2-AM11^2)/4*AQ11*(1+'Assumptions &amp; Ref'!$C$22))</f>
        <v>0</v>
      </c>
      <c r="BA11" s="21">
        <f t="shared" si="16"/>
        <v>10951136.033111716</v>
      </c>
      <c r="BB11" s="22">
        <f>IF($C11="","",IF(K11="Y",'Assumptions &amp; Ref'!$C$40,0)+IF(L11="Y",'Assumptions &amp; Ref'!$C$41,0)+IF(M11="Y",'Assumptions &amp; Ref'!$C$42,0)+IF(N11="Y",'Assumptions &amp; Ref'!$C$43,0)+IF(O11="Y",'Assumptions &amp; Ref'!$C$44,0)+IF(P11="Y",'Assumptions &amp; Ref'!$C$45,0)+IF(Q11="Y",'Assumptions &amp; Ref'!$C$46,0)+IF(R11="Y",'Assumptions &amp; Ref'!$C$47,0)+IF(S11="Y",'Assumptions &amp; Ref'!$C$48,0)+IF(T11="Y",'Assumptions &amp; Ref'!$C$49,0))</f>
        <v>0</v>
      </c>
      <c r="BC11" s="23">
        <f>IF($C11="","",(IF($F11="Aluminium",'Assumptions &amp; Ref'!$D$17,'Assumptions &amp; Ref'!$C$17)+IF($F11="Aluminium",'Assumptions &amp; Ref'!$D$18,'Assumptions &amp; Ref'!$C$18)+IF($F11="Aluminium",'Assumptions &amp; Ref'!$D$19,'Assumptions &amp; Ref'!$C$19)+IF($F11="Aluminium",'Assumptions &amp; Ref'!$D$20,'Assumptions &amp; Ref'!$C$20))/IF($F11="Aluminium",'Assumptions &amp; Ref'!$D$16,'Assumptions &amp; Ref'!$C$16))</f>
        <v>0.17647058823529413</v>
      </c>
      <c r="BD11" s="23">
        <f>IF($C11="","",(IF($F11="Aluminium",'Assumptions &amp; Ref'!$F$17,'Assumptions &amp; Ref'!$E$17)+IF($F11="Aluminium",'Assumptions &amp; Ref'!$F$18,'Assumptions &amp; Ref'!$E$18)+IF($F11="Aluminium",'Assumptions &amp; Ref'!$F$19,'Assumptions &amp; Ref'!$E$19)+IF($F11="Aluminium",'Assumptions &amp; Ref'!$F$20,'Assumptions &amp; Ref'!$E$20))/IF($F11="Aluminium",'Assumptions &amp; Ref'!$F$16,'Assumptions &amp; Ref'!$E$16))</f>
        <v>0.11111111111111112</v>
      </c>
      <c r="BE11" s="21">
        <f t="shared" si="17"/>
        <v>12883689.450719666</v>
      </c>
      <c r="BF11" s="21">
        <f t="shared" si="18"/>
        <v>12167928.925679686</v>
      </c>
      <c r="BG11" s="21">
        <f>IF($C11="","",BE11*(1+BB11)*(1+IF($F11="Aluminium",'Assumptions &amp; Ref'!$D$21,'Assumptions &amp; Ref'!$C$21)))</f>
        <v>13399037.028748453</v>
      </c>
      <c r="BH11" s="21">
        <f>IF($C11="","",BF11*(1+BB11)*(1+IF($F11="Aluminium",'Assumptions &amp; Ref'!$F$21,'Assumptions &amp; Ref'!$E$21)))</f>
        <v>12654646.082706874</v>
      </c>
    </row>
    <row r="12" spans="2:60" ht="15" customHeight="1" x14ac:dyDescent="0.25">
      <c r="B12" s="13" t="s">
        <v>229</v>
      </c>
      <c r="C12" s="14">
        <v>3.5</v>
      </c>
      <c r="D12" s="14" t="s">
        <v>73</v>
      </c>
      <c r="E12" s="14">
        <v>185</v>
      </c>
      <c r="F12" s="14" t="s">
        <v>8</v>
      </c>
      <c r="G12" s="14" t="s">
        <v>10</v>
      </c>
      <c r="H12" s="14" t="s">
        <v>11</v>
      </c>
      <c r="I12" s="14" t="s">
        <v>74</v>
      </c>
      <c r="J12" s="14" t="s">
        <v>10</v>
      </c>
      <c r="K12" s="15" t="s">
        <v>76</v>
      </c>
      <c r="L12" s="15" t="s">
        <v>76</v>
      </c>
      <c r="M12" s="15" t="s">
        <v>76</v>
      </c>
      <c r="N12" s="15" t="s">
        <v>76</v>
      </c>
      <c r="O12" s="15" t="s">
        <v>76</v>
      </c>
      <c r="P12" s="15" t="s">
        <v>76</v>
      </c>
      <c r="Q12" s="15" t="s">
        <v>76</v>
      </c>
      <c r="R12" s="15" t="s">
        <v>76</v>
      </c>
      <c r="S12" s="15" t="s">
        <v>76</v>
      </c>
      <c r="T12" s="15" t="s">
        <v>76</v>
      </c>
      <c r="U12" s="16">
        <f>IF($C12="","",MIN(BG12,BH12))/1000</f>
        <v>9798.023441214129</v>
      </c>
      <c r="V12" s="16">
        <f>IF($C12="","",MAX(BG12,BH12))/1000</f>
        <v>10374.377761285547</v>
      </c>
      <c r="W12" s="17">
        <f>IF($C12="","",BA12)/1000</f>
        <v>8479.0587472045336</v>
      </c>
      <c r="X12" s="18">
        <f t="shared" ref="X12" si="19">IF($C12="","",AU12)</f>
        <v>49</v>
      </c>
      <c r="Y12" s="19">
        <f t="shared" ref="Y12" si="20">IF($C12="","",AV12)</f>
        <v>5869.11</v>
      </c>
      <c r="AA12" s="20">
        <f t="shared" ref="AA12" si="21">IF($C12="","",IF(D12="Sector shaped",360/C12,360))</f>
        <v>360</v>
      </c>
      <c r="AB12" s="20">
        <f t="shared" ref="AB12" si="22">IF($C12="","",SQRT(E12*(360/AA12)/PI())*2)</f>
        <v>15.347615963921077</v>
      </c>
      <c r="AC12" s="20">
        <f t="shared" ref="AC12" si="23">IF($C12="","",INDEX($C$5:$G$5,MATCH(F12,$C$4:$G$4,0)))</f>
        <v>8.94</v>
      </c>
      <c r="AD12" s="20">
        <f>IF($C12="","",IF(AND(C12=1,I12="Unarmored"),INDEX('Assumptions &amp; Ref'!$C$70:$C$90,MATCH(E12,'Assumptions &amp; Ref'!$B$70:$B$90,0)),INDEX('Assumptions &amp; Ref'!$D$70:$D$90,MATCH(E12,'Assumptions &amp; Ref'!$B$70:$B$90,0))))</f>
        <v>1.6</v>
      </c>
      <c r="AE12" s="20">
        <f t="shared" ref="AE12" si="24">IF($C12="","",IF(D12="Circular",AB12+2*AD12,AB12+4*AD12))</f>
        <v>18.547615963921078</v>
      </c>
      <c r="AF12" s="20">
        <f t="shared" ref="AF12" si="25">IF($C12="","",INDEX($C$5:$G$5,MATCH(G12,$C$4:$G$4,0)))</f>
        <v>0.93</v>
      </c>
      <c r="AG12" s="20">
        <f>IF($C12="","",IF(C12=3.5,IFERROR(INDEX('Assumptions &amp; Ref'!$G$93:$G$105,MATCH(E12,'Assumptions &amp; Ref'!$F$93:$F$105,0)),0),0))</f>
        <v>95</v>
      </c>
      <c r="AH12" s="20">
        <f t="shared" ref="AH12" si="26">IF($C12="","",IF(C12=3.5,SQRT(AG12/PI())*2,0))</f>
        <v>10.998079684646791</v>
      </c>
      <c r="AI12" s="20">
        <f>IF($C12="","",IF(C12=3.5,IFERROR(INDEX('Assumptions &amp; Ref'!$D$70:$D$90,MATCH(AG12,'Assumptions &amp; Ref'!$B$70:$B$90,0)),0),0))</f>
        <v>1.1000000000000001</v>
      </c>
      <c r="AJ12" s="20">
        <f t="shared" ref="AJ12" si="27">IF($C12="","",AH12+2*AI12)</f>
        <v>13.198079684646792</v>
      </c>
      <c r="AK12" s="20">
        <f t="shared" ref="AK12" si="28">IF($C12="","",ROUND(IF(C12=1,AE12,IF(C12=2,2*AE12,IF(C12=3,2.16*AE12,IF(C12=3.5,2.42*(3*AE12+AJ12)/4,IF(C12=4,2.42*AE12,0))))),1))</f>
        <v>41.6</v>
      </c>
      <c r="AL12" s="20">
        <f>IF($C12="","",IFERROR(INDEX('Assumptions &amp; Ref'!$G$70:$G$74,IF(INDEX('Assumptions &amp; Ref'!$F$70:$F$74,MATCH(AK12,'Assumptions &amp; Ref'!$F$70:$F$74,1))=AK12,MATCH(AK12,'Assumptions &amp; Ref'!$F$70:$F$74,1),MIN(MATCH(AK12,'Assumptions &amp; Ref'!$F$70:$F$74,1)+1,5))),INDEX('Assumptions &amp; Ref'!$G$70:$G$74,1)))</f>
        <v>0.6</v>
      </c>
      <c r="AM12" s="20">
        <f t="shared" ref="AM12" si="29">IF($C12="","",AK12+2*AL12)</f>
        <v>42.800000000000004</v>
      </c>
      <c r="AN12" s="20">
        <f t="shared" ref="AN12" si="30">IF($C12="","",INDEX($C$5:$G$5,MATCH(H12,$C$4:$G$4,0)))</f>
        <v>1.35</v>
      </c>
      <c r="AO12" s="20">
        <f>IF($C12="","",IF(I12="Unarmored",0,IF(OR(I12="Galvanised steel flat strip",I12="Aluminium Flat Strip"),IFERROR(INDEX('Assumptions &amp; Ref'!$C$93:$C$98,IF(INDEX('Assumptions &amp; Ref'!$B$93:$B$98,MATCH(AM12,'Assumptions &amp; Ref'!$B$93:$B$98,1))=AM12,MATCH(AM12,'Assumptions &amp; Ref'!$B$93:$B$98,1),MIN(MATCH(AM12,'Assumptions &amp; Ref'!$B$93:$B$98,1)+1,6))),INDEX('Assumptions &amp; Ref'!$C$93:$C$98,1)),IFERROR(INDEX('Assumptions &amp; Ref'!$D$93:$D$98,IF(INDEX('Assumptions &amp; Ref'!$B$93:$B$98,MATCH(AM12,'Assumptions &amp; Ref'!$B$93:$B$98,1))=AM12,MATCH(AM12,'Assumptions &amp; Ref'!$B$93:$B$98,1),MIN(MATCH(AM12,'Assumptions &amp; Ref'!$B$93:$B$98,1)+1,6))),INDEX('Assumptions &amp; Ref'!$D$93:$D$98,1)))))</f>
        <v>0</v>
      </c>
      <c r="AP12" s="20">
        <f t="shared" ref="AP12" si="31">IF($C12="","",AM12+2*AO12)</f>
        <v>42.800000000000004</v>
      </c>
      <c r="AQ12" s="20">
        <f t="shared" ref="AQ12" si="32">IF($C12="","",IF(I12="Unarmored",0,IF(OR(I12="Aluminium Flat Strip",I12="Aluminium Round Wired"),INDEX($C$5:$G$5,MATCH("Aluminium",$C$4:$G$4,0)),INDEX($C$5:$G$5,MATCH("Steel Wire",$C$4:$G$4,0)))))</f>
        <v>0</v>
      </c>
      <c r="AR12" s="20">
        <f>IF($C12="","",IF(I12="Unarmored",IFERROR(INDEX('Assumptions &amp; Ref'!$J$70:$J$81,IF(INDEX('Assumptions &amp; Ref'!$I$70:$I$81,MATCH(AP12,'Assumptions &amp; Ref'!$I$70:$I$81,1))=AP12,MATCH(AP12,'Assumptions &amp; Ref'!$I$70:$I$81,1),MIN(MATCH(AP12,'Assumptions &amp; Ref'!$I$70:$I$81,1)+1,12))),INDEX('Assumptions &amp; Ref'!$J$70:$J$81,1)),IFERROR(INDEX('Assumptions &amp; Ref'!$K$70:$K$81,IF(INDEX('Assumptions &amp; Ref'!$I$70:$I$81,MATCH(AP12,'Assumptions &amp; Ref'!$I$70:$I$81,1))=AP12,MATCH(AP12,'Assumptions &amp; Ref'!$I$70:$I$81,1),MIN(MATCH(AP12,'Assumptions &amp; Ref'!$I$70:$I$81,1)+1,12))),INDEX('Assumptions &amp; Ref'!$K$70:$K$81,1))))</f>
        <v>2.8</v>
      </c>
      <c r="AS12" s="20">
        <f t="shared" ref="AS12" si="33">IF($C12="","",AP12+2*AR12)</f>
        <v>48.400000000000006</v>
      </c>
      <c r="AT12" s="20">
        <f t="shared" ref="AT12" si="34">IF($C12="","",INDEX($C$5:$G$5,MATCH(J12,$C$4:$G$4,0)))</f>
        <v>0.93</v>
      </c>
      <c r="AU12" s="20">
        <f t="shared" ref="AU12" si="35">IF($C12="","",TRUNC(AS12+1))</f>
        <v>49</v>
      </c>
      <c r="AV12" s="20">
        <f>IF($C12="","",((E12*AC12*IF(C12=3.5,3,C12))+(AG12*AC12*IF(C12=3.5,1,0)))*(1+'Assumptions &amp; Ref'!$C$22))</f>
        <v>5869.11</v>
      </c>
      <c r="AW12" s="20">
        <f>IF($C12="","",IF(C12=3.5,(PI()*(AE12^2-AB12^2)/4*AF12*3)+(PI()*(AJ12^2-AH12^2)/4*AF12),PI()*(AE12^2-AB12^2)/4*AF12*C12)*(1+'Assumptions &amp; Ref'!$C$22))</f>
        <v>279.32151017390663</v>
      </c>
      <c r="AX12" s="20">
        <f>IF($C12="","",PI()*(AM12^2-AK12^2)/4*AN12*(1+'Assumptions &amp; Ref'!$C$22))</f>
        <v>108.45977928585658</v>
      </c>
      <c r="AY12" s="20">
        <f>IF($C12="","",PI()*(AS12^2-AP12^2)/4*AT12*(1+'Assumptions &amp; Ref'!$C$22))</f>
        <v>376.77065402471692</v>
      </c>
      <c r="AZ12" s="20">
        <f>IF($C12="","",PI()*(AP12^2-AM12^2)/4*AQ12*(1+'Assumptions &amp; Ref'!$C$22))</f>
        <v>0</v>
      </c>
      <c r="BA12" s="21">
        <f t="shared" ref="BA12" si="36">IF($C12="","",AV12*INDEX($C$6:$G$6,MATCH(F12,$C$4:$G$4,0))+IF(G12="XLPE",AW12*INDEX($C$6:$G$6,MATCH("XLPE",$C$4:$G$4,0)),0)+IF(G12="PVC",(AW12+AX12+AY12)*INDEX($C$6:$G$6,MATCH("PVC",$C$4:$G$4,0)),(AX12+AY12)*INDEX($C$6:$G$6,MATCH("PVC",$C$4:$G$4,0)))+IF(I12="Unarmored",0,IF(OR(I12="Aluminium Flat Strip",I12="Aluminium Round Wired"),AZ12*INDEX($C$6:$G$6,MATCH("Aluminium",$C$4:$G$4,0)),AZ12*INDEX($C$6:$G$6,MATCH("Steel Wire",$C$4:$G$4,0)))))</f>
        <v>8479058.7472045328</v>
      </c>
      <c r="BB12" s="22">
        <f>IF($C12="","",IF(K12="Y",'Assumptions &amp; Ref'!$C$40,0)+IF(L12="Y",'Assumptions &amp; Ref'!$C$41,0)+IF(M12="Y",'Assumptions &amp; Ref'!$C$42,0)+IF(N12="Y",'Assumptions &amp; Ref'!$C$43,0)+IF(O12="Y",'Assumptions &amp; Ref'!$C$44,0)+IF(P12="Y",'Assumptions &amp; Ref'!$C$45,0)+IF(Q12="Y",'Assumptions &amp; Ref'!$C$46,0)+IF(R12="Y",'Assumptions &amp; Ref'!$C$47,0)+IF(S12="Y",'Assumptions &amp; Ref'!$C$48,0)+IF(T12="Y",'Assumptions &amp; Ref'!$C$49,0))</f>
        <v>0</v>
      </c>
      <c r="BC12" s="23">
        <f>IF($C12="","",(IF($F12="Aluminium",'Assumptions &amp; Ref'!$D$17,'Assumptions &amp; Ref'!$C$17)+IF($F12="Aluminium",'Assumptions &amp; Ref'!$D$18,'Assumptions &amp; Ref'!$C$18)+IF($F12="Aluminium",'Assumptions &amp; Ref'!$D$19,'Assumptions &amp; Ref'!$C$19)+IF($F12="Aluminium",'Assumptions &amp; Ref'!$D$20,'Assumptions &amp; Ref'!$C$20))/IF($F12="Aluminium",'Assumptions &amp; Ref'!$D$16,'Assumptions &amp; Ref'!$C$16))</f>
        <v>0.17647058823529413</v>
      </c>
      <c r="BD12" s="23">
        <f>IF($C12="","",(IF($F12="Aluminium",'Assumptions &amp; Ref'!$F$17,'Assumptions &amp; Ref'!$E$17)+IF($F12="Aluminium",'Assumptions &amp; Ref'!$F$18,'Assumptions &amp; Ref'!$E$18)+IF($F12="Aluminium",'Assumptions &amp; Ref'!$F$19,'Assumptions &amp; Ref'!$E$19)+IF($F12="Aluminium",'Assumptions &amp; Ref'!$F$20,'Assumptions &amp; Ref'!$E$20))/IF($F12="Aluminium",'Assumptions &amp; Ref'!$F$16,'Assumptions &amp; Ref'!$E$16))</f>
        <v>0.11111111111111112</v>
      </c>
      <c r="BE12" s="21">
        <f t="shared" ref="BE12" si="37">IF($C12="","",BA12*(1+BC12))</f>
        <v>9975363.2320053335</v>
      </c>
      <c r="BF12" s="21">
        <f t="shared" ref="BF12" si="38">IF($C12="","",BA12*(1+BD12))</f>
        <v>9421176.3857828155</v>
      </c>
      <c r="BG12" s="21">
        <f>IF($C12="","",BE12*(1+BB12)*(1+IF($F12="Aluminium",'Assumptions &amp; Ref'!$D$21,'Assumptions &amp; Ref'!$C$21)))</f>
        <v>10374377.761285547</v>
      </c>
      <c r="BH12" s="21">
        <f>IF($C12="","",BF12*(1+BB12)*(1+IF($F12="Aluminium",'Assumptions &amp; Ref'!$F$21,'Assumptions &amp; Ref'!$E$21)))</f>
        <v>9798023.4412141293</v>
      </c>
    </row>
    <row r="13" spans="2:60" ht="15" customHeight="1" x14ac:dyDescent="0.25">
      <c r="B13" s="13" t="s">
        <v>230</v>
      </c>
      <c r="C13" s="14">
        <v>3.5</v>
      </c>
      <c r="D13" s="14" t="s">
        <v>73</v>
      </c>
      <c r="E13" s="14">
        <v>150</v>
      </c>
      <c r="F13" s="14" t="s">
        <v>8</v>
      </c>
      <c r="G13" s="14" t="s">
        <v>10</v>
      </c>
      <c r="H13" s="14" t="s">
        <v>11</v>
      </c>
      <c r="I13" s="14" t="s">
        <v>74</v>
      </c>
      <c r="J13" s="14" t="s">
        <v>10</v>
      </c>
      <c r="K13" s="15" t="s">
        <v>76</v>
      </c>
      <c r="L13" s="15" t="s">
        <v>76</v>
      </c>
      <c r="M13" s="15" t="s">
        <v>76</v>
      </c>
      <c r="N13" s="15" t="s">
        <v>76</v>
      </c>
      <c r="O13" s="15" t="s">
        <v>76</v>
      </c>
      <c r="P13" s="15" t="s">
        <v>76</v>
      </c>
      <c r="Q13" s="15" t="s">
        <v>76</v>
      </c>
      <c r="R13" s="15" t="s">
        <v>76</v>
      </c>
      <c r="S13" s="15" t="s">
        <v>76</v>
      </c>
      <c r="T13" s="15" t="s">
        <v>76</v>
      </c>
      <c r="U13" s="16">
        <f>IF($C13="","",MIN(BG13,BH13))/1000</f>
        <v>7841.0426091567433</v>
      </c>
      <c r="V13" s="16">
        <f>IF($C13="","",MAX(BG13,BH13))/1000</f>
        <v>8302.2804096953751</v>
      </c>
      <c r="W13" s="17">
        <f>IF($C13="","",BA13)/1000</f>
        <v>6785.5176425394893</v>
      </c>
      <c r="X13" s="18">
        <f t="shared" ref="X13" si="39">IF($C13="","",AU13)</f>
        <v>44</v>
      </c>
      <c r="Y13" s="19">
        <f t="shared" ref="Y13" si="40">IF($C13="","",AV13)</f>
        <v>4695.2880000000005</v>
      </c>
      <c r="AA13" s="20">
        <f t="shared" ref="AA13" si="41">IF($C13="","",IF(D13="Sector shaped",360/C13,360))</f>
        <v>360</v>
      </c>
      <c r="AB13" s="20">
        <f t="shared" ref="AB13" si="42">IF($C13="","",SQRT(E13*(360/AA13)/PI())*2)</f>
        <v>13.81976597885342</v>
      </c>
      <c r="AC13" s="20">
        <f t="shared" ref="AC13" si="43">IF($C13="","",INDEX($C$5:$G$5,MATCH(F13,$C$4:$G$4,0)))</f>
        <v>8.94</v>
      </c>
      <c r="AD13" s="20">
        <f>IF($C13="","",IF(AND(C13=1,I13="Unarmored"),INDEX('Assumptions &amp; Ref'!$C$70:$C$90,MATCH(E13,'Assumptions &amp; Ref'!$B$70:$B$90,0)),INDEX('Assumptions &amp; Ref'!$D$70:$D$90,MATCH(E13,'Assumptions &amp; Ref'!$B$70:$B$90,0))))</f>
        <v>1.4</v>
      </c>
      <c r="AE13" s="20">
        <f t="shared" ref="AE13" si="44">IF($C13="","",IF(D13="Circular",AB13+2*AD13,AB13+4*AD13))</f>
        <v>16.619765978853419</v>
      </c>
      <c r="AF13" s="20">
        <f t="shared" ref="AF13" si="45">IF($C13="","",INDEX($C$5:$G$5,MATCH(G13,$C$4:$G$4,0)))</f>
        <v>0.93</v>
      </c>
      <c r="AG13" s="20">
        <f>IF($C13="","",IF(C13=3.5,IFERROR(INDEX('Assumptions &amp; Ref'!$G$93:$G$105,MATCH(E13,'Assumptions &amp; Ref'!$F$93:$F$105,0)),0),0))</f>
        <v>70</v>
      </c>
      <c r="AH13" s="20">
        <f t="shared" ref="AH13" si="46">IF($C13="","",IF(C13=3.5,SQRT(AG13/PI())*2,0))</f>
        <v>9.4406974388262963</v>
      </c>
      <c r="AI13" s="20">
        <f>IF($C13="","",IF(C13=3.5,IFERROR(INDEX('Assumptions &amp; Ref'!$D$70:$D$90,MATCH(AG13,'Assumptions &amp; Ref'!$B$70:$B$90,0)),0),0))</f>
        <v>1.1000000000000001</v>
      </c>
      <c r="AJ13" s="20">
        <f t="shared" ref="AJ13" si="47">IF($C13="","",AH13+2*AI13)</f>
        <v>11.640697438826297</v>
      </c>
      <c r="AK13" s="20">
        <f t="shared" ref="AK13" si="48">IF($C13="","",ROUND(IF(C13=1,AE13,IF(C13=2,2*AE13,IF(C13=3,2.16*AE13,IF(C13=3.5,2.42*(3*AE13+AJ13)/4,IF(C13=4,2.42*AE13,0))))),1))</f>
        <v>37.200000000000003</v>
      </c>
      <c r="AL13" s="20">
        <f>IF($C13="","",IFERROR(INDEX('Assumptions &amp; Ref'!$G$70:$G$74,IF(INDEX('Assumptions &amp; Ref'!$F$70:$F$74,MATCH(AK13,'Assumptions &amp; Ref'!$F$70:$F$74,1))=AK13,MATCH(AK13,'Assumptions &amp; Ref'!$F$70:$F$74,1),MIN(MATCH(AK13,'Assumptions &amp; Ref'!$F$70:$F$74,1)+1,5))),INDEX('Assumptions &amp; Ref'!$G$70:$G$74,1)))</f>
        <v>0.6</v>
      </c>
      <c r="AM13" s="20">
        <f t="shared" ref="AM13" si="49">IF($C13="","",AK13+2*AL13)</f>
        <v>38.400000000000006</v>
      </c>
      <c r="AN13" s="20">
        <f t="shared" ref="AN13" si="50">IF($C13="","",INDEX($C$5:$G$5,MATCH(H13,$C$4:$G$4,0)))</f>
        <v>1.35</v>
      </c>
      <c r="AO13" s="20">
        <f>IF($C13="","",IF(I13="Unarmored",0,IF(OR(I13="Galvanised steel flat strip",I13="Aluminium Flat Strip"),IFERROR(INDEX('Assumptions &amp; Ref'!$C$93:$C$98,IF(INDEX('Assumptions &amp; Ref'!$B$93:$B$98,MATCH(AM13,'Assumptions &amp; Ref'!$B$93:$B$98,1))=AM13,MATCH(AM13,'Assumptions &amp; Ref'!$B$93:$B$98,1),MIN(MATCH(AM13,'Assumptions &amp; Ref'!$B$93:$B$98,1)+1,6))),INDEX('Assumptions &amp; Ref'!$C$93:$C$98,1)),IFERROR(INDEX('Assumptions &amp; Ref'!$D$93:$D$98,IF(INDEX('Assumptions &amp; Ref'!$B$93:$B$98,MATCH(AM13,'Assumptions &amp; Ref'!$B$93:$B$98,1))=AM13,MATCH(AM13,'Assumptions &amp; Ref'!$B$93:$B$98,1),MIN(MATCH(AM13,'Assumptions &amp; Ref'!$B$93:$B$98,1)+1,6))),INDEX('Assumptions &amp; Ref'!$D$93:$D$98,1)))))</f>
        <v>0</v>
      </c>
      <c r="AP13" s="20">
        <f t="shared" ref="AP13" si="51">IF($C13="","",AM13+2*AO13)</f>
        <v>38.400000000000006</v>
      </c>
      <c r="AQ13" s="20">
        <f t="shared" ref="AQ13" si="52">IF($C13="","",IF(I13="Unarmored",0,IF(OR(I13="Aluminium Flat Strip",I13="Aluminium Round Wired"),INDEX($C$5:$G$5,MATCH("Aluminium",$C$4:$G$4,0)),INDEX($C$5:$G$5,MATCH("Steel Wire",$C$4:$G$4,0)))))</f>
        <v>0</v>
      </c>
      <c r="AR13" s="20">
        <f>IF($C13="","",IF(I13="Unarmored",IFERROR(INDEX('Assumptions &amp; Ref'!$J$70:$J$81,IF(INDEX('Assumptions &amp; Ref'!$I$70:$I$81,MATCH(AP13,'Assumptions &amp; Ref'!$I$70:$I$81,1))=AP13,MATCH(AP13,'Assumptions &amp; Ref'!$I$70:$I$81,1),MIN(MATCH(AP13,'Assumptions &amp; Ref'!$I$70:$I$81,1)+1,12))),INDEX('Assumptions &amp; Ref'!$J$70:$J$81,1)),IFERROR(INDEX('Assumptions &amp; Ref'!$K$70:$K$81,IF(INDEX('Assumptions &amp; Ref'!$I$70:$I$81,MATCH(AP13,'Assumptions &amp; Ref'!$I$70:$I$81,1))=AP13,MATCH(AP13,'Assumptions &amp; Ref'!$I$70:$I$81,1),MIN(MATCH(AP13,'Assumptions &amp; Ref'!$I$70:$I$81,1)+1,12))),INDEX('Assumptions &amp; Ref'!$K$70:$K$81,1))))</f>
        <v>2.6</v>
      </c>
      <c r="AS13" s="20">
        <f t="shared" ref="AS13" si="53">IF($C13="","",AP13+2*AR13)</f>
        <v>43.600000000000009</v>
      </c>
      <c r="AT13" s="20">
        <f t="shared" ref="AT13" si="54">IF($C13="","",INDEX($C$5:$G$5,MATCH(J13,$C$4:$G$4,0)))</f>
        <v>0.93</v>
      </c>
      <c r="AU13" s="20">
        <f t="shared" ref="AU13" si="55">IF($C13="","",TRUNC(AS13+1))</f>
        <v>44</v>
      </c>
      <c r="AV13" s="20">
        <f>IF($C13="","",((E13*AC13*IF(C13=3.5,3,C13))+(AG13*AC13*IF(C13=3.5,1,0)))*(1+'Assumptions &amp; Ref'!$C$22))</f>
        <v>4695.2880000000005</v>
      </c>
      <c r="AW13" s="20">
        <f>IF($C13="","",IF(C13=3.5,(PI()*(AE13^2-AB13^2)/4*AF13*3)+(PI()*(AJ13^2-AH13^2)/4*AF13),PI()*(AE13^2-AB13^2)/4*AF13*C13)*(1+'Assumptions &amp; Ref'!$C$22))</f>
        <v>222.84527709044224</v>
      </c>
      <c r="AX13" s="20">
        <f>IF($C13="","",PI()*(AM13^2-AK13^2)/4*AN13*(1+'Assumptions &amp; Ref'!$C$22))</f>
        <v>97.15117670628868</v>
      </c>
      <c r="AY13" s="20">
        <f>IF($C13="","",PI()*(AS13^2-AP13^2)/4*AT13*(1+'Assumptions &amp; Ref'!$C$22))</f>
        <v>314.56572461650103</v>
      </c>
      <c r="AZ13" s="20">
        <f>IF($C13="","",PI()*(AP13^2-AM13^2)/4*AQ13*(1+'Assumptions &amp; Ref'!$C$22))</f>
        <v>0</v>
      </c>
      <c r="BA13" s="21">
        <f t="shared" ref="BA13" si="56">IF($C13="","",AV13*INDEX($C$6:$G$6,MATCH(F13,$C$4:$G$4,0))+IF(G13="XLPE",AW13*INDEX($C$6:$G$6,MATCH("XLPE",$C$4:$G$4,0)),0)+IF(G13="PVC",(AW13+AX13+AY13)*INDEX($C$6:$G$6,MATCH("PVC",$C$4:$G$4,0)),(AX13+AY13)*INDEX($C$6:$G$6,MATCH("PVC",$C$4:$G$4,0)))+IF(I13="Unarmored",0,IF(OR(I13="Aluminium Flat Strip",I13="Aluminium Round Wired"),AZ13*INDEX($C$6:$G$6,MATCH("Aluminium",$C$4:$G$4,0)),AZ13*INDEX($C$6:$G$6,MATCH("Steel Wire",$C$4:$G$4,0)))))</f>
        <v>6785517.6425394891</v>
      </c>
      <c r="BB13" s="22">
        <f>IF($C13="","",IF(K13="Y",'Assumptions &amp; Ref'!$C$40,0)+IF(L13="Y",'Assumptions &amp; Ref'!$C$41,0)+IF(M13="Y",'Assumptions &amp; Ref'!$C$42,0)+IF(N13="Y",'Assumptions &amp; Ref'!$C$43,0)+IF(O13="Y",'Assumptions &amp; Ref'!$C$44,0)+IF(P13="Y",'Assumptions &amp; Ref'!$C$45,0)+IF(Q13="Y",'Assumptions &amp; Ref'!$C$46,0)+IF(R13="Y",'Assumptions &amp; Ref'!$C$47,0)+IF(S13="Y",'Assumptions &amp; Ref'!$C$48,0)+IF(T13="Y",'Assumptions &amp; Ref'!$C$49,0))</f>
        <v>0</v>
      </c>
      <c r="BC13" s="23">
        <f>IF($C13="","",(IF($F13="Aluminium",'Assumptions &amp; Ref'!$D$17,'Assumptions &amp; Ref'!$C$17)+IF($F13="Aluminium",'Assumptions &amp; Ref'!$D$18,'Assumptions &amp; Ref'!$C$18)+IF($F13="Aluminium",'Assumptions &amp; Ref'!$D$19,'Assumptions &amp; Ref'!$C$19)+IF($F13="Aluminium",'Assumptions &amp; Ref'!$D$20,'Assumptions &amp; Ref'!$C$20))/IF($F13="Aluminium",'Assumptions &amp; Ref'!$D$16,'Assumptions &amp; Ref'!$C$16))</f>
        <v>0.17647058823529413</v>
      </c>
      <c r="BD13" s="23">
        <f>IF($C13="","",(IF($F13="Aluminium",'Assumptions &amp; Ref'!$F$17,'Assumptions &amp; Ref'!$E$17)+IF($F13="Aluminium",'Assumptions &amp; Ref'!$F$18,'Assumptions &amp; Ref'!$E$18)+IF($F13="Aluminium",'Assumptions &amp; Ref'!$F$19,'Assumptions &amp; Ref'!$E$19)+IF($F13="Aluminium",'Assumptions &amp; Ref'!$F$20,'Assumptions &amp; Ref'!$E$20))/IF($F13="Aluminium",'Assumptions &amp; Ref'!$F$16,'Assumptions &amp; Ref'!$E$16))</f>
        <v>0.11111111111111112</v>
      </c>
      <c r="BE13" s="21">
        <f t="shared" ref="BE13" si="57">IF($C13="","",BA13*(1+BC13))</f>
        <v>7982961.9323993996</v>
      </c>
      <c r="BF13" s="21">
        <f t="shared" ref="BF13" si="58">IF($C13="","",BA13*(1+BD13))</f>
        <v>7539464.0472660996</v>
      </c>
      <c r="BG13" s="21">
        <f>IF($C13="","",BE13*(1+BB13)*(1+IF($F13="Aluminium",'Assumptions &amp; Ref'!$D$21,'Assumptions &amp; Ref'!$C$21)))</f>
        <v>8302280.4096953757</v>
      </c>
      <c r="BH13" s="21">
        <f>IF($C13="","",BF13*(1+BB13)*(1+IF($F13="Aluminium",'Assumptions &amp; Ref'!$F$21,'Assumptions &amp; Ref'!$E$21)))</f>
        <v>7841042.6091567436</v>
      </c>
    </row>
    <row r="14" spans="2:60" ht="15" customHeight="1" x14ac:dyDescent="0.25">
      <c r="B14" s="13" t="s">
        <v>231</v>
      </c>
      <c r="C14" s="14">
        <v>3.5</v>
      </c>
      <c r="D14" s="14" t="s">
        <v>73</v>
      </c>
      <c r="E14" s="14">
        <v>50</v>
      </c>
      <c r="F14" s="14" t="s">
        <v>8</v>
      </c>
      <c r="G14" s="14" t="s">
        <v>10</v>
      </c>
      <c r="H14" s="14" t="s">
        <v>11</v>
      </c>
      <c r="I14" s="14" t="s">
        <v>74</v>
      </c>
      <c r="J14" s="14" t="s">
        <v>10</v>
      </c>
      <c r="K14" s="15" t="s">
        <v>76</v>
      </c>
      <c r="L14" s="15" t="s">
        <v>76</v>
      </c>
      <c r="M14" s="15" t="s">
        <v>76</v>
      </c>
      <c r="N14" s="15" t="s">
        <v>76</v>
      </c>
      <c r="O14" s="15" t="s">
        <v>76</v>
      </c>
      <c r="P14" s="15" t="s">
        <v>76</v>
      </c>
      <c r="Q14" s="15" t="s">
        <v>76</v>
      </c>
      <c r="R14" s="15" t="s">
        <v>76</v>
      </c>
      <c r="S14" s="15" t="s">
        <v>76</v>
      </c>
      <c r="T14" s="15" t="s">
        <v>76</v>
      </c>
      <c r="U14" s="16">
        <f>IF($C14="","",MIN(BG14,BH14))/1000</f>
        <v>2649.9707497748636</v>
      </c>
      <c r="V14" s="16">
        <f>IF($C14="","",MAX(BG14,BH14))/1000</f>
        <v>2805.8513821145607</v>
      </c>
      <c r="W14" s="17">
        <f>IF($C14="","",BA14)/1000</f>
        <v>2293.2439180744004</v>
      </c>
      <c r="X14" s="18">
        <f t="shared" ref="X14" si="59">IF($C14="","",AU14)</f>
        <v>28</v>
      </c>
      <c r="Y14" s="19">
        <f t="shared" ref="Y14" si="60">IF($C14="","",AV14)</f>
        <v>1580.145</v>
      </c>
      <c r="AA14" s="20">
        <f t="shared" ref="AA14" si="61">IF($C14="","",IF(D14="Sector shaped",360/C14,360))</f>
        <v>360</v>
      </c>
      <c r="AB14" s="20">
        <f t="shared" ref="AB14" si="62">IF($C14="","",SQRT(E14*(360/AA14)/PI())*2)</f>
        <v>7.9788456080286538</v>
      </c>
      <c r="AC14" s="20">
        <f t="shared" ref="AC14" si="63">IF($C14="","",INDEX($C$5:$G$5,MATCH(F14,$C$4:$G$4,0)))</f>
        <v>8.94</v>
      </c>
      <c r="AD14" s="20">
        <f>IF($C14="","",IF(AND(C14=1,I14="Unarmored"),INDEX('Assumptions &amp; Ref'!$C$70:$C$90,MATCH(E14,'Assumptions &amp; Ref'!$B$70:$B$90,0)),INDEX('Assumptions &amp; Ref'!$D$70:$D$90,MATCH(E14,'Assumptions &amp; Ref'!$B$70:$B$90,0))))</f>
        <v>1</v>
      </c>
      <c r="AE14" s="20">
        <f t="shared" ref="AE14" si="64">IF($C14="","",IF(D14="Circular",AB14+2*AD14,AB14+4*AD14))</f>
        <v>9.9788456080286529</v>
      </c>
      <c r="AF14" s="20">
        <f t="shared" ref="AF14" si="65">IF($C14="","",INDEX($C$5:$G$5,MATCH(G14,$C$4:$G$4,0)))</f>
        <v>0.93</v>
      </c>
      <c r="AG14" s="20">
        <f>IF($C14="","",IF(C14=3.5,IFERROR(INDEX('Assumptions &amp; Ref'!$G$93:$G$105,MATCH(E14,'Assumptions &amp; Ref'!$F$93:$F$105,0)),0),0))</f>
        <v>25</v>
      </c>
      <c r="AH14" s="20">
        <f t="shared" ref="AH14" si="66">IF($C14="","",IF(C14=3.5,SQRT(AG14/PI())*2,0))</f>
        <v>5.6418958354775626</v>
      </c>
      <c r="AI14" s="20">
        <f>IF($C14="","",IF(C14=3.5,IFERROR(INDEX('Assumptions &amp; Ref'!$D$70:$D$90,MATCH(AG14,'Assumptions &amp; Ref'!$B$70:$B$90,0)),0),0))</f>
        <v>0.9</v>
      </c>
      <c r="AJ14" s="20">
        <f t="shared" ref="AJ14" si="67">IF($C14="","",AH14+2*AI14)</f>
        <v>7.4418958354775624</v>
      </c>
      <c r="AK14" s="20">
        <f t="shared" ref="AK14" si="68">IF($C14="","",ROUND(IF(C14=1,AE14,IF(C14=2,2*AE14,IF(C14=3,2.16*AE14,IF(C14=3.5,2.42*(3*AE14+AJ14)/4,IF(C14=4,2.42*AE14,0))))),1))</f>
        <v>22.6</v>
      </c>
      <c r="AL14" s="20">
        <f>IF($C14="","",IFERROR(INDEX('Assumptions &amp; Ref'!$G$70:$G$74,IF(INDEX('Assumptions &amp; Ref'!$F$70:$F$74,MATCH(AK14,'Assumptions &amp; Ref'!$F$70:$F$74,1))=AK14,MATCH(AK14,'Assumptions &amp; Ref'!$F$70:$F$74,1),MIN(MATCH(AK14,'Assumptions &amp; Ref'!$F$70:$F$74,1)+1,5))),INDEX('Assumptions &amp; Ref'!$G$70:$G$74,1)))</f>
        <v>0.4</v>
      </c>
      <c r="AM14" s="20">
        <f t="shared" ref="AM14" si="69">IF($C14="","",AK14+2*AL14)</f>
        <v>23.400000000000002</v>
      </c>
      <c r="AN14" s="20">
        <f t="shared" ref="AN14" si="70">IF($C14="","",INDEX($C$5:$G$5,MATCH(H14,$C$4:$G$4,0)))</f>
        <v>1.35</v>
      </c>
      <c r="AO14" s="20">
        <f>IF($C14="","",IF(I14="Unarmored",0,IF(OR(I14="Galvanised steel flat strip",I14="Aluminium Flat Strip"),IFERROR(INDEX('Assumptions &amp; Ref'!$C$93:$C$98,IF(INDEX('Assumptions &amp; Ref'!$B$93:$B$98,MATCH(AM14,'Assumptions &amp; Ref'!$B$93:$B$98,1))=AM14,MATCH(AM14,'Assumptions &amp; Ref'!$B$93:$B$98,1),MIN(MATCH(AM14,'Assumptions &amp; Ref'!$B$93:$B$98,1)+1,6))),INDEX('Assumptions &amp; Ref'!$C$93:$C$98,1)),IFERROR(INDEX('Assumptions &amp; Ref'!$D$93:$D$98,IF(INDEX('Assumptions &amp; Ref'!$B$93:$B$98,MATCH(AM14,'Assumptions &amp; Ref'!$B$93:$B$98,1))=AM14,MATCH(AM14,'Assumptions &amp; Ref'!$B$93:$B$98,1),MIN(MATCH(AM14,'Assumptions &amp; Ref'!$B$93:$B$98,1)+1,6))),INDEX('Assumptions &amp; Ref'!$D$93:$D$98,1)))))</f>
        <v>0</v>
      </c>
      <c r="AP14" s="20">
        <f t="shared" ref="AP14" si="71">IF($C14="","",AM14+2*AO14)</f>
        <v>23.400000000000002</v>
      </c>
      <c r="AQ14" s="20">
        <f t="shared" ref="AQ14" si="72">IF($C14="","",IF(I14="Unarmored",0,IF(OR(I14="Aluminium Flat Strip",I14="Aluminium Round Wired"),INDEX($C$5:$G$5,MATCH("Aluminium",$C$4:$G$4,0)),INDEX($C$5:$G$5,MATCH("Steel Wire",$C$4:$G$4,0)))))</f>
        <v>0</v>
      </c>
      <c r="AR14" s="20">
        <f>IF($C14="","",IF(I14="Unarmored",IFERROR(INDEX('Assumptions &amp; Ref'!$J$70:$J$81,IF(INDEX('Assumptions &amp; Ref'!$I$70:$I$81,MATCH(AP14,'Assumptions &amp; Ref'!$I$70:$I$81,1))=AP14,MATCH(AP14,'Assumptions &amp; Ref'!$I$70:$I$81,1),MIN(MATCH(AP14,'Assumptions &amp; Ref'!$I$70:$I$81,1)+1,12))),INDEX('Assumptions &amp; Ref'!$J$70:$J$81,1)),IFERROR(INDEX('Assumptions &amp; Ref'!$K$70:$K$81,IF(INDEX('Assumptions &amp; Ref'!$I$70:$I$81,MATCH(AP14,'Assumptions &amp; Ref'!$I$70:$I$81,1))=AP14,MATCH(AP14,'Assumptions &amp; Ref'!$I$70:$I$81,1),MIN(MATCH(AP14,'Assumptions &amp; Ref'!$I$70:$I$81,1)+1,12))),INDEX('Assumptions &amp; Ref'!$K$70:$K$81,1))))</f>
        <v>2.2000000000000002</v>
      </c>
      <c r="AS14" s="20">
        <f t="shared" ref="AS14" si="73">IF($C14="","",AP14+2*AR14)</f>
        <v>27.800000000000004</v>
      </c>
      <c r="AT14" s="20">
        <f t="shared" ref="AT14" si="74">IF($C14="","",INDEX($C$5:$G$5,MATCH(J14,$C$4:$G$4,0)))</f>
        <v>0.93</v>
      </c>
      <c r="AU14" s="20">
        <f t="shared" ref="AU14" si="75">IF($C14="","",TRUNC(AS14+1))</f>
        <v>28</v>
      </c>
      <c r="AV14" s="20">
        <f>IF($C14="","",((E14*AC14*IF(C14=3.5,3,C14))+(AG14*AC14*IF(C14=3.5,1,0)))*(1+'Assumptions &amp; Ref'!$C$22))</f>
        <v>1580.145</v>
      </c>
      <c r="AW14" s="20">
        <f>IF($C14="","",IF(C14=3.5,(PI()*(AE14^2-AB14^2)/4*AF14*3)+(PI()*(AJ14^2-AH14^2)/4*AF14),PI()*(AE14^2-AB14^2)/4*AF14*C14)*(1+'Assumptions &amp; Ref'!$C$22))</f>
        <v>96.86099257218622</v>
      </c>
      <c r="AX14" s="20">
        <f>IF($C14="","",PI()*(AM14^2-AK14^2)/4*AN14*(1+'Assumptions &amp; Ref'!$C$22))</f>
        <v>39.408766565161102</v>
      </c>
      <c r="AY14" s="20">
        <f>IF($C14="","",PI()*(AS14^2-AP14^2)/4*AT14*(1+'Assumptions &amp; Ref'!$C$22))</f>
        <v>166.19457420639156</v>
      </c>
      <c r="AZ14" s="20">
        <f>IF($C14="","",PI()*(AP14^2-AM14^2)/4*AQ14*(1+'Assumptions &amp; Ref'!$C$22))</f>
        <v>0</v>
      </c>
      <c r="BA14" s="21">
        <f t="shared" ref="BA14" si="76">IF($C14="","",AV14*INDEX($C$6:$G$6,MATCH(F14,$C$4:$G$4,0))+IF(G14="XLPE",AW14*INDEX($C$6:$G$6,MATCH("XLPE",$C$4:$G$4,0)),0)+IF(G14="PVC",(AW14+AX14+AY14)*INDEX($C$6:$G$6,MATCH("PVC",$C$4:$G$4,0)),(AX14+AY14)*INDEX($C$6:$G$6,MATCH("PVC",$C$4:$G$4,0)))+IF(I14="Unarmored",0,IF(OR(I14="Aluminium Flat Strip",I14="Aluminium Round Wired"),AZ14*INDEX($C$6:$G$6,MATCH("Aluminium",$C$4:$G$4,0)),AZ14*INDEX($C$6:$G$6,MATCH("Steel Wire",$C$4:$G$4,0)))))</f>
        <v>2293243.9180744006</v>
      </c>
      <c r="BB14" s="22">
        <f>IF($C14="","",IF(K14="Y",'Assumptions &amp; Ref'!$C$40,0)+IF(L14="Y",'Assumptions &amp; Ref'!$C$41,0)+IF(M14="Y",'Assumptions &amp; Ref'!$C$42,0)+IF(N14="Y",'Assumptions &amp; Ref'!$C$43,0)+IF(O14="Y",'Assumptions &amp; Ref'!$C$44,0)+IF(P14="Y",'Assumptions &amp; Ref'!$C$45,0)+IF(Q14="Y",'Assumptions &amp; Ref'!$C$46,0)+IF(R14="Y",'Assumptions &amp; Ref'!$C$47,0)+IF(S14="Y",'Assumptions &amp; Ref'!$C$48,0)+IF(T14="Y",'Assumptions &amp; Ref'!$C$49,0))</f>
        <v>0</v>
      </c>
      <c r="BC14" s="23">
        <f>IF($C14="","",(IF($F14="Aluminium",'Assumptions &amp; Ref'!$D$17,'Assumptions &amp; Ref'!$C$17)+IF($F14="Aluminium",'Assumptions &amp; Ref'!$D$18,'Assumptions &amp; Ref'!$C$18)+IF($F14="Aluminium",'Assumptions &amp; Ref'!$D$19,'Assumptions &amp; Ref'!$C$19)+IF($F14="Aluminium",'Assumptions &amp; Ref'!$D$20,'Assumptions &amp; Ref'!$C$20))/IF($F14="Aluminium",'Assumptions &amp; Ref'!$D$16,'Assumptions &amp; Ref'!$C$16))</f>
        <v>0.17647058823529413</v>
      </c>
      <c r="BD14" s="23">
        <f>IF($C14="","",(IF($F14="Aluminium",'Assumptions &amp; Ref'!$F$17,'Assumptions &amp; Ref'!$E$17)+IF($F14="Aluminium",'Assumptions &amp; Ref'!$F$18,'Assumptions &amp; Ref'!$E$18)+IF($F14="Aluminium",'Assumptions &amp; Ref'!$F$19,'Assumptions &amp; Ref'!$E$19)+IF($F14="Aluminium",'Assumptions &amp; Ref'!$F$20,'Assumptions &amp; Ref'!$E$20))/IF($F14="Aluminium",'Assumptions &amp; Ref'!$F$16,'Assumptions &amp; Ref'!$E$16))</f>
        <v>0.11111111111111112</v>
      </c>
      <c r="BE14" s="21">
        <f t="shared" ref="BE14" si="77">IF($C14="","",BA14*(1+BC14))</f>
        <v>2697934.0212640008</v>
      </c>
      <c r="BF14" s="21">
        <f t="shared" ref="BF14" si="78">IF($C14="","",BA14*(1+BD14))</f>
        <v>2548048.7978604455</v>
      </c>
      <c r="BG14" s="21">
        <f>IF($C14="","",BE14*(1+BB14)*(1+IF($F14="Aluminium",'Assumptions &amp; Ref'!$D$21,'Assumptions &amp; Ref'!$C$21)))</f>
        <v>2805851.3821145608</v>
      </c>
      <c r="BH14" s="21">
        <f>IF($C14="","",BF14*(1+BB14)*(1+IF($F14="Aluminium",'Assumptions &amp; Ref'!$F$21,'Assumptions &amp; Ref'!$E$21)))</f>
        <v>2649970.7497748635</v>
      </c>
    </row>
    <row r="15" spans="2:60" ht="15" customHeight="1" x14ac:dyDescent="0.25">
      <c r="B15" s="13" t="s">
        <v>233</v>
      </c>
      <c r="C15" s="14">
        <v>3</v>
      </c>
      <c r="D15" s="14" t="s">
        <v>73</v>
      </c>
      <c r="E15" s="14">
        <v>2.5</v>
      </c>
      <c r="F15" s="14" t="s">
        <v>8</v>
      </c>
      <c r="G15" s="14" t="s">
        <v>10</v>
      </c>
      <c r="H15" s="14" t="s">
        <v>11</v>
      </c>
      <c r="I15" s="14" t="s">
        <v>75</v>
      </c>
      <c r="J15" s="14" t="s">
        <v>10</v>
      </c>
      <c r="K15" s="15" t="s">
        <v>76</v>
      </c>
      <c r="L15" s="15" t="s">
        <v>76</v>
      </c>
      <c r="M15" s="15" t="s">
        <v>76</v>
      </c>
      <c r="N15" s="15" t="s">
        <v>76</v>
      </c>
      <c r="O15" s="15" t="s">
        <v>76</v>
      </c>
      <c r="P15" s="15" t="s">
        <v>76</v>
      </c>
      <c r="Q15" s="15" t="s">
        <v>76</v>
      </c>
      <c r="R15" s="15" t="s">
        <v>76</v>
      </c>
      <c r="S15" s="15" t="s">
        <v>76</v>
      </c>
      <c r="T15" s="15" t="s">
        <v>76</v>
      </c>
      <c r="U15" s="16">
        <f>IF($C15="","",MIN(BG15,BH15))/1000</f>
        <v>150.4126651029639</v>
      </c>
      <c r="V15" s="16">
        <f>IF($C15="","",MAX(BG15,BH15))/1000</f>
        <v>159.26046893255</v>
      </c>
      <c r="W15" s="17">
        <f>IF($C15="","",BA15)/1000</f>
        <v>130.16480633910334</v>
      </c>
      <c r="X15" s="18">
        <f t="shared" ref="X15" si="79">IF($C15="","",AU15)</f>
        <v>14</v>
      </c>
      <c r="Y15" s="19">
        <f t="shared" ref="Y15" si="80">IF($C15="","",AV15)</f>
        <v>67.720500000000001</v>
      </c>
      <c r="AA15" s="20">
        <f t="shared" ref="AA15" si="81">IF($C15="","",IF(D15="Sector shaped",360/C15,360))</f>
        <v>360</v>
      </c>
      <c r="AB15" s="20">
        <f t="shared" ref="AB15" si="82">IF($C15="","",SQRT(E15*(360/AA15)/PI())*2)</f>
        <v>1.7841241161527712</v>
      </c>
      <c r="AC15" s="20">
        <f t="shared" ref="AC15" si="83">IF($C15="","",INDEX($C$5:$G$5,MATCH(F15,$C$4:$G$4,0)))</f>
        <v>8.94</v>
      </c>
      <c r="AD15" s="20">
        <f>IF($C15="","",IF(AND(C15=1,I15="Unarmored"),INDEX('Assumptions &amp; Ref'!$C$70:$C$90,MATCH(E15,'Assumptions &amp; Ref'!$B$70:$B$90,0)),INDEX('Assumptions &amp; Ref'!$D$70:$D$90,MATCH(E15,'Assumptions &amp; Ref'!$B$70:$B$90,0))))</f>
        <v>0.7</v>
      </c>
      <c r="AE15" s="20">
        <f t="shared" ref="AE15" si="84">IF($C15="","",IF(D15="Circular",AB15+2*AD15,AB15+4*AD15))</f>
        <v>3.1841241161527711</v>
      </c>
      <c r="AF15" s="20">
        <f t="shared" ref="AF15" si="85">IF($C15="","",INDEX($C$5:$G$5,MATCH(G15,$C$4:$G$4,0)))</f>
        <v>0.93</v>
      </c>
      <c r="AG15" s="20">
        <f>IF($C15="","",IF(C15=3.5,IFERROR(INDEX('Assumptions &amp; Ref'!$G$93:$G$105,MATCH(E15,'Assumptions &amp; Ref'!$F$93:$F$105,0)),0),0))</f>
        <v>0</v>
      </c>
      <c r="AH15" s="20">
        <f t="shared" ref="AH15" si="86">IF($C15="","",IF(C15=3.5,SQRT(AG15/PI())*2,0))</f>
        <v>0</v>
      </c>
      <c r="AI15" s="20">
        <f>IF($C15="","",IF(C15=3.5,IFERROR(INDEX('Assumptions &amp; Ref'!$D$70:$D$90,MATCH(AG15,'Assumptions &amp; Ref'!$B$70:$B$90,0)),0),0))</f>
        <v>0</v>
      </c>
      <c r="AJ15" s="20">
        <f t="shared" ref="AJ15" si="87">IF($C15="","",AH15+2*AI15)</f>
        <v>0</v>
      </c>
      <c r="AK15" s="20">
        <f t="shared" ref="AK15" si="88">IF($C15="","",ROUND(IF(C15=1,AE15,IF(C15=2,2*AE15,IF(C15=3,2.16*AE15,IF(C15=3.5,2.42*(3*AE15+AJ15)/4,IF(C15=4,2.42*AE15,0))))),1))</f>
        <v>6.9</v>
      </c>
      <c r="AL15" s="20">
        <f>IF($C15="","",IFERROR(INDEX('Assumptions &amp; Ref'!$G$70:$G$74,IF(INDEX('Assumptions &amp; Ref'!$F$70:$F$74,MATCH(AK15,'Assumptions &amp; Ref'!$F$70:$F$74,1))=AK15,MATCH(AK15,'Assumptions &amp; Ref'!$F$70:$F$74,1),MIN(MATCH(AK15,'Assumptions &amp; Ref'!$F$70:$F$74,1)+1,5))),INDEX('Assumptions &amp; Ref'!$G$70:$G$74,1)))</f>
        <v>0.4</v>
      </c>
      <c r="AM15" s="20">
        <f t="shared" ref="AM15" si="89">IF($C15="","",AK15+2*AL15)</f>
        <v>7.7</v>
      </c>
      <c r="AN15" s="20">
        <f t="shared" ref="AN15" si="90">IF($C15="","",INDEX($C$5:$G$5,MATCH(H15,$C$4:$G$4,0)))</f>
        <v>1.35</v>
      </c>
      <c r="AO15" s="20">
        <f>IF($C15="","",IF(I15="Unarmored",0,IF(OR(I15="Galvanised steel flat strip",I15="Aluminium Flat Strip"),IFERROR(INDEX('Assumptions &amp; Ref'!$C$93:$C$98,IF(INDEX('Assumptions &amp; Ref'!$B$93:$B$98,MATCH(AM15,'Assumptions &amp; Ref'!$B$93:$B$98,1))=AM15,MATCH(AM15,'Assumptions &amp; Ref'!$B$93:$B$98,1),MIN(MATCH(AM15,'Assumptions &amp; Ref'!$B$93:$B$98,1)+1,6))),INDEX('Assumptions &amp; Ref'!$C$93:$C$98,1)),IFERROR(INDEX('Assumptions &amp; Ref'!$D$93:$D$98,IF(INDEX('Assumptions &amp; Ref'!$B$93:$B$98,MATCH(AM15,'Assumptions &amp; Ref'!$B$93:$B$98,1))=AM15,MATCH(AM15,'Assumptions &amp; Ref'!$B$93:$B$98,1),MIN(MATCH(AM15,'Assumptions &amp; Ref'!$B$93:$B$98,1)+1,6))),INDEX('Assumptions &amp; Ref'!$D$93:$D$98,1)))))</f>
        <v>1.6</v>
      </c>
      <c r="AP15" s="20">
        <f t="shared" ref="AP15" si="91">IF($C15="","",AM15+2*AO15)</f>
        <v>10.9</v>
      </c>
      <c r="AQ15" s="20">
        <f t="shared" ref="AQ15" si="92">IF($C15="","",IF(I15="Unarmored",0,IF(OR(I15="Aluminium Flat Strip",I15="Aluminium Round Wired"),INDEX($C$5:$G$5,MATCH("Aluminium",$C$4:$G$4,0)),INDEX($C$5:$G$5,MATCH("Steel Wire",$C$4:$G$4,0)))))</f>
        <v>7.76</v>
      </c>
      <c r="AR15" s="20">
        <f>IF($C15="","",IF(I15="Unarmored",IFERROR(INDEX('Assumptions &amp; Ref'!$J$70:$J$81,IF(INDEX('Assumptions &amp; Ref'!$I$70:$I$81,MATCH(AP15,'Assumptions &amp; Ref'!$I$70:$I$81,1))=AP15,MATCH(AP15,'Assumptions &amp; Ref'!$I$70:$I$81,1),MIN(MATCH(AP15,'Assumptions &amp; Ref'!$I$70:$I$81,1)+1,12))),INDEX('Assumptions &amp; Ref'!$J$70:$J$81,1)),IFERROR(INDEX('Assumptions &amp; Ref'!$K$70:$K$81,IF(INDEX('Assumptions &amp; Ref'!$I$70:$I$81,MATCH(AP15,'Assumptions &amp; Ref'!$I$70:$I$81,1))=AP15,MATCH(AP15,'Assumptions &amp; Ref'!$I$70:$I$81,1),MIN(MATCH(AP15,'Assumptions &amp; Ref'!$I$70:$I$81,1)+1,12))),INDEX('Assumptions &amp; Ref'!$K$70:$K$81,1))))</f>
        <v>1.4</v>
      </c>
      <c r="AS15" s="20">
        <f t="shared" ref="AS15" si="93">IF($C15="","",AP15+2*AR15)</f>
        <v>13.7</v>
      </c>
      <c r="AT15" s="20">
        <f t="shared" ref="AT15" si="94">IF($C15="","",INDEX($C$5:$G$5,MATCH(J15,$C$4:$G$4,0)))</f>
        <v>0.93</v>
      </c>
      <c r="AU15" s="20">
        <f t="shared" ref="AU15" si="95">IF($C15="","",TRUNC(AS15+1))</f>
        <v>14</v>
      </c>
      <c r="AV15" s="20">
        <f>IF($C15="","",((E15*AC15*IF(C15=3.5,3,C15))+(AG15*AC15*IF(C15=3.5,1,0)))*(1+'Assumptions &amp; Ref'!$C$22))</f>
        <v>67.720500000000001</v>
      </c>
      <c r="AW15" s="20">
        <f>IF($C15="","",IF(C15=3.5,(PI()*(AE15^2-AB15^2)/4*AF15*3)+(PI()*(AJ15^2-AH15^2)/4*AF15),PI()*(AE15^2-AB15^2)/4*AF15*C15)*(1+'Assumptions &amp; Ref'!$C$22))</f>
        <v>15.393833353971239</v>
      </c>
      <c r="AX15" s="20">
        <f>IF($C15="","",PI()*(AM15^2-AK15^2)/4*AN15*(1+'Assumptions &amp; Ref'!$C$22))</f>
        <v>12.507999822855474</v>
      </c>
      <c r="AY15" s="20">
        <f>IF($C15="","",PI()*(AS15^2-AP15^2)/4*AT15*(1+'Assumptions &amp; Ref'!$C$22))</f>
        <v>50.814463207280873</v>
      </c>
      <c r="AZ15" s="20">
        <f>IF($C15="","",PI()*(AP15^2-AM15^2)/4*AQ15*(1+'Assumptions &amp; Ref'!$C$22))</f>
        <v>366.38349313681738</v>
      </c>
      <c r="BA15" s="21">
        <f t="shared" ref="BA15" si="96">IF($C15="","",AV15*INDEX($C$6:$G$6,MATCH(F15,$C$4:$G$4,0))+IF(G15="XLPE",AW15*INDEX($C$6:$G$6,MATCH("XLPE",$C$4:$G$4,0)),0)+IF(G15="PVC",(AW15+AX15+AY15)*INDEX($C$6:$G$6,MATCH("PVC",$C$4:$G$4,0)),(AX15+AY15)*INDEX($C$6:$G$6,MATCH("PVC",$C$4:$G$4,0)))+IF(I15="Unarmored",0,IF(OR(I15="Aluminium Flat Strip",I15="Aluminium Round Wired"),AZ15*INDEX($C$6:$G$6,MATCH("Aluminium",$C$4:$G$4,0)),AZ15*INDEX($C$6:$G$6,MATCH("Steel Wire",$C$4:$G$4,0)))))</f>
        <v>130164.80633910335</v>
      </c>
      <c r="BB15" s="22">
        <f>IF($C15="","",IF(K15="Y",'Assumptions &amp; Ref'!$C$40,0)+IF(L15="Y",'Assumptions &amp; Ref'!$C$41,0)+IF(M15="Y",'Assumptions &amp; Ref'!$C$42,0)+IF(N15="Y",'Assumptions &amp; Ref'!$C$43,0)+IF(O15="Y",'Assumptions &amp; Ref'!$C$44,0)+IF(P15="Y",'Assumptions &amp; Ref'!$C$45,0)+IF(Q15="Y",'Assumptions &amp; Ref'!$C$46,0)+IF(R15="Y",'Assumptions &amp; Ref'!$C$47,0)+IF(S15="Y",'Assumptions &amp; Ref'!$C$48,0)+IF(T15="Y",'Assumptions &amp; Ref'!$C$49,0))</f>
        <v>0</v>
      </c>
      <c r="BC15" s="23">
        <f>IF($C15="","",(IF($F15="Aluminium",'Assumptions &amp; Ref'!$D$17,'Assumptions &amp; Ref'!$C$17)+IF($F15="Aluminium",'Assumptions &amp; Ref'!$D$18,'Assumptions &amp; Ref'!$C$18)+IF($F15="Aluminium",'Assumptions &amp; Ref'!$D$19,'Assumptions &amp; Ref'!$C$19)+IF($F15="Aluminium",'Assumptions &amp; Ref'!$D$20,'Assumptions &amp; Ref'!$C$20))/IF($F15="Aluminium",'Assumptions &amp; Ref'!$D$16,'Assumptions &amp; Ref'!$C$16))</f>
        <v>0.17647058823529413</v>
      </c>
      <c r="BD15" s="23">
        <f>IF($C15="","",(IF($F15="Aluminium",'Assumptions &amp; Ref'!$F$17,'Assumptions &amp; Ref'!$E$17)+IF($F15="Aluminium",'Assumptions &amp; Ref'!$F$18,'Assumptions &amp; Ref'!$E$18)+IF($F15="Aluminium",'Assumptions &amp; Ref'!$F$19,'Assumptions &amp; Ref'!$E$19)+IF($F15="Aluminium",'Assumptions &amp; Ref'!$F$20,'Assumptions &amp; Ref'!$E$20))/IF($F15="Aluminium",'Assumptions &amp; Ref'!$F$16,'Assumptions &amp; Ref'!$E$16))</f>
        <v>0.11111111111111112</v>
      </c>
      <c r="BE15" s="21">
        <f t="shared" ref="BE15" si="97">IF($C15="","",BA15*(1+BC15))</f>
        <v>153135.06628129806</v>
      </c>
      <c r="BF15" s="21">
        <f t="shared" ref="BF15" si="98">IF($C15="","",BA15*(1+BD15))</f>
        <v>144627.56259900372</v>
      </c>
      <c r="BG15" s="21">
        <f>IF($C15="","",BE15*(1+BB15)*(1+IF($F15="Aluminium",'Assumptions &amp; Ref'!$D$21,'Assumptions &amp; Ref'!$C$21)))</f>
        <v>159260.46893254999</v>
      </c>
      <c r="BH15" s="21">
        <f>IF($C15="","",BF15*(1+BB15)*(1+IF($F15="Aluminium",'Assumptions &amp; Ref'!$F$21,'Assumptions &amp; Ref'!$E$21)))</f>
        <v>150412.66510296389</v>
      </c>
    </row>
    <row r="16" spans="2:60" ht="15" customHeight="1" x14ac:dyDescent="0.25">
      <c r="B16" s="13"/>
      <c r="C16" s="14"/>
      <c r="D16" s="14"/>
      <c r="E16" s="14"/>
      <c r="F16" s="14"/>
      <c r="G16" s="14"/>
      <c r="H16" s="14"/>
      <c r="I16" s="14"/>
      <c r="J16" s="14"/>
      <c r="K16" s="15"/>
      <c r="L16" s="15"/>
      <c r="M16" s="15"/>
      <c r="N16" s="15"/>
      <c r="O16" s="15"/>
      <c r="P16" s="15"/>
      <c r="Q16" s="15"/>
      <c r="R16" s="15"/>
      <c r="S16" s="15"/>
      <c r="T16" s="15"/>
      <c r="U16" s="16" t="str">
        <f t="shared" ref="U15:U33" si="99">IF($C16="","",MIN(BG16,BH16))</f>
        <v/>
      </c>
      <c r="V16" s="16" t="str">
        <f t="shared" ref="V15:V33" si="100">IF($C16="","",MAX(BG16,BH16))</f>
        <v/>
      </c>
      <c r="W16" s="17" t="str">
        <f t="shared" ref="W15:W33" si="101">IF($C16="","",BA16)</f>
        <v/>
      </c>
      <c r="X16" s="18" t="str">
        <f t="shared" ref="X15:X33" si="102">IF($C16="","",AU16)</f>
        <v/>
      </c>
      <c r="Y16" s="19" t="str">
        <f t="shared" ref="Y15:Y33" si="103">IF($C16="","",IF(F16="Copper",AV16,0))</f>
        <v/>
      </c>
      <c r="AA16" s="20" t="str">
        <f t="shared" si="1"/>
        <v/>
      </c>
      <c r="AB16" s="20" t="str">
        <f t="shared" si="2"/>
        <v/>
      </c>
      <c r="AC16" s="20" t="str">
        <f t="shared" si="3"/>
        <v/>
      </c>
      <c r="AD16" s="20" t="str">
        <f>IF($C16="","",IF(AND(C16=1,I16="Unarmored"),INDEX('Assumptions &amp; Ref'!$C$70:$C$90,MATCH(E16,'Assumptions &amp; Ref'!$B$70:$B$90,0)),INDEX('Assumptions &amp; Ref'!$D$70:$D$90,MATCH(E16,'Assumptions &amp; Ref'!$B$70:$B$90,0))))</f>
        <v/>
      </c>
      <c r="AE16" s="20" t="str">
        <f t="shared" si="4"/>
        <v/>
      </c>
      <c r="AF16" s="20" t="str">
        <f t="shared" si="5"/>
        <v/>
      </c>
      <c r="AG16" s="20" t="str">
        <f>IF($C16="","",IF(C16=3.5,IFERROR(INDEX('Assumptions &amp; Ref'!$G$93:$G$105,MATCH(E16,'Assumptions &amp; Ref'!$F$93:$F$105,0)),0),0))</f>
        <v/>
      </c>
      <c r="AH16" s="20" t="str">
        <f t="shared" si="6"/>
        <v/>
      </c>
      <c r="AI16" s="20" t="str">
        <f>IF($C16="","",IF(C16=3.5,IFERROR(INDEX('Assumptions &amp; Ref'!$D$70:$D$90,MATCH(AG16,'Assumptions &amp; Ref'!$B$70:$B$90,0)),0),0))</f>
        <v/>
      </c>
      <c r="AJ16" s="20" t="str">
        <f t="shared" si="7"/>
        <v/>
      </c>
      <c r="AK16" s="20" t="str">
        <f t="shared" si="8"/>
        <v/>
      </c>
      <c r="AL16" s="20" t="str">
        <f>IF($C16="","",IFERROR(INDEX('Assumptions &amp; Ref'!$G$70:$G$74,IF(INDEX('Assumptions &amp; Ref'!$F$70:$F$74,MATCH(AK16,'Assumptions &amp; Ref'!$F$70:$F$74,1))=AK16,MATCH(AK16,'Assumptions &amp; Ref'!$F$70:$F$74,1),MIN(MATCH(AK16,'Assumptions &amp; Ref'!$F$70:$F$74,1)+1,5))),INDEX('Assumptions &amp; Ref'!$G$70:$G$74,1)))</f>
        <v/>
      </c>
      <c r="AM16" s="20" t="str">
        <f t="shared" si="9"/>
        <v/>
      </c>
      <c r="AN16" s="20" t="str">
        <f t="shared" si="10"/>
        <v/>
      </c>
      <c r="AO16" s="20" t="str">
        <f>IF($C16="","",IF(I16="Unarmored",0,IF(OR(I16="Galvanised steel flat strip",I16="Aluminium Flat Strip"),IFERROR(INDEX('Assumptions &amp; Ref'!$C$93:$C$98,IF(INDEX('Assumptions &amp; Ref'!$B$93:$B$98,MATCH(AM16,'Assumptions &amp; Ref'!$B$93:$B$98,1))=AM16,MATCH(AM16,'Assumptions &amp; Ref'!$B$93:$B$98,1),MIN(MATCH(AM16,'Assumptions &amp; Ref'!$B$93:$B$98,1)+1,6))),INDEX('Assumptions &amp; Ref'!$C$93:$C$98,1)),IFERROR(INDEX('Assumptions &amp; Ref'!$D$93:$D$98,IF(INDEX('Assumptions &amp; Ref'!$B$93:$B$98,MATCH(AM16,'Assumptions &amp; Ref'!$B$93:$B$98,1))=AM16,MATCH(AM16,'Assumptions &amp; Ref'!$B$93:$B$98,1),MIN(MATCH(AM16,'Assumptions &amp; Ref'!$B$93:$B$98,1)+1,6))),INDEX('Assumptions &amp; Ref'!$D$93:$D$98,1)))))</f>
        <v/>
      </c>
      <c r="AP16" s="20" t="str">
        <f t="shared" si="11"/>
        <v/>
      </c>
      <c r="AQ16" s="20" t="str">
        <f t="shared" si="12"/>
        <v/>
      </c>
      <c r="AR16" s="20" t="str">
        <f>IF($C16="","",IF(I16="Unarmored",IFERROR(INDEX('Assumptions &amp; Ref'!$J$70:$J$81,IF(INDEX('Assumptions &amp; Ref'!$I$70:$I$81,MATCH(AP16,'Assumptions &amp; Ref'!$I$70:$I$81,1))=AP16,MATCH(AP16,'Assumptions &amp; Ref'!$I$70:$I$81,1),MIN(MATCH(AP16,'Assumptions &amp; Ref'!$I$70:$I$81,1)+1,12))),INDEX('Assumptions &amp; Ref'!$J$70:$J$81,1)),IFERROR(INDEX('Assumptions &amp; Ref'!$K$70:$K$81,IF(INDEX('Assumptions &amp; Ref'!$I$70:$I$81,MATCH(AP16,'Assumptions &amp; Ref'!$I$70:$I$81,1))=AP16,MATCH(AP16,'Assumptions &amp; Ref'!$I$70:$I$81,1),MIN(MATCH(AP16,'Assumptions &amp; Ref'!$I$70:$I$81,1)+1,12))),INDEX('Assumptions &amp; Ref'!$K$70:$K$81,1))))</f>
        <v/>
      </c>
      <c r="AS16" s="20" t="str">
        <f t="shared" si="13"/>
        <v/>
      </c>
      <c r="AT16" s="20" t="str">
        <f t="shared" si="14"/>
        <v/>
      </c>
      <c r="AU16" s="20" t="str">
        <f t="shared" si="15"/>
        <v/>
      </c>
      <c r="AV16" s="20" t="str">
        <f>IF($C16="","",((E16*AC16*IF(C16=3.5,3,C16))+(AG16*AC16*IF(C16=3.5,1,0)))*(1+'Assumptions &amp; Ref'!$C$22))</f>
        <v/>
      </c>
      <c r="AW16" s="20" t="str">
        <f>IF($C16="","",IF(C16=3.5,(PI()*(AE16^2-AB16^2)/4*AF16*3)+(PI()*(AJ16^2-AH16^2)/4*AF16),PI()*(AE16^2-AB16^2)/4*AF16*C16)*(1+'Assumptions &amp; Ref'!$C$22))</f>
        <v/>
      </c>
      <c r="AX16" s="20" t="str">
        <f>IF($C16="","",PI()*(AM16^2-AK16^2)/4*AN16*(1+'Assumptions &amp; Ref'!$C$22))</f>
        <v/>
      </c>
      <c r="AY16" s="20" t="str">
        <f>IF($C16="","",PI()*(AS16^2-AP16^2)/4*AT16*(1+'Assumptions &amp; Ref'!$C$22))</f>
        <v/>
      </c>
      <c r="AZ16" s="20" t="str">
        <f>IF($C16="","",PI()*(AP16^2-AM16^2)/4*AQ16*(1+'Assumptions &amp; Ref'!$C$22))</f>
        <v/>
      </c>
      <c r="BA16" s="21" t="str">
        <f t="shared" si="16"/>
        <v/>
      </c>
      <c r="BB16" s="22" t="str">
        <f>IF($C16="","",IF(K16="Y",'Assumptions &amp; Ref'!$C$40,0)+IF(L16="Y",'Assumptions &amp; Ref'!$C$41,0)+IF(M16="Y",'Assumptions &amp; Ref'!$C$42,0)+IF(N16="Y",'Assumptions &amp; Ref'!$C$43,0)+IF(O16="Y",'Assumptions &amp; Ref'!$C$44,0)+IF(P16="Y",'Assumptions &amp; Ref'!$C$45,0)+IF(Q16="Y",'Assumptions &amp; Ref'!$C$46,0)+IF(R16="Y",'Assumptions &amp; Ref'!$C$47,0)+IF(S16="Y",'Assumptions &amp; Ref'!$C$48,0)+IF(T16="Y",'Assumptions &amp; Ref'!$C$49,0))</f>
        <v/>
      </c>
      <c r="BC16" s="23" t="str">
        <f>IF($C16="","",(IF($F16="Aluminium",'Assumptions &amp; Ref'!$D$17,'Assumptions &amp; Ref'!$C$17)+IF($F16="Aluminium",'Assumptions &amp; Ref'!$D$18,'Assumptions &amp; Ref'!$C$18)+IF($F16="Aluminium",'Assumptions &amp; Ref'!$D$19,'Assumptions &amp; Ref'!$C$19)+IF($F16="Aluminium",'Assumptions &amp; Ref'!$D$20,'Assumptions &amp; Ref'!$C$20))/IF($F16="Aluminium",'Assumptions &amp; Ref'!$D$16,'Assumptions &amp; Ref'!$C$16))</f>
        <v/>
      </c>
      <c r="BD16" s="23" t="str">
        <f>IF($C16="","",(IF($F16="Aluminium",'Assumptions &amp; Ref'!$F$17,'Assumptions &amp; Ref'!$E$17)+IF($F16="Aluminium",'Assumptions &amp; Ref'!$F$18,'Assumptions &amp; Ref'!$E$18)+IF($F16="Aluminium",'Assumptions &amp; Ref'!$F$19,'Assumptions &amp; Ref'!$E$19)+IF($F16="Aluminium",'Assumptions &amp; Ref'!$F$20,'Assumptions &amp; Ref'!$E$20))/IF($F16="Aluminium",'Assumptions &amp; Ref'!$F$16,'Assumptions &amp; Ref'!$E$16))</f>
        <v/>
      </c>
      <c r="BE16" s="21" t="str">
        <f t="shared" si="17"/>
        <v/>
      </c>
      <c r="BF16" s="21" t="str">
        <f t="shared" si="18"/>
        <v/>
      </c>
      <c r="BG16" s="21" t="str">
        <f>IF($C16="","",BE16*(1+BB16)*(1+IF($F16="Aluminium",'Assumptions &amp; Ref'!$D$21,'Assumptions &amp; Ref'!$C$21)))</f>
        <v/>
      </c>
      <c r="BH16" s="21" t="str">
        <f>IF($C16="","",BF16*(1+BB16)*(1+IF($F16="Aluminium",'Assumptions &amp; Ref'!$F$21,'Assumptions &amp; Ref'!$E$21)))</f>
        <v/>
      </c>
    </row>
    <row r="17" spans="2:60" ht="15" customHeight="1" x14ac:dyDescent="0.25">
      <c r="B17" s="13"/>
      <c r="C17" s="14"/>
      <c r="D17" s="14"/>
      <c r="E17" s="14"/>
      <c r="F17" s="14"/>
      <c r="G17" s="14"/>
      <c r="H17" s="14"/>
      <c r="I17" s="14"/>
      <c r="J17" s="14"/>
      <c r="K17" s="15"/>
      <c r="L17" s="15"/>
      <c r="M17" s="15"/>
      <c r="N17" s="15"/>
      <c r="O17" s="15"/>
      <c r="P17" s="15"/>
      <c r="Q17" s="15"/>
      <c r="R17" s="15"/>
      <c r="S17" s="15"/>
      <c r="T17" s="15"/>
      <c r="U17" s="16" t="str">
        <f t="shared" si="99"/>
        <v/>
      </c>
      <c r="V17" s="16" t="str">
        <f t="shared" si="100"/>
        <v/>
      </c>
      <c r="W17" s="17" t="str">
        <f t="shared" si="101"/>
        <v/>
      </c>
      <c r="X17" s="18" t="str">
        <f t="shared" si="102"/>
        <v/>
      </c>
      <c r="Y17" s="19" t="str">
        <f t="shared" si="103"/>
        <v/>
      </c>
      <c r="AA17" s="20" t="str">
        <f t="shared" si="1"/>
        <v/>
      </c>
      <c r="AB17" s="20" t="str">
        <f t="shared" si="2"/>
        <v/>
      </c>
      <c r="AC17" s="20" t="str">
        <f t="shared" si="3"/>
        <v/>
      </c>
      <c r="AD17" s="20" t="str">
        <f>IF($C17="","",IF(AND(C17=1,I17="Unarmored"),INDEX('Assumptions &amp; Ref'!$C$70:$C$90,MATCH(E17,'Assumptions &amp; Ref'!$B$70:$B$90,0)),INDEX('Assumptions &amp; Ref'!$D$70:$D$90,MATCH(E17,'Assumptions &amp; Ref'!$B$70:$B$90,0))))</f>
        <v/>
      </c>
      <c r="AE17" s="20" t="str">
        <f t="shared" si="4"/>
        <v/>
      </c>
      <c r="AF17" s="20" t="str">
        <f t="shared" si="5"/>
        <v/>
      </c>
      <c r="AG17" s="20" t="str">
        <f>IF($C17="","",IF(C17=3.5,IFERROR(INDEX('Assumptions &amp; Ref'!$G$93:$G$105,MATCH(E17,'Assumptions &amp; Ref'!$F$93:$F$105,0)),0),0))</f>
        <v/>
      </c>
      <c r="AH17" s="20" t="str">
        <f t="shared" si="6"/>
        <v/>
      </c>
      <c r="AI17" s="20" t="str">
        <f>IF($C17="","",IF(C17=3.5,IFERROR(INDEX('Assumptions &amp; Ref'!$D$70:$D$90,MATCH(AG17,'Assumptions &amp; Ref'!$B$70:$B$90,0)),0),0))</f>
        <v/>
      </c>
      <c r="AJ17" s="20" t="str">
        <f t="shared" si="7"/>
        <v/>
      </c>
      <c r="AK17" s="20" t="str">
        <f t="shared" si="8"/>
        <v/>
      </c>
      <c r="AL17" s="20" t="str">
        <f>IF($C17="","",IFERROR(INDEX('Assumptions &amp; Ref'!$G$70:$G$74,IF(INDEX('Assumptions &amp; Ref'!$F$70:$F$74,MATCH(AK17,'Assumptions &amp; Ref'!$F$70:$F$74,1))=AK17,MATCH(AK17,'Assumptions &amp; Ref'!$F$70:$F$74,1),MIN(MATCH(AK17,'Assumptions &amp; Ref'!$F$70:$F$74,1)+1,5))),INDEX('Assumptions &amp; Ref'!$G$70:$G$74,1)))</f>
        <v/>
      </c>
      <c r="AM17" s="20" t="str">
        <f t="shared" si="9"/>
        <v/>
      </c>
      <c r="AN17" s="20" t="str">
        <f t="shared" si="10"/>
        <v/>
      </c>
      <c r="AO17" s="20" t="str">
        <f>IF($C17="","",IF(I17="Unarmored",0,IF(OR(I17="Galvanised steel flat strip",I17="Aluminium Flat Strip"),IFERROR(INDEX('Assumptions &amp; Ref'!$C$93:$C$98,IF(INDEX('Assumptions &amp; Ref'!$B$93:$B$98,MATCH(AM17,'Assumptions &amp; Ref'!$B$93:$B$98,1))=AM17,MATCH(AM17,'Assumptions &amp; Ref'!$B$93:$B$98,1),MIN(MATCH(AM17,'Assumptions &amp; Ref'!$B$93:$B$98,1)+1,6))),INDEX('Assumptions &amp; Ref'!$C$93:$C$98,1)),IFERROR(INDEX('Assumptions &amp; Ref'!$D$93:$D$98,IF(INDEX('Assumptions &amp; Ref'!$B$93:$B$98,MATCH(AM17,'Assumptions &amp; Ref'!$B$93:$B$98,1))=AM17,MATCH(AM17,'Assumptions &amp; Ref'!$B$93:$B$98,1),MIN(MATCH(AM17,'Assumptions &amp; Ref'!$B$93:$B$98,1)+1,6))),INDEX('Assumptions &amp; Ref'!$D$93:$D$98,1)))))</f>
        <v/>
      </c>
      <c r="AP17" s="20" t="str">
        <f t="shared" si="11"/>
        <v/>
      </c>
      <c r="AQ17" s="20" t="str">
        <f t="shared" si="12"/>
        <v/>
      </c>
      <c r="AR17" s="20" t="str">
        <f>IF($C17="","",IF(I17="Unarmored",IFERROR(INDEX('Assumptions &amp; Ref'!$J$70:$J$81,IF(INDEX('Assumptions &amp; Ref'!$I$70:$I$81,MATCH(AP17,'Assumptions &amp; Ref'!$I$70:$I$81,1))=AP17,MATCH(AP17,'Assumptions &amp; Ref'!$I$70:$I$81,1),MIN(MATCH(AP17,'Assumptions &amp; Ref'!$I$70:$I$81,1)+1,12))),INDEX('Assumptions &amp; Ref'!$J$70:$J$81,1)),IFERROR(INDEX('Assumptions &amp; Ref'!$K$70:$K$81,IF(INDEX('Assumptions &amp; Ref'!$I$70:$I$81,MATCH(AP17,'Assumptions &amp; Ref'!$I$70:$I$81,1))=AP17,MATCH(AP17,'Assumptions &amp; Ref'!$I$70:$I$81,1),MIN(MATCH(AP17,'Assumptions &amp; Ref'!$I$70:$I$81,1)+1,12))),INDEX('Assumptions &amp; Ref'!$K$70:$K$81,1))))</f>
        <v/>
      </c>
      <c r="AS17" s="20" t="str">
        <f t="shared" si="13"/>
        <v/>
      </c>
      <c r="AT17" s="20" t="str">
        <f t="shared" si="14"/>
        <v/>
      </c>
      <c r="AU17" s="20" t="str">
        <f t="shared" si="15"/>
        <v/>
      </c>
      <c r="AV17" s="20" t="str">
        <f>IF($C17="","",((E17*AC17*IF(C17=3.5,3,C17))+(AG17*AC17*IF(C17=3.5,1,0)))*(1+'Assumptions &amp; Ref'!$C$22))</f>
        <v/>
      </c>
      <c r="AW17" s="20" t="str">
        <f>IF($C17="","",IF(C17=3.5,(PI()*(AE17^2-AB17^2)/4*AF17*3)+(PI()*(AJ17^2-AH17^2)/4*AF17),PI()*(AE17^2-AB17^2)/4*AF17*C17)*(1+'Assumptions &amp; Ref'!$C$22))</f>
        <v/>
      </c>
      <c r="AX17" s="20" t="str">
        <f>IF($C17="","",PI()*(AM17^2-AK17^2)/4*AN17*(1+'Assumptions &amp; Ref'!$C$22))</f>
        <v/>
      </c>
      <c r="AY17" s="20" t="str">
        <f>IF($C17="","",PI()*(AS17^2-AP17^2)/4*AT17*(1+'Assumptions &amp; Ref'!$C$22))</f>
        <v/>
      </c>
      <c r="AZ17" s="20" t="str">
        <f>IF($C17="","",PI()*(AP17^2-AM17^2)/4*AQ17*(1+'Assumptions &amp; Ref'!$C$22))</f>
        <v/>
      </c>
      <c r="BA17" s="21" t="str">
        <f t="shared" si="16"/>
        <v/>
      </c>
      <c r="BB17" s="22" t="str">
        <f>IF($C17="","",IF(K17="Y",'Assumptions &amp; Ref'!$C$40,0)+IF(L17="Y",'Assumptions &amp; Ref'!$C$41,0)+IF(M17="Y",'Assumptions &amp; Ref'!$C$42,0)+IF(N17="Y",'Assumptions &amp; Ref'!$C$43,0)+IF(O17="Y",'Assumptions &amp; Ref'!$C$44,0)+IF(P17="Y",'Assumptions &amp; Ref'!$C$45,0)+IF(Q17="Y",'Assumptions &amp; Ref'!$C$46,0)+IF(R17="Y",'Assumptions &amp; Ref'!$C$47,0)+IF(S17="Y",'Assumptions &amp; Ref'!$C$48,0)+IF(T17="Y",'Assumptions &amp; Ref'!$C$49,0))</f>
        <v/>
      </c>
      <c r="BC17" s="23" t="str">
        <f>IF($C17="","",(IF($F17="Aluminium",'Assumptions &amp; Ref'!$D$17,'Assumptions &amp; Ref'!$C$17)+IF($F17="Aluminium",'Assumptions &amp; Ref'!$D$18,'Assumptions &amp; Ref'!$C$18)+IF($F17="Aluminium",'Assumptions &amp; Ref'!$D$19,'Assumptions &amp; Ref'!$C$19)+IF($F17="Aluminium",'Assumptions &amp; Ref'!$D$20,'Assumptions &amp; Ref'!$C$20))/IF($F17="Aluminium",'Assumptions &amp; Ref'!$D$16,'Assumptions &amp; Ref'!$C$16))</f>
        <v/>
      </c>
      <c r="BD17" s="23" t="str">
        <f>IF($C17="","",(IF($F17="Aluminium",'Assumptions &amp; Ref'!$F$17,'Assumptions &amp; Ref'!$E$17)+IF($F17="Aluminium",'Assumptions &amp; Ref'!$F$18,'Assumptions &amp; Ref'!$E$18)+IF($F17="Aluminium",'Assumptions &amp; Ref'!$F$19,'Assumptions &amp; Ref'!$E$19)+IF($F17="Aluminium",'Assumptions &amp; Ref'!$F$20,'Assumptions &amp; Ref'!$E$20))/IF($F17="Aluminium",'Assumptions &amp; Ref'!$F$16,'Assumptions &amp; Ref'!$E$16))</f>
        <v/>
      </c>
      <c r="BE17" s="21" t="str">
        <f t="shared" si="17"/>
        <v/>
      </c>
      <c r="BF17" s="21" t="str">
        <f t="shared" si="18"/>
        <v/>
      </c>
      <c r="BG17" s="21" t="str">
        <f>IF($C17="","",BE17*(1+BB17)*(1+IF($F17="Aluminium",'Assumptions &amp; Ref'!$D$21,'Assumptions &amp; Ref'!$C$21)))</f>
        <v/>
      </c>
      <c r="BH17" s="21" t="str">
        <f>IF($C17="","",BF17*(1+BB17)*(1+IF($F17="Aluminium",'Assumptions &amp; Ref'!$F$21,'Assumptions &amp; Ref'!$E$21)))</f>
        <v/>
      </c>
    </row>
    <row r="18" spans="2:60" ht="15" customHeight="1" x14ac:dyDescent="0.25">
      <c r="B18" s="13"/>
      <c r="C18" s="14"/>
      <c r="D18" s="14"/>
      <c r="E18" s="14"/>
      <c r="F18" s="14"/>
      <c r="G18" s="14"/>
      <c r="H18" s="14"/>
      <c r="I18" s="14"/>
      <c r="J18" s="14"/>
      <c r="K18" s="15"/>
      <c r="L18" s="15"/>
      <c r="M18" s="15"/>
      <c r="N18" s="15"/>
      <c r="O18" s="15"/>
      <c r="P18" s="15"/>
      <c r="Q18" s="15"/>
      <c r="R18" s="15"/>
      <c r="S18" s="15"/>
      <c r="T18" s="15"/>
      <c r="U18" s="16" t="str">
        <f t="shared" si="99"/>
        <v/>
      </c>
      <c r="V18" s="16" t="str">
        <f t="shared" si="100"/>
        <v/>
      </c>
      <c r="W18" s="17" t="str">
        <f t="shared" si="101"/>
        <v/>
      </c>
      <c r="X18" s="18" t="str">
        <f t="shared" si="102"/>
        <v/>
      </c>
      <c r="Y18" s="19" t="str">
        <f t="shared" si="103"/>
        <v/>
      </c>
      <c r="AA18" s="20" t="str">
        <f t="shared" si="1"/>
        <v/>
      </c>
      <c r="AB18" s="20" t="str">
        <f t="shared" si="2"/>
        <v/>
      </c>
      <c r="AC18" s="20" t="str">
        <f t="shared" si="3"/>
        <v/>
      </c>
      <c r="AD18" s="20" t="str">
        <f>IF($C18="","",IF(AND(C18=1,I18="Unarmored"),INDEX('Assumptions &amp; Ref'!$C$70:$C$90,MATCH(E18,'Assumptions &amp; Ref'!$B$70:$B$90,0)),INDEX('Assumptions &amp; Ref'!$D$70:$D$90,MATCH(E18,'Assumptions &amp; Ref'!$B$70:$B$90,0))))</f>
        <v/>
      </c>
      <c r="AE18" s="20" t="str">
        <f t="shared" si="4"/>
        <v/>
      </c>
      <c r="AF18" s="20" t="str">
        <f t="shared" si="5"/>
        <v/>
      </c>
      <c r="AG18" s="20" t="str">
        <f>IF($C18="","",IF(C18=3.5,IFERROR(INDEX('Assumptions &amp; Ref'!$G$93:$G$105,MATCH(E18,'Assumptions &amp; Ref'!$F$93:$F$105,0)),0),0))</f>
        <v/>
      </c>
      <c r="AH18" s="20" t="str">
        <f t="shared" si="6"/>
        <v/>
      </c>
      <c r="AI18" s="20" t="str">
        <f>IF($C18="","",IF(C18=3.5,IFERROR(INDEX('Assumptions &amp; Ref'!$D$70:$D$90,MATCH(AG18,'Assumptions &amp; Ref'!$B$70:$B$90,0)),0),0))</f>
        <v/>
      </c>
      <c r="AJ18" s="20" t="str">
        <f t="shared" si="7"/>
        <v/>
      </c>
      <c r="AK18" s="20" t="str">
        <f t="shared" si="8"/>
        <v/>
      </c>
      <c r="AL18" s="20" t="str">
        <f>IF($C18="","",IFERROR(INDEX('Assumptions &amp; Ref'!$G$70:$G$74,IF(INDEX('Assumptions &amp; Ref'!$F$70:$F$74,MATCH(AK18,'Assumptions &amp; Ref'!$F$70:$F$74,1))=AK18,MATCH(AK18,'Assumptions &amp; Ref'!$F$70:$F$74,1),MIN(MATCH(AK18,'Assumptions &amp; Ref'!$F$70:$F$74,1)+1,5))),INDEX('Assumptions &amp; Ref'!$G$70:$G$74,1)))</f>
        <v/>
      </c>
      <c r="AM18" s="20" t="str">
        <f t="shared" si="9"/>
        <v/>
      </c>
      <c r="AN18" s="20" t="str">
        <f t="shared" si="10"/>
        <v/>
      </c>
      <c r="AO18" s="20" t="str">
        <f>IF($C18="","",IF(I18="Unarmored",0,IF(OR(I18="Galvanised steel flat strip",I18="Aluminium Flat Strip"),IFERROR(INDEX('Assumptions &amp; Ref'!$C$93:$C$98,IF(INDEX('Assumptions &amp; Ref'!$B$93:$B$98,MATCH(AM18,'Assumptions &amp; Ref'!$B$93:$B$98,1))=AM18,MATCH(AM18,'Assumptions &amp; Ref'!$B$93:$B$98,1),MIN(MATCH(AM18,'Assumptions &amp; Ref'!$B$93:$B$98,1)+1,6))),INDEX('Assumptions &amp; Ref'!$C$93:$C$98,1)),IFERROR(INDEX('Assumptions &amp; Ref'!$D$93:$D$98,IF(INDEX('Assumptions &amp; Ref'!$B$93:$B$98,MATCH(AM18,'Assumptions &amp; Ref'!$B$93:$B$98,1))=AM18,MATCH(AM18,'Assumptions &amp; Ref'!$B$93:$B$98,1),MIN(MATCH(AM18,'Assumptions &amp; Ref'!$B$93:$B$98,1)+1,6))),INDEX('Assumptions &amp; Ref'!$D$93:$D$98,1)))))</f>
        <v/>
      </c>
      <c r="AP18" s="20" t="str">
        <f t="shared" si="11"/>
        <v/>
      </c>
      <c r="AQ18" s="20" t="str">
        <f t="shared" si="12"/>
        <v/>
      </c>
      <c r="AR18" s="20" t="str">
        <f>IF($C18="","",IF(I18="Unarmored",IFERROR(INDEX('Assumptions &amp; Ref'!$J$70:$J$81,IF(INDEX('Assumptions &amp; Ref'!$I$70:$I$81,MATCH(AP18,'Assumptions &amp; Ref'!$I$70:$I$81,1))=AP18,MATCH(AP18,'Assumptions &amp; Ref'!$I$70:$I$81,1),MIN(MATCH(AP18,'Assumptions &amp; Ref'!$I$70:$I$81,1)+1,12))),INDEX('Assumptions &amp; Ref'!$J$70:$J$81,1)),IFERROR(INDEX('Assumptions &amp; Ref'!$K$70:$K$81,IF(INDEX('Assumptions &amp; Ref'!$I$70:$I$81,MATCH(AP18,'Assumptions &amp; Ref'!$I$70:$I$81,1))=AP18,MATCH(AP18,'Assumptions &amp; Ref'!$I$70:$I$81,1),MIN(MATCH(AP18,'Assumptions &amp; Ref'!$I$70:$I$81,1)+1,12))),INDEX('Assumptions &amp; Ref'!$K$70:$K$81,1))))</f>
        <v/>
      </c>
      <c r="AS18" s="20" t="str">
        <f t="shared" si="13"/>
        <v/>
      </c>
      <c r="AT18" s="20" t="str">
        <f t="shared" si="14"/>
        <v/>
      </c>
      <c r="AU18" s="20" t="str">
        <f t="shared" si="15"/>
        <v/>
      </c>
      <c r="AV18" s="20" t="str">
        <f>IF($C18="","",((E18*AC18*IF(C18=3.5,3,C18))+(AG18*AC18*IF(C18=3.5,1,0)))*(1+'Assumptions &amp; Ref'!$C$22))</f>
        <v/>
      </c>
      <c r="AW18" s="20" t="str">
        <f>IF($C18="","",IF(C18=3.5,(PI()*(AE18^2-AB18^2)/4*AF18*3)+(PI()*(AJ18^2-AH18^2)/4*AF18),PI()*(AE18^2-AB18^2)/4*AF18*C18)*(1+'Assumptions &amp; Ref'!$C$22))</f>
        <v/>
      </c>
      <c r="AX18" s="20" t="str">
        <f>IF($C18="","",PI()*(AM18^2-AK18^2)/4*AN18*(1+'Assumptions &amp; Ref'!$C$22))</f>
        <v/>
      </c>
      <c r="AY18" s="20" t="str">
        <f>IF($C18="","",PI()*(AS18^2-AP18^2)/4*AT18*(1+'Assumptions &amp; Ref'!$C$22))</f>
        <v/>
      </c>
      <c r="AZ18" s="20" t="str">
        <f>IF($C18="","",PI()*(AP18^2-AM18^2)/4*AQ18*(1+'Assumptions &amp; Ref'!$C$22))</f>
        <v/>
      </c>
      <c r="BA18" s="21" t="str">
        <f t="shared" si="16"/>
        <v/>
      </c>
      <c r="BB18" s="22" t="str">
        <f>IF($C18="","",IF(K18="Y",'Assumptions &amp; Ref'!$C$40,0)+IF(L18="Y",'Assumptions &amp; Ref'!$C$41,0)+IF(M18="Y",'Assumptions &amp; Ref'!$C$42,0)+IF(N18="Y",'Assumptions &amp; Ref'!$C$43,0)+IF(O18="Y",'Assumptions &amp; Ref'!$C$44,0)+IF(P18="Y",'Assumptions &amp; Ref'!$C$45,0)+IF(Q18="Y",'Assumptions &amp; Ref'!$C$46,0)+IF(R18="Y",'Assumptions &amp; Ref'!$C$47,0)+IF(S18="Y",'Assumptions &amp; Ref'!$C$48,0)+IF(T18="Y",'Assumptions &amp; Ref'!$C$49,0))</f>
        <v/>
      </c>
      <c r="BC18" s="23" t="str">
        <f>IF($C18="","",(IF($F18="Aluminium",'Assumptions &amp; Ref'!$D$17,'Assumptions &amp; Ref'!$C$17)+IF($F18="Aluminium",'Assumptions &amp; Ref'!$D$18,'Assumptions &amp; Ref'!$C$18)+IF($F18="Aluminium",'Assumptions &amp; Ref'!$D$19,'Assumptions &amp; Ref'!$C$19)+IF($F18="Aluminium",'Assumptions &amp; Ref'!$D$20,'Assumptions &amp; Ref'!$C$20))/IF($F18="Aluminium",'Assumptions &amp; Ref'!$D$16,'Assumptions &amp; Ref'!$C$16))</f>
        <v/>
      </c>
      <c r="BD18" s="23" t="str">
        <f>IF($C18="","",(IF($F18="Aluminium",'Assumptions &amp; Ref'!$F$17,'Assumptions &amp; Ref'!$E$17)+IF($F18="Aluminium",'Assumptions &amp; Ref'!$F$18,'Assumptions &amp; Ref'!$E$18)+IF($F18="Aluminium",'Assumptions &amp; Ref'!$F$19,'Assumptions &amp; Ref'!$E$19)+IF($F18="Aluminium",'Assumptions &amp; Ref'!$F$20,'Assumptions &amp; Ref'!$E$20))/IF($F18="Aluminium",'Assumptions &amp; Ref'!$F$16,'Assumptions &amp; Ref'!$E$16))</f>
        <v/>
      </c>
      <c r="BE18" s="21" t="str">
        <f t="shared" si="17"/>
        <v/>
      </c>
      <c r="BF18" s="21" t="str">
        <f t="shared" si="18"/>
        <v/>
      </c>
      <c r="BG18" s="21" t="str">
        <f>IF($C18="","",BE18*(1+BB18)*(1+IF($F18="Aluminium",'Assumptions &amp; Ref'!$D$21,'Assumptions &amp; Ref'!$C$21)))</f>
        <v/>
      </c>
      <c r="BH18" s="21" t="str">
        <f>IF($C18="","",BF18*(1+BB18)*(1+IF($F18="Aluminium",'Assumptions &amp; Ref'!$F$21,'Assumptions &amp; Ref'!$E$21)))</f>
        <v/>
      </c>
    </row>
    <row r="19" spans="2:60" ht="15" customHeight="1" x14ac:dyDescent="0.25">
      <c r="B19" s="13"/>
      <c r="C19" s="14"/>
      <c r="D19" s="14"/>
      <c r="E19" s="14"/>
      <c r="F19" s="14"/>
      <c r="G19" s="14"/>
      <c r="H19" s="14"/>
      <c r="I19" s="14"/>
      <c r="J19" s="14"/>
      <c r="K19" s="15"/>
      <c r="L19" s="15"/>
      <c r="M19" s="15"/>
      <c r="N19" s="15"/>
      <c r="O19" s="15"/>
      <c r="P19" s="15"/>
      <c r="Q19" s="15"/>
      <c r="R19" s="15"/>
      <c r="S19" s="15"/>
      <c r="T19" s="15"/>
      <c r="U19" s="16" t="str">
        <f t="shared" si="99"/>
        <v/>
      </c>
      <c r="V19" s="16" t="str">
        <f t="shared" si="100"/>
        <v/>
      </c>
      <c r="W19" s="17" t="str">
        <f t="shared" si="101"/>
        <v/>
      </c>
      <c r="X19" s="18" t="str">
        <f t="shared" si="102"/>
        <v/>
      </c>
      <c r="Y19" s="19" t="str">
        <f t="shared" si="103"/>
        <v/>
      </c>
      <c r="AA19" s="20" t="str">
        <f t="shared" si="1"/>
        <v/>
      </c>
      <c r="AB19" s="20" t="str">
        <f t="shared" si="2"/>
        <v/>
      </c>
      <c r="AC19" s="20" t="str">
        <f t="shared" si="3"/>
        <v/>
      </c>
      <c r="AD19" s="20" t="str">
        <f>IF($C19="","",IF(AND(C19=1,I19="Unarmored"),INDEX('Assumptions &amp; Ref'!$C$70:$C$90,MATCH(E19,'Assumptions &amp; Ref'!$B$70:$B$90,0)),INDEX('Assumptions &amp; Ref'!$D$70:$D$90,MATCH(E19,'Assumptions &amp; Ref'!$B$70:$B$90,0))))</f>
        <v/>
      </c>
      <c r="AE19" s="20" t="str">
        <f t="shared" si="4"/>
        <v/>
      </c>
      <c r="AF19" s="20" t="str">
        <f t="shared" si="5"/>
        <v/>
      </c>
      <c r="AG19" s="20" t="str">
        <f>IF($C19="","",IF(C19=3.5,IFERROR(INDEX('Assumptions &amp; Ref'!$G$93:$G$105,MATCH(E19,'Assumptions &amp; Ref'!$F$93:$F$105,0)),0),0))</f>
        <v/>
      </c>
      <c r="AH19" s="20" t="str">
        <f t="shared" si="6"/>
        <v/>
      </c>
      <c r="AI19" s="20" t="str">
        <f>IF($C19="","",IF(C19=3.5,IFERROR(INDEX('Assumptions &amp; Ref'!$D$70:$D$90,MATCH(AG19,'Assumptions &amp; Ref'!$B$70:$B$90,0)),0),0))</f>
        <v/>
      </c>
      <c r="AJ19" s="20" t="str">
        <f t="shared" si="7"/>
        <v/>
      </c>
      <c r="AK19" s="20" t="str">
        <f t="shared" si="8"/>
        <v/>
      </c>
      <c r="AL19" s="20" t="str">
        <f>IF($C19="","",IFERROR(INDEX('Assumptions &amp; Ref'!$G$70:$G$74,IF(INDEX('Assumptions &amp; Ref'!$F$70:$F$74,MATCH(AK19,'Assumptions &amp; Ref'!$F$70:$F$74,1))=AK19,MATCH(AK19,'Assumptions &amp; Ref'!$F$70:$F$74,1),MIN(MATCH(AK19,'Assumptions &amp; Ref'!$F$70:$F$74,1)+1,5))),INDEX('Assumptions &amp; Ref'!$G$70:$G$74,1)))</f>
        <v/>
      </c>
      <c r="AM19" s="20" t="str">
        <f t="shared" si="9"/>
        <v/>
      </c>
      <c r="AN19" s="20" t="str">
        <f t="shared" si="10"/>
        <v/>
      </c>
      <c r="AO19" s="20" t="str">
        <f>IF($C19="","",IF(I19="Unarmored",0,IF(OR(I19="Galvanised steel flat strip",I19="Aluminium Flat Strip"),IFERROR(INDEX('Assumptions &amp; Ref'!$C$93:$C$98,IF(INDEX('Assumptions &amp; Ref'!$B$93:$B$98,MATCH(AM19,'Assumptions &amp; Ref'!$B$93:$B$98,1))=AM19,MATCH(AM19,'Assumptions &amp; Ref'!$B$93:$B$98,1),MIN(MATCH(AM19,'Assumptions &amp; Ref'!$B$93:$B$98,1)+1,6))),INDEX('Assumptions &amp; Ref'!$C$93:$C$98,1)),IFERROR(INDEX('Assumptions &amp; Ref'!$D$93:$D$98,IF(INDEX('Assumptions &amp; Ref'!$B$93:$B$98,MATCH(AM19,'Assumptions &amp; Ref'!$B$93:$B$98,1))=AM19,MATCH(AM19,'Assumptions &amp; Ref'!$B$93:$B$98,1),MIN(MATCH(AM19,'Assumptions &amp; Ref'!$B$93:$B$98,1)+1,6))),INDEX('Assumptions &amp; Ref'!$D$93:$D$98,1)))))</f>
        <v/>
      </c>
      <c r="AP19" s="20" t="str">
        <f t="shared" si="11"/>
        <v/>
      </c>
      <c r="AQ19" s="20" t="str">
        <f t="shared" si="12"/>
        <v/>
      </c>
      <c r="AR19" s="20" t="str">
        <f>IF($C19="","",IF(I19="Unarmored",IFERROR(INDEX('Assumptions &amp; Ref'!$J$70:$J$81,IF(INDEX('Assumptions &amp; Ref'!$I$70:$I$81,MATCH(AP19,'Assumptions &amp; Ref'!$I$70:$I$81,1))=AP19,MATCH(AP19,'Assumptions &amp; Ref'!$I$70:$I$81,1),MIN(MATCH(AP19,'Assumptions &amp; Ref'!$I$70:$I$81,1)+1,12))),INDEX('Assumptions &amp; Ref'!$J$70:$J$81,1)),IFERROR(INDEX('Assumptions &amp; Ref'!$K$70:$K$81,IF(INDEX('Assumptions &amp; Ref'!$I$70:$I$81,MATCH(AP19,'Assumptions &amp; Ref'!$I$70:$I$81,1))=AP19,MATCH(AP19,'Assumptions &amp; Ref'!$I$70:$I$81,1),MIN(MATCH(AP19,'Assumptions &amp; Ref'!$I$70:$I$81,1)+1,12))),INDEX('Assumptions &amp; Ref'!$K$70:$K$81,1))))</f>
        <v/>
      </c>
      <c r="AS19" s="20" t="str">
        <f t="shared" si="13"/>
        <v/>
      </c>
      <c r="AT19" s="20" t="str">
        <f t="shared" si="14"/>
        <v/>
      </c>
      <c r="AU19" s="20" t="str">
        <f t="shared" si="15"/>
        <v/>
      </c>
      <c r="AV19" s="20" t="str">
        <f>IF($C19="","",((E19*AC19*IF(C19=3.5,3,C19))+(AG19*AC19*IF(C19=3.5,1,0)))*(1+'Assumptions &amp; Ref'!$C$22))</f>
        <v/>
      </c>
      <c r="AW19" s="20" t="str">
        <f>IF($C19="","",IF(C19=3.5,(PI()*(AE19^2-AB19^2)/4*AF19*3)+(PI()*(AJ19^2-AH19^2)/4*AF19),PI()*(AE19^2-AB19^2)/4*AF19*C19)*(1+'Assumptions &amp; Ref'!$C$22))</f>
        <v/>
      </c>
      <c r="AX19" s="20" t="str">
        <f>IF($C19="","",PI()*(AM19^2-AK19^2)/4*AN19*(1+'Assumptions &amp; Ref'!$C$22))</f>
        <v/>
      </c>
      <c r="AY19" s="20" t="str">
        <f>IF($C19="","",PI()*(AS19^2-AP19^2)/4*AT19*(1+'Assumptions &amp; Ref'!$C$22))</f>
        <v/>
      </c>
      <c r="AZ19" s="20" t="str">
        <f>IF($C19="","",PI()*(AP19^2-AM19^2)/4*AQ19*(1+'Assumptions &amp; Ref'!$C$22))</f>
        <v/>
      </c>
      <c r="BA19" s="21" t="str">
        <f t="shared" si="16"/>
        <v/>
      </c>
      <c r="BB19" s="22" t="str">
        <f>IF($C19="","",IF(K19="Y",'Assumptions &amp; Ref'!$C$40,0)+IF(L19="Y",'Assumptions &amp; Ref'!$C$41,0)+IF(M19="Y",'Assumptions &amp; Ref'!$C$42,0)+IF(N19="Y",'Assumptions &amp; Ref'!$C$43,0)+IF(O19="Y",'Assumptions &amp; Ref'!$C$44,0)+IF(P19="Y",'Assumptions &amp; Ref'!$C$45,0)+IF(Q19="Y",'Assumptions &amp; Ref'!$C$46,0)+IF(R19="Y",'Assumptions &amp; Ref'!$C$47,0)+IF(S19="Y",'Assumptions &amp; Ref'!$C$48,0)+IF(T19="Y",'Assumptions &amp; Ref'!$C$49,0))</f>
        <v/>
      </c>
      <c r="BC19" s="23" t="str">
        <f>IF($C19="","",(IF($F19="Aluminium",'Assumptions &amp; Ref'!$D$17,'Assumptions &amp; Ref'!$C$17)+IF($F19="Aluminium",'Assumptions &amp; Ref'!$D$18,'Assumptions &amp; Ref'!$C$18)+IF($F19="Aluminium",'Assumptions &amp; Ref'!$D$19,'Assumptions &amp; Ref'!$C$19)+IF($F19="Aluminium",'Assumptions &amp; Ref'!$D$20,'Assumptions &amp; Ref'!$C$20))/IF($F19="Aluminium",'Assumptions &amp; Ref'!$D$16,'Assumptions &amp; Ref'!$C$16))</f>
        <v/>
      </c>
      <c r="BD19" s="23" t="str">
        <f>IF($C19="","",(IF($F19="Aluminium",'Assumptions &amp; Ref'!$F$17,'Assumptions &amp; Ref'!$E$17)+IF($F19="Aluminium",'Assumptions &amp; Ref'!$F$18,'Assumptions &amp; Ref'!$E$18)+IF($F19="Aluminium",'Assumptions &amp; Ref'!$F$19,'Assumptions &amp; Ref'!$E$19)+IF($F19="Aluminium",'Assumptions &amp; Ref'!$F$20,'Assumptions &amp; Ref'!$E$20))/IF($F19="Aluminium",'Assumptions &amp; Ref'!$F$16,'Assumptions &amp; Ref'!$E$16))</f>
        <v/>
      </c>
      <c r="BE19" s="21" t="str">
        <f t="shared" si="17"/>
        <v/>
      </c>
      <c r="BF19" s="21" t="str">
        <f t="shared" si="18"/>
        <v/>
      </c>
      <c r="BG19" s="21" t="str">
        <f>IF($C19="","",BE19*(1+BB19)*(1+IF($F19="Aluminium",'Assumptions &amp; Ref'!$D$21,'Assumptions &amp; Ref'!$C$21)))</f>
        <v/>
      </c>
      <c r="BH19" s="21" t="str">
        <f>IF($C19="","",BF19*(1+BB19)*(1+IF($F19="Aluminium",'Assumptions &amp; Ref'!$F$21,'Assumptions &amp; Ref'!$E$21)))</f>
        <v/>
      </c>
    </row>
    <row r="20" spans="2:60" ht="15" customHeight="1" x14ac:dyDescent="0.25">
      <c r="B20" s="13"/>
      <c r="C20" s="14"/>
      <c r="D20" s="14"/>
      <c r="E20" s="14"/>
      <c r="F20" s="14"/>
      <c r="G20" s="14"/>
      <c r="H20" s="14"/>
      <c r="I20" s="14"/>
      <c r="J20" s="14"/>
      <c r="K20" s="15"/>
      <c r="L20" s="15"/>
      <c r="M20" s="15"/>
      <c r="N20" s="15"/>
      <c r="O20" s="15"/>
      <c r="P20" s="15"/>
      <c r="Q20" s="15"/>
      <c r="R20" s="15"/>
      <c r="S20" s="15"/>
      <c r="T20" s="15"/>
      <c r="U20" s="16" t="str">
        <f t="shared" si="99"/>
        <v/>
      </c>
      <c r="V20" s="16" t="str">
        <f t="shared" si="100"/>
        <v/>
      </c>
      <c r="W20" s="17" t="str">
        <f t="shared" si="101"/>
        <v/>
      </c>
      <c r="X20" s="18" t="str">
        <f t="shared" si="102"/>
        <v/>
      </c>
      <c r="Y20" s="19" t="str">
        <f t="shared" si="103"/>
        <v/>
      </c>
      <c r="AA20" s="20" t="str">
        <f t="shared" si="1"/>
        <v/>
      </c>
      <c r="AB20" s="20" t="str">
        <f t="shared" si="2"/>
        <v/>
      </c>
      <c r="AC20" s="20" t="str">
        <f t="shared" si="3"/>
        <v/>
      </c>
      <c r="AD20" s="20" t="str">
        <f>IF($C20="","",IF(AND(C20=1,I20="Unarmored"),INDEX('Assumptions &amp; Ref'!$C$70:$C$90,MATCH(E20,'Assumptions &amp; Ref'!$B$70:$B$90,0)),INDEX('Assumptions &amp; Ref'!$D$70:$D$90,MATCH(E20,'Assumptions &amp; Ref'!$B$70:$B$90,0))))</f>
        <v/>
      </c>
      <c r="AE20" s="20" t="str">
        <f t="shared" si="4"/>
        <v/>
      </c>
      <c r="AF20" s="20" t="str">
        <f t="shared" si="5"/>
        <v/>
      </c>
      <c r="AG20" s="20" t="str">
        <f>IF($C20="","",IF(C20=3.5,IFERROR(INDEX('Assumptions &amp; Ref'!$G$93:$G$105,MATCH(E20,'Assumptions &amp; Ref'!$F$93:$F$105,0)),0),0))</f>
        <v/>
      </c>
      <c r="AH20" s="20" t="str">
        <f t="shared" si="6"/>
        <v/>
      </c>
      <c r="AI20" s="20" t="str">
        <f>IF($C20="","",IF(C20=3.5,IFERROR(INDEX('Assumptions &amp; Ref'!$D$70:$D$90,MATCH(AG20,'Assumptions &amp; Ref'!$B$70:$B$90,0)),0),0))</f>
        <v/>
      </c>
      <c r="AJ20" s="20" t="str">
        <f t="shared" si="7"/>
        <v/>
      </c>
      <c r="AK20" s="20" t="str">
        <f t="shared" si="8"/>
        <v/>
      </c>
      <c r="AL20" s="20" t="str">
        <f>IF($C20="","",IFERROR(INDEX('Assumptions &amp; Ref'!$G$70:$G$74,IF(INDEX('Assumptions &amp; Ref'!$F$70:$F$74,MATCH(AK20,'Assumptions &amp; Ref'!$F$70:$F$74,1))=AK20,MATCH(AK20,'Assumptions &amp; Ref'!$F$70:$F$74,1),MIN(MATCH(AK20,'Assumptions &amp; Ref'!$F$70:$F$74,1)+1,5))),INDEX('Assumptions &amp; Ref'!$G$70:$G$74,1)))</f>
        <v/>
      </c>
      <c r="AM20" s="20" t="str">
        <f t="shared" si="9"/>
        <v/>
      </c>
      <c r="AN20" s="20" t="str">
        <f t="shared" si="10"/>
        <v/>
      </c>
      <c r="AO20" s="20" t="str">
        <f>IF($C20="","",IF(I20="Unarmored",0,IF(OR(I20="Galvanised steel flat strip",I20="Aluminium Flat Strip"),IFERROR(INDEX('Assumptions &amp; Ref'!$C$93:$C$98,IF(INDEX('Assumptions &amp; Ref'!$B$93:$B$98,MATCH(AM20,'Assumptions &amp; Ref'!$B$93:$B$98,1))=AM20,MATCH(AM20,'Assumptions &amp; Ref'!$B$93:$B$98,1),MIN(MATCH(AM20,'Assumptions &amp; Ref'!$B$93:$B$98,1)+1,6))),INDEX('Assumptions &amp; Ref'!$C$93:$C$98,1)),IFERROR(INDEX('Assumptions &amp; Ref'!$D$93:$D$98,IF(INDEX('Assumptions &amp; Ref'!$B$93:$B$98,MATCH(AM20,'Assumptions &amp; Ref'!$B$93:$B$98,1))=AM20,MATCH(AM20,'Assumptions &amp; Ref'!$B$93:$B$98,1),MIN(MATCH(AM20,'Assumptions &amp; Ref'!$B$93:$B$98,1)+1,6))),INDEX('Assumptions &amp; Ref'!$D$93:$D$98,1)))))</f>
        <v/>
      </c>
      <c r="AP20" s="20" t="str">
        <f t="shared" si="11"/>
        <v/>
      </c>
      <c r="AQ20" s="20" t="str">
        <f t="shared" si="12"/>
        <v/>
      </c>
      <c r="AR20" s="20" t="str">
        <f>IF($C20="","",IF(I20="Unarmored",IFERROR(INDEX('Assumptions &amp; Ref'!$J$70:$J$81,IF(INDEX('Assumptions &amp; Ref'!$I$70:$I$81,MATCH(AP20,'Assumptions &amp; Ref'!$I$70:$I$81,1))=AP20,MATCH(AP20,'Assumptions &amp; Ref'!$I$70:$I$81,1),MIN(MATCH(AP20,'Assumptions &amp; Ref'!$I$70:$I$81,1)+1,12))),INDEX('Assumptions &amp; Ref'!$J$70:$J$81,1)),IFERROR(INDEX('Assumptions &amp; Ref'!$K$70:$K$81,IF(INDEX('Assumptions &amp; Ref'!$I$70:$I$81,MATCH(AP20,'Assumptions &amp; Ref'!$I$70:$I$81,1))=AP20,MATCH(AP20,'Assumptions &amp; Ref'!$I$70:$I$81,1),MIN(MATCH(AP20,'Assumptions &amp; Ref'!$I$70:$I$81,1)+1,12))),INDEX('Assumptions &amp; Ref'!$K$70:$K$81,1))))</f>
        <v/>
      </c>
      <c r="AS20" s="20" t="str">
        <f t="shared" si="13"/>
        <v/>
      </c>
      <c r="AT20" s="20" t="str">
        <f t="shared" si="14"/>
        <v/>
      </c>
      <c r="AU20" s="20" t="str">
        <f t="shared" si="15"/>
        <v/>
      </c>
      <c r="AV20" s="20" t="str">
        <f>IF($C20="","",((E20*AC20*IF(C20=3.5,3,C20))+(AG20*AC20*IF(C20=3.5,1,0)))*(1+'Assumptions &amp; Ref'!$C$22))</f>
        <v/>
      </c>
      <c r="AW20" s="20" t="str">
        <f>IF($C20="","",IF(C20=3.5,(PI()*(AE20^2-AB20^2)/4*AF20*3)+(PI()*(AJ20^2-AH20^2)/4*AF20),PI()*(AE20^2-AB20^2)/4*AF20*C20)*(1+'Assumptions &amp; Ref'!$C$22))</f>
        <v/>
      </c>
      <c r="AX20" s="20" t="str">
        <f>IF($C20="","",PI()*(AM20^2-AK20^2)/4*AN20*(1+'Assumptions &amp; Ref'!$C$22))</f>
        <v/>
      </c>
      <c r="AY20" s="20" t="str">
        <f>IF($C20="","",PI()*(AS20^2-AP20^2)/4*AT20*(1+'Assumptions &amp; Ref'!$C$22))</f>
        <v/>
      </c>
      <c r="AZ20" s="20" t="str">
        <f>IF($C20="","",PI()*(AP20^2-AM20^2)/4*AQ20*(1+'Assumptions &amp; Ref'!$C$22))</f>
        <v/>
      </c>
      <c r="BA20" s="21" t="str">
        <f t="shared" si="16"/>
        <v/>
      </c>
      <c r="BB20" s="22" t="str">
        <f>IF($C20="","",IF(K20="Y",'Assumptions &amp; Ref'!$C$40,0)+IF(L20="Y",'Assumptions &amp; Ref'!$C$41,0)+IF(M20="Y",'Assumptions &amp; Ref'!$C$42,0)+IF(N20="Y",'Assumptions &amp; Ref'!$C$43,0)+IF(O20="Y",'Assumptions &amp; Ref'!$C$44,0)+IF(P20="Y",'Assumptions &amp; Ref'!$C$45,0)+IF(Q20="Y",'Assumptions &amp; Ref'!$C$46,0)+IF(R20="Y",'Assumptions &amp; Ref'!$C$47,0)+IF(S20="Y",'Assumptions &amp; Ref'!$C$48,0)+IF(T20="Y",'Assumptions &amp; Ref'!$C$49,0))</f>
        <v/>
      </c>
      <c r="BC20" s="23" t="str">
        <f>IF($C20="","",(IF($F20="Aluminium",'Assumptions &amp; Ref'!$D$17,'Assumptions &amp; Ref'!$C$17)+IF($F20="Aluminium",'Assumptions &amp; Ref'!$D$18,'Assumptions &amp; Ref'!$C$18)+IF($F20="Aluminium",'Assumptions &amp; Ref'!$D$19,'Assumptions &amp; Ref'!$C$19)+IF($F20="Aluminium",'Assumptions &amp; Ref'!$D$20,'Assumptions &amp; Ref'!$C$20))/IF($F20="Aluminium",'Assumptions &amp; Ref'!$D$16,'Assumptions &amp; Ref'!$C$16))</f>
        <v/>
      </c>
      <c r="BD20" s="23" t="str">
        <f>IF($C20="","",(IF($F20="Aluminium",'Assumptions &amp; Ref'!$F$17,'Assumptions &amp; Ref'!$E$17)+IF($F20="Aluminium",'Assumptions &amp; Ref'!$F$18,'Assumptions &amp; Ref'!$E$18)+IF($F20="Aluminium",'Assumptions &amp; Ref'!$F$19,'Assumptions &amp; Ref'!$E$19)+IF($F20="Aluminium",'Assumptions &amp; Ref'!$F$20,'Assumptions &amp; Ref'!$E$20))/IF($F20="Aluminium",'Assumptions &amp; Ref'!$F$16,'Assumptions &amp; Ref'!$E$16))</f>
        <v/>
      </c>
      <c r="BE20" s="21" t="str">
        <f t="shared" si="17"/>
        <v/>
      </c>
      <c r="BF20" s="21" t="str">
        <f t="shared" si="18"/>
        <v/>
      </c>
      <c r="BG20" s="21" t="str">
        <f>IF($C20="","",BE20*(1+BB20)*(1+IF($F20="Aluminium",'Assumptions &amp; Ref'!$D$21,'Assumptions &amp; Ref'!$C$21)))</f>
        <v/>
      </c>
      <c r="BH20" s="21" t="str">
        <f>IF($C20="","",BF20*(1+BB20)*(1+IF($F20="Aluminium",'Assumptions &amp; Ref'!$F$21,'Assumptions &amp; Ref'!$E$21)))</f>
        <v/>
      </c>
    </row>
    <row r="21" spans="2:60" ht="15" customHeight="1" x14ac:dyDescent="0.25">
      <c r="B21" s="13"/>
      <c r="C21" s="14"/>
      <c r="D21" s="14"/>
      <c r="E21" s="14"/>
      <c r="F21" s="14"/>
      <c r="G21" s="14"/>
      <c r="H21" s="14"/>
      <c r="I21" s="14"/>
      <c r="J21" s="14"/>
      <c r="K21" s="15"/>
      <c r="L21" s="15"/>
      <c r="M21" s="15"/>
      <c r="N21" s="15"/>
      <c r="O21" s="15"/>
      <c r="P21" s="15"/>
      <c r="Q21" s="15"/>
      <c r="R21" s="15"/>
      <c r="S21" s="15"/>
      <c r="T21" s="15"/>
      <c r="U21" s="16" t="str">
        <f t="shared" si="99"/>
        <v/>
      </c>
      <c r="V21" s="16" t="str">
        <f t="shared" si="100"/>
        <v/>
      </c>
      <c r="W21" s="17" t="str">
        <f t="shared" si="101"/>
        <v/>
      </c>
      <c r="X21" s="18" t="str">
        <f t="shared" si="102"/>
        <v/>
      </c>
      <c r="Y21" s="19" t="str">
        <f t="shared" si="103"/>
        <v/>
      </c>
      <c r="AA21" s="20" t="str">
        <f t="shared" si="1"/>
        <v/>
      </c>
      <c r="AB21" s="20" t="str">
        <f t="shared" si="2"/>
        <v/>
      </c>
      <c r="AC21" s="20" t="str">
        <f t="shared" si="3"/>
        <v/>
      </c>
      <c r="AD21" s="20" t="str">
        <f>IF($C21="","",IF(AND(C21=1,I21="Unarmored"),INDEX('Assumptions &amp; Ref'!$C$70:$C$90,MATCH(E21,'Assumptions &amp; Ref'!$B$70:$B$90,0)),INDEX('Assumptions &amp; Ref'!$D$70:$D$90,MATCH(E21,'Assumptions &amp; Ref'!$B$70:$B$90,0))))</f>
        <v/>
      </c>
      <c r="AE21" s="20" t="str">
        <f t="shared" si="4"/>
        <v/>
      </c>
      <c r="AF21" s="20" t="str">
        <f t="shared" si="5"/>
        <v/>
      </c>
      <c r="AG21" s="20" t="str">
        <f>IF($C21="","",IF(C21=3.5,IFERROR(INDEX('Assumptions &amp; Ref'!$G$93:$G$105,MATCH(E21,'Assumptions &amp; Ref'!$F$93:$F$105,0)),0),0))</f>
        <v/>
      </c>
      <c r="AH21" s="20" t="str">
        <f t="shared" si="6"/>
        <v/>
      </c>
      <c r="AI21" s="20" t="str">
        <f>IF($C21="","",IF(C21=3.5,IFERROR(INDEX('Assumptions &amp; Ref'!$D$70:$D$90,MATCH(AG21,'Assumptions &amp; Ref'!$B$70:$B$90,0)),0),0))</f>
        <v/>
      </c>
      <c r="AJ21" s="20" t="str">
        <f t="shared" si="7"/>
        <v/>
      </c>
      <c r="AK21" s="20" t="str">
        <f t="shared" si="8"/>
        <v/>
      </c>
      <c r="AL21" s="20" t="str">
        <f>IF($C21="","",IFERROR(INDEX('Assumptions &amp; Ref'!$G$70:$G$74,IF(INDEX('Assumptions &amp; Ref'!$F$70:$F$74,MATCH(AK21,'Assumptions &amp; Ref'!$F$70:$F$74,1))=AK21,MATCH(AK21,'Assumptions &amp; Ref'!$F$70:$F$74,1),MIN(MATCH(AK21,'Assumptions &amp; Ref'!$F$70:$F$74,1)+1,5))),INDEX('Assumptions &amp; Ref'!$G$70:$G$74,1)))</f>
        <v/>
      </c>
      <c r="AM21" s="20" t="str">
        <f t="shared" si="9"/>
        <v/>
      </c>
      <c r="AN21" s="20" t="str">
        <f t="shared" si="10"/>
        <v/>
      </c>
      <c r="AO21" s="20" t="str">
        <f>IF($C21="","",IF(I21="Unarmored",0,IF(OR(I21="Galvanised steel flat strip",I21="Aluminium Flat Strip"),IFERROR(INDEX('Assumptions &amp; Ref'!$C$93:$C$98,IF(INDEX('Assumptions &amp; Ref'!$B$93:$B$98,MATCH(AM21,'Assumptions &amp; Ref'!$B$93:$B$98,1))=AM21,MATCH(AM21,'Assumptions &amp; Ref'!$B$93:$B$98,1),MIN(MATCH(AM21,'Assumptions &amp; Ref'!$B$93:$B$98,1)+1,6))),INDEX('Assumptions &amp; Ref'!$C$93:$C$98,1)),IFERROR(INDEX('Assumptions &amp; Ref'!$D$93:$D$98,IF(INDEX('Assumptions &amp; Ref'!$B$93:$B$98,MATCH(AM21,'Assumptions &amp; Ref'!$B$93:$B$98,1))=AM21,MATCH(AM21,'Assumptions &amp; Ref'!$B$93:$B$98,1),MIN(MATCH(AM21,'Assumptions &amp; Ref'!$B$93:$B$98,1)+1,6))),INDEX('Assumptions &amp; Ref'!$D$93:$D$98,1)))))</f>
        <v/>
      </c>
      <c r="AP21" s="20" t="str">
        <f t="shared" si="11"/>
        <v/>
      </c>
      <c r="AQ21" s="20" t="str">
        <f t="shared" si="12"/>
        <v/>
      </c>
      <c r="AR21" s="20" t="str">
        <f>IF($C21="","",IF(I21="Unarmored",IFERROR(INDEX('Assumptions &amp; Ref'!$J$70:$J$81,IF(INDEX('Assumptions &amp; Ref'!$I$70:$I$81,MATCH(AP21,'Assumptions &amp; Ref'!$I$70:$I$81,1))=AP21,MATCH(AP21,'Assumptions &amp; Ref'!$I$70:$I$81,1),MIN(MATCH(AP21,'Assumptions &amp; Ref'!$I$70:$I$81,1)+1,12))),INDEX('Assumptions &amp; Ref'!$J$70:$J$81,1)),IFERROR(INDEX('Assumptions &amp; Ref'!$K$70:$K$81,IF(INDEX('Assumptions &amp; Ref'!$I$70:$I$81,MATCH(AP21,'Assumptions &amp; Ref'!$I$70:$I$81,1))=AP21,MATCH(AP21,'Assumptions &amp; Ref'!$I$70:$I$81,1),MIN(MATCH(AP21,'Assumptions &amp; Ref'!$I$70:$I$81,1)+1,12))),INDEX('Assumptions &amp; Ref'!$K$70:$K$81,1))))</f>
        <v/>
      </c>
      <c r="AS21" s="20" t="str">
        <f t="shared" si="13"/>
        <v/>
      </c>
      <c r="AT21" s="20" t="str">
        <f t="shared" si="14"/>
        <v/>
      </c>
      <c r="AU21" s="20" t="str">
        <f t="shared" si="15"/>
        <v/>
      </c>
      <c r="AV21" s="20" t="str">
        <f>IF($C21="","",((E21*AC21*IF(C21=3.5,3,C21))+(AG21*AC21*IF(C21=3.5,1,0)))*(1+'Assumptions &amp; Ref'!$C$22))</f>
        <v/>
      </c>
      <c r="AW21" s="20" t="str">
        <f>IF($C21="","",IF(C21=3.5,(PI()*(AE21^2-AB21^2)/4*AF21*3)+(PI()*(AJ21^2-AH21^2)/4*AF21),PI()*(AE21^2-AB21^2)/4*AF21*C21)*(1+'Assumptions &amp; Ref'!$C$22))</f>
        <v/>
      </c>
      <c r="AX21" s="20" t="str">
        <f>IF($C21="","",PI()*(AM21^2-AK21^2)/4*AN21*(1+'Assumptions &amp; Ref'!$C$22))</f>
        <v/>
      </c>
      <c r="AY21" s="20" t="str">
        <f>IF($C21="","",PI()*(AS21^2-AP21^2)/4*AT21*(1+'Assumptions &amp; Ref'!$C$22))</f>
        <v/>
      </c>
      <c r="AZ21" s="20" t="str">
        <f>IF($C21="","",PI()*(AP21^2-AM21^2)/4*AQ21*(1+'Assumptions &amp; Ref'!$C$22))</f>
        <v/>
      </c>
      <c r="BA21" s="21" t="str">
        <f t="shared" si="16"/>
        <v/>
      </c>
      <c r="BB21" s="22" t="str">
        <f>IF($C21="","",IF(K21="Y",'Assumptions &amp; Ref'!$C$40,0)+IF(L21="Y",'Assumptions &amp; Ref'!$C$41,0)+IF(M21="Y",'Assumptions &amp; Ref'!$C$42,0)+IF(N21="Y",'Assumptions &amp; Ref'!$C$43,0)+IF(O21="Y",'Assumptions &amp; Ref'!$C$44,0)+IF(P21="Y",'Assumptions &amp; Ref'!$C$45,0)+IF(Q21="Y",'Assumptions &amp; Ref'!$C$46,0)+IF(R21="Y",'Assumptions &amp; Ref'!$C$47,0)+IF(S21="Y",'Assumptions &amp; Ref'!$C$48,0)+IF(T21="Y",'Assumptions &amp; Ref'!$C$49,0))</f>
        <v/>
      </c>
      <c r="BC21" s="23" t="str">
        <f>IF($C21="","",(IF($F21="Aluminium",'Assumptions &amp; Ref'!$D$17,'Assumptions &amp; Ref'!$C$17)+IF($F21="Aluminium",'Assumptions &amp; Ref'!$D$18,'Assumptions &amp; Ref'!$C$18)+IF($F21="Aluminium",'Assumptions &amp; Ref'!$D$19,'Assumptions &amp; Ref'!$C$19)+IF($F21="Aluminium",'Assumptions &amp; Ref'!$D$20,'Assumptions &amp; Ref'!$C$20))/IF($F21="Aluminium",'Assumptions &amp; Ref'!$D$16,'Assumptions &amp; Ref'!$C$16))</f>
        <v/>
      </c>
      <c r="BD21" s="23" t="str">
        <f>IF($C21="","",(IF($F21="Aluminium",'Assumptions &amp; Ref'!$F$17,'Assumptions &amp; Ref'!$E$17)+IF($F21="Aluminium",'Assumptions &amp; Ref'!$F$18,'Assumptions &amp; Ref'!$E$18)+IF($F21="Aluminium",'Assumptions &amp; Ref'!$F$19,'Assumptions &amp; Ref'!$E$19)+IF($F21="Aluminium",'Assumptions &amp; Ref'!$F$20,'Assumptions &amp; Ref'!$E$20))/IF($F21="Aluminium",'Assumptions &amp; Ref'!$F$16,'Assumptions &amp; Ref'!$E$16))</f>
        <v/>
      </c>
      <c r="BE21" s="21" t="str">
        <f t="shared" si="17"/>
        <v/>
      </c>
      <c r="BF21" s="21" t="str">
        <f t="shared" si="18"/>
        <v/>
      </c>
      <c r="BG21" s="21" t="str">
        <f>IF($C21="","",BE21*(1+BB21)*(1+IF($F21="Aluminium",'Assumptions &amp; Ref'!$D$21,'Assumptions &amp; Ref'!$C$21)))</f>
        <v/>
      </c>
      <c r="BH21" s="21" t="str">
        <f>IF($C21="","",BF21*(1+BB21)*(1+IF($F21="Aluminium",'Assumptions &amp; Ref'!$F$21,'Assumptions &amp; Ref'!$E$21)))</f>
        <v/>
      </c>
    </row>
    <row r="22" spans="2:60" ht="15" customHeight="1" x14ac:dyDescent="0.25">
      <c r="B22" s="13"/>
      <c r="C22" s="14"/>
      <c r="D22" s="14"/>
      <c r="E22" s="14"/>
      <c r="F22" s="14"/>
      <c r="G22" s="14"/>
      <c r="H22" s="14"/>
      <c r="I22" s="14"/>
      <c r="J22" s="14"/>
      <c r="K22" s="15"/>
      <c r="L22" s="15"/>
      <c r="M22" s="15"/>
      <c r="N22" s="15"/>
      <c r="O22" s="15"/>
      <c r="P22" s="15"/>
      <c r="Q22" s="15"/>
      <c r="R22" s="15"/>
      <c r="S22" s="15"/>
      <c r="T22" s="15"/>
      <c r="U22" s="16" t="str">
        <f t="shared" si="99"/>
        <v/>
      </c>
      <c r="V22" s="16" t="str">
        <f t="shared" si="100"/>
        <v/>
      </c>
      <c r="W22" s="17" t="str">
        <f t="shared" si="101"/>
        <v/>
      </c>
      <c r="X22" s="18" t="str">
        <f t="shared" si="102"/>
        <v/>
      </c>
      <c r="Y22" s="19" t="str">
        <f t="shared" si="103"/>
        <v/>
      </c>
      <c r="AA22" s="20" t="str">
        <f t="shared" si="1"/>
        <v/>
      </c>
      <c r="AB22" s="20" t="str">
        <f t="shared" si="2"/>
        <v/>
      </c>
      <c r="AC22" s="20" t="str">
        <f t="shared" si="3"/>
        <v/>
      </c>
      <c r="AD22" s="20" t="str">
        <f>IF($C22="","",IF(AND(C22=1,I22="Unarmored"),INDEX('Assumptions &amp; Ref'!$C$70:$C$90,MATCH(E22,'Assumptions &amp; Ref'!$B$70:$B$90,0)),INDEX('Assumptions &amp; Ref'!$D$70:$D$90,MATCH(E22,'Assumptions &amp; Ref'!$B$70:$B$90,0))))</f>
        <v/>
      </c>
      <c r="AE22" s="20" t="str">
        <f t="shared" si="4"/>
        <v/>
      </c>
      <c r="AF22" s="20" t="str">
        <f t="shared" si="5"/>
        <v/>
      </c>
      <c r="AG22" s="20" t="str">
        <f>IF($C22="","",IF(C22=3.5,IFERROR(INDEX('Assumptions &amp; Ref'!$G$93:$G$105,MATCH(E22,'Assumptions &amp; Ref'!$F$93:$F$105,0)),0),0))</f>
        <v/>
      </c>
      <c r="AH22" s="20" t="str">
        <f t="shared" si="6"/>
        <v/>
      </c>
      <c r="AI22" s="20" t="str">
        <f>IF($C22="","",IF(C22=3.5,IFERROR(INDEX('Assumptions &amp; Ref'!$D$70:$D$90,MATCH(AG22,'Assumptions &amp; Ref'!$B$70:$B$90,0)),0),0))</f>
        <v/>
      </c>
      <c r="AJ22" s="20" t="str">
        <f t="shared" si="7"/>
        <v/>
      </c>
      <c r="AK22" s="20" t="str">
        <f t="shared" si="8"/>
        <v/>
      </c>
      <c r="AL22" s="20" t="str">
        <f>IF($C22="","",IFERROR(INDEX('Assumptions &amp; Ref'!$G$70:$G$74,IF(INDEX('Assumptions &amp; Ref'!$F$70:$F$74,MATCH(AK22,'Assumptions &amp; Ref'!$F$70:$F$74,1))=AK22,MATCH(AK22,'Assumptions &amp; Ref'!$F$70:$F$74,1),MIN(MATCH(AK22,'Assumptions &amp; Ref'!$F$70:$F$74,1)+1,5))),INDEX('Assumptions &amp; Ref'!$G$70:$G$74,1)))</f>
        <v/>
      </c>
      <c r="AM22" s="20" t="str">
        <f t="shared" si="9"/>
        <v/>
      </c>
      <c r="AN22" s="20" t="str">
        <f t="shared" si="10"/>
        <v/>
      </c>
      <c r="AO22" s="20" t="str">
        <f>IF($C22="","",IF(I22="Unarmored",0,IF(OR(I22="Galvanised steel flat strip",I22="Aluminium Flat Strip"),IFERROR(INDEX('Assumptions &amp; Ref'!$C$93:$C$98,IF(INDEX('Assumptions &amp; Ref'!$B$93:$B$98,MATCH(AM22,'Assumptions &amp; Ref'!$B$93:$B$98,1))=AM22,MATCH(AM22,'Assumptions &amp; Ref'!$B$93:$B$98,1),MIN(MATCH(AM22,'Assumptions &amp; Ref'!$B$93:$B$98,1)+1,6))),INDEX('Assumptions &amp; Ref'!$C$93:$C$98,1)),IFERROR(INDEX('Assumptions &amp; Ref'!$D$93:$D$98,IF(INDEX('Assumptions &amp; Ref'!$B$93:$B$98,MATCH(AM22,'Assumptions &amp; Ref'!$B$93:$B$98,1))=AM22,MATCH(AM22,'Assumptions &amp; Ref'!$B$93:$B$98,1),MIN(MATCH(AM22,'Assumptions &amp; Ref'!$B$93:$B$98,1)+1,6))),INDEX('Assumptions &amp; Ref'!$D$93:$D$98,1)))))</f>
        <v/>
      </c>
      <c r="AP22" s="20" t="str">
        <f t="shared" si="11"/>
        <v/>
      </c>
      <c r="AQ22" s="20" t="str">
        <f t="shared" si="12"/>
        <v/>
      </c>
      <c r="AR22" s="20" t="str">
        <f>IF($C22="","",IF(I22="Unarmored",IFERROR(INDEX('Assumptions &amp; Ref'!$J$70:$J$81,IF(INDEX('Assumptions &amp; Ref'!$I$70:$I$81,MATCH(AP22,'Assumptions &amp; Ref'!$I$70:$I$81,1))=AP22,MATCH(AP22,'Assumptions &amp; Ref'!$I$70:$I$81,1),MIN(MATCH(AP22,'Assumptions &amp; Ref'!$I$70:$I$81,1)+1,12))),INDEX('Assumptions &amp; Ref'!$J$70:$J$81,1)),IFERROR(INDEX('Assumptions &amp; Ref'!$K$70:$K$81,IF(INDEX('Assumptions &amp; Ref'!$I$70:$I$81,MATCH(AP22,'Assumptions &amp; Ref'!$I$70:$I$81,1))=AP22,MATCH(AP22,'Assumptions &amp; Ref'!$I$70:$I$81,1),MIN(MATCH(AP22,'Assumptions &amp; Ref'!$I$70:$I$81,1)+1,12))),INDEX('Assumptions &amp; Ref'!$K$70:$K$81,1))))</f>
        <v/>
      </c>
      <c r="AS22" s="20" t="str">
        <f t="shared" si="13"/>
        <v/>
      </c>
      <c r="AT22" s="20" t="str">
        <f t="shared" si="14"/>
        <v/>
      </c>
      <c r="AU22" s="20" t="str">
        <f t="shared" si="15"/>
        <v/>
      </c>
      <c r="AV22" s="20" t="str">
        <f>IF($C22="","",((E22*AC22*IF(C22=3.5,3,C22))+(AG22*AC22*IF(C22=3.5,1,0)))*(1+'Assumptions &amp; Ref'!$C$22))</f>
        <v/>
      </c>
      <c r="AW22" s="20" t="str">
        <f>IF($C22="","",IF(C22=3.5,(PI()*(AE22^2-AB22^2)/4*AF22*3)+(PI()*(AJ22^2-AH22^2)/4*AF22),PI()*(AE22^2-AB22^2)/4*AF22*C22)*(1+'Assumptions &amp; Ref'!$C$22))</f>
        <v/>
      </c>
      <c r="AX22" s="20" t="str">
        <f>IF($C22="","",PI()*(AM22^2-AK22^2)/4*AN22*(1+'Assumptions &amp; Ref'!$C$22))</f>
        <v/>
      </c>
      <c r="AY22" s="20" t="str">
        <f>IF($C22="","",PI()*(AS22^2-AP22^2)/4*AT22*(1+'Assumptions &amp; Ref'!$C$22))</f>
        <v/>
      </c>
      <c r="AZ22" s="20" t="str">
        <f>IF($C22="","",PI()*(AP22^2-AM22^2)/4*AQ22*(1+'Assumptions &amp; Ref'!$C$22))</f>
        <v/>
      </c>
      <c r="BA22" s="21" t="str">
        <f t="shared" si="16"/>
        <v/>
      </c>
      <c r="BB22" s="22" t="str">
        <f>IF($C22="","",IF(K22="Y",'Assumptions &amp; Ref'!$C$40,0)+IF(L22="Y",'Assumptions &amp; Ref'!$C$41,0)+IF(M22="Y",'Assumptions &amp; Ref'!$C$42,0)+IF(N22="Y",'Assumptions &amp; Ref'!$C$43,0)+IF(O22="Y",'Assumptions &amp; Ref'!$C$44,0)+IF(P22="Y",'Assumptions &amp; Ref'!$C$45,0)+IF(Q22="Y",'Assumptions &amp; Ref'!$C$46,0)+IF(R22="Y",'Assumptions &amp; Ref'!$C$47,0)+IF(S22="Y",'Assumptions &amp; Ref'!$C$48,0)+IF(T22="Y",'Assumptions &amp; Ref'!$C$49,0))</f>
        <v/>
      </c>
      <c r="BC22" s="23" t="str">
        <f>IF($C22="","",(IF($F22="Aluminium",'Assumptions &amp; Ref'!$D$17,'Assumptions &amp; Ref'!$C$17)+IF($F22="Aluminium",'Assumptions &amp; Ref'!$D$18,'Assumptions &amp; Ref'!$C$18)+IF($F22="Aluminium",'Assumptions &amp; Ref'!$D$19,'Assumptions &amp; Ref'!$C$19)+IF($F22="Aluminium",'Assumptions &amp; Ref'!$D$20,'Assumptions &amp; Ref'!$C$20))/IF($F22="Aluminium",'Assumptions &amp; Ref'!$D$16,'Assumptions &amp; Ref'!$C$16))</f>
        <v/>
      </c>
      <c r="BD22" s="23" t="str">
        <f>IF($C22="","",(IF($F22="Aluminium",'Assumptions &amp; Ref'!$F$17,'Assumptions &amp; Ref'!$E$17)+IF($F22="Aluminium",'Assumptions &amp; Ref'!$F$18,'Assumptions &amp; Ref'!$E$18)+IF($F22="Aluminium",'Assumptions &amp; Ref'!$F$19,'Assumptions &amp; Ref'!$E$19)+IF($F22="Aluminium",'Assumptions &amp; Ref'!$F$20,'Assumptions &amp; Ref'!$E$20))/IF($F22="Aluminium",'Assumptions &amp; Ref'!$F$16,'Assumptions &amp; Ref'!$E$16))</f>
        <v/>
      </c>
      <c r="BE22" s="21" t="str">
        <f t="shared" si="17"/>
        <v/>
      </c>
      <c r="BF22" s="21" t="str">
        <f t="shared" si="18"/>
        <v/>
      </c>
      <c r="BG22" s="21" t="str">
        <f>IF($C22="","",BE22*(1+BB22)*(1+IF($F22="Aluminium",'Assumptions &amp; Ref'!$D$21,'Assumptions &amp; Ref'!$C$21)))</f>
        <v/>
      </c>
      <c r="BH22" s="21" t="str">
        <f>IF($C22="","",BF22*(1+BB22)*(1+IF($F22="Aluminium",'Assumptions &amp; Ref'!$F$21,'Assumptions &amp; Ref'!$E$21)))</f>
        <v/>
      </c>
    </row>
    <row r="23" spans="2:60" ht="15" customHeight="1" x14ac:dyDescent="0.25">
      <c r="B23" s="13"/>
      <c r="C23" s="14"/>
      <c r="D23" s="14"/>
      <c r="E23" s="14"/>
      <c r="F23" s="14"/>
      <c r="G23" s="14"/>
      <c r="H23" s="14"/>
      <c r="I23" s="14"/>
      <c r="J23" s="14"/>
      <c r="K23" s="15"/>
      <c r="L23" s="15"/>
      <c r="M23" s="15"/>
      <c r="N23" s="15"/>
      <c r="O23" s="15"/>
      <c r="P23" s="15"/>
      <c r="Q23" s="15"/>
      <c r="R23" s="15"/>
      <c r="S23" s="15"/>
      <c r="T23" s="15"/>
      <c r="U23" s="16" t="str">
        <f t="shared" si="99"/>
        <v/>
      </c>
      <c r="V23" s="16" t="str">
        <f t="shared" si="100"/>
        <v/>
      </c>
      <c r="W23" s="17" t="str">
        <f t="shared" si="101"/>
        <v/>
      </c>
      <c r="X23" s="18" t="str">
        <f t="shared" si="102"/>
        <v/>
      </c>
      <c r="Y23" s="19" t="str">
        <f t="shared" si="103"/>
        <v/>
      </c>
      <c r="AA23" s="20" t="str">
        <f t="shared" si="1"/>
        <v/>
      </c>
      <c r="AB23" s="20" t="str">
        <f t="shared" si="2"/>
        <v/>
      </c>
      <c r="AC23" s="20" t="str">
        <f t="shared" si="3"/>
        <v/>
      </c>
      <c r="AD23" s="20" t="str">
        <f>IF($C23="","",IF(AND(C23=1,I23="Unarmored"),INDEX('Assumptions &amp; Ref'!$C$70:$C$90,MATCH(E23,'Assumptions &amp; Ref'!$B$70:$B$90,0)),INDEX('Assumptions &amp; Ref'!$D$70:$D$90,MATCH(E23,'Assumptions &amp; Ref'!$B$70:$B$90,0))))</f>
        <v/>
      </c>
      <c r="AE23" s="20" t="str">
        <f t="shared" si="4"/>
        <v/>
      </c>
      <c r="AF23" s="20" t="str">
        <f t="shared" si="5"/>
        <v/>
      </c>
      <c r="AG23" s="20" t="str">
        <f>IF($C23="","",IF(C23=3.5,IFERROR(INDEX('Assumptions &amp; Ref'!$G$93:$G$105,MATCH(E23,'Assumptions &amp; Ref'!$F$93:$F$105,0)),0),0))</f>
        <v/>
      </c>
      <c r="AH23" s="20" t="str">
        <f t="shared" si="6"/>
        <v/>
      </c>
      <c r="AI23" s="20" t="str">
        <f>IF($C23="","",IF(C23=3.5,IFERROR(INDEX('Assumptions &amp; Ref'!$D$70:$D$90,MATCH(AG23,'Assumptions &amp; Ref'!$B$70:$B$90,0)),0),0))</f>
        <v/>
      </c>
      <c r="AJ23" s="20" t="str">
        <f t="shared" si="7"/>
        <v/>
      </c>
      <c r="AK23" s="20" t="str">
        <f t="shared" si="8"/>
        <v/>
      </c>
      <c r="AL23" s="20" t="str">
        <f>IF($C23="","",IFERROR(INDEX('Assumptions &amp; Ref'!$G$70:$G$74,IF(INDEX('Assumptions &amp; Ref'!$F$70:$F$74,MATCH(AK23,'Assumptions &amp; Ref'!$F$70:$F$74,1))=AK23,MATCH(AK23,'Assumptions &amp; Ref'!$F$70:$F$74,1),MIN(MATCH(AK23,'Assumptions &amp; Ref'!$F$70:$F$74,1)+1,5))),INDEX('Assumptions &amp; Ref'!$G$70:$G$74,1)))</f>
        <v/>
      </c>
      <c r="AM23" s="20" t="str">
        <f t="shared" si="9"/>
        <v/>
      </c>
      <c r="AN23" s="20" t="str">
        <f t="shared" si="10"/>
        <v/>
      </c>
      <c r="AO23" s="20" t="str">
        <f>IF($C23="","",IF(I23="Unarmored",0,IF(OR(I23="Galvanised steel flat strip",I23="Aluminium Flat Strip"),IFERROR(INDEX('Assumptions &amp; Ref'!$C$93:$C$98,IF(INDEX('Assumptions &amp; Ref'!$B$93:$B$98,MATCH(AM23,'Assumptions &amp; Ref'!$B$93:$B$98,1))=AM23,MATCH(AM23,'Assumptions &amp; Ref'!$B$93:$B$98,1),MIN(MATCH(AM23,'Assumptions &amp; Ref'!$B$93:$B$98,1)+1,6))),INDEX('Assumptions &amp; Ref'!$C$93:$C$98,1)),IFERROR(INDEX('Assumptions &amp; Ref'!$D$93:$D$98,IF(INDEX('Assumptions &amp; Ref'!$B$93:$B$98,MATCH(AM23,'Assumptions &amp; Ref'!$B$93:$B$98,1))=AM23,MATCH(AM23,'Assumptions &amp; Ref'!$B$93:$B$98,1),MIN(MATCH(AM23,'Assumptions &amp; Ref'!$B$93:$B$98,1)+1,6))),INDEX('Assumptions &amp; Ref'!$D$93:$D$98,1)))))</f>
        <v/>
      </c>
      <c r="AP23" s="20" t="str">
        <f t="shared" si="11"/>
        <v/>
      </c>
      <c r="AQ23" s="20" t="str">
        <f t="shared" si="12"/>
        <v/>
      </c>
      <c r="AR23" s="20" t="str">
        <f>IF($C23="","",IF(I23="Unarmored",IFERROR(INDEX('Assumptions &amp; Ref'!$J$70:$J$81,IF(INDEX('Assumptions &amp; Ref'!$I$70:$I$81,MATCH(AP23,'Assumptions &amp; Ref'!$I$70:$I$81,1))=AP23,MATCH(AP23,'Assumptions &amp; Ref'!$I$70:$I$81,1),MIN(MATCH(AP23,'Assumptions &amp; Ref'!$I$70:$I$81,1)+1,12))),INDEX('Assumptions &amp; Ref'!$J$70:$J$81,1)),IFERROR(INDEX('Assumptions &amp; Ref'!$K$70:$K$81,IF(INDEX('Assumptions &amp; Ref'!$I$70:$I$81,MATCH(AP23,'Assumptions &amp; Ref'!$I$70:$I$81,1))=AP23,MATCH(AP23,'Assumptions &amp; Ref'!$I$70:$I$81,1),MIN(MATCH(AP23,'Assumptions &amp; Ref'!$I$70:$I$81,1)+1,12))),INDEX('Assumptions &amp; Ref'!$K$70:$K$81,1))))</f>
        <v/>
      </c>
      <c r="AS23" s="20" t="str">
        <f t="shared" si="13"/>
        <v/>
      </c>
      <c r="AT23" s="20" t="str">
        <f t="shared" si="14"/>
        <v/>
      </c>
      <c r="AU23" s="20" t="str">
        <f t="shared" si="15"/>
        <v/>
      </c>
      <c r="AV23" s="20" t="str">
        <f>IF($C23="","",((E23*AC23*IF(C23=3.5,3,C23))+(AG23*AC23*IF(C23=3.5,1,0)))*(1+'Assumptions &amp; Ref'!$C$22))</f>
        <v/>
      </c>
      <c r="AW23" s="20" t="str">
        <f>IF($C23="","",IF(C23=3.5,(PI()*(AE23^2-AB23^2)/4*AF23*3)+(PI()*(AJ23^2-AH23^2)/4*AF23),PI()*(AE23^2-AB23^2)/4*AF23*C23)*(1+'Assumptions &amp; Ref'!$C$22))</f>
        <v/>
      </c>
      <c r="AX23" s="20" t="str">
        <f>IF($C23="","",PI()*(AM23^2-AK23^2)/4*AN23*(1+'Assumptions &amp; Ref'!$C$22))</f>
        <v/>
      </c>
      <c r="AY23" s="20" t="str">
        <f>IF($C23="","",PI()*(AS23^2-AP23^2)/4*AT23*(1+'Assumptions &amp; Ref'!$C$22))</f>
        <v/>
      </c>
      <c r="AZ23" s="20" t="str">
        <f>IF($C23="","",PI()*(AP23^2-AM23^2)/4*AQ23*(1+'Assumptions &amp; Ref'!$C$22))</f>
        <v/>
      </c>
      <c r="BA23" s="21" t="str">
        <f t="shared" si="16"/>
        <v/>
      </c>
      <c r="BB23" s="22" t="str">
        <f>IF($C23="","",IF(K23="Y",'Assumptions &amp; Ref'!$C$40,0)+IF(L23="Y",'Assumptions &amp; Ref'!$C$41,0)+IF(M23="Y",'Assumptions &amp; Ref'!$C$42,0)+IF(N23="Y",'Assumptions &amp; Ref'!$C$43,0)+IF(O23="Y",'Assumptions &amp; Ref'!$C$44,0)+IF(P23="Y",'Assumptions &amp; Ref'!$C$45,0)+IF(Q23="Y",'Assumptions &amp; Ref'!$C$46,0)+IF(R23="Y",'Assumptions &amp; Ref'!$C$47,0)+IF(S23="Y",'Assumptions &amp; Ref'!$C$48,0)+IF(T23="Y",'Assumptions &amp; Ref'!$C$49,0))</f>
        <v/>
      </c>
      <c r="BC23" s="23" t="str">
        <f>IF($C23="","",(IF($F23="Aluminium",'Assumptions &amp; Ref'!$D$17,'Assumptions &amp; Ref'!$C$17)+IF($F23="Aluminium",'Assumptions &amp; Ref'!$D$18,'Assumptions &amp; Ref'!$C$18)+IF($F23="Aluminium",'Assumptions &amp; Ref'!$D$19,'Assumptions &amp; Ref'!$C$19)+IF($F23="Aluminium",'Assumptions &amp; Ref'!$D$20,'Assumptions &amp; Ref'!$C$20))/IF($F23="Aluminium",'Assumptions &amp; Ref'!$D$16,'Assumptions &amp; Ref'!$C$16))</f>
        <v/>
      </c>
      <c r="BD23" s="23" t="str">
        <f>IF($C23="","",(IF($F23="Aluminium",'Assumptions &amp; Ref'!$F$17,'Assumptions &amp; Ref'!$E$17)+IF($F23="Aluminium",'Assumptions &amp; Ref'!$F$18,'Assumptions &amp; Ref'!$E$18)+IF($F23="Aluminium",'Assumptions &amp; Ref'!$F$19,'Assumptions &amp; Ref'!$E$19)+IF($F23="Aluminium",'Assumptions &amp; Ref'!$F$20,'Assumptions &amp; Ref'!$E$20))/IF($F23="Aluminium",'Assumptions &amp; Ref'!$F$16,'Assumptions &amp; Ref'!$E$16))</f>
        <v/>
      </c>
      <c r="BE23" s="21" t="str">
        <f t="shared" si="17"/>
        <v/>
      </c>
      <c r="BF23" s="21" t="str">
        <f t="shared" si="18"/>
        <v/>
      </c>
      <c r="BG23" s="21" t="str">
        <f>IF($C23="","",BE23*(1+BB23)*(1+IF($F23="Aluminium",'Assumptions &amp; Ref'!$D$21,'Assumptions &amp; Ref'!$C$21)))</f>
        <v/>
      </c>
      <c r="BH23" s="21" t="str">
        <f>IF($C23="","",BF23*(1+BB23)*(1+IF($F23="Aluminium",'Assumptions &amp; Ref'!$F$21,'Assumptions &amp; Ref'!$E$21)))</f>
        <v/>
      </c>
    </row>
    <row r="24" spans="2:60" ht="15" customHeight="1" x14ac:dyDescent="0.25">
      <c r="B24" s="13"/>
      <c r="C24" s="14"/>
      <c r="D24" s="14"/>
      <c r="E24" s="14"/>
      <c r="F24" s="14"/>
      <c r="G24" s="14"/>
      <c r="H24" s="14"/>
      <c r="I24" s="14"/>
      <c r="J24" s="14"/>
      <c r="K24" s="15"/>
      <c r="L24" s="15"/>
      <c r="M24" s="15"/>
      <c r="N24" s="15"/>
      <c r="O24" s="15"/>
      <c r="P24" s="15"/>
      <c r="Q24" s="15"/>
      <c r="R24" s="15"/>
      <c r="S24" s="15"/>
      <c r="T24" s="15"/>
      <c r="U24" s="16" t="str">
        <f t="shared" si="99"/>
        <v/>
      </c>
      <c r="V24" s="16" t="str">
        <f t="shared" si="100"/>
        <v/>
      </c>
      <c r="W24" s="17" t="str">
        <f t="shared" si="101"/>
        <v/>
      </c>
      <c r="X24" s="18" t="str">
        <f t="shared" si="102"/>
        <v/>
      </c>
      <c r="Y24" s="19" t="str">
        <f t="shared" si="103"/>
        <v/>
      </c>
      <c r="AA24" s="20" t="str">
        <f t="shared" si="1"/>
        <v/>
      </c>
      <c r="AB24" s="20" t="str">
        <f t="shared" si="2"/>
        <v/>
      </c>
      <c r="AC24" s="20" t="str">
        <f t="shared" si="3"/>
        <v/>
      </c>
      <c r="AD24" s="20" t="str">
        <f>IF($C24="","",IF(AND(C24=1,I24="Unarmored"),INDEX('Assumptions &amp; Ref'!$C$70:$C$90,MATCH(E24,'Assumptions &amp; Ref'!$B$70:$B$90,0)),INDEX('Assumptions &amp; Ref'!$D$70:$D$90,MATCH(E24,'Assumptions &amp; Ref'!$B$70:$B$90,0))))</f>
        <v/>
      </c>
      <c r="AE24" s="20" t="str">
        <f t="shared" si="4"/>
        <v/>
      </c>
      <c r="AF24" s="20" t="str">
        <f t="shared" si="5"/>
        <v/>
      </c>
      <c r="AG24" s="20" t="str">
        <f>IF($C24="","",IF(C24=3.5,IFERROR(INDEX('Assumptions &amp; Ref'!$G$93:$G$105,MATCH(E24,'Assumptions &amp; Ref'!$F$93:$F$105,0)),0),0))</f>
        <v/>
      </c>
      <c r="AH24" s="20" t="str">
        <f t="shared" si="6"/>
        <v/>
      </c>
      <c r="AI24" s="20" t="str">
        <f>IF($C24="","",IF(C24=3.5,IFERROR(INDEX('Assumptions &amp; Ref'!$D$70:$D$90,MATCH(AG24,'Assumptions &amp; Ref'!$B$70:$B$90,0)),0),0))</f>
        <v/>
      </c>
      <c r="AJ24" s="20" t="str">
        <f t="shared" si="7"/>
        <v/>
      </c>
      <c r="AK24" s="20" t="str">
        <f t="shared" si="8"/>
        <v/>
      </c>
      <c r="AL24" s="20" t="str">
        <f>IF($C24="","",IFERROR(INDEX('Assumptions &amp; Ref'!$G$70:$G$74,IF(INDEX('Assumptions &amp; Ref'!$F$70:$F$74,MATCH(AK24,'Assumptions &amp; Ref'!$F$70:$F$74,1))=AK24,MATCH(AK24,'Assumptions &amp; Ref'!$F$70:$F$74,1),MIN(MATCH(AK24,'Assumptions &amp; Ref'!$F$70:$F$74,1)+1,5))),INDEX('Assumptions &amp; Ref'!$G$70:$G$74,1)))</f>
        <v/>
      </c>
      <c r="AM24" s="20" t="str">
        <f t="shared" si="9"/>
        <v/>
      </c>
      <c r="AN24" s="20" t="str">
        <f t="shared" si="10"/>
        <v/>
      </c>
      <c r="AO24" s="20" t="str">
        <f>IF($C24="","",IF(I24="Unarmored",0,IF(OR(I24="Galvanised steel flat strip",I24="Aluminium Flat Strip"),IFERROR(INDEX('Assumptions &amp; Ref'!$C$93:$C$98,IF(INDEX('Assumptions &amp; Ref'!$B$93:$B$98,MATCH(AM24,'Assumptions &amp; Ref'!$B$93:$B$98,1))=AM24,MATCH(AM24,'Assumptions &amp; Ref'!$B$93:$B$98,1),MIN(MATCH(AM24,'Assumptions &amp; Ref'!$B$93:$B$98,1)+1,6))),INDEX('Assumptions &amp; Ref'!$C$93:$C$98,1)),IFERROR(INDEX('Assumptions &amp; Ref'!$D$93:$D$98,IF(INDEX('Assumptions &amp; Ref'!$B$93:$B$98,MATCH(AM24,'Assumptions &amp; Ref'!$B$93:$B$98,1))=AM24,MATCH(AM24,'Assumptions &amp; Ref'!$B$93:$B$98,1),MIN(MATCH(AM24,'Assumptions &amp; Ref'!$B$93:$B$98,1)+1,6))),INDEX('Assumptions &amp; Ref'!$D$93:$D$98,1)))))</f>
        <v/>
      </c>
      <c r="AP24" s="20" t="str">
        <f t="shared" si="11"/>
        <v/>
      </c>
      <c r="AQ24" s="20" t="str">
        <f t="shared" si="12"/>
        <v/>
      </c>
      <c r="AR24" s="20" t="str">
        <f>IF($C24="","",IF(I24="Unarmored",IFERROR(INDEX('Assumptions &amp; Ref'!$J$70:$J$81,IF(INDEX('Assumptions &amp; Ref'!$I$70:$I$81,MATCH(AP24,'Assumptions &amp; Ref'!$I$70:$I$81,1))=AP24,MATCH(AP24,'Assumptions &amp; Ref'!$I$70:$I$81,1),MIN(MATCH(AP24,'Assumptions &amp; Ref'!$I$70:$I$81,1)+1,12))),INDEX('Assumptions &amp; Ref'!$J$70:$J$81,1)),IFERROR(INDEX('Assumptions &amp; Ref'!$K$70:$K$81,IF(INDEX('Assumptions &amp; Ref'!$I$70:$I$81,MATCH(AP24,'Assumptions &amp; Ref'!$I$70:$I$81,1))=AP24,MATCH(AP24,'Assumptions &amp; Ref'!$I$70:$I$81,1),MIN(MATCH(AP24,'Assumptions &amp; Ref'!$I$70:$I$81,1)+1,12))),INDEX('Assumptions &amp; Ref'!$K$70:$K$81,1))))</f>
        <v/>
      </c>
      <c r="AS24" s="20" t="str">
        <f t="shared" si="13"/>
        <v/>
      </c>
      <c r="AT24" s="20" t="str">
        <f t="shared" si="14"/>
        <v/>
      </c>
      <c r="AU24" s="20" t="str">
        <f t="shared" si="15"/>
        <v/>
      </c>
      <c r="AV24" s="20" t="str">
        <f>IF($C24="","",((E24*AC24*IF(C24=3.5,3,C24))+(AG24*AC24*IF(C24=3.5,1,0)))*(1+'Assumptions &amp; Ref'!$C$22))</f>
        <v/>
      </c>
      <c r="AW24" s="20" t="str">
        <f>IF($C24="","",IF(C24=3.5,(PI()*(AE24^2-AB24^2)/4*AF24*3)+(PI()*(AJ24^2-AH24^2)/4*AF24),PI()*(AE24^2-AB24^2)/4*AF24*C24)*(1+'Assumptions &amp; Ref'!$C$22))</f>
        <v/>
      </c>
      <c r="AX24" s="20" t="str">
        <f>IF($C24="","",PI()*(AM24^2-AK24^2)/4*AN24*(1+'Assumptions &amp; Ref'!$C$22))</f>
        <v/>
      </c>
      <c r="AY24" s="20" t="str">
        <f>IF($C24="","",PI()*(AS24^2-AP24^2)/4*AT24*(1+'Assumptions &amp; Ref'!$C$22))</f>
        <v/>
      </c>
      <c r="AZ24" s="20" t="str">
        <f>IF($C24="","",PI()*(AP24^2-AM24^2)/4*AQ24*(1+'Assumptions &amp; Ref'!$C$22))</f>
        <v/>
      </c>
      <c r="BA24" s="21" t="str">
        <f t="shared" si="16"/>
        <v/>
      </c>
      <c r="BB24" s="22" t="str">
        <f>IF($C24="","",IF(K24="Y",'Assumptions &amp; Ref'!$C$40,0)+IF(L24="Y",'Assumptions &amp; Ref'!$C$41,0)+IF(M24="Y",'Assumptions &amp; Ref'!$C$42,0)+IF(N24="Y",'Assumptions &amp; Ref'!$C$43,0)+IF(O24="Y",'Assumptions &amp; Ref'!$C$44,0)+IF(P24="Y",'Assumptions &amp; Ref'!$C$45,0)+IF(Q24="Y",'Assumptions &amp; Ref'!$C$46,0)+IF(R24="Y",'Assumptions &amp; Ref'!$C$47,0)+IF(S24="Y",'Assumptions &amp; Ref'!$C$48,0)+IF(T24="Y",'Assumptions &amp; Ref'!$C$49,0))</f>
        <v/>
      </c>
      <c r="BC24" s="23" t="str">
        <f>IF($C24="","",(IF($F24="Aluminium",'Assumptions &amp; Ref'!$D$17,'Assumptions &amp; Ref'!$C$17)+IF($F24="Aluminium",'Assumptions &amp; Ref'!$D$18,'Assumptions &amp; Ref'!$C$18)+IF($F24="Aluminium",'Assumptions &amp; Ref'!$D$19,'Assumptions &amp; Ref'!$C$19)+IF($F24="Aluminium",'Assumptions &amp; Ref'!$D$20,'Assumptions &amp; Ref'!$C$20))/IF($F24="Aluminium",'Assumptions &amp; Ref'!$D$16,'Assumptions &amp; Ref'!$C$16))</f>
        <v/>
      </c>
      <c r="BD24" s="23" t="str">
        <f>IF($C24="","",(IF($F24="Aluminium",'Assumptions &amp; Ref'!$F$17,'Assumptions &amp; Ref'!$E$17)+IF($F24="Aluminium",'Assumptions &amp; Ref'!$F$18,'Assumptions &amp; Ref'!$E$18)+IF($F24="Aluminium",'Assumptions &amp; Ref'!$F$19,'Assumptions &amp; Ref'!$E$19)+IF($F24="Aluminium",'Assumptions &amp; Ref'!$F$20,'Assumptions &amp; Ref'!$E$20))/IF($F24="Aluminium",'Assumptions &amp; Ref'!$F$16,'Assumptions &amp; Ref'!$E$16))</f>
        <v/>
      </c>
      <c r="BE24" s="21" t="str">
        <f t="shared" si="17"/>
        <v/>
      </c>
      <c r="BF24" s="21" t="str">
        <f t="shared" si="18"/>
        <v/>
      </c>
      <c r="BG24" s="21" t="str">
        <f>IF($C24="","",BE24*(1+BB24)*(1+IF($F24="Aluminium",'Assumptions &amp; Ref'!$D$21,'Assumptions &amp; Ref'!$C$21)))</f>
        <v/>
      </c>
      <c r="BH24" s="21" t="str">
        <f>IF($C24="","",BF24*(1+BB24)*(1+IF($F24="Aluminium",'Assumptions &amp; Ref'!$F$21,'Assumptions &amp; Ref'!$E$21)))</f>
        <v/>
      </c>
    </row>
    <row r="25" spans="2:60" ht="15" customHeight="1" x14ac:dyDescent="0.25">
      <c r="B25" s="13"/>
      <c r="C25" s="14"/>
      <c r="D25" s="14"/>
      <c r="E25" s="14"/>
      <c r="F25" s="14"/>
      <c r="G25" s="14"/>
      <c r="H25" s="14"/>
      <c r="I25" s="14"/>
      <c r="J25" s="14"/>
      <c r="K25" s="15"/>
      <c r="L25" s="15"/>
      <c r="M25" s="15"/>
      <c r="N25" s="15"/>
      <c r="O25" s="15"/>
      <c r="P25" s="15"/>
      <c r="Q25" s="15"/>
      <c r="R25" s="15"/>
      <c r="S25" s="15"/>
      <c r="T25" s="15"/>
      <c r="U25" s="16" t="str">
        <f t="shared" si="99"/>
        <v/>
      </c>
      <c r="V25" s="16" t="str">
        <f t="shared" si="100"/>
        <v/>
      </c>
      <c r="W25" s="17" t="str">
        <f t="shared" si="101"/>
        <v/>
      </c>
      <c r="X25" s="18" t="str">
        <f t="shared" si="102"/>
        <v/>
      </c>
      <c r="Y25" s="19" t="str">
        <f t="shared" si="103"/>
        <v/>
      </c>
      <c r="AA25" s="20" t="str">
        <f t="shared" si="1"/>
        <v/>
      </c>
      <c r="AB25" s="20" t="str">
        <f t="shared" si="2"/>
        <v/>
      </c>
      <c r="AC25" s="20" t="str">
        <f t="shared" si="3"/>
        <v/>
      </c>
      <c r="AD25" s="20" t="str">
        <f>IF($C25="","",IF(AND(C25=1,I25="Unarmored"),INDEX('Assumptions &amp; Ref'!$C$70:$C$90,MATCH(E25,'Assumptions &amp; Ref'!$B$70:$B$90,0)),INDEX('Assumptions &amp; Ref'!$D$70:$D$90,MATCH(E25,'Assumptions &amp; Ref'!$B$70:$B$90,0))))</f>
        <v/>
      </c>
      <c r="AE25" s="20" t="str">
        <f t="shared" si="4"/>
        <v/>
      </c>
      <c r="AF25" s="20" t="str">
        <f t="shared" si="5"/>
        <v/>
      </c>
      <c r="AG25" s="20" t="str">
        <f>IF($C25="","",IF(C25=3.5,IFERROR(INDEX('Assumptions &amp; Ref'!$G$93:$G$105,MATCH(E25,'Assumptions &amp; Ref'!$F$93:$F$105,0)),0),0))</f>
        <v/>
      </c>
      <c r="AH25" s="20" t="str">
        <f t="shared" si="6"/>
        <v/>
      </c>
      <c r="AI25" s="20" t="str">
        <f>IF($C25="","",IF(C25=3.5,IFERROR(INDEX('Assumptions &amp; Ref'!$D$70:$D$90,MATCH(AG25,'Assumptions &amp; Ref'!$B$70:$B$90,0)),0),0))</f>
        <v/>
      </c>
      <c r="AJ25" s="20" t="str">
        <f t="shared" si="7"/>
        <v/>
      </c>
      <c r="AK25" s="20" t="str">
        <f t="shared" si="8"/>
        <v/>
      </c>
      <c r="AL25" s="20" t="str">
        <f>IF($C25="","",IFERROR(INDEX('Assumptions &amp; Ref'!$G$70:$G$74,IF(INDEX('Assumptions &amp; Ref'!$F$70:$F$74,MATCH(AK25,'Assumptions &amp; Ref'!$F$70:$F$74,1))=AK25,MATCH(AK25,'Assumptions &amp; Ref'!$F$70:$F$74,1),MIN(MATCH(AK25,'Assumptions &amp; Ref'!$F$70:$F$74,1)+1,5))),INDEX('Assumptions &amp; Ref'!$G$70:$G$74,1)))</f>
        <v/>
      </c>
      <c r="AM25" s="20" t="str">
        <f t="shared" si="9"/>
        <v/>
      </c>
      <c r="AN25" s="20" t="str">
        <f t="shared" si="10"/>
        <v/>
      </c>
      <c r="AO25" s="20" t="str">
        <f>IF($C25="","",IF(I25="Unarmored",0,IF(OR(I25="Galvanised steel flat strip",I25="Aluminium Flat Strip"),IFERROR(INDEX('Assumptions &amp; Ref'!$C$93:$C$98,IF(INDEX('Assumptions &amp; Ref'!$B$93:$B$98,MATCH(AM25,'Assumptions &amp; Ref'!$B$93:$B$98,1))=AM25,MATCH(AM25,'Assumptions &amp; Ref'!$B$93:$B$98,1),MIN(MATCH(AM25,'Assumptions &amp; Ref'!$B$93:$B$98,1)+1,6))),INDEX('Assumptions &amp; Ref'!$C$93:$C$98,1)),IFERROR(INDEX('Assumptions &amp; Ref'!$D$93:$D$98,IF(INDEX('Assumptions &amp; Ref'!$B$93:$B$98,MATCH(AM25,'Assumptions &amp; Ref'!$B$93:$B$98,1))=AM25,MATCH(AM25,'Assumptions &amp; Ref'!$B$93:$B$98,1),MIN(MATCH(AM25,'Assumptions &amp; Ref'!$B$93:$B$98,1)+1,6))),INDEX('Assumptions &amp; Ref'!$D$93:$D$98,1)))))</f>
        <v/>
      </c>
      <c r="AP25" s="20" t="str">
        <f t="shared" si="11"/>
        <v/>
      </c>
      <c r="AQ25" s="20" t="str">
        <f t="shared" si="12"/>
        <v/>
      </c>
      <c r="AR25" s="20" t="str">
        <f>IF($C25="","",IF(I25="Unarmored",IFERROR(INDEX('Assumptions &amp; Ref'!$J$70:$J$81,IF(INDEX('Assumptions &amp; Ref'!$I$70:$I$81,MATCH(AP25,'Assumptions &amp; Ref'!$I$70:$I$81,1))=AP25,MATCH(AP25,'Assumptions &amp; Ref'!$I$70:$I$81,1),MIN(MATCH(AP25,'Assumptions &amp; Ref'!$I$70:$I$81,1)+1,12))),INDEX('Assumptions &amp; Ref'!$J$70:$J$81,1)),IFERROR(INDEX('Assumptions &amp; Ref'!$K$70:$K$81,IF(INDEX('Assumptions &amp; Ref'!$I$70:$I$81,MATCH(AP25,'Assumptions &amp; Ref'!$I$70:$I$81,1))=AP25,MATCH(AP25,'Assumptions &amp; Ref'!$I$70:$I$81,1),MIN(MATCH(AP25,'Assumptions &amp; Ref'!$I$70:$I$81,1)+1,12))),INDEX('Assumptions &amp; Ref'!$K$70:$K$81,1))))</f>
        <v/>
      </c>
      <c r="AS25" s="20" t="str">
        <f t="shared" si="13"/>
        <v/>
      </c>
      <c r="AT25" s="20" t="str">
        <f t="shared" si="14"/>
        <v/>
      </c>
      <c r="AU25" s="20" t="str">
        <f t="shared" si="15"/>
        <v/>
      </c>
      <c r="AV25" s="20" t="str">
        <f>IF($C25="","",((E25*AC25*IF(C25=3.5,3,C25))+(AG25*AC25*IF(C25=3.5,1,0)))*(1+'Assumptions &amp; Ref'!$C$22))</f>
        <v/>
      </c>
      <c r="AW25" s="20" t="str">
        <f>IF($C25="","",IF(C25=3.5,(PI()*(AE25^2-AB25^2)/4*AF25*3)+(PI()*(AJ25^2-AH25^2)/4*AF25),PI()*(AE25^2-AB25^2)/4*AF25*C25)*(1+'Assumptions &amp; Ref'!$C$22))</f>
        <v/>
      </c>
      <c r="AX25" s="20" t="str">
        <f>IF($C25="","",PI()*(AM25^2-AK25^2)/4*AN25*(1+'Assumptions &amp; Ref'!$C$22))</f>
        <v/>
      </c>
      <c r="AY25" s="20" t="str">
        <f>IF($C25="","",PI()*(AS25^2-AP25^2)/4*AT25*(1+'Assumptions &amp; Ref'!$C$22))</f>
        <v/>
      </c>
      <c r="AZ25" s="20" t="str">
        <f>IF($C25="","",PI()*(AP25^2-AM25^2)/4*AQ25*(1+'Assumptions &amp; Ref'!$C$22))</f>
        <v/>
      </c>
      <c r="BA25" s="21" t="str">
        <f t="shared" si="16"/>
        <v/>
      </c>
      <c r="BB25" s="22" t="str">
        <f>IF($C25="","",IF(K25="Y",'Assumptions &amp; Ref'!$C$40,0)+IF(L25="Y",'Assumptions &amp; Ref'!$C$41,0)+IF(M25="Y",'Assumptions &amp; Ref'!$C$42,0)+IF(N25="Y",'Assumptions &amp; Ref'!$C$43,0)+IF(O25="Y",'Assumptions &amp; Ref'!$C$44,0)+IF(P25="Y",'Assumptions &amp; Ref'!$C$45,0)+IF(Q25="Y",'Assumptions &amp; Ref'!$C$46,0)+IF(R25="Y",'Assumptions &amp; Ref'!$C$47,0)+IF(S25="Y",'Assumptions &amp; Ref'!$C$48,0)+IF(T25="Y",'Assumptions &amp; Ref'!$C$49,0))</f>
        <v/>
      </c>
      <c r="BC25" s="23" t="str">
        <f>IF($C25="","",(IF($F25="Aluminium",'Assumptions &amp; Ref'!$D$17,'Assumptions &amp; Ref'!$C$17)+IF($F25="Aluminium",'Assumptions &amp; Ref'!$D$18,'Assumptions &amp; Ref'!$C$18)+IF($F25="Aluminium",'Assumptions &amp; Ref'!$D$19,'Assumptions &amp; Ref'!$C$19)+IF($F25="Aluminium",'Assumptions &amp; Ref'!$D$20,'Assumptions &amp; Ref'!$C$20))/IF($F25="Aluminium",'Assumptions &amp; Ref'!$D$16,'Assumptions &amp; Ref'!$C$16))</f>
        <v/>
      </c>
      <c r="BD25" s="23" t="str">
        <f>IF($C25="","",(IF($F25="Aluminium",'Assumptions &amp; Ref'!$F$17,'Assumptions &amp; Ref'!$E$17)+IF($F25="Aluminium",'Assumptions &amp; Ref'!$F$18,'Assumptions &amp; Ref'!$E$18)+IF($F25="Aluminium",'Assumptions &amp; Ref'!$F$19,'Assumptions &amp; Ref'!$E$19)+IF($F25="Aluminium",'Assumptions &amp; Ref'!$F$20,'Assumptions &amp; Ref'!$E$20))/IF($F25="Aluminium",'Assumptions &amp; Ref'!$F$16,'Assumptions &amp; Ref'!$E$16))</f>
        <v/>
      </c>
      <c r="BE25" s="21" t="str">
        <f t="shared" si="17"/>
        <v/>
      </c>
      <c r="BF25" s="21" t="str">
        <f t="shared" si="18"/>
        <v/>
      </c>
      <c r="BG25" s="21" t="str">
        <f>IF($C25="","",BE25*(1+BB25)*(1+IF($F25="Aluminium",'Assumptions &amp; Ref'!$D$21,'Assumptions &amp; Ref'!$C$21)))</f>
        <v/>
      </c>
      <c r="BH25" s="21" t="str">
        <f>IF($C25="","",BF25*(1+BB25)*(1+IF($F25="Aluminium",'Assumptions &amp; Ref'!$F$21,'Assumptions &amp; Ref'!$E$21)))</f>
        <v/>
      </c>
    </row>
    <row r="26" spans="2:60" ht="15" customHeight="1" x14ac:dyDescent="0.25">
      <c r="B26" s="13"/>
      <c r="C26" s="14"/>
      <c r="D26" s="14"/>
      <c r="E26" s="14"/>
      <c r="F26" s="14"/>
      <c r="G26" s="14"/>
      <c r="H26" s="14"/>
      <c r="I26" s="14"/>
      <c r="J26" s="14"/>
      <c r="K26" s="15"/>
      <c r="L26" s="15"/>
      <c r="M26" s="15"/>
      <c r="N26" s="15"/>
      <c r="O26" s="15"/>
      <c r="P26" s="15"/>
      <c r="Q26" s="15"/>
      <c r="R26" s="15"/>
      <c r="S26" s="15"/>
      <c r="T26" s="15"/>
      <c r="U26" s="16" t="str">
        <f t="shared" si="99"/>
        <v/>
      </c>
      <c r="V26" s="16" t="str">
        <f t="shared" si="100"/>
        <v/>
      </c>
      <c r="W26" s="17" t="str">
        <f t="shared" si="101"/>
        <v/>
      </c>
      <c r="X26" s="18" t="str">
        <f t="shared" si="102"/>
        <v/>
      </c>
      <c r="Y26" s="19" t="str">
        <f t="shared" si="103"/>
        <v/>
      </c>
      <c r="AA26" s="20" t="str">
        <f t="shared" si="1"/>
        <v/>
      </c>
      <c r="AB26" s="20" t="str">
        <f t="shared" si="2"/>
        <v/>
      </c>
      <c r="AC26" s="20" t="str">
        <f t="shared" si="3"/>
        <v/>
      </c>
      <c r="AD26" s="20" t="str">
        <f>IF($C26="","",IF(AND(C26=1,I26="Unarmored"),INDEX('Assumptions &amp; Ref'!$C$70:$C$90,MATCH(E26,'Assumptions &amp; Ref'!$B$70:$B$90,0)),INDEX('Assumptions &amp; Ref'!$D$70:$D$90,MATCH(E26,'Assumptions &amp; Ref'!$B$70:$B$90,0))))</f>
        <v/>
      </c>
      <c r="AE26" s="20" t="str">
        <f t="shared" si="4"/>
        <v/>
      </c>
      <c r="AF26" s="20" t="str">
        <f t="shared" si="5"/>
        <v/>
      </c>
      <c r="AG26" s="20" t="str">
        <f>IF($C26="","",IF(C26=3.5,IFERROR(INDEX('Assumptions &amp; Ref'!$G$93:$G$105,MATCH(E26,'Assumptions &amp; Ref'!$F$93:$F$105,0)),0),0))</f>
        <v/>
      </c>
      <c r="AH26" s="20" t="str">
        <f t="shared" si="6"/>
        <v/>
      </c>
      <c r="AI26" s="20" t="str">
        <f>IF($C26="","",IF(C26=3.5,IFERROR(INDEX('Assumptions &amp; Ref'!$D$70:$D$90,MATCH(AG26,'Assumptions &amp; Ref'!$B$70:$B$90,0)),0),0))</f>
        <v/>
      </c>
      <c r="AJ26" s="20" t="str">
        <f t="shared" si="7"/>
        <v/>
      </c>
      <c r="AK26" s="20" t="str">
        <f t="shared" si="8"/>
        <v/>
      </c>
      <c r="AL26" s="20" t="str">
        <f>IF($C26="","",IFERROR(INDEX('Assumptions &amp; Ref'!$G$70:$G$74,IF(INDEX('Assumptions &amp; Ref'!$F$70:$F$74,MATCH(AK26,'Assumptions &amp; Ref'!$F$70:$F$74,1))=AK26,MATCH(AK26,'Assumptions &amp; Ref'!$F$70:$F$74,1),MIN(MATCH(AK26,'Assumptions &amp; Ref'!$F$70:$F$74,1)+1,5))),INDEX('Assumptions &amp; Ref'!$G$70:$G$74,1)))</f>
        <v/>
      </c>
      <c r="AM26" s="20" t="str">
        <f t="shared" si="9"/>
        <v/>
      </c>
      <c r="AN26" s="20" t="str">
        <f t="shared" si="10"/>
        <v/>
      </c>
      <c r="AO26" s="20" t="str">
        <f>IF($C26="","",IF(I26="Unarmored",0,IF(OR(I26="Galvanised steel flat strip",I26="Aluminium Flat Strip"),IFERROR(INDEX('Assumptions &amp; Ref'!$C$93:$C$98,IF(INDEX('Assumptions &amp; Ref'!$B$93:$B$98,MATCH(AM26,'Assumptions &amp; Ref'!$B$93:$B$98,1))=AM26,MATCH(AM26,'Assumptions &amp; Ref'!$B$93:$B$98,1),MIN(MATCH(AM26,'Assumptions &amp; Ref'!$B$93:$B$98,1)+1,6))),INDEX('Assumptions &amp; Ref'!$C$93:$C$98,1)),IFERROR(INDEX('Assumptions &amp; Ref'!$D$93:$D$98,IF(INDEX('Assumptions &amp; Ref'!$B$93:$B$98,MATCH(AM26,'Assumptions &amp; Ref'!$B$93:$B$98,1))=AM26,MATCH(AM26,'Assumptions &amp; Ref'!$B$93:$B$98,1),MIN(MATCH(AM26,'Assumptions &amp; Ref'!$B$93:$B$98,1)+1,6))),INDEX('Assumptions &amp; Ref'!$D$93:$D$98,1)))))</f>
        <v/>
      </c>
      <c r="AP26" s="20" t="str">
        <f t="shared" si="11"/>
        <v/>
      </c>
      <c r="AQ26" s="20" t="str">
        <f t="shared" si="12"/>
        <v/>
      </c>
      <c r="AR26" s="20" t="str">
        <f>IF($C26="","",IF(I26="Unarmored",IFERROR(INDEX('Assumptions &amp; Ref'!$J$70:$J$81,IF(INDEX('Assumptions &amp; Ref'!$I$70:$I$81,MATCH(AP26,'Assumptions &amp; Ref'!$I$70:$I$81,1))=AP26,MATCH(AP26,'Assumptions &amp; Ref'!$I$70:$I$81,1),MIN(MATCH(AP26,'Assumptions &amp; Ref'!$I$70:$I$81,1)+1,12))),INDEX('Assumptions &amp; Ref'!$J$70:$J$81,1)),IFERROR(INDEX('Assumptions &amp; Ref'!$K$70:$K$81,IF(INDEX('Assumptions &amp; Ref'!$I$70:$I$81,MATCH(AP26,'Assumptions &amp; Ref'!$I$70:$I$81,1))=AP26,MATCH(AP26,'Assumptions &amp; Ref'!$I$70:$I$81,1),MIN(MATCH(AP26,'Assumptions &amp; Ref'!$I$70:$I$81,1)+1,12))),INDEX('Assumptions &amp; Ref'!$K$70:$K$81,1))))</f>
        <v/>
      </c>
      <c r="AS26" s="20" t="str">
        <f t="shared" si="13"/>
        <v/>
      </c>
      <c r="AT26" s="20" t="str">
        <f t="shared" si="14"/>
        <v/>
      </c>
      <c r="AU26" s="20" t="str">
        <f t="shared" si="15"/>
        <v/>
      </c>
      <c r="AV26" s="20" t="str">
        <f>IF($C26="","",((E26*AC26*IF(C26=3.5,3,C26))+(AG26*AC26*IF(C26=3.5,1,0)))*(1+'Assumptions &amp; Ref'!$C$22))</f>
        <v/>
      </c>
      <c r="AW26" s="20" t="str">
        <f>IF($C26="","",IF(C26=3.5,(PI()*(AE26^2-AB26^2)/4*AF26*3)+(PI()*(AJ26^2-AH26^2)/4*AF26),PI()*(AE26^2-AB26^2)/4*AF26*C26)*(1+'Assumptions &amp; Ref'!$C$22))</f>
        <v/>
      </c>
      <c r="AX26" s="20" t="str">
        <f>IF($C26="","",PI()*(AM26^2-AK26^2)/4*AN26*(1+'Assumptions &amp; Ref'!$C$22))</f>
        <v/>
      </c>
      <c r="AY26" s="20" t="str">
        <f>IF($C26="","",PI()*(AS26^2-AP26^2)/4*AT26*(1+'Assumptions &amp; Ref'!$C$22))</f>
        <v/>
      </c>
      <c r="AZ26" s="20" t="str">
        <f>IF($C26="","",PI()*(AP26^2-AM26^2)/4*AQ26*(1+'Assumptions &amp; Ref'!$C$22))</f>
        <v/>
      </c>
      <c r="BA26" s="21" t="str">
        <f t="shared" si="16"/>
        <v/>
      </c>
      <c r="BB26" s="22" t="str">
        <f>IF($C26="","",IF(K26="Y",'Assumptions &amp; Ref'!$C$40,0)+IF(L26="Y",'Assumptions &amp; Ref'!$C$41,0)+IF(M26="Y",'Assumptions &amp; Ref'!$C$42,0)+IF(N26="Y",'Assumptions &amp; Ref'!$C$43,0)+IF(O26="Y",'Assumptions &amp; Ref'!$C$44,0)+IF(P26="Y",'Assumptions &amp; Ref'!$C$45,0)+IF(Q26="Y",'Assumptions &amp; Ref'!$C$46,0)+IF(R26="Y",'Assumptions &amp; Ref'!$C$47,0)+IF(S26="Y",'Assumptions &amp; Ref'!$C$48,0)+IF(T26="Y",'Assumptions &amp; Ref'!$C$49,0))</f>
        <v/>
      </c>
      <c r="BC26" s="23" t="str">
        <f>IF($C26="","",(IF($F26="Aluminium",'Assumptions &amp; Ref'!$D$17,'Assumptions &amp; Ref'!$C$17)+IF($F26="Aluminium",'Assumptions &amp; Ref'!$D$18,'Assumptions &amp; Ref'!$C$18)+IF($F26="Aluminium",'Assumptions &amp; Ref'!$D$19,'Assumptions &amp; Ref'!$C$19)+IF($F26="Aluminium",'Assumptions &amp; Ref'!$D$20,'Assumptions &amp; Ref'!$C$20))/IF($F26="Aluminium",'Assumptions &amp; Ref'!$D$16,'Assumptions &amp; Ref'!$C$16))</f>
        <v/>
      </c>
      <c r="BD26" s="23" t="str">
        <f>IF($C26="","",(IF($F26="Aluminium",'Assumptions &amp; Ref'!$F$17,'Assumptions &amp; Ref'!$E$17)+IF($F26="Aluminium",'Assumptions &amp; Ref'!$F$18,'Assumptions &amp; Ref'!$E$18)+IF($F26="Aluminium",'Assumptions &amp; Ref'!$F$19,'Assumptions &amp; Ref'!$E$19)+IF($F26="Aluminium",'Assumptions &amp; Ref'!$F$20,'Assumptions &amp; Ref'!$E$20))/IF($F26="Aluminium",'Assumptions &amp; Ref'!$F$16,'Assumptions &amp; Ref'!$E$16))</f>
        <v/>
      </c>
      <c r="BE26" s="21" t="str">
        <f t="shared" si="17"/>
        <v/>
      </c>
      <c r="BF26" s="21" t="str">
        <f t="shared" si="18"/>
        <v/>
      </c>
      <c r="BG26" s="21" t="str">
        <f>IF($C26="","",BE26*(1+BB26)*(1+IF($F26="Aluminium",'Assumptions &amp; Ref'!$D$21,'Assumptions &amp; Ref'!$C$21)))</f>
        <v/>
      </c>
      <c r="BH26" s="21" t="str">
        <f>IF($C26="","",BF26*(1+BB26)*(1+IF($F26="Aluminium",'Assumptions &amp; Ref'!$F$21,'Assumptions &amp; Ref'!$E$21)))</f>
        <v/>
      </c>
    </row>
    <row r="27" spans="2:60" ht="15" customHeight="1" x14ac:dyDescent="0.25">
      <c r="B27" s="13"/>
      <c r="C27" s="14"/>
      <c r="D27" s="14"/>
      <c r="E27" s="14"/>
      <c r="F27" s="14"/>
      <c r="G27" s="14"/>
      <c r="H27" s="14"/>
      <c r="I27" s="14"/>
      <c r="J27" s="14"/>
      <c r="K27" s="15"/>
      <c r="L27" s="15"/>
      <c r="M27" s="15"/>
      <c r="N27" s="15"/>
      <c r="O27" s="15"/>
      <c r="P27" s="15"/>
      <c r="Q27" s="15"/>
      <c r="R27" s="15"/>
      <c r="S27" s="15"/>
      <c r="T27" s="15"/>
      <c r="U27" s="16" t="str">
        <f t="shared" si="99"/>
        <v/>
      </c>
      <c r="V27" s="16" t="str">
        <f t="shared" si="100"/>
        <v/>
      </c>
      <c r="W27" s="17" t="str">
        <f t="shared" si="101"/>
        <v/>
      </c>
      <c r="X27" s="18" t="str">
        <f t="shared" si="102"/>
        <v/>
      </c>
      <c r="Y27" s="19" t="str">
        <f t="shared" si="103"/>
        <v/>
      </c>
      <c r="AA27" s="20" t="str">
        <f t="shared" si="1"/>
        <v/>
      </c>
      <c r="AB27" s="20" t="str">
        <f t="shared" si="2"/>
        <v/>
      </c>
      <c r="AC27" s="20" t="str">
        <f t="shared" si="3"/>
        <v/>
      </c>
      <c r="AD27" s="20" t="str">
        <f>IF($C27="","",IF(AND(C27=1,I27="Unarmored"),INDEX('Assumptions &amp; Ref'!$C$70:$C$90,MATCH(E27,'Assumptions &amp; Ref'!$B$70:$B$90,0)),INDEX('Assumptions &amp; Ref'!$D$70:$D$90,MATCH(E27,'Assumptions &amp; Ref'!$B$70:$B$90,0))))</f>
        <v/>
      </c>
      <c r="AE27" s="20" t="str">
        <f t="shared" si="4"/>
        <v/>
      </c>
      <c r="AF27" s="20" t="str">
        <f t="shared" si="5"/>
        <v/>
      </c>
      <c r="AG27" s="20" t="str">
        <f>IF($C27="","",IF(C27=3.5,IFERROR(INDEX('Assumptions &amp; Ref'!$G$93:$G$105,MATCH(E27,'Assumptions &amp; Ref'!$F$93:$F$105,0)),0),0))</f>
        <v/>
      </c>
      <c r="AH27" s="20" t="str">
        <f t="shared" si="6"/>
        <v/>
      </c>
      <c r="AI27" s="20" t="str">
        <f>IF($C27="","",IF(C27=3.5,IFERROR(INDEX('Assumptions &amp; Ref'!$D$70:$D$90,MATCH(AG27,'Assumptions &amp; Ref'!$B$70:$B$90,0)),0),0))</f>
        <v/>
      </c>
      <c r="AJ27" s="20" t="str">
        <f t="shared" si="7"/>
        <v/>
      </c>
      <c r="AK27" s="20" t="str">
        <f t="shared" si="8"/>
        <v/>
      </c>
      <c r="AL27" s="20" t="str">
        <f>IF($C27="","",IFERROR(INDEX('Assumptions &amp; Ref'!$G$70:$G$74,IF(INDEX('Assumptions &amp; Ref'!$F$70:$F$74,MATCH(AK27,'Assumptions &amp; Ref'!$F$70:$F$74,1))=AK27,MATCH(AK27,'Assumptions &amp; Ref'!$F$70:$F$74,1),MIN(MATCH(AK27,'Assumptions &amp; Ref'!$F$70:$F$74,1)+1,5))),INDEX('Assumptions &amp; Ref'!$G$70:$G$74,1)))</f>
        <v/>
      </c>
      <c r="AM27" s="20" t="str">
        <f t="shared" si="9"/>
        <v/>
      </c>
      <c r="AN27" s="20" t="str">
        <f t="shared" si="10"/>
        <v/>
      </c>
      <c r="AO27" s="20" t="str">
        <f>IF($C27="","",IF(I27="Unarmored",0,IF(OR(I27="Galvanised steel flat strip",I27="Aluminium Flat Strip"),IFERROR(INDEX('Assumptions &amp; Ref'!$C$93:$C$98,IF(INDEX('Assumptions &amp; Ref'!$B$93:$B$98,MATCH(AM27,'Assumptions &amp; Ref'!$B$93:$B$98,1))=AM27,MATCH(AM27,'Assumptions &amp; Ref'!$B$93:$B$98,1),MIN(MATCH(AM27,'Assumptions &amp; Ref'!$B$93:$B$98,1)+1,6))),INDEX('Assumptions &amp; Ref'!$C$93:$C$98,1)),IFERROR(INDEX('Assumptions &amp; Ref'!$D$93:$D$98,IF(INDEX('Assumptions &amp; Ref'!$B$93:$B$98,MATCH(AM27,'Assumptions &amp; Ref'!$B$93:$B$98,1))=AM27,MATCH(AM27,'Assumptions &amp; Ref'!$B$93:$B$98,1),MIN(MATCH(AM27,'Assumptions &amp; Ref'!$B$93:$B$98,1)+1,6))),INDEX('Assumptions &amp; Ref'!$D$93:$D$98,1)))))</f>
        <v/>
      </c>
      <c r="AP27" s="20" t="str">
        <f t="shared" si="11"/>
        <v/>
      </c>
      <c r="AQ27" s="20" t="str">
        <f t="shared" si="12"/>
        <v/>
      </c>
      <c r="AR27" s="20" t="str">
        <f>IF($C27="","",IF(I27="Unarmored",IFERROR(INDEX('Assumptions &amp; Ref'!$J$70:$J$81,IF(INDEX('Assumptions &amp; Ref'!$I$70:$I$81,MATCH(AP27,'Assumptions &amp; Ref'!$I$70:$I$81,1))=AP27,MATCH(AP27,'Assumptions &amp; Ref'!$I$70:$I$81,1),MIN(MATCH(AP27,'Assumptions &amp; Ref'!$I$70:$I$81,1)+1,12))),INDEX('Assumptions &amp; Ref'!$J$70:$J$81,1)),IFERROR(INDEX('Assumptions &amp; Ref'!$K$70:$K$81,IF(INDEX('Assumptions &amp; Ref'!$I$70:$I$81,MATCH(AP27,'Assumptions &amp; Ref'!$I$70:$I$81,1))=AP27,MATCH(AP27,'Assumptions &amp; Ref'!$I$70:$I$81,1),MIN(MATCH(AP27,'Assumptions &amp; Ref'!$I$70:$I$81,1)+1,12))),INDEX('Assumptions &amp; Ref'!$K$70:$K$81,1))))</f>
        <v/>
      </c>
      <c r="AS27" s="20" t="str">
        <f t="shared" si="13"/>
        <v/>
      </c>
      <c r="AT27" s="20" t="str">
        <f t="shared" si="14"/>
        <v/>
      </c>
      <c r="AU27" s="20" t="str">
        <f t="shared" si="15"/>
        <v/>
      </c>
      <c r="AV27" s="20" t="str">
        <f>IF($C27="","",((E27*AC27*IF(C27=3.5,3,C27))+(AG27*AC27*IF(C27=3.5,1,0)))*(1+'Assumptions &amp; Ref'!$C$22))</f>
        <v/>
      </c>
      <c r="AW27" s="20" t="str">
        <f>IF($C27="","",IF(C27=3.5,(PI()*(AE27^2-AB27^2)/4*AF27*3)+(PI()*(AJ27^2-AH27^2)/4*AF27),PI()*(AE27^2-AB27^2)/4*AF27*C27)*(1+'Assumptions &amp; Ref'!$C$22))</f>
        <v/>
      </c>
      <c r="AX27" s="20" t="str">
        <f>IF($C27="","",PI()*(AM27^2-AK27^2)/4*AN27*(1+'Assumptions &amp; Ref'!$C$22))</f>
        <v/>
      </c>
      <c r="AY27" s="20" t="str">
        <f>IF($C27="","",PI()*(AS27^2-AP27^2)/4*AT27*(1+'Assumptions &amp; Ref'!$C$22))</f>
        <v/>
      </c>
      <c r="AZ27" s="20" t="str">
        <f>IF($C27="","",PI()*(AP27^2-AM27^2)/4*AQ27*(1+'Assumptions &amp; Ref'!$C$22))</f>
        <v/>
      </c>
      <c r="BA27" s="21" t="str">
        <f t="shared" si="16"/>
        <v/>
      </c>
      <c r="BB27" s="22" t="str">
        <f>IF($C27="","",IF(K27="Y",'Assumptions &amp; Ref'!$C$40,0)+IF(L27="Y",'Assumptions &amp; Ref'!$C$41,0)+IF(M27="Y",'Assumptions &amp; Ref'!$C$42,0)+IF(N27="Y",'Assumptions &amp; Ref'!$C$43,0)+IF(O27="Y",'Assumptions &amp; Ref'!$C$44,0)+IF(P27="Y",'Assumptions &amp; Ref'!$C$45,0)+IF(Q27="Y",'Assumptions &amp; Ref'!$C$46,0)+IF(R27="Y",'Assumptions &amp; Ref'!$C$47,0)+IF(S27="Y",'Assumptions &amp; Ref'!$C$48,0)+IF(T27="Y",'Assumptions &amp; Ref'!$C$49,0))</f>
        <v/>
      </c>
      <c r="BC27" s="23" t="str">
        <f>IF($C27="","",(IF($F27="Aluminium",'Assumptions &amp; Ref'!$D$17,'Assumptions &amp; Ref'!$C$17)+IF($F27="Aluminium",'Assumptions &amp; Ref'!$D$18,'Assumptions &amp; Ref'!$C$18)+IF($F27="Aluminium",'Assumptions &amp; Ref'!$D$19,'Assumptions &amp; Ref'!$C$19)+IF($F27="Aluminium",'Assumptions &amp; Ref'!$D$20,'Assumptions &amp; Ref'!$C$20))/IF($F27="Aluminium",'Assumptions &amp; Ref'!$D$16,'Assumptions &amp; Ref'!$C$16))</f>
        <v/>
      </c>
      <c r="BD27" s="23" t="str">
        <f>IF($C27="","",(IF($F27="Aluminium",'Assumptions &amp; Ref'!$F$17,'Assumptions &amp; Ref'!$E$17)+IF($F27="Aluminium",'Assumptions &amp; Ref'!$F$18,'Assumptions &amp; Ref'!$E$18)+IF($F27="Aluminium",'Assumptions &amp; Ref'!$F$19,'Assumptions &amp; Ref'!$E$19)+IF($F27="Aluminium",'Assumptions &amp; Ref'!$F$20,'Assumptions &amp; Ref'!$E$20))/IF($F27="Aluminium",'Assumptions &amp; Ref'!$F$16,'Assumptions &amp; Ref'!$E$16))</f>
        <v/>
      </c>
      <c r="BE27" s="21" t="str">
        <f t="shared" si="17"/>
        <v/>
      </c>
      <c r="BF27" s="21" t="str">
        <f t="shared" si="18"/>
        <v/>
      </c>
      <c r="BG27" s="21" t="str">
        <f>IF($C27="","",BE27*(1+BB27)*(1+IF($F27="Aluminium",'Assumptions &amp; Ref'!$D$21,'Assumptions &amp; Ref'!$C$21)))</f>
        <v/>
      </c>
      <c r="BH27" s="21" t="str">
        <f>IF($C27="","",BF27*(1+BB27)*(1+IF($F27="Aluminium",'Assumptions &amp; Ref'!$F$21,'Assumptions &amp; Ref'!$E$21)))</f>
        <v/>
      </c>
    </row>
    <row r="28" spans="2:60" ht="15" customHeight="1" x14ac:dyDescent="0.25">
      <c r="B28" s="13"/>
      <c r="C28" s="14"/>
      <c r="D28" s="14"/>
      <c r="E28" s="14"/>
      <c r="F28" s="14"/>
      <c r="G28" s="14"/>
      <c r="H28" s="14"/>
      <c r="I28" s="14"/>
      <c r="J28" s="14"/>
      <c r="K28" s="15"/>
      <c r="L28" s="15"/>
      <c r="M28" s="15"/>
      <c r="N28" s="15"/>
      <c r="O28" s="15"/>
      <c r="P28" s="15"/>
      <c r="Q28" s="15"/>
      <c r="R28" s="15"/>
      <c r="S28" s="15"/>
      <c r="T28" s="15"/>
      <c r="U28" s="16" t="str">
        <f t="shared" si="99"/>
        <v/>
      </c>
      <c r="V28" s="16" t="str">
        <f t="shared" si="100"/>
        <v/>
      </c>
      <c r="W28" s="17" t="str">
        <f t="shared" si="101"/>
        <v/>
      </c>
      <c r="X28" s="18" t="str">
        <f t="shared" si="102"/>
        <v/>
      </c>
      <c r="Y28" s="19" t="str">
        <f t="shared" si="103"/>
        <v/>
      </c>
      <c r="AA28" s="20" t="str">
        <f t="shared" si="1"/>
        <v/>
      </c>
      <c r="AB28" s="20" t="str">
        <f t="shared" si="2"/>
        <v/>
      </c>
      <c r="AC28" s="20" t="str">
        <f t="shared" si="3"/>
        <v/>
      </c>
      <c r="AD28" s="20" t="str">
        <f>IF($C28="","",IF(AND(C28=1,I28="Unarmored"),INDEX('Assumptions &amp; Ref'!$C$70:$C$90,MATCH(E28,'Assumptions &amp; Ref'!$B$70:$B$90,0)),INDEX('Assumptions &amp; Ref'!$D$70:$D$90,MATCH(E28,'Assumptions &amp; Ref'!$B$70:$B$90,0))))</f>
        <v/>
      </c>
      <c r="AE28" s="20" t="str">
        <f t="shared" si="4"/>
        <v/>
      </c>
      <c r="AF28" s="20" t="str">
        <f t="shared" si="5"/>
        <v/>
      </c>
      <c r="AG28" s="20" t="str">
        <f>IF($C28="","",IF(C28=3.5,IFERROR(INDEX('Assumptions &amp; Ref'!$G$93:$G$105,MATCH(E28,'Assumptions &amp; Ref'!$F$93:$F$105,0)),0),0))</f>
        <v/>
      </c>
      <c r="AH28" s="20" t="str">
        <f t="shared" si="6"/>
        <v/>
      </c>
      <c r="AI28" s="20" t="str">
        <f>IF($C28="","",IF(C28=3.5,IFERROR(INDEX('Assumptions &amp; Ref'!$D$70:$D$90,MATCH(AG28,'Assumptions &amp; Ref'!$B$70:$B$90,0)),0),0))</f>
        <v/>
      </c>
      <c r="AJ28" s="20" t="str">
        <f t="shared" si="7"/>
        <v/>
      </c>
      <c r="AK28" s="20" t="str">
        <f t="shared" si="8"/>
        <v/>
      </c>
      <c r="AL28" s="20" t="str">
        <f>IF($C28="","",IFERROR(INDEX('Assumptions &amp; Ref'!$G$70:$G$74,IF(INDEX('Assumptions &amp; Ref'!$F$70:$F$74,MATCH(AK28,'Assumptions &amp; Ref'!$F$70:$F$74,1))=AK28,MATCH(AK28,'Assumptions &amp; Ref'!$F$70:$F$74,1),MIN(MATCH(AK28,'Assumptions &amp; Ref'!$F$70:$F$74,1)+1,5))),INDEX('Assumptions &amp; Ref'!$G$70:$G$74,1)))</f>
        <v/>
      </c>
      <c r="AM28" s="20" t="str">
        <f t="shared" si="9"/>
        <v/>
      </c>
      <c r="AN28" s="20" t="str">
        <f t="shared" si="10"/>
        <v/>
      </c>
      <c r="AO28" s="20" t="str">
        <f>IF($C28="","",IF(I28="Unarmored",0,IF(OR(I28="Galvanised steel flat strip",I28="Aluminium Flat Strip"),IFERROR(INDEX('Assumptions &amp; Ref'!$C$93:$C$98,IF(INDEX('Assumptions &amp; Ref'!$B$93:$B$98,MATCH(AM28,'Assumptions &amp; Ref'!$B$93:$B$98,1))=AM28,MATCH(AM28,'Assumptions &amp; Ref'!$B$93:$B$98,1),MIN(MATCH(AM28,'Assumptions &amp; Ref'!$B$93:$B$98,1)+1,6))),INDEX('Assumptions &amp; Ref'!$C$93:$C$98,1)),IFERROR(INDEX('Assumptions &amp; Ref'!$D$93:$D$98,IF(INDEX('Assumptions &amp; Ref'!$B$93:$B$98,MATCH(AM28,'Assumptions &amp; Ref'!$B$93:$B$98,1))=AM28,MATCH(AM28,'Assumptions &amp; Ref'!$B$93:$B$98,1),MIN(MATCH(AM28,'Assumptions &amp; Ref'!$B$93:$B$98,1)+1,6))),INDEX('Assumptions &amp; Ref'!$D$93:$D$98,1)))))</f>
        <v/>
      </c>
      <c r="AP28" s="20" t="str">
        <f t="shared" si="11"/>
        <v/>
      </c>
      <c r="AQ28" s="20" t="str">
        <f t="shared" si="12"/>
        <v/>
      </c>
      <c r="AR28" s="20" t="str">
        <f>IF($C28="","",IF(I28="Unarmored",IFERROR(INDEX('Assumptions &amp; Ref'!$J$70:$J$81,IF(INDEX('Assumptions &amp; Ref'!$I$70:$I$81,MATCH(AP28,'Assumptions &amp; Ref'!$I$70:$I$81,1))=AP28,MATCH(AP28,'Assumptions &amp; Ref'!$I$70:$I$81,1),MIN(MATCH(AP28,'Assumptions &amp; Ref'!$I$70:$I$81,1)+1,12))),INDEX('Assumptions &amp; Ref'!$J$70:$J$81,1)),IFERROR(INDEX('Assumptions &amp; Ref'!$K$70:$K$81,IF(INDEX('Assumptions &amp; Ref'!$I$70:$I$81,MATCH(AP28,'Assumptions &amp; Ref'!$I$70:$I$81,1))=AP28,MATCH(AP28,'Assumptions &amp; Ref'!$I$70:$I$81,1),MIN(MATCH(AP28,'Assumptions &amp; Ref'!$I$70:$I$81,1)+1,12))),INDEX('Assumptions &amp; Ref'!$K$70:$K$81,1))))</f>
        <v/>
      </c>
      <c r="AS28" s="20" t="str">
        <f t="shared" si="13"/>
        <v/>
      </c>
      <c r="AT28" s="20" t="str">
        <f t="shared" si="14"/>
        <v/>
      </c>
      <c r="AU28" s="20" t="str">
        <f t="shared" si="15"/>
        <v/>
      </c>
      <c r="AV28" s="20" t="str">
        <f>IF($C28="","",((E28*AC28*IF(C28=3.5,3,C28))+(AG28*AC28*IF(C28=3.5,1,0)))*(1+'Assumptions &amp; Ref'!$C$22))</f>
        <v/>
      </c>
      <c r="AW28" s="20" t="str">
        <f>IF($C28="","",IF(C28=3.5,(PI()*(AE28^2-AB28^2)/4*AF28*3)+(PI()*(AJ28^2-AH28^2)/4*AF28),PI()*(AE28^2-AB28^2)/4*AF28*C28)*(1+'Assumptions &amp; Ref'!$C$22))</f>
        <v/>
      </c>
      <c r="AX28" s="20" t="str">
        <f>IF($C28="","",PI()*(AM28^2-AK28^2)/4*AN28*(1+'Assumptions &amp; Ref'!$C$22))</f>
        <v/>
      </c>
      <c r="AY28" s="20" t="str">
        <f>IF($C28="","",PI()*(AS28^2-AP28^2)/4*AT28*(1+'Assumptions &amp; Ref'!$C$22))</f>
        <v/>
      </c>
      <c r="AZ28" s="20" t="str">
        <f>IF($C28="","",PI()*(AP28^2-AM28^2)/4*AQ28*(1+'Assumptions &amp; Ref'!$C$22))</f>
        <v/>
      </c>
      <c r="BA28" s="21" t="str">
        <f t="shared" si="16"/>
        <v/>
      </c>
      <c r="BB28" s="22" t="str">
        <f>IF($C28="","",IF(K28="Y",'Assumptions &amp; Ref'!$C$40,0)+IF(L28="Y",'Assumptions &amp; Ref'!$C$41,0)+IF(M28="Y",'Assumptions &amp; Ref'!$C$42,0)+IF(N28="Y",'Assumptions &amp; Ref'!$C$43,0)+IF(O28="Y",'Assumptions &amp; Ref'!$C$44,0)+IF(P28="Y",'Assumptions &amp; Ref'!$C$45,0)+IF(Q28="Y",'Assumptions &amp; Ref'!$C$46,0)+IF(R28="Y",'Assumptions &amp; Ref'!$C$47,0)+IF(S28="Y",'Assumptions &amp; Ref'!$C$48,0)+IF(T28="Y",'Assumptions &amp; Ref'!$C$49,0))</f>
        <v/>
      </c>
      <c r="BC28" s="23" t="str">
        <f>IF($C28="","",(IF($F28="Aluminium",'Assumptions &amp; Ref'!$D$17,'Assumptions &amp; Ref'!$C$17)+IF($F28="Aluminium",'Assumptions &amp; Ref'!$D$18,'Assumptions &amp; Ref'!$C$18)+IF($F28="Aluminium",'Assumptions &amp; Ref'!$D$19,'Assumptions &amp; Ref'!$C$19)+IF($F28="Aluminium",'Assumptions &amp; Ref'!$D$20,'Assumptions &amp; Ref'!$C$20))/IF($F28="Aluminium",'Assumptions &amp; Ref'!$D$16,'Assumptions &amp; Ref'!$C$16))</f>
        <v/>
      </c>
      <c r="BD28" s="23" t="str">
        <f>IF($C28="","",(IF($F28="Aluminium",'Assumptions &amp; Ref'!$F$17,'Assumptions &amp; Ref'!$E$17)+IF($F28="Aluminium",'Assumptions &amp; Ref'!$F$18,'Assumptions &amp; Ref'!$E$18)+IF($F28="Aluminium",'Assumptions &amp; Ref'!$F$19,'Assumptions &amp; Ref'!$E$19)+IF($F28="Aluminium",'Assumptions &amp; Ref'!$F$20,'Assumptions &amp; Ref'!$E$20))/IF($F28="Aluminium",'Assumptions &amp; Ref'!$F$16,'Assumptions &amp; Ref'!$E$16))</f>
        <v/>
      </c>
      <c r="BE28" s="21" t="str">
        <f t="shared" si="17"/>
        <v/>
      </c>
      <c r="BF28" s="21" t="str">
        <f t="shared" si="18"/>
        <v/>
      </c>
      <c r="BG28" s="21" t="str">
        <f>IF($C28="","",BE28*(1+BB28)*(1+IF($F28="Aluminium",'Assumptions &amp; Ref'!$D$21,'Assumptions &amp; Ref'!$C$21)))</f>
        <v/>
      </c>
      <c r="BH28" s="21" t="str">
        <f>IF($C28="","",BF28*(1+BB28)*(1+IF($F28="Aluminium",'Assumptions &amp; Ref'!$F$21,'Assumptions &amp; Ref'!$E$21)))</f>
        <v/>
      </c>
    </row>
    <row r="29" spans="2:60" ht="15" customHeight="1" x14ac:dyDescent="0.25">
      <c r="B29" s="13"/>
      <c r="C29" s="14"/>
      <c r="D29" s="14"/>
      <c r="E29" s="14"/>
      <c r="F29" s="14"/>
      <c r="G29" s="14"/>
      <c r="H29" s="14"/>
      <c r="I29" s="14"/>
      <c r="J29" s="14"/>
      <c r="K29" s="15"/>
      <c r="L29" s="15"/>
      <c r="M29" s="15"/>
      <c r="N29" s="15"/>
      <c r="O29" s="15"/>
      <c r="P29" s="15"/>
      <c r="Q29" s="15"/>
      <c r="R29" s="15"/>
      <c r="S29" s="15"/>
      <c r="T29" s="15"/>
      <c r="U29" s="16" t="str">
        <f t="shared" si="99"/>
        <v/>
      </c>
      <c r="V29" s="16" t="str">
        <f t="shared" si="100"/>
        <v/>
      </c>
      <c r="W29" s="17" t="str">
        <f t="shared" si="101"/>
        <v/>
      </c>
      <c r="X29" s="18" t="str">
        <f t="shared" si="102"/>
        <v/>
      </c>
      <c r="Y29" s="19" t="str">
        <f t="shared" si="103"/>
        <v/>
      </c>
      <c r="AA29" s="20" t="str">
        <f t="shared" si="1"/>
        <v/>
      </c>
      <c r="AB29" s="20" t="str">
        <f t="shared" si="2"/>
        <v/>
      </c>
      <c r="AC29" s="20" t="str">
        <f t="shared" si="3"/>
        <v/>
      </c>
      <c r="AD29" s="20" t="str">
        <f>IF($C29="","",IF(AND(C29=1,I29="Unarmored"),INDEX('Assumptions &amp; Ref'!$C$70:$C$90,MATCH(E29,'Assumptions &amp; Ref'!$B$70:$B$90,0)),INDEX('Assumptions &amp; Ref'!$D$70:$D$90,MATCH(E29,'Assumptions &amp; Ref'!$B$70:$B$90,0))))</f>
        <v/>
      </c>
      <c r="AE29" s="20" t="str">
        <f t="shared" si="4"/>
        <v/>
      </c>
      <c r="AF29" s="20" t="str">
        <f t="shared" si="5"/>
        <v/>
      </c>
      <c r="AG29" s="20" t="str">
        <f>IF($C29="","",IF(C29=3.5,IFERROR(INDEX('Assumptions &amp; Ref'!$G$93:$G$105,MATCH(E29,'Assumptions &amp; Ref'!$F$93:$F$105,0)),0),0))</f>
        <v/>
      </c>
      <c r="AH29" s="20" t="str">
        <f t="shared" si="6"/>
        <v/>
      </c>
      <c r="AI29" s="20" t="str">
        <f>IF($C29="","",IF(C29=3.5,IFERROR(INDEX('Assumptions &amp; Ref'!$D$70:$D$90,MATCH(AG29,'Assumptions &amp; Ref'!$B$70:$B$90,0)),0),0))</f>
        <v/>
      </c>
      <c r="AJ29" s="20" t="str">
        <f t="shared" si="7"/>
        <v/>
      </c>
      <c r="AK29" s="20" t="str">
        <f t="shared" si="8"/>
        <v/>
      </c>
      <c r="AL29" s="20" t="str">
        <f>IF($C29="","",IFERROR(INDEX('Assumptions &amp; Ref'!$G$70:$G$74,IF(INDEX('Assumptions &amp; Ref'!$F$70:$F$74,MATCH(AK29,'Assumptions &amp; Ref'!$F$70:$F$74,1))=AK29,MATCH(AK29,'Assumptions &amp; Ref'!$F$70:$F$74,1),MIN(MATCH(AK29,'Assumptions &amp; Ref'!$F$70:$F$74,1)+1,5))),INDEX('Assumptions &amp; Ref'!$G$70:$G$74,1)))</f>
        <v/>
      </c>
      <c r="AM29" s="20" t="str">
        <f t="shared" si="9"/>
        <v/>
      </c>
      <c r="AN29" s="20" t="str">
        <f t="shared" si="10"/>
        <v/>
      </c>
      <c r="AO29" s="20" t="str">
        <f>IF($C29="","",IF(I29="Unarmored",0,IF(OR(I29="Galvanised steel flat strip",I29="Aluminium Flat Strip"),IFERROR(INDEX('Assumptions &amp; Ref'!$C$93:$C$98,IF(INDEX('Assumptions &amp; Ref'!$B$93:$B$98,MATCH(AM29,'Assumptions &amp; Ref'!$B$93:$B$98,1))=AM29,MATCH(AM29,'Assumptions &amp; Ref'!$B$93:$B$98,1),MIN(MATCH(AM29,'Assumptions &amp; Ref'!$B$93:$B$98,1)+1,6))),INDEX('Assumptions &amp; Ref'!$C$93:$C$98,1)),IFERROR(INDEX('Assumptions &amp; Ref'!$D$93:$D$98,IF(INDEX('Assumptions &amp; Ref'!$B$93:$B$98,MATCH(AM29,'Assumptions &amp; Ref'!$B$93:$B$98,1))=AM29,MATCH(AM29,'Assumptions &amp; Ref'!$B$93:$B$98,1),MIN(MATCH(AM29,'Assumptions &amp; Ref'!$B$93:$B$98,1)+1,6))),INDEX('Assumptions &amp; Ref'!$D$93:$D$98,1)))))</f>
        <v/>
      </c>
      <c r="AP29" s="20" t="str">
        <f t="shared" si="11"/>
        <v/>
      </c>
      <c r="AQ29" s="20" t="str">
        <f t="shared" si="12"/>
        <v/>
      </c>
      <c r="AR29" s="20" t="str">
        <f>IF($C29="","",IF(I29="Unarmored",IFERROR(INDEX('Assumptions &amp; Ref'!$J$70:$J$81,IF(INDEX('Assumptions &amp; Ref'!$I$70:$I$81,MATCH(AP29,'Assumptions &amp; Ref'!$I$70:$I$81,1))=AP29,MATCH(AP29,'Assumptions &amp; Ref'!$I$70:$I$81,1),MIN(MATCH(AP29,'Assumptions &amp; Ref'!$I$70:$I$81,1)+1,12))),INDEX('Assumptions &amp; Ref'!$J$70:$J$81,1)),IFERROR(INDEX('Assumptions &amp; Ref'!$K$70:$K$81,IF(INDEX('Assumptions &amp; Ref'!$I$70:$I$81,MATCH(AP29,'Assumptions &amp; Ref'!$I$70:$I$81,1))=AP29,MATCH(AP29,'Assumptions &amp; Ref'!$I$70:$I$81,1),MIN(MATCH(AP29,'Assumptions &amp; Ref'!$I$70:$I$81,1)+1,12))),INDEX('Assumptions &amp; Ref'!$K$70:$K$81,1))))</f>
        <v/>
      </c>
      <c r="AS29" s="20" t="str">
        <f t="shared" si="13"/>
        <v/>
      </c>
      <c r="AT29" s="20" t="str">
        <f t="shared" si="14"/>
        <v/>
      </c>
      <c r="AU29" s="20" t="str">
        <f t="shared" si="15"/>
        <v/>
      </c>
      <c r="AV29" s="20" t="str">
        <f>IF($C29="","",((E29*AC29*IF(C29=3.5,3,C29))+(AG29*AC29*IF(C29=3.5,1,0)))*(1+'Assumptions &amp; Ref'!$C$22))</f>
        <v/>
      </c>
      <c r="AW29" s="20" t="str">
        <f>IF($C29="","",IF(C29=3.5,(PI()*(AE29^2-AB29^2)/4*AF29*3)+(PI()*(AJ29^2-AH29^2)/4*AF29),PI()*(AE29^2-AB29^2)/4*AF29*C29)*(1+'Assumptions &amp; Ref'!$C$22))</f>
        <v/>
      </c>
      <c r="AX29" s="20" t="str">
        <f>IF($C29="","",PI()*(AM29^2-AK29^2)/4*AN29*(1+'Assumptions &amp; Ref'!$C$22))</f>
        <v/>
      </c>
      <c r="AY29" s="20" t="str">
        <f>IF($C29="","",PI()*(AS29^2-AP29^2)/4*AT29*(1+'Assumptions &amp; Ref'!$C$22))</f>
        <v/>
      </c>
      <c r="AZ29" s="20" t="str">
        <f>IF($C29="","",PI()*(AP29^2-AM29^2)/4*AQ29*(1+'Assumptions &amp; Ref'!$C$22))</f>
        <v/>
      </c>
      <c r="BA29" s="21" t="str">
        <f t="shared" si="16"/>
        <v/>
      </c>
      <c r="BB29" s="22" t="str">
        <f>IF($C29="","",IF(K29="Y",'Assumptions &amp; Ref'!$C$40,0)+IF(L29="Y",'Assumptions &amp; Ref'!$C$41,0)+IF(M29="Y",'Assumptions &amp; Ref'!$C$42,0)+IF(N29="Y",'Assumptions &amp; Ref'!$C$43,0)+IF(O29="Y",'Assumptions &amp; Ref'!$C$44,0)+IF(P29="Y",'Assumptions &amp; Ref'!$C$45,0)+IF(Q29="Y",'Assumptions &amp; Ref'!$C$46,0)+IF(R29="Y",'Assumptions &amp; Ref'!$C$47,0)+IF(S29="Y",'Assumptions &amp; Ref'!$C$48,0)+IF(T29="Y",'Assumptions &amp; Ref'!$C$49,0))</f>
        <v/>
      </c>
      <c r="BC29" s="23" t="str">
        <f>IF($C29="","",(IF($F29="Aluminium",'Assumptions &amp; Ref'!$D$17,'Assumptions &amp; Ref'!$C$17)+IF($F29="Aluminium",'Assumptions &amp; Ref'!$D$18,'Assumptions &amp; Ref'!$C$18)+IF($F29="Aluminium",'Assumptions &amp; Ref'!$D$19,'Assumptions &amp; Ref'!$C$19)+IF($F29="Aluminium",'Assumptions &amp; Ref'!$D$20,'Assumptions &amp; Ref'!$C$20))/IF($F29="Aluminium",'Assumptions &amp; Ref'!$D$16,'Assumptions &amp; Ref'!$C$16))</f>
        <v/>
      </c>
      <c r="BD29" s="23" t="str">
        <f>IF($C29="","",(IF($F29="Aluminium",'Assumptions &amp; Ref'!$F$17,'Assumptions &amp; Ref'!$E$17)+IF($F29="Aluminium",'Assumptions &amp; Ref'!$F$18,'Assumptions &amp; Ref'!$E$18)+IF($F29="Aluminium",'Assumptions &amp; Ref'!$F$19,'Assumptions &amp; Ref'!$E$19)+IF($F29="Aluminium",'Assumptions &amp; Ref'!$F$20,'Assumptions &amp; Ref'!$E$20))/IF($F29="Aluminium",'Assumptions &amp; Ref'!$F$16,'Assumptions &amp; Ref'!$E$16))</f>
        <v/>
      </c>
      <c r="BE29" s="21" t="str">
        <f t="shared" si="17"/>
        <v/>
      </c>
      <c r="BF29" s="21" t="str">
        <f t="shared" si="18"/>
        <v/>
      </c>
      <c r="BG29" s="21" t="str">
        <f>IF($C29="","",BE29*(1+BB29)*(1+IF($F29="Aluminium",'Assumptions &amp; Ref'!$D$21,'Assumptions &amp; Ref'!$C$21)))</f>
        <v/>
      </c>
      <c r="BH29" s="21" t="str">
        <f>IF($C29="","",BF29*(1+BB29)*(1+IF($F29="Aluminium",'Assumptions &amp; Ref'!$F$21,'Assumptions &amp; Ref'!$E$21)))</f>
        <v/>
      </c>
    </row>
    <row r="30" spans="2:60" ht="15" customHeight="1" x14ac:dyDescent="0.25">
      <c r="B30" s="13"/>
      <c r="C30" s="14"/>
      <c r="D30" s="14"/>
      <c r="E30" s="14"/>
      <c r="F30" s="14"/>
      <c r="G30" s="14"/>
      <c r="H30" s="14"/>
      <c r="I30" s="14"/>
      <c r="J30" s="14"/>
      <c r="K30" s="15"/>
      <c r="L30" s="15"/>
      <c r="M30" s="15"/>
      <c r="N30" s="15"/>
      <c r="O30" s="15"/>
      <c r="P30" s="15"/>
      <c r="Q30" s="15"/>
      <c r="R30" s="15"/>
      <c r="S30" s="15"/>
      <c r="T30" s="15"/>
      <c r="U30" s="16" t="str">
        <f t="shared" si="99"/>
        <v/>
      </c>
      <c r="V30" s="16" t="str">
        <f t="shared" si="100"/>
        <v/>
      </c>
      <c r="W30" s="17" t="str">
        <f t="shared" si="101"/>
        <v/>
      </c>
      <c r="X30" s="18" t="str">
        <f t="shared" si="102"/>
        <v/>
      </c>
      <c r="Y30" s="19" t="str">
        <f t="shared" si="103"/>
        <v/>
      </c>
      <c r="AA30" s="20" t="str">
        <f t="shared" si="1"/>
        <v/>
      </c>
      <c r="AB30" s="20" t="str">
        <f t="shared" si="2"/>
        <v/>
      </c>
      <c r="AC30" s="20" t="str">
        <f t="shared" si="3"/>
        <v/>
      </c>
      <c r="AD30" s="20" t="str">
        <f>IF($C30="","",IF(AND(C30=1,I30="Unarmored"),INDEX('Assumptions &amp; Ref'!$C$70:$C$90,MATCH(E30,'Assumptions &amp; Ref'!$B$70:$B$90,0)),INDEX('Assumptions &amp; Ref'!$D$70:$D$90,MATCH(E30,'Assumptions &amp; Ref'!$B$70:$B$90,0))))</f>
        <v/>
      </c>
      <c r="AE30" s="20" t="str">
        <f t="shared" si="4"/>
        <v/>
      </c>
      <c r="AF30" s="20" t="str">
        <f t="shared" si="5"/>
        <v/>
      </c>
      <c r="AG30" s="20" t="str">
        <f>IF($C30="","",IF(C30=3.5,IFERROR(INDEX('Assumptions &amp; Ref'!$G$93:$G$105,MATCH(E30,'Assumptions &amp; Ref'!$F$93:$F$105,0)),0),0))</f>
        <v/>
      </c>
      <c r="AH30" s="20" t="str">
        <f t="shared" si="6"/>
        <v/>
      </c>
      <c r="AI30" s="20" t="str">
        <f>IF($C30="","",IF(C30=3.5,IFERROR(INDEX('Assumptions &amp; Ref'!$D$70:$D$90,MATCH(AG30,'Assumptions &amp; Ref'!$B$70:$B$90,0)),0),0))</f>
        <v/>
      </c>
      <c r="AJ30" s="20" t="str">
        <f t="shared" si="7"/>
        <v/>
      </c>
      <c r="AK30" s="20" t="str">
        <f t="shared" si="8"/>
        <v/>
      </c>
      <c r="AL30" s="20" t="str">
        <f>IF($C30="","",IFERROR(INDEX('Assumptions &amp; Ref'!$G$70:$G$74,IF(INDEX('Assumptions &amp; Ref'!$F$70:$F$74,MATCH(AK30,'Assumptions &amp; Ref'!$F$70:$F$74,1))=AK30,MATCH(AK30,'Assumptions &amp; Ref'!$F$70:$F$74,1),MIN(MATCH(AK30,'Assumptions &amp; Ref'!$F$70:$F$74,1)+1,5))),INDEX('Assumptions &amp; Ref'!$G$70:$G$74,1)))</f>
        <v/>
      </c>
      <c r="AM30" s="20" t="str">
        <f t="shared" si="9"/>
        <v/>
      </c>
      <c r="AN30" s="20" t="str">
        <f t="shared" si="10"/>
        <v/>
      </c>
      <c r="AO30" s="20" t="str">
        <f>IF($C30="","",IF(I30="Unarmored",0,IF(OR(I30="Galvanised steel flat strip",I30="Aluminium Flat Strip"),IFERROR(INDEX('Assumptions &amp; Ref'!$C$93:$C$98,IF(INDEX('Assumptions &amp; Ref'!$B$93:$B$98,MATCH(AM30,'Assumptions &amp; Ref'!$B$93:$B$98,1))=AM30,MATCH(AM30,'Assumptions &amp; Ref'!$B$93:$B$98,1),MIN(MATCH(AM30,'Assumptions &amp; Ref'!$B$93:$B$98,1)+1,6))),INDEX('Assumptions &amp; Ref'!$C$93:$C$98,1)),IFERROR(INDEX('Assumptions &amp; Ref'!$D$93:$D$98,IF(INDEX('Assumptions &amp; Ref'!$B$93:$B$98,MATCH(AM30,'Assumptions &amp; Ref'!$B$93:$B$98,1))=AM30,MATCH(AM30,'Assumptions &amp; Ref'!$B$93:$B$98,1),MIN(MATCH(AM30,'Assumptions &amp; Ref'!$B$93:$B$98,1)+1,6))),INDEX('Assumptions &amp; Ref'!$D$93:$D$98,1)))))</f>
        <v/>
      </c>
      <c r="AP30" s="20" t="str">
        <f t="shared" si="11"/>
        <v/>
      </c>
      <c r="AQ30" s="20" t="str">
        <f t="shared" si="12"/>
        <v/>
      </c>
      <c r="AR30" s="20" t="str">
        <f>IF($C30="","",IF(I30="Unarmored",IFERROR(INDEX('Assumptions &amp; Ref'!$J$70:$J$81,IF(INDEX('Assumptions &amp; Ref'!$I$70:$I$81,MATCH(AP30,'Assumptions &amp; Ref'!$I$70:$I$81,1))=AP30,MATCH(AP30,'Assumptions &amp; Ref'!$I$70:$I$81,1),MIN(MATCH(AP30,'Assumptions &amp; Ref'!$I$70:$I$81,1)+1,12))),INDEX('Assumptions &amp; Ref'!$J$70:$J$81,1)),IFERROR(INDEX('Assumptions &amp; Ref'!$K$70:$K$81,IF(INDEX('Assumptions &amp; Ref'!$I$70:$I$81,MATCH(AP30,'Assumptions &amp; Ref'!$I$70:$I$81,1))=AP30,MATCH(AP30,'Assumptions &amp; Ref'!$I$70:$I$81,1),MIN(MATCH(AP30,'Assumptions &amp; Ref'!$I$70:$I$81,1)+1,12))),INDEX('Assumptions &amp; Ref'!$K$70:$K$81,1))))</f>
        <v/>
      </c>
      <c r="AS30" s="20" t="str">
        <f t="shared" si="13"/>
        <v/>
      </c>
      <c r="AT30" s="20" t="str">
        <f t="shared" si="14"/>
        <v/>
      </c>
      <c r="AU30" s="20" t="str">
        <f t="shared" si="15"/>
        <v/>
      </c>
      <c r="AV30" s="20" t="str">
        <f>IF($C30="","",((E30*AC30*IF(C30=3.5,3,C30))+(AG30*AC30*IF(C30=3.5,1,0)))*(1+'Assumptions &amp; Ref'!$C$22))</f>
        <v/>
      </c>
      <c r="AW30" s="20" t="str">
        <f>IF($C30="","",IF(C30=3.5,(PI()*(AE30^2-AB30^2)/4*AF30*3)+(PI()*(AJ30^2-AH30^2)/4*AF30),PI()*(AE30^2-AB30^2)/4*AF30*C30)*(1+'Assumptions &amp; Ref'!$C$22))</f>
        <v/>
      </c>
      <c r="AX30" s="20" t="str">
        <f>IF($C30="","",PI()*(AM30^2-AK30^2)/4*AN30*(1+'Assumptions &amp; Ref'!$C$22))</f>
        <v/>
      </c>
      <c r="AY30" s="20" t="str">
        <f>IF($C30="","",PI()*(AS30^2-AP30^2)/4*AT30*(1+'Assumptions &amp; Ref'!$C$22))</f>
        <v/>
      </c>
      <c r="AZ30" s="20" t="str">
        <f>IF($C30="","",PI()*(AP30^2-AM30^2)/4*AQ30*(1+'Assumptions &amp; Ref'!$C$22))</f>
        <v/>
      </c>
      <c r="BA30" s="21" t="str">
        <f t="shared" si="16"/>
        <v/>
      </c>
      <c r="BB30" s="22" t="str">
        <f>IF($C30="","",IF(K30="Y",'Assumptions &amp; Ref'!$C$40,0)+IF(L30="Y",'Assumptions &amp; Ref'!$C$41,0)+IF(M30="Y",'Assumptions &amp; Ref'!$C$42,0)+IF(N30="Y",'Assumptions &amp; Ref'!$C$43,0)+IF(O30="Y",'Assumptions &amp; Ref'!$C$44,0)+IF(P30="Y",'Assumptions &amp; Ref'!$C$45,0)+IF(Q30="Y",'Assumptions &amp; Ref'!$C$46,0)+IF(R30="Y",'Assumptions &amp; Ref'!$C$47,0)+IF(S30="Y",'Assumptions &amp; Ref'!$C$48,0)+IF(T30="Y",'Assumptions &amp; Ref'!$C$49,0))</f>
        <v/>
      </c>
      <c r="BC30" s="23" t="str">
        <f>IF($C30="","",(IF($F30="Aluminium",'Assumptions &amp; Ref'!$D$17,'Assumptions &amp; Ref'!$C$17)+IF($F30="Aluminium",'Assumptions &amp; Ref'!$D$18,'Assumptions &amp; Ref'!$C$18)+IF($F30="Aluminium",'Assumptions &amp; Ref'!$D$19,'Assumptions &amp; Ref'!$C$19)+IF($F30="Aluminium",'Assumptions &amp; Ref'!$D$20,'Assumptions &amp; Ref'!$C$20))/IF($F30="Aluminium",'Assumptions &amp; Ref'!$D$16,'Assumptions &amp; Ref'!$C$16))</f>
        <v/>
      </c>
      <c r="BD30" s="23" t="str">
        <f>IF($C30="","",(IF($F30="Aluminium",'Assumptions &amp; Ref'!$F$17,'Assumptions &amp; Ref'!$E$17)+IF($F30="Aluminium",'Assumptions &amp; Ref'!$F$18,'Assumptions &amp; Ref'!$E$18)+IF($F30="Aluminium",'Assumptions &amp; Ref'!$F$19,'Assumptions &amp; Ref'!$E$19)+IF($F30="Aluminium",'Assumptions &amp; Ref'!$F$20,'Assumptions &amp; Ref'!$E$20))/IF($F30="Aluminium",'Assumptions &amp; Ref'!$F$16,'Assumptions &amp; Ref'!$E$16))</f>
        <v/>
      </c>
      <c r="BE30" s="21" t="str">
        <f t="shared" si="17"/>
        <v/>
      </c>
      <c r="BF30" s="21" t="str">
        <f t="shared" si="18"/>
        <v/>
      </c>
      <c r="BG30" s="21" t="str">
        <f>IF($C30="","",BE30*(1+BB30)*(1+IF($F30="Aluminium",'Assumptions &amp; Ref'!$D$21,'Assumptions &amp; Ref'!$C$21)))</f>
        <v/>
      </c>
      <c r="BH30" s="21" t="str">
        <f>IF($C30="","",BF30*(1+BB30)*(1+IF($F30="Aluminium",'Assumptions &amp; Ref'!$F$21,'Assumptions &amp; Ref'!$E$21)))</f>
        <v/>
      </c>
    </row>
    <row r="31" spans="2:60" ht="15" customHeight="1" x14ac:dyDescent="0.25">
      <c r="B31" s="13"/>
      <c r="C31" s="14"/>
      <c r="D31" s="14"/>
      <c r="E31" s="14"/>
      <c r="F31" s="14"/>
      <c r="G31" s="14"/>
      <c r="H31" s="14"/>
      <c r="I31" s="14"/>
      <c r="J31" s="14"/>
      <c r="K31" s="15"/>
      <c r="L31" s="15"/>
      <c r="M31" s="15"/>
      <c r="N31" s="15"/>
      <c r="O31" s="15"/>
      <c r="P31" s="15"/>
      <c r="Q31" s="15"/>
      <c r="R31" s="15"/>
      <c r="S31" s="15"/>
      <c r="T31" s="15"/>
      <c r="U31" s="16" t="str">
        <f t="shared" si="99"/>
        <v/>
      </c>
      <c r="V31" s="16" t="str">
        <f t="shared" si="100"/>
        <v/>
      </c>
      <c r="W31" s="17" t="str">
        <f t="shared" si="101"/>
        <v/>
      </c>
      <c r="X31" s="18" t="str">
        <f t="shared" si="102"/>
        <v/>
      </c>
      <c r="Y31" s="19" t="str">
        <f t="shared" si="103"/>
        <v/>
      </c>
      <c r="AA31" s="20" t="str">
        <f t="shared" si="1"/>
        <v/>
      </c>
      <c r="AB31" s="20" t="str">
        <f t="shared" si="2"/>
        <v/>
      </c>
      <c r="AC31" s="20" t="str">
        <f t="shared" si="3"/>
        <v/>
      </c>
      <c r="AD31" s="20" t="str">
        <f>IF($C31="","",IF(AND(C31=1,I31="Unarmored"),INDEX('Assumptions &amp; Ref'!$C$70:$C$90,MATCH(E31,'Assumptions &amp; Ref'!$B$70:$B$90,0)),INDEX('Assumptions &amp; Ref'!$D$70:$D$90,MATCH(E31,'Assumptions &amp; Ref'!$B$70:$B$90,0))))</f>
        <v/>
      </c>
      <c r="AE31" s="20" t="str">
        <f t="shared" si="4"/>
        <v/>
      </c>
      <c r="AF31" s="20" t="str">
        <f t="shared" si="5"/>
        <v/>
      </c>
      <c r="AG31" s="20" t="str">
        <f>IF($C31="","",IF(C31=3.5,IFERROR(INDEX('Assumptions &amp; Ref'!$G$93:$G$105,MATCH(E31,'Assumptions &amp; Ref'!$F$93:$F$105,0)),0),0))</f>
        <v/>
      </c>
      <c r="AH31" s="20" t="str">
        <f t="shared" si="6"/>
        <v/>
      </c>
      <c r="AI31" s="20" t="str">
        <f>IF($C31="","",IF(C31=3.5,IFERROR(INDEX('Assumptions &amp; Ref'!$D$70:$D$90,MATCH(AG31,'Assumptions &amp; Ref'!$B$70:$B$90,0)),0),0))</f>
        <v/>
      </c>
      <c r="AJ31" s="20" t="str">
        <f t="shared" si="7"/>
        <v/>
      </c>
      <c r="AK31" s="20" t="str">
        <f t="shared" si="8"/>
        <v/>
      </c>
      <c r="AL31" s="20" t="str">
        <f>IF($C31="","",IFERROR(INDEX('Assumptions &amp; Ref'!$G$70:$G$74,IF(INDEX('Assumptions &amp; Ref'!$F$70:$F$74,MATCH(AK31,'Assumptions &amp; Ref'!$F$70:$F$74,1))=AK31,MATCH(AK31,'Assumptions &amp; Ref'!$F$70:$F$74,1),MIN(MATCH(AK31,'Assumptions &amp; Ref'!$F$70:$F$74,1)+1,5))),INDEX('Assumptions &amp; Ref'!$G$70:$G$74,1)))</f>
        <v/>
      </c>
      <c r="AM31" s="20" t="str">
        <f t="shared" si="9"/>
        <v/>
      </c>
      <c r="AN31" s="20" t="str">
        <f t="shared" si="10"/>
        <v/>
      </c>
      <c r="AO31" s="20" t="str">
        <f>IF($C31="","",IF(I31="Unarmored",0,IF(OR(I31="Galvanised steel flat strip",I31="Aluminium Flat Strip"),IFERROR(INDEX('Assumptions &amp; Ref'!$C$93:$C$98,IF(INDEX('Assumptions &amp; Ref'!$B$93:$B$98,MATCH(AM31,'Assumptions &amp; Ref'!$B$93:$B$98,1))=AM31,MATCH(AM31,'Assumptions &amp; Ref'!$B$93:$B$98,1),MIN(MATCH(AM31,'Assumptions &amp; Ref'!$B$93:$B$98,1)+1,6))),INDEX('Assumptions &amp; Ref'!$C$93:$C$98,1)),IFERROR(INDEX('Assumptions &amp; Ref'!$D$93:$D$98,IF(INDEX('Assumptions &amp; Ref'!$B$93:$B$98,MATCH(AM31,'Assumptions &amp; Ref'!$B$93:$B$98,1))=AM31,MATCH(AM31,'Assumptions &amp; Ref'!$B$93:$B$98,1),MIN(MATCH(AM31,'Assumptions &amp; Ref'!$B$93:$B$98,1)+1,6))),INDEX('Assumptions &amp; Ref'!$D$93:$D$98,1)))))</f>
        <v/>
      </c>
      <c r="AP31" s="20" t="str">
        <f t="shared" si="11"/>
        <v/>
      </c>
      <c r="AQ31" s="20" t="str">
        <f t="shared" si="12"/>
        <v/>
      </c>
      <c r="AR31" s="20" t="str">
        <f>IF($C31="","",IF(I31="Unarmored",IFERROR(INDEX('Assumptions &amp; Ref'!$J$70:$J$81,IF(INDEX('Assumptions &amp; Ref'!$I$70:$I$81,MATCH(AP31,'Assumptions &amp; Ref'!$I$70:$I$81,1))=AP31,MATCH(AP31,'Assumptions &amp; Ref'!$I$70:$I$81,1),MIN(MATCH(AP31,'Assumptions &amp; Ref'!$I$70:$I$81,1)+1,12))),INDEX('Assumptions &amp; Ref'!$J$70:$J$81,1)),IFERROR(INDEX('Assumptions &amp; Ref'!$K$70:$K$81,IF(INDEX('Assumptions &amp; Ref'!$I$70:$I$81,MATCH(AP31,'Assumptions &amp; Ref'!$I$70:$I$81,1))=AP31,MATCH(AP31,'Assumptions &amp; Ref'!$I$70:$I$81,1),MIN(MATCH(AP31,'Assumptions &amp; Ref'!$I$70:$I$81,1)+1,12))),INDEX('Assumptions &amp; Ref'!$K$70:$K$81,1))))</f>
        <v/>
      </c>
      <c r="AS31" s="20" t="str">
        <f t="shared" si="13"/>
        <v/>
      </c>
      <c r="AT31" s="20" t="str">
        <f t="shared" si="14"/>
        <v/>
      </c>
      <c r="AU31" s="20" t="str">
        <f t="shared" si="15"/>
        <v/>
      </c>
      <c r="AV31" s="20" t="str">
        <f>IF($C31="","",((E31*AC31*IF(C31=3.5,3,C31))+(AG31*AC31*IF(C31=3.5,1,0)))*(1+'Assumptions &amp; Ref'!$C$22))</f>
        <v/>
      </c>
      <c r="AW31" s="20" t="str">
        <f>IF($C31="","",IF(C31=3.5,(PI()*(AE31^2-AB31^2)/4*AF31*3)+(PI()*(AJ31^2-AH31^2)/4*AF31),PI()*(AE31^2-AB31^2)/4*AF31*C31)*(1+'Assumptions &amp; Ref'!$C$22))</f>
        <v/>
      </c>
      <c r="AX31" s="20" t="str">
        <f>IF($C31="","",PI()*(AM31^2-AK31^2)/4*AN31*(1+'Assumptions &amp; Ref'!$C$22))</f>
        <v/>
      </c>
      <c r="AY31" s="20" t="str">
        <f>IF($C31="","",PI()*(AS31^2-AP31^2)/4*AT31*(1+'Assumptions &amp; Ref'!$C$22))</f>
        <v/>
      </c>
      <c r="AZ31" s="20" t="str">
        <f>IF($C31="","",PI()*(AP31^2-AM31^2)/4*AQ31*(1+'Assumptions &amp; Ref'!$C$22))</f>
        <v/>
      </c>
      <c r="BA31" s="21" t="str">
        <f t="shared" si="16"/>
        <v/>
      </c>
      <c r="BB31" s="22" t="str">
        <f>IF($C31="","",IF(K31="Y",'Assumptions &amp; Ref'!$C$40,0)+IF(L31="Y",'Assumptions &amp; Ref'!$C$41,0)+IF(M31="Y",'Assumptions &amp; Ref'!$C$42,0)+IF(N31="Y",'Assumptions &amp; Ref'!$C$43,0)+IF(O31="Y",'Assumptions &amp; Ref'!$C$44,0)+IF(P31="Y",'Assumptions &amp; Ref'!$C$45,0)+IF(Q31="Y",'Assumptions &amp; Ref'!$C$46,0)+IF(R31="Y",'Assumptions &amp; Ref'!$C$47,0)+IF(S31="Y",'Assumptions &amp; Ref'!$C$48,0)+IF(T31="Y",'Assumptions &amp; Ref'!$C$49,0))</f>
        <v/>
      </c>
      <c r="BC31" s="23" t="str">
        <f>IF($C31="","",(IF($F31="Aluminium",'Assumptions &amp; Ref'!$D$17,'Assumptions &amp; Ref'!$C$17)+IF($F31="Aluminium",'Assumptions &amp; Ref'!$D$18,'Assumptions &amp; Ref'!$C$18)+IF($F31="Aluminium",'Assumptions &amp; Ref'!$D$19,'Assumptions &amp; Ref'!$C$19)+IF($F31="Aluminium",'Assumptions &amp; Ref'!$D$20,'Assumptions &amp; Ref'!$C$20))/IF($F31="Aluminium",'Assumptions &amp; Ref'!$D$16,'Assumptions &amp; Ref'!$C$16))</f>
        <v/>
      </c>
      <c r="BD31" s="23" t="str">
        <f>IF($C31="","",(IF($F31="Aluminium",'Assumptions &amp; Ref'!$F$17,'Assumptions &amp; Ref'!$E$17)+IF($F31="Aluminium",'Assumptions &amp; Ref'!$F$18,'Assumptions &amp; Ref'!$E$18)+IF($F31="Aluminium",'Assumptions &amp; Ref'!$F$19,'Assumptions &amp; Ref'!$E$19)+IF($F31="Aluminium",'Assumptions &amp; Ref'!$F$20,'Assumptions &amp; Ref'!$E$20))/IF($F31="Aluminium",'Assumptions &amp; Ref'!$F$16,'Assumptions &amp; Ref'!$E$16))</f>
        <v/>
      </c>
      <c r="BE31" s="21" t="str">
        <f t="shared" si="17"/>
        <v/>
      </c>
      <c r="BF31" s="21" t="str">
        <f t="shared" si="18"/>
        <v/>
      </c>
      <c r="BG31" s="21" t="str">
        <f>IF($C31="","",BE31*(1+BB31)*(1+IF($F31="Aluminium",'Assumptions &amp; Ref'!$D$21,'Assumptions &amp; Ref'!$C$21)))</f>
        <v/>
      </c>
      <c r="BH31" s="21" t="str">
        <f>IF($C31="","",BF31*(1+BB31)*(1+IF($F31="Aluminium",'Assumptions &amp; Ref'!$F$21,'Assumptions &amp; Ref'!$E$21)))</f>
        <v/>
      </c>
    </row>
    <row r="32" spans="2:60" ht="15" customHeight="1" x14ac:dyDescent="0.25">
      <c r="B32" s="13"/>
      <c r="C32" s="14"/>
      <c r="D32" s="14"/>
      <c r="E32" s="14"/>
      <c r="F32" s="14"/>
      <c r="G32" s="14"/>
      <c r="H32" s="14"/>
      <c r="I32" s="14"/>
      <c r="J32" s="14"/>
      <c r="K32" s="15"/>
      <c r="L32" s="15"/>
      <c r="M32" s="15"/>
      <c r="N32" s="15"/>
      <c r="O32" s="15"/>
      <c r="P32" s="15"/>
      <c r="Q32" s="15"/>
      <c r="R32" s="15"/>
      <c r="S32" s="15"/>
      <c r="T32" s="15"/>
      <c r="U32" s="16" t="str">
        <f t="shared" si="99"/>
        <v/>
      </c>
      <c r="V32" s="16" t="str">
        <f t="shared" si="100"/>
        <v/>
      </c>
      <c r="W32" s="17" t="str">
        <f t="shared" si="101"/>
        <v/>
      </c>
      <c r="X32" s="18" t="str">
        <f t="shared" si="102"/>
        <v/>
      </c>
      <c r="Y32" s="19" t="str">
        <f t="shared" si="103"/>
        <v/>
      </c>
      <c r="AA32" s="20" t="str">
        <f t="shared" si="1"/>
        <v/>
      </c>
      <c r="AB32" s="20" t="str">
        <f t="shared" si="2"/>
        <v/>
      </c>
      <c r="AC32" s="20" t="str">
        <f t="shared" si="3"/>
        <v/>
      </c>
      <c r="AD32" s="20" t="str">
        <f>IF($C32="","",IF(AND(C32=1,I32="Unarmored"),INDEX('Assumptions &amp; Ref'!$C$70:$C$90,MATCH(E32,'Assumptions &amp; Ref'!$B$70:$B$90,0)),INDEX('Assumptions &amp; Ref'!$D$70:$D$90,MATCH(E32,'Assumptions &amp; Ref'!$B$70:$B$90,0))))</f>
        <v/>
      </c>
      <c r="AE32" s="20" t="str">
        <f t="shared" si="4"/>
        <v/>
      </c>
      <c r="AF32" s="20" t="str">
        <f t="shared" si="5"/>
        <v/>
      </c>
      <c r="AG32" s="20" t="str">
        <f>IF($C32="","",IF(C32=3.5,IFERROR(INDEX('Assumptions &amp; Ref'!$G$93:$G$105,MATCH(E32,'Assumptions &amp; Ref'!$F$93:$F$105,0)),0),0))</f>
        <v/>
      </c>
      <c r="AH32" s="20" t="str">
        <f t="shared" si="6"/>
        <v/>
      </c>
      <c r="AI32" s="20" t="str">
        <f>IF($C32="","",IF(C32=3.5,IFERROR(INDEX('Assumptions &amp; Ref'!$D$70:$D$90,MATCH(AG32,'Assumptions &amp; Ref'!$B$70:$B$90,0)),0),0))</f>
        <v/>
      </c>
      <c r="AJ32" s="20" t="str">
        <f t="shared" si="7"/>
        <v/>
      </c>
      <c r="AK32" s="20" t="str">
        <f t="shared" si="8"/>
        <v/>
      </c>
      <c r="AL32" s="20" t="str">
        <f>IF($C32="","",IFERROR(INDEX('Assumptions &amp; Ref'!$G$70:$G$74,IF(INDEX('Assumptions &amp; Ref'!$F$70:$F$74,MATCH(AK32,'Assumptions &amp; Ref'!$F$70:$F$74,1))=AK32,MATCH(AK32,'Assumptions &amp; Ref'!$F$70:$F$74,1),MIN(MATCH(AK32,'Assumptions &amp; Ref'!$F$70:$F$74,1)+1,5))),INDEX('Assumptions &amp; Ref'!$G$70:$G$74,1)))</f>
        <v/>
      </c>
      <c r="AM32" s="20" t="str">
        <f t="shared" si="9"/>
        <v/>
      </c>
      <c r="AN32" s="20" t="str">
        <f t="shared" si="10"/>
        <v/>
      </c>
      <c r="AO32" s="20" t="str">
        <f>IF($C32="","",IF(I32="Unarmored",0,IF(OR(I32="Galvanised steel flat strip",I32="Aluminium Flat Strip"),IFERROR(INDEX('Assumptions &amp; Ref'!$C$93:$C$98,IF(INDEX('Assumptions &amp; Ref'!$B$93:$B$98,MATCH(AM32,'Assumptions &amp; Ref'!$B$93:$B$98,1))=AM32,MATCH(AM32,'Assumptions &amp; Ref'!$B$93:$B$98,1),MIN(MATCH(AM32,'Assumptions &amp; Ref'!$B$93:$B$98,1)+1,6))),INDEX('Assumptions &amp; Ref'!$C$93:$C$98,1)),IFERROR(INDEX('Assumptions &amp; Ref'!$D$93:$D$98,IF(INDEX('Assumptions &amp; Ref'!$B$93:$B$98,MATCH(AM32,'Assumptions &amp; Ref'!$B$93:$B$98,1))=AM32,MATCH(AM32,'Assumptions &amp; Ref'!$B$93:$B$98,1),MIN(MATCH(AM32,'Assumptions &amp; Ref'!$B$93:$B$98,1)+1,6))),INDEX('Assumptions &amp; Ref'!$D$93:$D$98,1)))))</f>
        <v/>
      </c>
      <c r="AP32" s="20" t="str">
        <f t="shared" si="11"/>
        <v/>
      </c>
      <c r="AQ32" s="20" t="str">
        <f t="shared" si="12"/>
        <v/>
      </c>
      <c r="AR32" s="20" t="str">
        <f>IF($C32="","",IF(I32="Unarmored",IFERROR(INDEX('Assumptions &amp; Ref'!$J$70:$J$81,IF(INDEX('Assumptions &amp; Ref'!$I$70:$I$81,MATCH(AP32,'Assumptions &amp; Ref'!$I$70:$I$81,1))=AP32,MATCH(AP32,'Assumptions &amp; Ref'!$I$70:$I$81,1),MIN(MATCH(AP32,'Assumptions &amp; Ref'!$I$70:$I$81,1)+1,12))),INDEX('Assumptions &amp; Ref'!$J$70:$J$81,1)),IFERROR(INDEX('Assumptions &amp; Ref'!$K$70:$K$81,IF(INDEX('Assumptions &amp; Ref'!$I$70:$I$81,MATCH(AP32,'Assumptions &amp; Ref'!$I$70:$I$81,1))=AP32,MATCH(AP32,'Assumptions &amp; Ref'!$I$70:$I$81,1),MIN(MATCH(AP32,'Assumptions &amp; Ref'!$I$70:$I$81,1)+1,12))),INDEX('Assumptions &amp; Ref'!$K$70:$K$81,1))))</f>
        <v/>
      </c>
      <c r="AS32" s="20" t="str">
        <f t="shared" si="13"/>
        <v/>
      </c>
      <c r="AT32" s="20" t="str">
        <f t="shared" si="14"/>
        <v/>
      </c>
      <c r="AU32" s="20" t="str">
        <f t="shared" si="15"/>
        <v/>
      </c>
      <c r="AV32" s="20" t="str">
        <f>IF($C32="","",((E32*AC32*IF(C32=3.5,3,C32))+(AG32*AC32*IF(C32=3.5,1,0)))*(1+'Assumptions &amp; Ref'!$C$22))</f>
        <v/>
      </c>
      <c r="AW32" s="20" t="str">
        <f>IF($C32="","",IF(C32=3.5,(PI()*(AE32^2-AB32^2)/4*AF32*3)+(PI()*(AJ32^2-AH32^2)/4*AF32),PI()*(AE32^2-AB32^2)/4*AF32*C32)*(1+'Assumptions &amp; Ref'!$C$22))</f>
        <v/>
      </c>
      <c r="AX32" s="20" t="str">
        <f>IF($C32="","",PI()*(AM32^2-AK32^2)/4*AN32*(1+'Assumptions &amp; Ref'!$C$22))</f>
        <v/>
      </c>
      <c r="AY32" s="20" t="str">
        <f>IF($C32="","",PI()*(AS32^2-AP32^2)/4*AT32*(1+'Assumptions &amp; Ref'!$C$22))</f>
        <v/>
      </c>
      <c r="AZ32" s="20" t="str">
        <f>IF($C32="","",PI()*(AP32^2-AM32^2)/4*AQ32*(1+'Assumptions &amp; Ref'!$C$22))</f>
        <v/>
      </c>
      <c r="BA32" s="21" t="str">
        <f t="shared" si="16"/>
        <v/>
      </c>
      <c r="BB32" s="22" t="str">
        <f>IF($C32="","",IF(K32="Y",'Assumptions &amp; Ref'!$C$40,0)+IF(L32="Y",'Assumptions &amp; Ref'!$C$41,0)+IF(M32="Y",'Assumptions &amp; Ref'!$C$42,0)+IF(N32="Y",'Assumptions &amp; Ref'!$C$43,0)+IF(O32="Y",'Assumptions &amp; Ref'!$C$44,0)+IF(P32="Y",'Assumptions &amp; Ref'!$C$45,0)+IF(Q32="Y",'Assumptions &amp; Ref'!$C$46,0)+IF(R32="Y",'Assumptions &amp; Ref'!$C$47,0)+IF(S32="Y",'Assumptions &amp; Ref'!$C$48,0)+IF(T32="Y",'Assumptions &amp; Ref'!$C$49,0))</f>
        <v/>
      </c>
      <c r="BC32" s="23" t="str">
        <f>IF($C32="","",(IF($F32="Aluminium",'Assumptions &amp; Ref'!$D$17,'Assumptions &amp; Ref'!$C$17)+IF($F32="Aluminium",'Assumptions &amp; Ref'!$D$18,'Assumptions &amp; Ref'!$C$18)+IF($F32="Aluminium",'Assumptions &amp; Ref'!$D$19,'Assumptions &amp; Ref'!$C$19)+IF($F32="Aluminium",'Assumptions &amp; Ref'!$D$20,'Assumptions &amp; Ref'!$C$20))/IF($F32="Aluminium",'Assumptions &amp; Ref'!$D$16,'Assumptions &amp; Ref'!$C$16))</f>
        <v/>
      </c>
      <c r="BD32" s="23" t="str">
        <f>IF($C32="","",(IF($F32="Aluminium",'Assumptions &amp; Ref'!$F$17,'Assumptions &amp; Ref'!$E$17)+IF($F32="Aluminium",'Assumptions &amp; Ref'!$F$18,'Assumptions &amp; Ref'!$E$18)+IF($F32="Aluminium",'Assumptions &amp; Ref'!$F$19,'Assumptions &amp; Ref'!$E$19)+IF($F32="Aluminium",'Assumptions &amp; Ref'!$F$20,'Assumptions &amp; Ref'!$E$20))/IF($F32="Aluminium",'Assumptions &amp; Ref'!$F$16,'Assumptions &amp; Ref'!$E$16))</f>
        <v/>
      </c>
      <c r="BE32" s="21" t="str">
        <f t="shared" si="17"/>
        <v/>
      </c>
      <c r="BF32" s="21" t="str">
        <f t="shared" si="18"/>
        <v/>
      </c>
      <c r="BG32" s="21" t="str">
        <f>IF($C32="","",BE32*(1+BB32)*(1+IF($F32="Aluminium",'Assumptions &amp; Ref'!$D$21,'Assumptions &amp; Ref'!$C$21)))</f>
        <v/>
      </c>
      <c r="BH32" s="21" t="str">
        <f>IF($C32="","",BF32*(1+BB32)*(1+IF($F32="Aluminium",'Assumptions &amp; Ref'!$F$21,'Assumptions &amp; Ref'!$E$21)))</f>
        <v/>
      </c>
    </row>
    <row r="33" spans="2:60" ht="15" customHeight="1" x14ac:dyDescent="0.25">
      <c r="B33" s="13"/>
      <c r="C33" s="14"/>
      <c r="D33" s="14"/>
      <c r="E33" s="14"/>
      <c r="F33" s="14"/>
      <c r="G33" s="14"/>
      <c r="H33" s="14"/>
      <c r="I33" s="14"/>
      <c r="J33" s="14"/>
      <c r="K33" s="15"/>
      <c r="L33" s="15"/>
      <c r="M33" s="15"/>
      <c r="N33" s="15"/>
      <c r="O33" s="15"/>
      <c r="P33" s="15"/>
      <c r="Q33" s="15"/>
      <c r="R33" s="15"/>
      <c r="S33" s="15"/>
      <c r="T33" s="15"/>
      <c r="U33" s="16" t="str">
        <f t="shared" si="99"/>
        <v/>
      </c>
      <c r="V33" s="16" t="str">
        <f t="shared" si="100"/>
        <v/>
      </c>
      <c r="W33" s="17" t="str">
        <f t="shared" si="101"/>
        <v/>
      </c>
      <c r="X33" s="18" t="str">
        <f t="shared" si="102"/>
        <v/>
      </c>
      <c r="Y33" s="19" t="str">
        <f t="shared" si="103"/>
        <v/>
      </c>
      <c r="AA33" s="20" t="str">
        <f t="shared" si="1"/>
        <v/>
      </c>
      <c r="AB33" s="20" t="str">
        <f t="shared" si="2"/>
        <v/>
      </c>
      <c r="AC33" s="20" t="str">
        <f t="shared" si="3"/>
        <v/>
      </c>
      <c r="AD33" s="20" t="str">
        <f>IF($C33="","",IF(AND(C33=1,I33="Unarmored"),INDEX('Assumptions &amp; Ref'!$C$70:$C$90,MATCH(E33,'Assumptions &amp; Ref'!$B$70:$B$90,0)),INDEX('Assumptions &amp; Ref'!$D$70:$D$90,MATCH(E33,'Assumptions &amp; Ref'!$B$70:$B$90,0))))</f>
        <v/>
      </c>
      <c r="AE33" s="20" t="str">
        <f t="shared" si="4"/>
        <v/>
      </c>
      <c r="AF33" s="20" t="str">
        <f t="shared" si="5"/>
        <v/>
      </c>
      <c r="AG33" s="20" t="str">
        <f>IF($C33="","",IF(C33=3.5,IFERROR(INDEX('Assumptions &amp; Ref'!$G$93:$G$105,MATCH(E33,'Assumptions &amp; Ref'!$F$93:$F$105,0)),0),0))</f>
        <v/>
      </c>
      <c r="AH33" s="20" t="str">
        <f t="shared" si="6"/>
        <v/>
      </c>
      <c r="AI33" s="20" t="str">
        <f>IF($C33="","",IF(C33=3.5,IFERROR(INDEX('Assumptions &amp; Ref'!$D$70:$D$90,MATCH(AG33,'Assumptions &amp; Ref'!$B$70:$B$90,0)),0),0))</f>
        <v/>
      </c>
      <c r="AJ33" s="20" t="str">
        <f t="shared" si="7"/>
        <v/>
      </c>
      <c r="AK33" s="20" t="str">
        <f t="shared" si="8"/>
        <v/>
      </c>
      <c r="AL33" s="20" t="str">
        <f>IF($C33="","",IFERROR(INDEX('Assumptions &amp; Ref'!$G$70:$G$74,IF(INDEX('Assumptions &amp; Ref'!$F$70:$F$74,MATCH(AK33,'Assumptions &amp; Ref'!$F$70:$F$74,1))=AK33,MATCH(AK33,'Assumptions &amp; Ref'!$F$70:$F$74,1),MIN(MATCH(AK33,'Assumptions &amp; Ref'!$F$70:$F$74,1)+1,5))),INDEX('Assumptions &amp; Ref'!$G$70:$G$74,1)))</f>
        <v/>
      </c>
      <c r="AM33" s="20" t="str">
        <f t="shared" si="9"/>
        <v/>
      </c>
      <c r="AN33" s="20" t="str">
        <f t="shared" si="10"/>
        <v/>
      </c>
      <c r="AO33" s="20" t="str">
        <f>IF($C33="","",IF(I33="Unarmored",0,IF(OR(I33="Galvanised steel flat strip",I33="Aluminium Flat Strip"),IFERROR(INDEX('Assumptions &amp; Ref'!$C$93:$C$98,IF(INDEX('Assumptions &amp; Ref'!$B$93:$B$98,MATCH(AM33,'Assumptions &amp; Ref'!$B$93:$B$98,1))=AM33,MATCH(AM33,'Assumptions &amp; Ref'!$B$93:$B$98,1),MIN(MATCH(AM33,'Assumptions &amp; Ref'!$B$93:$B$98,1)+1,6))),INDEX('Assumptions &amp; Ref'!$C$93:$C$98,1)),IFERROR(INDEX('Assumptions &amp; Ref'!$D$93:$D$98,IF(INDEX('Assumptions &amp; Ref'!$B$93:$B$98,MATCH(AM33,'Assumptions &amp; Ref'!$B$93:$B$98,1))=AM33,MATCH(AM33,'Assumptions &amp; Ref'!$B$93:$B$98,1),MIN(MATCH(AM33,'Assumptions &amp; Ref'!$B$93:$B$98,1)+1,6))),INDEX('Assumptions &amp; Ref'!$D$93:$D$98,1)))))</f>
        <v/>
      </c>
      <c r="AP33" s="20" t="str">
        <f t="shared" si="11"/>
        <v/>
      </c>
      <c r="AQ33" s="20" t="str">
        <f t="shared" si="12"/>
        <v/>
      </c>
      <c r="AR33" s="20" t="str">
        <f>IF($C33="","",IF(I33="Unarmored",IFERROR(INDEX('Assumptions &amp; Ref'!$J$70:$J$81,IF(INDEX('Assumptions &amp; Ref'!$I$70:$I$81,MATCH(AP33,'Assumptions &amp; Ref'!$I$70:$I$81,1))=AP33,MATCH(AP33,'Assumptions &amp; Ref'!$I$70:$I$81,1),MIN(MATCH(AP33,'Assumptions &amp; Ref'!$I$70:$I$81,1)+1,12))),INDEX('Assumptions &amp; Ref'!$J$70:$J$81,1)),IFERROR(INDEX('Assumptions &amp; Ref'!$K$70:$K$81,IF(INDEX('Assumptions &amp; Ref'!$I$70:$I$81,MATCH(AP33,'Assumptions &amp; Ref'!$I$70:$I$81,1))=AP33,MATCH(AP33,'Assumptions &amp; Ref'!$I$70:$I$81,1),MIN(MATCH(AP33,'Assumptions &amp; Ref'!$I$70:$I$81,1)+1,12))),INDEX('Assumptions &amp; Ref'!$K$70:$K$81,1))))</f>
        <v/>
      </c>
      <c r="AS33" s="20" t="str">
        <f t="shared" si="13"/>
        <v/>
      </c>
      <c r="AT33" s="20" t="str">
        <f t="shared" si="14"/>
        <v/>
      </c>
      <c r="AU33" s="20" t="str">
        <f t="shared" si="15"/>
        <v/>
      </c>
      <c r="AV33" s="20" t="str">
        <f>IF($C33="","",((E33*AC33*IF(C33=3.5,3,C33))+(AG33*AC33*IF(C33=3.5,1,0)))*(1+'Assumptions &amp; Ref'!$C$22))</f>
        <v/>
      </c>
      <c r="AW33" s="20" t="str">
        <f>IF($C33="","",IF(C33=3.5,(PI()*(AE33^2-AB33^2)/4*AF33*3)+(PI()*(AJ33^2-AH33^2)/4*AF33),PI()*(AE33^2-AB33^2)/4*AF33*C33)*(1+'Assumptions &amp; Ref'!$C$22))</f>
        <v/>
      </c>
      <c r="AX33" s="20" t="str">
        <f>IF($C33="","",PI()*(AM33^2-AK33^2)/4*AN33*(1+'Assumptions &amp; Ref'!$C$22))</f>
        <v/>
      </c>
      <c r="AY33" s="20" t="str">
        <f>IF($C33="","",PI()*(AS33^2-AP33^2)/4*AT33*(1+'Assumptions &amp; Ref'!$C$22))</f>
        <v/>
      </c>
      <c r="AZ33" s="20" t="str">
        <f>IF($C33="","",PI()*(AP33^2-AM33^2)/4*AQ33*(1+'Assumptions &amp; Ref'!$C$22))</f>
        <v/>
      </c>
      <c r="BA33" s="21" t="str">
        <f t="shared" si="16"/>
        <v/>
      </c>
      <c r="BB33" s="22" t="str">
        <f>IF($C33="","",IF(K33="Y",'Assumptions &amp; Ref'!$C$40,0)+IF(L33="Y",'Assumptions &amp; Ref'!$C$41,0)+IF(M33="Y",'Assumptions &amp; Ref'!$C$42,0)+IF(N33="Y",'Assumptions &amp; Ref'!$C$43,0)+IF(O33="Y",'Assumptions &amp; Ref'!$C$44,0)+IF(P33="Y",'Assumptions &amp; Ref'!$C$45,0)+IF(Q33="Y",'Assumptions &amp; Ref'!$C$46,0)+IF(R33="Y",'Assumptions &amp; Ref'!$C$47,0)+IF(S33="Y",'Assumptions &amp; Ref'!$C$48,0)+IF(T33="Y",'Assumptions &amp; Ref'!$C$49,0))</f>
        <v/>
      </c>
      <c r="BC33" s="23" t="str">
        <f>IF($C33="","",(IF($F33="Aluminium",'Assumptions &amp; Ref'!$D$17,'Assumptions &amp; Ref'!$C$17)+IF($F33="Aluminium",'Assumptions &amp; Ref'!$D$18,'Assumptions &amp; Ref'!$C$18)+IF($F33="Aluminium",'Assumptions &amp; Ref'!$D$19,'Assumptions &amp; Ref'!$C$19)+IF($F33="Aluminium",'Assumptions &amp; Ref'!$D$20,'Assumptions &amp; Ref'!$C$20))/IF($F33="Aluminium",'Assumptions &amp; Ref'!$D$16,'Assumptions &amp; Ref'!$C$16))</f>
        <v/>
      </c>
      <c r="BD33" s="23" t="str">
        <f>IF($C33="","",(IF($F33="Aluminium",'Assumptions &amp; Ref'!$F$17,'Assumptions &amp; Ref'!$E$17)+IF($F33="Aluminium",'Assumptions &amp; Ref'!$F$18,'Assumptions &amp; Ref'!$E$18)+IF($F33="Aluminium",'Assumptions &amp; Ref'!$F$19,'Assumptions &amp; Ref'!$E$19)+IF($F33="Aluminium",'Assumptions &amp; Ref'!$F$20,'Assumptions &amp; Ref'!$E$20))/IF($F33="Aluminium",'Assumptions &amp; Ref'!$F$16,'Assumptions &amp; Ref'!$E$16))</f>
        <v/>
      </c>
      <c r="BE33" s="21" t="str">
        <f t="shared" si="17"/>
        <v/>
      </c>
      <c r="BF33" s="21" t="str">
        <f t="shared" si="18"/>
        <v/>
      </c>
      <c r="BG33" s="21" t="str">
        <f>IF($C33="","",BE33*(1+BB33)*(1+IF($F33="Aluminium",'Assumptions &amp; Ref'!$D$21,'Assumptions &amp; Ref'!$C$21)))</f>
        <v/>
      </c>
      <c r="BH33" s="21" t="str">
        <f>IF($C33="","",BF33*(1+BB33)*(1+IF($F33="Aluminium",'Assumptions &amp; Ref'!$F$21,'Assumptions &amp; Ref'!$E$21)))</f>
        <v/>
      </c>
    </row>
  </sheetData>
  <mergeCells count="1">
    <mergeCell ref="K7:T7"/>
  </mergeCells>
  <dataValidations count="7">
    <dataValidation type="list" allowBlank="1" sqref="C9:C33" xr:uid="{00000000-0002-0000-0000-000000000000}">
      <formula1>"1,2,3,3.5,4"</formula1>
      <formula2>0</formula2>
    </dataValidation>
    <dataValidation type="list" allowBlank="1" sqref="D9:D33" xr:uid="{00000000-0002-0000-0000-000001000000}">
      <formula1>"Circular,Sector shaped"</formula1>
      <formula2>0</formula2>
    </dataValidation>
    <dataValidation type="list" allowBlank="1" sqref="F9:F33" xr:uid="{00000000-0002-0000-0000-000002000000}">
      <formula1>"Copper,Aluminium"</formula1>
      <formula2>0</formula2>
    </dataValidation>
    <dataValidation type="list" allowBlank="1" sqref="G9:G33" xr:uid="{00000000-0002-0000-0000-000003000000}">
      <formula1>"XLPE,PVC"</formula1>
      <formula2>0</formula2>
    </dataValidation>
    <dataValidation type="list" allowBlank="1" sqref="J9:J33 H9:H33" xr:uid="{00000000-0002-0000-0000-000004000000}">
      <formula1>"PVC,XLPE"</formula1>
      <formula2>0</formula2>
    </dataValidation>
    <dataValidation type="list" allowBlank="1" sqref="I9:I33" xr:uid="{00000000-0002-0000-0000-000005000000}">
      <formula1>"Unarmored,Galvanised steel round wire,Galvanised steel flat strip,Aluminium Flat Strip,Aluminium Round Wired"</formula1>
      <formula2>0</formula2>
    </dataValidation>
    <dataValidation type="list" allowBlank="1" sqref="K9:T33" xr:uid="{00000000-0002-0000-0000-000006000000}">
      <formula1>"N,Y"</formula1>
      <formula2>0</formula2>
    </dataValidation>
  </dataValidations>
  <hyperlinks>
    <hyperlink ref="C3" r:id="rId1" xr:uid="{00000000-0004-0000-0000-000000000000}"/>
    <hyperlink ref="D3" r:id="rId2" xr:uid="{00000000-0004-0000-0000-000001000000}"/>
    <hyperlink ref="E3" r:id="rId3" xr:uid="{00000000-0004-0000-0000-000002000000}"/>
    <hyperlink ref="F3" r:id="rId4" xr:uid="{00000000-0004-0000-0000-000003000000}"/>
    <hyperlink ref="G3" r:id="rId5" xr:uid="{00000000-0004-0000-0000-000004000000}"/>
  </hyperlinks>
  <pageMargins left="0.75" right="0.75" top="1" bottom="1" header="0.511811023622047" footer="0.511811023622047"/>
  <pageSetup paperSize="9" orientation="portrait" horizontalDpi="300" verticalDpi="300"/>
  <legacyDrawing r:id="rId6"/>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B1:BM33"/>
  <sheetViews>
    <sheetView showGridLines="0" zoomScale="80" zoomScaleNormal="80" workbookViewId="0">
      <pane xSplit="11" ySplit="8" topLeftCell="L9" activePane="bottomRight" state="frozen"/>
      <selection pane="topRight" activeCell="L1" sqref="L1"/>
      <selection pane="bottomLeft" activeCell="A9" sqref="A9"/>
      <selection pane="bottomRight" activeCell="O17" sqref="O17"/>
    </sheetView>
  </sheetViews>
  <sheetFormatPr defaultColWidth="8.7109375" defaultRowHeight="15" outlineLevelCol="1" x14ac:dyDescent="0.25"/>
  <cols>
    <col min="1" max="1" width="3.42578125" customWidth="1"/>
    <col min="2" max="2" width="28.5703125" customWidth="1"/>
    <col min="3" max="3" width="7" customWidth="1"/>
    <col min="4" max="4" width="13" customWidth="1"/>
    <col min="5" max="5" width="9.28515625" customWidth="1"/>
    <col min="6" max="6" width="11.42578125" customWidth="1"/>
    <col min="7" max="7" width="9" customWidth="1"/>
    <col min="8" max="8" width="11.42578125" customWidth="1"/>
    <col min="9" max="9" width="9" customWidth="1"/>
    <col min="10" max="10" width="21" customWidth="1"/>
    <col min="11" max="18" width="9" customWidth="1"/>
    <col min="19" max="21" width="13" customWidth="1"/>
    <col min="22" max="22" width="8" customWidth="1"/>
    <col min="23" max="26" width="12" customWidth="1"/>
    <col min="27" max="27" width="2" customWidth="1"/>
    <col min="28" max="65" width="10" customWidth="1" outlineLevel="1"/>
  </cols>
  <sheetData>
    <row r="1" spans="2:65" ht="15.75" customHeight="1" x14ac:dyDescent="0.25">
      <c r="B1" s="4" t="s">
        <v>78</v>
      </c>
    </row>
    <row r="2" spans="2:65" ht="15" customHeight="1" x14ac:dyDescent="0.25">
      <c r="B2" s="5"/>
    </row>
    <row r="3" spans="2:65" ht="15" customHeight="1" x14ac:dyDescent="0.25">
      <c r="B3" s="6" t="s">
        <v>1</v>
      </c>
      <c r="C3" s="7" t="s">
        <v>2</v>
      </c>
      <c r="D3" s="7" t="s">
        <v>3</v>
      </c>
      <c r="E3" s="7" t="s">
        <v>4</v>
      </c>
      <c r="F3" s="7" t="s">
        <v>5</v>
      </c>
      <c r="G3" s="7" t="s">
        <v>6</v>
      </c>
    </row>
    <row r="4" spans="2:65" ht="15" customHeight="1" x14ac:dyDescent="0.25">
      <c r="B4" s="6" t="s">
        <v>7</v>
      </c>
      <c r="C4" s="8" t="s">
        <v>8</v>
      </c>
      <c r="D4" s="8" t="s">
        <v>9</v>
      </c>
      <c r="E4" s="8" t="s">
        <v>10</v>
      </c>
      <c r="F4" s="8" t="s">
        <v>11</v>
      </c>
      <c r="G4" s="8" t="s">
        <v>12</v>
      </c>
    </row>
    <row r="5" spans="2:65" ht="15" customHeight="1" x14ac:dyDescent="0.25">
      <c r="B5" s="5" t="s">
        <v>13</v>
      </c>
      <c r="C5" s="9">
        <v>8.94</v>
      </c>
      <c r="D5" s="9">
        <v>2.63</v>
      </c>
      <c r="E5" s="9">
        <v>0.93</v>
      </c>
      <c r="F5" s="9">
        <v>1.35</v>
      </c>
      <c r="G5" s="9">
        <v>7.76</v>
      </c>
      <c r="I5" s="10" t="s">
        <v>14</v>
      </c>
    </row>
    <row r="6" spans="2:65" ht="15" customHeight="1" x14ac:dyDescent="0.25">
      <c r="B6" s="5" t="s">
        <v>15</v>
      </c>
      <c r="C6" s="44">
        <v>1345</v>
      </c>
      <c r="D6" s="44">
        <v>348</v>
      </c>
      <c r="E6" s="44">
        <v>118</v>
      </c>
      <c r="F6" s="44">
        <v>101</v>
      </c>
      <c r="G6" s="44">
        <v>68</v>
      </c>
    </row>
    <row r="7" spans="2:65" ht="15" customHeight="1" x14ac:dyDescent="0.25">
      <c r="L7" s="45" t="s">
        <v>16</v>
      </c>
      <c r="M7" s="45"/>
      <c r="N7" s="45"/>
      <c r="O7" s="45"/>
      <c r="P7" s="45"/>
      <c r="Q7" s="45"/>
      <c r="R7" s="45"/>
    </row>
    <row r="8" spans="2:65" ht="34.5" customHeight="1" x14ac:dyDescent="0.25">
      <c r="B8" s="1" t="s">
        <v>17</v>
      </c>
      <c r="C8" s="1" t="s">
        <v>18</v>
      </c>
      <c r="D8" s="1" t="s">
        <v>19</v>
      </c>
      <c r="E8" s="1" t="s">
        <v>20</v>
      </c>
      <c r="F8" s="1" t="s">
        <v>21</v>
      </c>
      <c r="G8" s="1" t="s">
        <v>79</v>
      </c>
      <c r="H8" s="1" t="s">
        <v>22</v>
      </c>
      <c r="I8" s="1" t="s">
        <v>23</v>
      </c>
      <c r="J8" s="1" t="s">
        <v>24</v>
      </c>
      <c r="K8" s="1" t="s">
        <v>25</v>
      </c>
      <c r="L8" s="1" t="s">
        <v>26</v>
      </c>
      <c r="M8" s="1" t="s">
        <v>27</v>
      </c>
      <c r="N8" s="1" t="s">
        <v>28</v>
      </c>
      <c r="O8" s="1" t="s">
        <v>29</v>
      </c>
      <c r="P8" s="1" t="s">
        <v>30</v>
      </c>
      <c r="Q8" s="1" t="s">
        <v>80</v>
      </c>
      <c r="R8" s="1" t="s">
        <v>81</v>
      </c>
      <c r="S8" s="11" t="s">
        <v>36</v>
      </c>
      <c r="T8" s="11" t="s">
        <v>37</v>
      </c>
      <c r="U8" s="11" t="s">
        <v>82</v>
      </c>
      <c r="V8" s="11" t="s">
        <v>38</v>
      </c>
      <c r="W8" s="11" t="s">
        <v>83</v>
      </c>
      <c r="X8" s="11" t="s">
        <v>84</v>
      </c>
      <c r="Y8" s="11" t="s">
        <v>85</v>
      </c>
      <c r="Z8" s="11" t="s">
        <v>86</v>
      </c>
      <c r="AB8" s="12" t="s">
        <v>39</v>
      </c>
      <c r="AC8" s="12" t="s">
        <v>87</v>
      </c>
      <c r="AD8" s="12" t="s">
        <v>40</v>
      </c>
      <c r="AE8" s="12" t="s">
        <v>41</v>
      </c>
      <c r="AF8" s="12" t="s">
        <v>88</v>
      </c>
      <c r="AG8" s="12" t="s">
        <v>43</v>
      </c>
      <c r="AH8" s="12" t="s">
        <v>44</v>
      </c>
      <c r="AI8" s="12" t="s">
        <v>45</v>
      </c>
      <c r="AJ8" s="12" t="s">
        <v>46</v>
      </c>
      <c r="AK8" s="12" t="s">
        <v>47</v>
      </c>
      <c r="AL8" s="12" t="s">
        <v>48</v>
      </c>
      <c r="AM8" s="12" t="s">
        <v>49</v>
      </c>
      <c r="AN8" s="12" t="s">
        <v>50</v>
      </c>
      <c r="AO8" s="12" t="s">
        <v>51</v>
      </c>
      <c r="AP8" s="12" t="s">
        <v>52</v>
      </c>
      <c r="AQ8" s="12" t="s">
        <v>53</v>
      </c>
      <c r="AR8" s="12" t="s">
        <v>54</v>
      </c>
      <c r="AS8" s="12" t="s">
        <v>55</v>
      </c>
      <c r="AT8" s="12" t="s">
        <v>56</v>
      </c>
      <c r="AU8" s="12" t="s">
        <v>57</v>
      </c>
      <c r="AV8" s="12" t="s">
        <v>58</v>
      </c>
      <c r="AW8" s="12" t="s">
        <v>59</v>
      </c>
      <c r="AX8" s="12" t="s">
        <v>89</v>
      </c>
      <c r="AY8" s="12" t="s">
        <v>90</v>
      </c>
      <c r="AZ8" s="12" t="s">
        <v>91</v>
      </c>
      <c r="BA8" s="12" t="s">
        <v>60</v>
      </c>
      <c r="BB8" s="12" t="s">
        <v>61</v>
      </c>
      <c r="BC8" s="12" t="s">
        <v>62</v>
      </c>
      <c r="BD8" s="12" t="s">
        <v>63</v>
      </c>
      <c r="BE8" s="12" t="s">
        <v>64</v>
      </c>
      <c r="BF8" s="12" t="s">
        <v>65</v>
      </c>
      <c r="BG8" s="12" t="s">
        <v>66</v>
      </c>
      <c r="BH8" s="12" t="s">
        <v>67</v>
      </c>
      <c r="BI8" s="12" t="s">
        <v>68</v>
      </c>
      <c r="BJ8" s="12" t="s">
        <v>69</v>
      </c>
      <c r="BK8" s="12" t="s">
        <v>70</v>
      </c>
      <c r="BL8" s="12" t="s">
        <v>71</v>
      </c>
      <c r="BM8" s="12" t="s">
        <v>72</v>
      </c>
    </row>
    <row r="9" spans="2:65" ht="15" customHeight="1" x14ac:dyDescent="0.25">
      <c r="B9" s="13" t="s">
        <v>92</v>
      </c>
      <c r="C9" s="14">
        <v>3.5</v>
      </c>
      <c r="D9" s="14" t="s">
        <v>73</v>
      </c>
      <c r="E9" s="14">
        <v>300</v>
      </c>
      <c r="F9" s="14" t="s">
        <v>9</v>
      </c>
      <c r="G9" s="14" t="s">
        <v>93</v>
      </c>
      <c r="H9" s="14" t="s">
        <v>10</v>
      </c>
      <c r="I9" s="14" t="s">
        <v>11</v>
      </c>
      <c r="J9" s="14" t="s">
        <v>77</v>
      </c>
      <c r="K9" s="14" t="s">
        <v>11</v>
      </c>
      <c r="L9" s="15" t="s">
        <v>76</v>
      </c>
      <c r="M9" s="15" t="s">
        <v>76</v>
      </c>
      <c r="N9" s="15" t="s">
        <v>76</v>
      </c>
      <c r="O9" s="15" t="s">
        <v>76</v>
      </c>
      <c r="P9" s="15" t="s">
        <v>76</v>
      </c>
      <c r="Q9" s="15" t="s">
        <v>76</v>
      </c>
      <c r="R9" s="15" t="s">
        <v>76</v>
      </c>
      <c r="S9" s="16">
        <f t="shared" ref="S9:S33" si="0">IF($C9="","",MIN(BL9,BM9))</f>
        <v>2108267.5792788705</v>
      </c>
      <c r="T9" s="16">
        <f t="shared" ref="T9:T33" si="1">IF($C9="","",MAX(BL9,BM9))</f>
        <v>2261782.2088380111</v>
      </c>
      <c r="U9" s="17">
        <f t="shared" ref="U9:U33" si="2">IF($C9="","",BF9)</f>
        <v>1739832.4683369317</v>
      </c>
      <c r="V9" s="18">
        <f t="shared" ref="V9:V33" si="3">IF($C9="","",AW9)</f>
        <v>79</v>
      </c>
      <c r="W9" s="19">
        <f>IF($C9="","",IF(F9="Copper",BA9,0)+AZ9*(1+'Assumptions &amp; Ref'!$C$34))</f>
        <v>268.20986977044606</v>
      </c>
      <c r="X9" s="19">
        <f>IF($C9="","",AZ9*(1+'Assumptions &amp; Ref'!$C$34))</f>
        <v>268.20986977044606</v>
      </c>
      <c r="Y9" s="19">
        <f>IF($C9="","",AX9*(1+'Assumptions &amp; Ref'!$C$35))</f>
        <v>17.943297544136364</v>
      </c>
      <c r="Z9" s="19">
        <f>IF($C9="","",AY9*(1+'Assumptions &amp; Ref'!$C$35))</f>
        <v>27.889642717254794</v>
      </c>
      <c r="AB9" s="20">
        <f t="shared" ref="AB9:AB33" si="4">IF($C9="","",IF(D9="Sector shaped",360/C9,360))</f>
        <v>360</v>
      </c>
      <c r="AC9" s="20">
        <f t="shared" ref="AC9:AC33" si="5">IF($C9="","",IF(D9="Sector shaped",360-AB9*3,0))</f>
        <v>0</v>
      </c>
      <c r="AD9" s="20">
        <f t="shared" ref="AD9:AD33" si="6">IF($C9="","",SQRT(E9*(360/AB9)/PI())*2)</f>
        <v>19.544100476116796</v>
      </c>
      <c r="AE9" s="20">
        <f t="shared" ref="AE9:AE33" si="7">IF($C9="","",INDEX($C$5:$G$5,MATCH(F9,$C$4:$G$4,0)))</f>
        <v>2.63</v>
      </c>
      <c r="AF9" s="20">
        <f>IF($C9="","",IFERROR(IF($G9="33kV",INDEX('Assumptions &amp; Ref'!$H$109:$H$122,MATCH(E9,'Assumptions &amp; Ref'!$B$109:$B$122,1)),IF($G9="22kV",INDEX('Assumptions &amp; Ref'!$G$109:$G$122,MATCH(E9,'Assumptions &amp; Ref'!$B$109:$B$122,1)),IF($G9="11kV",INDEX('Assumptions &amp; Ref'!$F$109:$F$122,MATCH(E9,'Assumptions &amp; Ref'!$B$109:$B$122,1)),IF($G9="6.6kV",INDEX('Assumptions &amp; Ref'!$D$109:$D$122,MATCH(E9,'Assumptions &amp; Ref'!$B$109:$B$122,1)),INDEX('Assumptions &amp; Ref'!$C$109:$C$122,MATCH(E9,'Assumptions &amp; Ref'!$B$109:$B$122,1)))))),INDEX('Assumptions &amp; Ref'!$C$109:$C$122,1)))</f>
        <v>5.5</v>
      </c>
      <c r="AG9" s="20">
        <f t="shared" ref="AG9:AG33" si="8">IF($C9="","",IF(D9="Circular",AD9+2*AF9,AD9+4*AF9))</f>
        <v>30.544100476116796</v>
      </c>
      <c r="AH9" s="20">
        <f t="shared" ref="AH9:AH33" si="9">IF($C9="","",INDEX($C$5:$G$5,MATCH(H9,$C$4:$G$4,0)))</f>
        <v>0.93</v>
      </c>
      <c r="AI9" s="20">
        <f>IF($C9="","",IF(C9=3.5,IFERROR(INDEX('Assumptions &amp; Ref'!$G$93:$G$105,MATCH(E9,'Assumptions &amp; Ref'!$F$93:$F$105,0)),0),0))</f>
        <v>150</v>
      </c>
      <c r="AJ9" s="20">
        <f t="shared" ref="AJ9:AJ33" si="10">IF($C9="","",IF(C9=3.5,SQRT(AI9/PI())*2,0))</f>
        <v>13.81976597885342</v>
      </c>
      <c r="AK9" s="20">
        <f>IF($C9="","",IF(C9=3.5,IFERROR(IF($G9="33kV",INDEX('Assumptions &amp; Ref'!$H$109:$H$122,MATCH(AI9,'Assumptions &amp; Ref'!$B$109:$B$122,1)),IF($G9="22kV",INDEX('Assumptions &amp; Ref'!$G$109:$G$122,MATCH(AI9,'Assumptions &amp; Ref'!$B$109:$B$122,1)),IF($G9="11kV",INDEX('Assumptions &amp; Ref'!$E$109:$E$122,MATCH(AI9,'Assumptions &amp; Ref'!$B$109:$B$122,1)),IF($G9="6.6kV",INDEX('Assumptions &amp; Ref'!$D$109:$D$122,MATCH(AI9,'Assumptions &amp; Ref'!$B$109:$B$122,1)),INDEX('Assumptions &amp; Ref'!$C$109:$C$122,MATCH(AI9,'Assumptions &amp; Ref'!$B$109:$B$122,1)))))),0),0))</f>
        <v>3.6</v>
      </c>
      <c r="AL9" s="20">
        <f t="shared" ref="AL9:AL33" si="11">IF($C9="","",AJ9+2*AK9)</f>
        <v>21.019765978853421</v>
      </c>
      <c r="AM9" s="20">
        <f t="shared" ref="AM9:AM33" si="12">IF($C9="","",ROUND(IF(C9=1,AG9,IF(C9=2,2*AG9,IF(C9=3,2.16*AG9,IF(C9=3.5,2.42*(3*AG9+AL9)/4,IF(C9=4,2.42*AG9,0))))),1))</f>
        <v>68.2</v>
      </c>
      <c r="AN9" s="20">
        <f>IF($C9="","",IFERROR(INDEX('Assumptions &amp; Ref'!$C$126:$C$130,MATCH(AM9,'Assumptions &amp; Ref'!$B$126:$B$130,1)),INDEX('Assumptions &amp; Ref'!$C$126:$C$130,1)))</f>
        <v>0.7</v>
      </c>
      <c r="AO9" s="20">
        <f t="shared" ref="AO9:AO33" si="13">IF($C9="","",AM9+2*AN9)</f>
        <v>69.600000000000009</v>
      </c>
      <c r="AP9" s="20">
        <f t="shared" ref="AP9:AP33" si="14">IF($C9="","",INDEX($C$5:$G$5,MATCH(I9,$C$4:$G$4,0)))</f>
        <v>1.35</v>
      </c>
      <c r="AQ9" s="20">
        <f>IF($C9="","",IF(J9="Unarmored",0,IF(OR(J9="Galvanised steel flat strip",J9="Aluminium Flat Strip"),IFERROR(INDEX('Assumptions &amp; Ref'!$F$126:$F$131,MATCH(AO9,'Assumptions &amp; Ref'!$E$126:$E$131,1)),INDEX('Assumptions &amp; Ref'!$F$126:$F$131,1)),IFERROR(INDEX('Assumptions &amp; Ref'!$G$126:$G$131,MATCH(AO9,'Assumptions &amp; Ref'!$E$126:$E$131,1)),INDEX('Assumptions &amp; Ref'!$G$126:$G$131,1)))))</f>
        <v>1.4</v>
      </c>
      <c r="AR9" s="20">
        <f t="shared" ref="AR9:AR33" si="15">IF($C9="","",AO9+2*AQ9)</f>
        <v>72.400000000000006</v>
      </c>
      <c r="AS9" s="20">
        <f t="shared" ref="AS9:AS33" si="16">IF($C9="","",IF(J9="Unarmored",0,IF(OR(J9="Aluminium Flat Strip",J9="Aluminium Round Wired"),INDEX($C$5:$G$5,MATCH("Aluminium",$C$4:$G$4,0)),7.86)))</f>
        <v>7.86</v>
      </c>
      <c r="AT9" s="20">
        <f>IF($C9="","",IFERROR(INDEX('Assumptions &amp; Ref'!$J$126:$J$136,MATCH(AR9,'Assumptions &amp; Ref'!$I$126:$I$136,1)),INDEX('Assumptions &amp; Ref'!$J$126:$J$136,1)))</f>
        <v>2.84</v>
      </c>
      <c r="AU9" s="20">
        <f t="shared" ref="AU9:AU33" si="17">IF($C9="","",AR9+2*AT9)</f>
        <v>78.080000000000013</v>
      </c>
      <c r="AV9" s="20">
        <f t="shared" ref="AV9:AV33" si="18">IF($C9="","",INDEX($C$5:$G$5,MATCH(K9,$C$4:$G$4,0)))</f>
        <v>1.35</v>
      </c>
      <c r="AW9" s="20">
        <f t="shared" ref="AW9:AW33" si="19">IF($C9="","",TRUNC(AU9+1))</f>
        <v>79</v>
      </c>
      <c r="AX9" s="20">
        <f>IF($C9="","",PI()*((AD9+2*'Assumptions &amp; Ref'!$C$63)^2-AD9^2)/4*'Assumptions &amp; Ref'!$C$62)</f>
        <v>17.505656140620843</v>
      </c>
      <c r="AY9" s="20">
        <f>IF($C9="","",PI()*((AG9+2*'Assumptions &amp; Ref'!$C$64)^2-AG9^2)/4*'Assumptions &amp; Ref'!$C$62)</f>
        <v>27.209407529029072</v>
      </c>
      <c r="AZ9" s="20">
        <f>IF($C9="","",(AU9-'Assumptions &amp; Ref'!$C$65)*PI()*('Assumptions &amp; Ref'!$C$65*'Assumptions &amp; Ref'!$C$66)*INDEX($C$5:$G$5,MATCH("Copper",$C$4:$G$4,0)))</f>
        <v>262.95085271612356</v>
      </c>
      <c r="BA9" s="20">
        <f>IF($C9="","",((E9*AE9*IF(C9=3.5,3,C9))+(AI9*AE9*IF(C9=3.5,1,0)))*(1+'Assumptions &amp; Ref'!$C$33))</f>
        <v>2789.1150000000002</v>
      </c>
      <c r="BB9" s="20">
        <f>IF($C9="","",IF(C9=3.5,((AB9/360)*PI()*(AG9^2-AD9^2)/4*AH9*3)+((AC9/360)*PI()*(AL9^2-AJ9^2)/4*AH9),(AB9/360)*PI()*(AG9^2-AD9^2)/4*AH9*C9)*(1+'Assumptions &amp; Ref'!$C$33))</f>
        <v>1219.3926606475532</v>
      </c>
      <c r="BC9" s="20">
        <f>IF($C9="","",PI()*(AO9^2-AM9^2)/4*AP9*(1+'Assumptions &amp; Ref'!$C$33))</f>
        <v>206.59617515627389</v>
      </c>
      <c r="BD9" s="20">
        <f>IF($C9="","",PI()*(AW9^2-AU9^2)/4*AV9*(1+'Assumptions &amp; Ref'!$C$33))</f>
        <v>154.75822630138589</v>
      </c>
      <c r="BE9" s="20">
        <f>IF($C9="","",PI()*(AR9^2-AO9^2)/4*AS9*(1+'Assumptions &amp; Ref'!$C$33))</f>
        <v>2479.0208355149225</v>
      </c>
      <c r="BF9" s="21">
        <f>IF($C9="","",BA9*INDEX($C$6:$G$6,MATCH(F9,$C$4:$G$4,0))+IF(H9="XLPE",BB9*INDEX($C$6:$G$6,MATCH("XLPE",$C$4:$G$4,0)),0)+IF(H9="PVC",(BB9+BC9+BD9)*INDEX($C$6:$G$6,MATCH("PVC",$C$4:$G$4,0)),(BC9+BD9)*INDEX($C$6:$G$6,MATCH("PVC",$C$4:$G$4,0)))+IF(J9="Unarmored",0,IF(OR(J9="Aluminium Flat Strip",J9="Aluminium Round Wired"),BE9*INDEX($C$6:$G$6,MATCH("Aluminium",$C$4:$G$4,0)),BE9*INDEX($C$6:$G$6,MATCH("Steel Wire",$C$4:$G$4,0))))+AZ9*(1+'Assumptions &amp; Ref'!$C$34)*INDEX($C$6:$G$6,MATCH("Copper",$C$4:$G$4,0))*'Assumptions &amp; Ref'!$C$67+AX9*(1+'Assumptions &amp; Ref'!$C$35)*INDEX($C$6:$G$6,MATCH("XLPE",$C$4:$G$4,0))+AY9*(1+'Assumptions &amp; Ref'!$C$35)*INDEX($C$6:$G$6,MATCH("XLPE",$C$4:$G$4,0)))</f>
        <v>1739832.4683369317</v>
      </c>
      <c r="BG9" s="22">
        <f>IF($C9="","",IF(L9="Y",'Assumptions &amp; Ref'!$C$53,0)+IF(M9="Y",'Assumptions &amp; Ref'!$C$54,0)+IF(N9="Y",'Assumptions &amp; Ref'!$C$55,0)+IF(O9="Y",'Assumptions &amp; Ref'!$C$56,0)+IF(P9="Y",'Assumptions &amp; Ref'!$C$57,0)+IF(Q9="Y",'Assumptions &amp; Ref'!$C$58,0)+IF(R9="Y",'Assumptions &amp; Ref'!$C$59,0))</f>
        <v>0</v>
      </c>
      <c r="BH9" s="23">
        <f>IF($C9="","",(IF($F9="Aluminium",'Assumptions &amp; Ref'!$D$28,'Assumptions &amp; Ref'!$C$28)+IF($F9="Aluminium",'Assumptions &amp; Ref'!$D$29,'Assumptions &amp; Ref'!$C$29)+IF($F9="Aluminium",'Assumptions &amp; Ref'!$D$30,'Assumptions &amp; Ref'!$C$30)+IF($F9="Aluminium",'Assumptions &amp; Ref'!$D$31,'Assumptions &amp; Ref'!$C$31))/IF($F9="Aluminium",'Assumptions &amp; Ref'!$D$27,'Assumptions &amp; Ref'!$C$27))</f>
        <v>0.25</v>
      </c>
      <c r="BI9" s="23">
        <f>IF($C9="","",(IF($F9="Aluminium",'Assumptions &amp; Ref'!$F$28,'Assumptions &amp; Ref'!$E$28)+IF($F9="Aluminium",'Assumptions &amp; Ref'!$F$29,'Assumptions &amp; Ref'!$E$29)+IF($F9="Aluminium",'Assumptions &amp; Ref'!$F$30,'Assumptions &amp; Ref'!$E$30)+IF($F9="Aluminium",'Assumptions &amp; Ref'!$F$31,'Assumptions &amp; Ref'!$E$31))/IF($F9="Aluminium",'Assumptions &amp; Ref'!$F$27,'Assumptions &amp; Ref'!$E$27))</f>
        <v>0.17647058823529413</v>
      </c>
      <c r="BJ9" s="21">
        <f t="shared" ref="BJ9:BJ33" si="20">IF($C9="","",BF9*(1+BH9))</f>
        <v>2174790.5854211645</v>
      </c>
      <c r="BK9" s="21">
        <f t="shared" ref="BK9:BK33" si="21">IF($C9="","",BF9*(1+BI9))</f>
        <v>2046861.7274552139</v>
      </c>
      <c r="BL9" s="21">
        <f>IF($C9="","",BJ9*(1+BG9)*(1+IF($F9="Aluminium",'Assumptions &amp; Ref'!$D$31,'Assumptions &amp; Ref'!$C$31)))</f>
        <v>2261782.2088380111</v>
      </c>
      <c r="BM9" s="21">
        <f>IF($C9="","",BK9*(1+BG9)*(1+IF($F9="Aluminium",'Assumptions &amp; Ref'!$F$31,'Assumptions &amp; Ref'!$E$31)))</f>
        <v>2108267.5792788705</v>
      </c>
    </row>
    <row r="10" spans="2:65" ht="15" customHeight="1" x14ac:dyDescent="0.25">
      <c r="B10" s="13" t="s">
        <v>94</v>
      </c>
      <c r="C10" s="14">
        <v>3</v>
      </c>
      <c r="D10" s="14" t="s">
        <v>73</v>
      </c>
      <c r="E10" s="14">
        <v>240</v>
      </c>
      <c r="F10" s="14" t="s">
        <v>9</v>
      </c>
      <c r="G10" s="14" t="s">
        <v>93</v>
      </c>
      <c r="H10" s="14" t="s">
        <v>10</v>
      </c>
      <c r="I10" s="14" t="s">
        <v>11</v>
      </c>
      <c r="J10" s="14" t="s">
        <v>75</v>
      </c>
      <c r="K10" s="14" t="s">
        <v>11</v>
      </c>
      <c r="L10" s="15" t="s">
        <v>76</v>
      </c>
      <c r="M10" s="15" t="s">
        <v>76</v>
      </c>
      <c r="N10" s="15" t="s">
        <v>76</v>
      </c>
      <c r="O10" s="15" t="s">
        <v>76</v>
      </c>
      <c r="P10" s="15" t="s">
        <v>76</v>
      </c>
      <c r="Q10" s="15" t="s">
        <v>76</v>
      </c>
      <c r="R10" s="15" t="s">
        <v>76</v>
      </c>
      <c r="S10" s="16">
        <f t="shared" si="0"/>
        <v>1915740.766081719</v>
      </c>
      <c r="T10" s="16">
        <f t="shared" si="1"/>
        <v>2055236.4529323294</v>
      </c>
      <c r="U10" s="17">
        <f t="shared" si="2"/>
        <v>1580951.1176402534</v>
      </c>
      <c r="V10" s="18">
        <f t="shared" si="3"/>
        <v>75</v>
      </c>
      <c r="W10" s="19">
        <f>IF($C10="","",IF(F10="Copper",BA10,0)+AZ10*(1+'Assumptions &amp; Ref'!$C$34))</f>
        <v>255.00907638517927</v>
      </c>
      <c r="X10" s="19">
        <f>IF($C10="","",AZ10*(1+'Assumptions &amp; Ref'!$C$34))</f>
        <v>255.00907638517927</v>
      </c>
      <c r="Y10" s="19">
        <f>IF($C10="","",AX10*(1+'Assumptions &amp; Ref'!$C$35))</f>
        <v>16.077611317837871</v>
      </c>
      <c r="Z10" s="19">
        <f>IF($C10="","",AY10*(1+'Assumptions &amp; Ref'!$C$35))</f>
        <v>26.02395649095622</v>
      </c>
      <c r="AB10" s="20">
        <f t="shared" si="4"/>
        <v>360</v>
      </c>
      <c r="AC10" s="20">
        <f t="shared" si="5"/>
        <v>0</v>
      </c>
      <c r="AD10" s="20">
        <f t="shared" si="6"/>
        <v>17.480774889473267</v>
      </c>
      <c r="AE10" s="20">
        <f t="shared" si="7"/>
        <v>2.63</v>
      </c>
      <c r="AF10" s="20">
        <f>IF($C10="","",IFERROR(IF($G10="33kV",INDEX('Assumptions &amp; Ref'!$H$109:$H$122,MATCH(E10,'Assumptions &amp; Ref'!$B$109:$B$122,1)),IF($G10="22kV",INDEX('Assumptions &amp; Ref'!$G$109:$G$122,MATCH(E10,'Assumptions &amp; Ref'!$B$109:$B$122,1)),IF($G10="11kV",INDEX('Assumptions &amp; Ref'!$F$109:$F$122,MATCH(E10,'Assumptions &amp; Ref'!$B$109:$B$122,1)),IF($G10="6.6kV",INDEX('Assumptions &amp; Ref'!$D$109:$D$122,MATCH(E10,'Assumptions &amp; Ref'!$B$109:$B$122,1)),INDEX('Assumptions &amp; Ref'!$C$109:$C$122,MATCH(E10,'Assumptions &amp; Ref'!$B$109:$B$122,1)))))),INDEX('Assumptions &amp; Ref'!$C$109:$C$122,1)))</f>
        <v>5.5</v>
      </c>
      <c r="AG10" s="20">
        <f t="shared" si="8"/>
        <v>28.480774889473267</v>
      </c>
      <c r="AH10" s="20">
        <f t="shared" si="9"/>
        <v>0.93</v>
      </c>
      <c r="AI10" s="20">
        <f>IF($C10="","",IF(C10=3.5,IFERROR(INDEX('Assumptions &amp; Ref'!$G$93:$G$105,MATCH(E10,'Assumptions &amp; Ref'!$F$93:$F$105,0)),0),0))</f>
        <v>0</v>
      </c>
      <c r="AJ10" s="20">
        <f t="shared" si="10"/>
        <v>0</v>
      </c>
      <c r="AK10" s="20">
        <f>IF($C10="","",IF(C10=3.5,IFERROR(IF($G10="33kV",INDEX('Assumptions &amp; Ref'!$H$109:$H$122,MATCH(AI10,'Assumptions &amp; Ref'!$B$109:$B$122,1)),IF($G10="22kV",INDEX('Assumptions &amp; Ref'!$G$109:$G$122,MATCH(AI10,'Assumptions &amp; Ref'!$B$109:$B$122,1)),IF($G10="11kV",INDEX('Assumptions &amp; Ref'!$E$109:$E$122,MATCH(AI10,'Assumptions &amp; Ref'!$B$109:$B$122,1)),IF($G10="6.6kV",INDEX('Assumptions &amp; Ref'!$D$109:$D$122,MATCH(AI10,'Assumptions &amp; Ref'!$B$109:$B$122,1)),INDEX('Assumptions &amp; Ref'!$C$109:$C$122,MATCH(AI10,'Assumptions &amp; Ref'!$B$109:$B$122,1)))))),0),0))</f>
        <v>0</v>
      </c>
      <c r="AL10" s="20">
        <f t="shared" si="11"/>
        <v>0</v>
      </c>
      <c r="AM10" s="20">
        <f t="shared" si="12"/>
        <v>61.5</v>
      </c>
      <c r="AN10" s="20">
        <f>IF($C10="","",IFERROR(INDEX('Assumptions &amp; Ref'!$C$126:$C$130,MATCH(AM10,'Assumptions &amp; Ref'!$B$126:$B$130,1)),INDEX('Assumptions &amp; Ref'!$C$126:$C$130,1)))</f>
        <v>0.7</v>
      </c>
      <c r="AO10" s="20">
        <f t="shared" si="13"/>
        <v>62.9</v>
      </c>
      <c r="AP10" s="20">
        <f t="shared" si="14"/>
        <v>1.35</v>
      </c>
      <c r="AQ10" s="20">
        <f>IF($C10="","",IF(J10="Unarmored",0,IF(OR(J10="Galvanised steel flat strip",J10="Aluminium Flat Strip"),IFERROR(INDEX('Assumptions &amp; Ref'!$F$126:$F$131,MATCH(AO10,'Assumptions &amp; Ref'!$E$126:$E$131,1)),INDEX('Assumptions &amp; Ref'!$F$126:$F$131,1)),IFERROR(INDEX('Assumptions &amp; Ref'!$G$126:$G$131,MATCH(AO10,'Assumptions &amp; Ref'!$E$126:$E$131,1)),INDEX('Assumptions &amp; Ref'!$G$126:$G$131,1)))))</f>
        <v>3.15</v>
      </c>
      <c r="AR10" s="20">
        <f t="shared" si="15"/>
        <v>69.2</v>
      </c>
      <c r="AS10" s="20">
        <f t="shared" si="16"/>
        <v>7.86</v>
      </c>
      <c r="AT10" s="20">
        <f>IF($C10="","",IFERROR(INDEX('Assumptions &amp; Ref'!$J$126:$J$136,MATCH(AR10,'Assumptions &amp; Ref'!$I$126:$I$136,1)),INDEX('Assumptions &amp; Ref'!$J$126:$J$136,1)))</f>
        <v>2.52</v>
      </c>
      <c r="AU10" s="20">
        <f t="shared" si="17"/>
        <v>74.240000000000009</v>
      </c>
      <c r="AV10" s="20">
        <f t="shared" si="18"/>
        <v>1.35</v>
      </c>
      <c r="AW10" s="20">
        <f t="shared" si="19"/>
        <v>75</v>
      </c>
      <c r="AX10" s="20">
        <f>IF($C10="","",PI()*((AD10+2*'Assumptions &amp; Ref'!$C$63)^2-AD10^2)/4*'Assumptions &amp; Ref'!$C$62)</f>
        <v>15.685474456427192</v>
      </c>
      <c r="AY10" s="20">
        <f>IF($C10="","",PI()*((AG10+2*'Assumptions &amp; Ref'!$C$64)^2-AG10^2)/4*'Assumptions &amp; Ref'!$C$62)</f>
        <v>25.389225844835337</v>
      </c>
      <c r="AZ10" s="20">
        <f>IF($C10="","",(AU10-'Assumptions &amp; Ref'!$C$65)*PI()*('Assumptions &amp; Ref'!$C$65*'Assumptions &amp; Ref'!$C$66)*INDEX($C$5:$G$5,MATCH("Copper",$C$4:$G$4,0)))</f>
        <v>250.00889841684241</v>
      </c>
      <c r="BA10" s="20">
        <f>IF($C10="","",((E10*AE10*IF(C10=3.5,3,C10))+(AI10*AE10*IF(C10=3.5,1,0)))*(1+'Assumptions &amp; Ref'!$C$33))</f>
        <v>1912.5359999999998</v>
      </c>
      <c r="BB10" s="20">
        <f>IF($C10="","",IF(C10=3.5,((AB10/360)*PI()*(AG10^2-AD10^2)/4*AH10*3)+((AC10/360)*PI()*(AL10^2-AJ10^2)/4*AH10),(AB10/360)*PI()*(AG10^2-AD10^2)/4*AH10*C10)*(1+'Assumptions &amp; Ref'!$C$33))</f>
        <v>1118.9297161198072</v>
      </c>
      <c r="BC10" s="20">
        <f>IF($C10="","",PI()*(AO10^2-AM10^2)/4*AP10*(1+'Assumptions &amp; Ref'!$C$33))</f>
        <v>186.50627133120784</v>
      </c>
      <c r="BD10" s="20">
        <f>IF($C10="","",PI()*(AW10^2-AU10^2)/4*AV10*(1+'Assumptions &amp; Ref'!$C$33))</f>
        <v>121.46295882772472</v>
      </c>
      <c r="BE10" s="20">
        <f>IF($C10="","",PI()*(AR10^2-AO10^2)/4*AS10*(1+'Assumptions &amp; Ref'!$C$33))</f>
        <v>5188.9223087036798</v>
      </c>
      <c r="BF10" s="21">
        <f>IF($C10="","",BA10*INDEX($C$6:$G$6,MATCH(F10,$C$4:$G$4,0))+IF(H10="XLPE",BB10*INDEX($C$6:$G$6,MATCH("XLPE",$C$4:$G$4,0)),0)+IF(H10="PVC",(BB10+BC10+BD10)*INDEX($C$6:$G$6,MATCH("PVC",$C$4:$G$4,0)),(BC10+BD10)*INDEX($C$6:$G$6,MATCH("PVC",$C$4:$G$4,0)))+IF(J10="Unarmored",0,IF(OR(J10="Aluminium Flat Strip",J10="Aluminium Round Wired"),BE10*INDEX($C$6:$G$6,MATCH("Aluminium",$C$4:$G$4,0)),BE10*INDEX($C$6:$G$6,MATCH("Steel Wire",$C$4:$G$4,0))))+AZ10*(1+'Assumptions &amp; Ref'!$C$34)*INDEX($C$6:$G$6,MATCH("Copper",$C$4:$G$4,0))*'Assumptions &amp; Ref'!$C$67+AX10*(1+'Assumptions &amp; Ref'!$C$35)*INDEX($C$6:$G$6,MATCH("XLPE",$C$4:$G$4,0))+AY10*(1+'Assumptions &amp; Ref'!$C$35)*INDEX($C$6:$G$6,MATCH("XLPE",$C$4:$G$4,0)))</f>
        <v>1580951.1176402534</v>
      </c>
      <c r="BG10" s="22">
        <f>IF($C10="","",IF(L10="Y",'Assumptions &amp; Ref'!$C$53,0)+IF(M10="Y",'Assumptions &amp; Ref'!$C$54,0)+IF(N10="Y",'Assumptions &amp; Ref'!$C$55,0)+IF(O10="Y",'Assumptions &amp; Ref'!$C$56,0)+IF(P10="Y",'Assumptions &amp; Ref'!$C$57,0)+IF(Q10="Y",'Assumptions &amp; Ref'!$C$58,0)+IF(R10="Y",'Assumptions &amp; Ref'!$C$59,0))</f>
        <v>0</v>
      </c>
      <c r="BH10" s="23">
        <f>IF($C10="","",(IF($F10="Aluminium",'Assumptions &amp; Ref'!$D$28,'Assumptions &amp; Ref'!$C$28)+IF($F10="Aluminium",'Assumptions &amp; Ref'!$D$29,'Assumptions &amp; Ref'!$C$29)+IF($F10="Aluminium",'Assumptions &amp; Ref'!$D$30,'Assumptions &amp; Ref'!$C$30)+IF($F10="Aluminium",'Assumptions &amp; Ref'!$D$31,'Assumptions &amp; Ref'!$C$31))/IF($F10="Aluminium",'Assumptions &amp; Ref'!$D$27,'Assumptions &amp; Ref'!$C$27))</f>
        <v>0.25</v>
      </c>
      <c r="BI10" s="23">
        <f>IF($C10="","",(IF($F10="Aluminium",'Assumptions &amp; Ref'!$F$28,'Assumptions &amp; Ref'!$E$28)+IF($F10="Aluminium",'Assumptions &amp; Ref'!$F$29,'Assumptions &amp; Ref'!$E$29)+IF($F10="Aluminium",'Assumptions &amp; Ref'!$F$30,'Assumptions &amp; Ref'!$E$30)+IF($F10="Aluminium",'Assumptions &amp; Ref'!$F$31,'Assumptions &amp; Ref'!$E$31))/IF($F10="Aluminium",'Assumptions &amp; Ref'!$F$27,'Assumptions &amp; Ref'!$E$27))</f>
        <v>0.17647058823529413</v>
      </c>
      <c r="BJ10" s="21">
        <f t="shared" si="20"/>
        <v>1976188.8970503167</v>
      </c>
      <c r="BK10" s="21">
        <f t="shared" si="21"/>
        <v>1859942.4913414747</v>
      </c>
      <c r="BL10" s="21">
        <f>IF($C10="","",BJ10*(1+BG10)*(1+IF($F10="Aluminium",'Assumptions &amp; Ref'!$D$31,'Assumptions &amp; Ref'!$C$31)))</f>
        <v>2055236.4529323294</v>
      </c>
      <c r="BM10" s="21">
        <f>IF($C10="","",BK10*(1+BG10)*(1+IF($F10="Aluminium",'Assumptions &amp; Ref'!$F$31,'Assumptions &amp; Ref'!$E$31)))</f>
        <v>1915740.766081719</v>
      </c>
    </row>
    <row r="11" spans="2:65" ht="15" customHeight="1" x14ac:dyDescent="0.25">
      <c r="B11" s="13" t="s">
        <v>95</v>
      </c>
      <c r="C11" s="14">
        <v>1</v>
      </c>
      <c r="D11" s="14" t="s">
        <v>73</v>
      </c>
      <c r="E11" s="14">
        <v>400</v>
      </c>
      <c r="F11" s="14" t="s">
        <v>8</v>
      </c>
      <c r="G11" s="14" t="s">
        <v>96</v>
      </c>
      <c r="H11" s="14" t="s">
        <v>10</v>
      </c>
      <c r="I11" s="14" t="s">
        <v>11</v>
      </c>
      <c r="J11" s="14" t="s">
        <v>74</v>
      </c>
      <c r="K11" s="14" t="s">
        <v>11</v>
      </c>
      <c r="L11" s="15" t="s">
        <v>76</v>
      </c>
      <c r="M11" s="15" t="s">
        <v>76</v>
      </c>
      <c r="N11" s="15" t="s">
        <v>76</v>
      </c>
      <c r="O11" s="15" t="s">
        <v>76</v>
      </c>
      <c r="P11" s="15" t="s">
        <v>76</v>
      </c>
      <c r="Q11" s="15" t="s">
        <v>76</v>
      </c>
      <c r="R11" s="15" t="s">
        <v>76</v>
      </c>
      <c r="S11" s="16">
        <f t="shared" si="0"/>
        <v>5960988.5676301718</v>
      </c>
      <c r="T11" s="16">
        <f t="shared" si="1"/>
        <v>6436642.0928553501</v>
      </c>
      <c r="U11" s="17">
        <f t="shared" si="2"/>
        <v>5208630.7872496648</v>
      </c>
      <c r="V11" s="18">
        <f t="shared" si="3"/>
        <v>45</v>
      </c>
      <c r="W11" s="19">
        <f>IF($C11="","",IF(F11="Copper",BA11,0)+AZ11*(1+'Assumptions &amp; Ref'!$C$34))</f>
        <v>3766.1130268225206</v>
      </c>
      <c r="X11" s="19">
        <f>IF($C11="","",AZ11*(1+'Assumptions &amp; Ref'!$C$34))</f>
        <v>154.35302682252018</v>
      </c>
      <c r="Y11" s="19">
        <f>IF($C11="","",AX11*(1+'Assumptions &amp; Ref'!$C$35))</f>
        <v>20.677170653971931</v>
      </c>
      <c r="Z11" s="19">
        <f>IF($C11="","",AY11*(1+'Assumptions &amp; Ref'!$C$35))</f>
        <v>36.591322930961347</v>
      </c>
      <c r="AB11" s="20">
        <f t="shared" si="4"/>
        <v>360</v>
      </c>
      <c r="AC11" s="20">
        <f t="shared" si="5"/>
        <v>0</v>
      </c>
      <c r="AD11" s="20">
        <f t="shared" si="6"/>
        <v>22.56758334191025</v>
      </c>
      <c r="AE11" s="20">
        <f t="shared" si="7"/>
        <v>8.94</v>
      </c>
      <c r="AF11" s="20">
        <f>IF($C11="","",IFERROR(IF($G11="33kV",INDEX('Assumptions &amp; Ref'!$H$109:$H$122,MATCH(E11,'Assumptions &amp; Ref'!$B$109:$B$122,1)),IF($G11="22kV",INDEX('Assumptions &amp; Ref'!$G$109:$G$122,MATCH(E11,'Assumptions &amp; Ref'!$B$109:$B$122,1)),IF($G11="11kV",INDEX('Assumptions &amp; Ref'!$F$109:$F$122,MATCH(E11,'Assumptions &amp; Ref'!$B$109:$B$122,1)),IF($G11="6.6kV",INDEX('Assumptions &amp; Ref'!$D$109:$D$122,MATCH(E11,'Assumptions &amp; Ref'!$B$109:$B$122,1)),INDEX('Assumptions &amp; Ref'!$C$109:$C$122,MATCH(E11,'Assumptions &amp; Ref'!$B$109:$B$122,1)))))),INDEX('Assumptions &amp; Ref'!$C$109:$C$122,1)))</f>
        <v>8.8000000000000007</v>
      </c>
      <c r="AG11" s="20">
        <f t="shared" si="8"/>
        <v>40.167583341910252</v>
      </c>
      <c r="AH11" s="20">
        <f t="shared" si="9"/>
        <v>0.93</v>
      </c>
      <c r="AI11" s="20">
        <f>IF($C11="","",IF(C11=3.5,IFERROR(INDEX('Assumptions &amp; Ref'!$G$93:$G$105,MATCH(E11,'Assumptions &amp; Ref'!$F$93:$F$105,0)),0),0))</f>
        <v>0</v>
      </c>
      <c r="AJ11" s="20">
        <f t="shared" si="10"/>
        <v>0</v>
      </c>
      <c r="AK11" s="20">
        <f>IF($C11="","",IF(C11=3.5,IFERROR(IF($G11="33kV",INDEX('Assumptions &amp; Ref'!$H$109:$H$122,MATCH(AI11,'Assumptions &amp; Ref'!$B$109:$B$122,1)),IF($G11="22kV",INDEX('Assumptions &amp; Ref'!$G$109:$G$122,MATCH(AI11,'Assumptions &amp; Ref'!$B$109:$B$122,1)),IF($G11="11kV",INDEX('Assumptions &amp; Ref'!$E$109:$E$122,MATCH(AI11,'Assumptions &amp; Ref'!$B$109:$B$122,1)),IF($G11="6.6kV",INDEX('Assumptions &amp; Ref'!$D$109:$D$122,MATCH(AI11,'Assumptions &amp; Ref'!$B$109:$B$122,1)),INDEX('Assumptions &amp; Ref'!$C$109:$C$122,MATCH(AI11,'Assumptions &amp; Ref'!$B$109:$B$122,1)))))),0),0))</f>
        <v>0</v>
      </c>
      <c r="AL11" s="20">
        <f t="shared" si="11"/>
        <v>0</v>
      </c>
      <c r="AM11" s="20">
        <f t="shared" si="12"/>
        <v>40.200000000000003</v>
      </c>
      <c r="AN11" s="20">
        <f>IF($C11="","",IFERROR(INDEX('Assumptions &amp; Ref'!$C$126:$C$130,MATCH(AM11,'Assumptions &amp; Ref'!$B$126:$B$130,1)),INDEX('Assumptions &amp; Ref'!$C$126:$C$130,1)))</f>
        <v>0.5</v>
      </c>
      <c r="AO11" s="20">
        <f t="shared" si="13"/>
        <v>41.2</v>
      </c>
      <c r="AP11" s="20">
        <f t="shared" si="14"/>
        <v>1.35</v>
      </c>
      <c r="AQ11" s="20">
        <f>IF($C11="","",IF(J11="Unarmored",0,IF(OR(J11="Galvanised steel flat strip",J11="Aluminium Flat Strip"),IFERROR(INDEX('Assumptions &amp; Ref'!$F$126:$F$131,MATCH(AO11,'Assumptions &amp; Ref'!$E$126:$E$131,1)),INDEX('Assumptions &amp; Ref'!$F$126:$F$131,1)),IFERROR(INDEX('Assumptions &amp; Ref'!$G$126:$G$131,MATCH(AO11,'Assumptions &amp; Ref'!$E$126:$E$131,1)),INDEX('Assumptions &amp; Ref'!$G$126:$G$131,1)))))</f>
        <v>0</v>
      </c>
      <c r="AR11" s="20">
        <f t="shared" si="15"/>
        <v>41.2</v>
      </c>
      <c r="AS11" s="20">
        <f t="shared" si="16"/>
        <v>0</v>
      </c>
      <c r="AT11" s="20">
        <f>IF($C11="","",IFERROR(INDEX('Assumptions &amp; Ref'!$J$126:$J$136,MATCH(AR11,'Assumptions &amp; Ref'!$I$126:$I$136,1)),INDEX('Assumptions &amp; Ref'!$J$126:$J$136,1)))</f>
        <v>1.88</v>
      </c>
      <c r="AU11" s="20">
        <f t="shared" si="17"/>
        <v>44.96</v>
      </c>
      <c r="AV11" s="20">
        <f t="shared" si="18"/>
        <v>1.35</v>
      </c>
      <c r="AW11" s="20">
        <f t="shared" si="19"/>
        <v>45</v>
      </c>
      <c r="AX11" s="20">
        <f>IF($C11="","",PI()*((AD11+2*'Assumptions &amp; Ref'!$C$63)^2-AD11^2)/4*'Assumptions &amp; Ref'!$C$62)</f>
        <v>20.172849418509202</v>
      </c>
      <c r="AY11" s="20">
        <f>IF($C11="","",PI()*((AG11+2*'Assumptions &amp; Ref'!$C$64)^2-AG11^2)/4*'Assumptions &amp; Ref'!$C$62)</f>
        <v>35.698851639962292</v>
      </c>
      <c r="AZ11" s="20">
        <f>IF($C11="","",(AU11-'Assumptions &amp; Ref'!$C$65)*PI()*('Assumptions &amp; Ref'!$C$65*'Assumptions &amp; Ref'!$C$66)*INDEX($C$5:$G$5,MATCH("Copper",$C$4:$G$4,0)))</f>
        <v>151.32649688482371</v>
      </c>
      <c r="BA11" s="20">
        <f>IF($C11="","",((E11*AE11*IF(C11=3.5,3,C11))+(AI11*AE11*IF(C11=3.5,1,0)))*(1+'Assumptions &amp; Ref'!$C$33))</f>
        <v>3611.76</v>
      </c>
      <c r="BB11" s="20">
        <f>IF($C11="","",IF(C11=3.5,((AB11/360)*PI()*(AG11^2-AD11^2)/4*AH11*3)+((AC11/360)*PI()*(AL11^2-AJ11^2)/4*AH11),(AB11/360)*PI()*(AG11^2-AD11^2)/4*AH11*C11)*(1+'Assumptions &amp; Ref'!$C$33))</f>
        <v>814.55033709254212</v>
      </c>
      <c r="BC11" s="20">
        <f>IF($C11="","",PI()*(AO11^2-AM11^2)/4*AP11*(1+'Assumptions &amp; Ref'!$C$33))</f>
        <v>87.170478217503145</v>
      </c>
      <c r="BD11" s="20">
        <f>IF($C11="","",PI()*(AW11^2-AU11^2)/4*AV11*(1+'Assumptions &amp; Ref'!$C$33))</f>
        <v>3.8534920002192927</v>
      </c>
      <c r="BE11" s="20">
        <f>IF($C11="","",PI()*(AR11^2-AO11^2)/4*AS11*(1+'Assumptions &amp; Ref'!$C$33))</f>
        <v>0</v>
      </c>
      <c r="BF11" s="21">
        <f>IF($C11="","",BA11*INDEX($C$6:$G$6,MATCH(F11,$C$4:$G$4,0))+IF(H11="XLPE",BB11*INDEX($C$6:$G$6,MATCH("XLPE",$C$4:$G$4,0)),0)+IF(H11="PVC",(BB11+BC11+BD11)*INDEX($C$6:$G$6,MATCH("PVC",$C$4:$G$4,0)),(BC11+BD11)*INDEX($C$6:$G$6,MATCH("PVC",$C$4:$G$4,0)))+IF(J11="Unarmored",0,IF(OR(J11="Aluminium Flat Strip",J11="Aluminium Round Wired"),BE11*INDEX($C$6:$G$6,MATCH("Aluminium",$C$4:$G$4,0)),BE11*INDEX($C$6:$G$6,MATCH("Steel Wire",$C$4:$G$4,0))))+AZ11*(1+'Assumptions &amp; Ref'!$C$34)*INDEX($C$6:$G$6,MATCH("Copper",$C$4:$G$4,0))*'Assumptions &amp; Ref'!$C$67+AX11*(1+'Assumptions &amp; Ref'!$C$35)*INDEX($C$6:$G$6,MATCH("XLPE",$C$4:$G$4,0))+AY11*(1+'Assumptions &amp; Ref'!$C$35)*INDEX($C$6:$G$6,MATCH("XLPE",$C$4:$G$4,0)))</f>
        <v>5208630.7872496648</v>
      </c>
      <c r="BG11" s="22">
        <f>IF($C11="","",IF(L11="Y",'Assumptions &amp; Ref'!$C$53,0)+IF(M11="Y",'Assumptions &amp; Ref'!$C$54,0)+IF(N11="Y",'Assumptions &amp; Ref'!$C$55,0)+IF(O11="Y",'Assumptions &amp; Ref'!$C$56,0)+IF(P11="Y",'Assumptions &amp; Ref'!$C$57,0)+IF(Q11="Y",'Assumptions &amp; Ref'!$C$58,0)+IF(R11="Y",'Assumptions &amp; Ref'!$C$59,0))</f>
        <v>0</v>
      </c>
      <c r="BH11" s="23">
        <f>IF($C11="","",(IF($F11="Aluminium",'Assumptions &amp; Ref'!$D$28,'Assumptions &amp; Ref'!$C$28)+IF($F11="Aluminium",'Assumptions &amp; Ref'!$D$29,'Assumptions &amp; Ref'!$C$29)+IF($F11="Aluminium",'Assumptions &amp; Ref'!$D$30,'Assumptions &amp; Ref'!$C$30)+IF($F11="Aluminium",'Assumptions &amp; Ref'!$D$31,'Assumptions &amp; Ref'!$C$31))/IF($F11="Aluminium",'Assumptions &amp; Ref'!$D$27,'Assumptions &amp; Ref'!$C$27))</f>
        <v>0.18823529411764706</v>
      </c>
      <c r="BI11" s="23">
        <f>IF($C11="","",(IF($F11="Aluminium",'Assumptions &amp; Ref'!$F$28,'Assumptions &amp; Ref'!$E$28)+IF($F11="Aluminium",'Assumptions &amp; Ref'!$F$29,'Assumptions &amp; Ref'!$E$29)+IF($F11="Aluminium",'Assumptions &amp; Ref'!$F$30,'Assumptions &amp; Ref'!$E$30)+IF($F11="Aluminium",'Assumptions &amp; Ref'!$F$31,'Assumptions &amp; Ref'!$E$31))/IF($F11="Aluminium",'Assumptions &amp; Ref'!$F$27,'Assumptions &amp; Ref'!$E$27))</f>
        <v>0.11111111111111112</v>
      </c>
      <c r="BJ11" s="21">
        <f t="shared" si="20"/>
        <v>6189078.9354378367</v>
      </c>
      <c r="BK11" s="21">
        <f t="shared" si="21"/>
        <v>5787367.5413885163</v>
      </c>
      <c r="BL11" s="21">
        <f>IF($C11="","",BJ11*(1+BG11)*(1+IF($F11="Aluminium",'Assumptions &amp; Ref'!$D$31,'Assumptions &amp; Ref'!$C$31)))</f>
        <v>6436642.0928553501</v>
      </c>
      <c r="BM11" s="21">
        <f>IF($C11="","",BK11*(1+BG11)*(1+IF($F11="Aluminium",'Assumptions &amp; Ref'!$F$31,'Assumptions &amp; Ref'!$E$31)))</f>
        <v>5960988.5676301718</v>
      </c>
    </row>
    <row r="12" spans="2:65" ht="15" customHeight="1" x14ac:dyDescent="0.25">
      <c r="B12" s="13" t="s">
        <v>97</v>
      </c>
      <c r="C12" s="14">
        <v>3</v>
      </c>
      <c r="D12" s="14" t="s">
        <v>73</v>
      </c>
      <c r="E12" s="14">
        <v>95</v>
      </c>
      <c r="F12" s="14" t="s">
        <v>9</v>
      </c>
      <c r="G12" s="14" t="s">
        <v>98</v>
      </c>
      <c r="H12" s="14" t="s">
        <v>10</v>
      </c>
      <c r="I12" s="14" t="s">
        <v>11</v>
      </c>
      <c r="J12" s="14" t="s">
        <v>75</v>
      </c>
      <c r="K12" s="14" t="s">
        <v>11</v>
      </c>
      <c r="L12" s="15" t="s">
        <v>76</v>
      </c>
      <c r="M12" s="15" t="s">
        <v>76</v>
      </c>
      <c r="N12" s="15" t="s">
        <v>76</v>
      </c>
      <c r="O12" s="15" t="s">
        <v>76</v>
      </c>
      <c r="P12" s="15" t="s">
        <v>76</v>
      </c>
      <c r="Q12" s="15" t="s">
        <v>76</v>
      </c>
      <c r="R12" s="15" t="s">
        <v>76</v>
      </c>
      <c r="S12" s="16">
        <f t="shared" si="0"/>
        <v>1139247.6730788932</v>
      </c>
      <c r="T12" s="16">
        <f t="shared" si="1"/>
        <v>1222202.600730269</v>
      </c>
      <c r="U12" s="17">
        <f t="shared" si="2"/>
        <v>940155.8467155915</v>
      </c>
      <c r="V12" s="18">
        <f t="shared" si="3"/>
        <v>61</v>
      </c>
      <c r="W12" s="19">
        <f>IF($C12="","",IF(F12="Copper",BA12,0)+AZ12*(1+'Assumptions &amp; Ref'!$C$34))</f>
        <v>208.18751234681122</v>
      </c>
      <c r="X12" s="19">
        <f>IF($C12="","",AZ12*(1+'Assumptions &amp; Ref'!$C$34))</f>
        <v>208.18751234681122</v>
      </c>
      <c r="Y12" s="19">
        <f>IF($C12="","",AX12*(1+'Assumptions &amp; Ref'!$C$35))</f>
        <v>10.215872757899376</v>
      </c>
      <c r="Z12" s="19">
        <f>IF($C12="","",AY12*(1+'Assumptions &amp; Ref'!$C$35))</f>
        <v>21.066431128573939</v>
      </c>
      <c r="AB12" s="20">
        <f t="shared" si="4"/>
        <v>360</v>
      </c>
      <c r="AC12" s="20">
        <f t="shared" si="5"/>
        <v>0</v>
      </c>
      <c r="AD12" s="20">
        <f t="shared" si="6"/>
        <v>10.998079684646791</v>
      </c>
      <c r="AE12" s="20">
        <f t="shared" si="7"/>
        <v>2.63</v>
      </c>
      <c r="AF12" s="20">
        <f>IF($C12="","",IFERROR(IF($G12="33kV",INDEX('Assumptions &amp; Ref'!$H$109:$H$122,MATCH(E12,'Assumptions &amp; Ref'!$B$109:$B$122,1)),IF($G12="22kV",INDEX('Assumptions &amp; Ref'!$G$109:$G$122,MATCH(E12,'Assumptions &amp; Ref'!$B$109:$B$122,1)),IF($G12="11kV",INDEX('Assumptions &amp; Ref'!$F$109:$F$122,MATCH(E12,'Assumptions &amp; Ref'!$B$109:$B$122,1)),IF($G12="6.6kV",INDEX('Assumptions &amp; Ref'!$D$109:$D$122,MATCH(E12,'Assumptions &amp; Ref'!$B$109:$B$122,1)),INDEX('Assumptions &amp; Ref'!$C$109:$C$122,MATCH(E12,'Assumptions &amp; Ref'!$B$109:$B$122,1)))))),INDEX('Assumptions &amp; Ref'!$C$109:$C$122,1)))</f>
        <v>6</v>
      </c>
      <c r="AG12" s="20">
        <f t="shared" si="8"/>
        <v>22.99807968464679</v>
      </c>
      <c r="AH12" s="20">
        <f t="shared" si="9"/>
        <v>0.93</v>
      </c>
      <c r="AI12" s="20">
        <f>IF($C12="","",IF(C12=3.5,IFERROR(INDEX('Assumptions &amp; Ref'!$G$93:$G$105,MATCH(E12,'Assumptions &amp; Ref'!$F$93:$F$105,0)),0),0))</f>
        <v>0</v>
      </c>
      <c r="AJ12" s="20">
        <f t="shared" si="10"/>
        <v>0</v>
      </c>
      <c r="AK12" s="20">
        <f>IF($C12="","",IF(C12=3.5,IFERROR(IF($G12="33kV",INDEX('Assumptions &amp; Ref'!$H$109:$H$122,MATCH(AI12,'Assumptions &amp; Ref'!$B$109:$B$122,1)),IF($G12="22kV",INDEX('Assumptions &amp; Ref'!$G$109:$G$122,MATCH(AI12,'Assumptions &amp; Ref'!$B$109:$B$122,1)),IF($G12="11kV",INDEX('Assumptions &amp; Ref'!$E$109:$E$122,MATCH(AI12,'Assumptions &amp; Ref'!$B$109:$B$122,1)),IF($G12="6.6kV",INDEX('Assumptions &amp; Ref'!$D$109:$D$122,MATCH(AI12,'Assumptions &amp; Ref'!$B$109:$B$122,1)),INDEX('Assumptions &amp; Ref'!$C$109:$C$122,MATCH(AI12,'Assumptions &amp; Ref'!$B$109:$B$122,1)))))),0),0))</f>
        <v>0</v>
      </c>
      <c r="AL12" s="20">
        <f t="shared" si="11"/>
        <v>0</v>
      </c>
      <c r="AM12" s="20">
        <f t="shared" si="12"/>
        <v>49.7</v>
      </c>
      <c r="AN12" s="20">
        <f>IF($C12="","",IFERROR(INDEX('Assumptions &amp; Ref'!$C$126:$C$130,MATCH(AM12,'Assumptions &amp; Ref'!$B$126:$B$130,1)),INDEX('Assumptions &amp; Ref'!$C$126:$C$130,1)))</f>
        <v>0.6</v>
      </c>
      <c r="AO12" s="20">
        <f t="shared" si="13"/>
        <v>50.900000000000006</v>
      </c>
      <c r="AP12" s="20">
        <f t="shared" si="14"/>
        <v>1.35</v>
      </c>
      <c r="AQ12" s="20">
        <f>IF($C12="","",IF(J12="Unarmored",0,IF(OR(J12="Galvanised steel flat strip",J12="Aluminium Flat Strip"),IFERROR(INDEX('Assumptions &amp; Ref'!$F$126:$F$131,MATCH(AO12,'Assumptions &amp; Ref'!$E$126:$E$131,1)),INDEX('Assumptions &amp; Ref'!$F$126:$F$131,1)),IFERROR(INDEX('Assumptions &amp; Ref'!$G$126:$G$131,MATCH(AO12,'Assumptions &amp; Ref'!$E$126:$E$131,1)),INDEX('Assumptions &amp; Ref'!$G$126:$G$131,1)))))</f>
        <v>2.5</v>
      </c>
      <c r="AR12" s="20">
        <f t="shared" si="15"/>
        <v>55.900000000000006</v>
      </c>
      <c r="AS12" s="20">
        <f t="shared" si="16"/>
        <v>7.86</v>
      </c>
      <c r="AT12" s="20">
        <f>IF($C12="","",IFERROR(INDEX('Assumptions &amp; Ref'!$J$126:$J$136,MATCH(AR12,'Assumptions &amp; Ref'!$I$126:$I$136,1)),INDEX('Assumptions &amp; Ref'!$J$126:$J$136,1)))</f>
        <v>2.36</v>
      </c>
      <c r="AU12" s="20">
        <f t="shared" si="17"/>
        <v>60.620000000000005</v>
      </c>
      <c r="AV12" s="20">
        <f t="shared" si="18"/>
        <v>1.35</v>
      </c>
      <c r="AW12" s="20">
        <f t="shared" si="19"/>
        <v>61</v>
      </c>
      <c r="AX12" s="20">
        <f>IF($C12="","",PI()*((AD12+2*'Assumptions &amp; Ref'!$C$63)^2-AD12^2)/4*'Assumptions &amp; Ref'!$C$62)</f>
        <v>9.9667051296579281</v>
      </c>
      <c r="AY12" s="20">
        <f>IF($C12="","",PI()*((AG12+2*'Assumptions &amp; Ref'!$C$64)^2-AG12^2)/4*'Assumptions &amp; Ref'!$C$62)</f>
        <v>20.552615735194088</v>
      </c>
      <c r="AZ12" s="20">
        <f>IF($C12="","",(AU12-'Assumptions &amp; Ref'!$C$65)*PI()*('Assumptions &amp; Ref'!$C$65*'Assumptions &amp; Ref'!$C$66)*INDEX($C$5:$G$5,MATCH("Copper",$C$4:$G$4,0)))</f>
        <v>204.10540426157962</v>
      </c>
      <c r="BA12" s="20">
        <f>IF($C12="","",((E12*AE12*IF(C12=3.5,3,C12))+(AI12*AE12*IF(C12=3.5,1,0)))*(1+'Assumptions &amp; Ref'!$C$33))</f>
        <v>757.04549999999995</v>
      </c>
      <c r="BB12" s="20">
        <f>IF($C12="","",IF(C12=3.5,((AB12/360)*PI()*(AG12^2-AD12^2)/4*AH12*3)+((AC12/360)*PI()*(AL12^2-AJ12^2)/4*AH12),(AB12/360)*PI()*(AG12^2-AD12^2)/4*AH12*C12)*(1+'Assumptions &amp; Ref'!$C$33))</f>
        <v>902.87278194764428</v>
      </c>
      <c r="BC12" s="20">
        <f>IF($C12="","",PI()*(AO12^2-AM12^2)/4*AP12*(1+'Assumptions &amp; Ref'!$C$33))</f>
        <v>129.27788858006133</v>
      </c>
      <c r="BD12" s="20">
        <f>IF($C12="","",PI()*(AW12^2-AU12^2)/4*AV12*(1+'Assumptions &amp; Ref'!$C$33))</f>
        <v>49.491842175783709</v>
      </c>
      <c r="BE12" s="20">
        <f>IF($C12="","",PI()*(AR12^2-AO12^2)/4*AS12*(1+'Assumptions &amp; Ref'!$C$33))</f>
        <v>3329.4696332116919</v>
      </c>
      <c r="BF12" s="21">
        <f>IF($C12="","",BA12*INDEX($C$6:$G$6,MATCH(F12,$C$4:$G$4,0))+IF(H12="XLPE",BB12*INDEX($C$6:$G$6,MATCH("XLPE",$C$4:$G$4,0)),0)+IF(H12="PVC",(BB12+BC12+BD12)*INDEX($C$6:$G$6,MATCH("PVC",$C$4:$G$4,0)),(BC12+BD12)*INDEX($C$6:$G$6,MATCH("PVC",$C$4:$G$4,0)))+IF(J12="Unarmored",0,IF(OR(J12="Aluminium Flat Strip",J12="Aluminium Round Wired"),BE12*INDEX($C$6:$G$6,MATCH("Aluminium",$C$4:$G$4,0)),BE12*INDEX($C$6:$G$6,MATCH("Steel Wire",$C$4:$G$4,0))))+AZ12*(1+'Assumptions &amp; Ref'!$C$34)*INDEX($C$6:$G$6,MATCH("Copper",$C$4:$G$4,0))*'Assumptions &amp; Ref'!$C$67+AX12*(1+'Assumptions &amp; Ref'!$C$35)*INDEX($C$6:$G$6,MATCH("XLPE",$C$4:$G$4,0))+AY12*(1+'Assumptions &amp; Ref'!$C$35)*INDEX($C$6:$G$6,MATCH("XLPE",$C$4:$G$4,0)))</f>
        <v>940155.8467155915</v>
      </c>
      <c r="BG12" s="22">
        <f>IF($C12="","",IF(L12="Y",'Assumptions &amp; Ref'!$C$53,0)+IF(M12="Y",'Assumptions &amp; Ref'!$C$54,0)+IF(N12="Y",'Assumptions &amp; Ref'!$C$55,0)+IF(O12="Y",'Assumptions &amp; Ref'!$C$56,0)+IF(P12="Y",'Assumptions &amp; Ref'!$C$57,0)+IF(Q12="Y",'Assumptions &amp; Ref'!$C$58,0)+IF(R12="Y",'Assumptions &amp; Ref'!$C$59,0))</f>
        <v>0</v>
      </c>
      <c r="BH12" s="23">
        <f>IF($C12="","",(IF($F12="Aluminium",'Assumptions &amp; Ref'!$D$28,'Assumptions &amp; Ref'!$C$28)+IF($F12="Aluminium",'Assumptions &amp; Ref'!$D$29,'Assumptions &amp; Ref'!$C$29)+IF($F12="Aluminium",'Assumptions &amp; Ref'!$D$30,'Assumptions &amp; Ref'!$C$30)+IF($F12="Aluminium",'Assumptions &amp; Ref'!$D$31,'Assumptions &amp; Ref'!$C$31))/IF($F12="Aluminium",'Assumptions &amp; Ref'!$D$27,'Assumptions &amp; Ref'!$C$27))</f>
        <v>0.25</v>
      </c>
      <c r="BI12" s="23">
        <f>IF($C12="","",(IF($F12="Aluminium",'Assumptions &amp; Ref'!$F$28,'Assumptions &amp; Ref'!$E$28)+IF($F12="Aluminium",'Assumptions &amp; Ref'!$F$29,'Assumptions &amp; Ref'!$E$29)+IF($F12="Aluminium",'Assumptions &amp; Ref'!$F$30,'Assumptions &amp; Ref'!$E$30)+IF($F12="Aluminium",'Assumptions &amp; Ref'!$F$31,'Assumptions &amp; Ref'!$E$31))/IF($F12="Aluminium",'Assumptions &amp; Ref'!$F$27,'Assumptions &amp; Ref'!$E$27))</f>
        <v>0.17647058823529413</v>
      </c>
      <c r="BJ12" s="21">
        <f t="shared" si="20"/>
        <v>1175194.8083944893</v>
      </c>
      <c r="BK12" s="21">
        <f t="shared" si="21"/>
        <v>1106065.7020183429</v>
      </c>
      <c r="BL12" s="21">
        <f>IF($C12="","",BJ12*(1+BG12)*(1+IF($F12="Aluminium",'Assumptions &amp; Ref'!$D$31,'Assumptions &amp; Ref'!$C$31)))</f>
        <v>1222202.600730269</v>
      </c>
      <c r="BM12" s="21">
        <f>IF($C12="","",BK12*(1+BG12)*(1+IF($F12="Aluminium",'Assumptions &amp; Ref'!$F$31,'Assumptions &amp; Ref'!$E$31)))</f>
        <v>1139247.6730788932</v>
      </c>
    </row>
    <row r="13" spans="2:65" ht="15" customHeight="1" x14ac:dyDescent="0.25">
      <c r="B13" s="13" t="s">
        <v>99</v>
      </c>
      <c r="C13" s="14">
        <v>3</v>
      </c>
      <c r="D13" s="14" t="s">
        <v>73</v>
      </c>
      <c r="E13" s="14">
        <v>150</v>
      </c>
      <c r="F13" s="14" t="s">
        <v>8</v>
      </c>
      <c r="G13" s="14" t="s">
        <v>100</v>
      </c>
      <c r="H13" s="14" t="s">
        <v>10</v>
      </c>
      <c r="I13" s="14" t="s">
        <v>11</v>
      </c>
      <c r="J13" s="14" t="s">
        <v>77</v>
      </c>
      <c r="K13" s="14" t="s">
        <v>11</v>
      </c>
      <c r="L13" s="15" t="s">
        <v>76</v>
      </c>
      <c r="M13" s="15" t="s">
        <v>76</v>
      </c>
      <c r="N13" s="15" t="s">
        <v>76</v>
      </c>
      <c r="O13" s="15" t="s">
        <v>76</v>
      </c>
      <c r="P13" s="15" t="s">
        <v>76</v>
      </c>
      <c r="Q13" s="15" t="s">
        <v>76</v>
      </c>
      <c r="R13" s="15" t="s">
        <v>76</v>
      </c>
      <c r="S13" s="16">
        <f t="shared" si="0"/>
        <v>6750354.4253559504</v>
      </c>
      <c r="T13" s="16">
        <f t="shared" si="1"/>
        <v>7288994.9281033715</v>
      </c>
      <c r="U13" s="17">
        <f t="shared" si="2"/>
        <v>5898367.9444857817</v>
      </c>
      <c r="V13" s="18">
        <f t="shared" si="3"/>
        <v>50</v>
      </c>
      <c r="W13" s="19">
        <f>IF($C13="","",IF(F13="Copper",BA13,0)+AZ13*(1+'Assumptions &amp; Ref'!$C$34))</f>
        <v>4234.1527726863187</v>
      </c>
      <c r="X13" s="19">
        <f>IF($C13="","",AZ13*(1+'Assumptions &amp; Ref'!$C$34))</f>
        <v>170.92277268631855</v>
      </c>
      <c r="Y13" s="19">
        <f>IF($C13="","",AX13*(1+'Assumptions &amp; Ref'!$C$35))</f>
        <v>12.76727874448448</v>
      </c>
      <c r="Z13" s="19">
        <f>IF($C13="","",AY13*(1+'Assumptions &amp; Ref'!$C$35))</f>
        <v>17.830872650799368</v>
      </c>
      <c r="AB13" s="20">
        <f t="shared" si="4"/>
        <v>360</v>
      </c>
      <c r="AC13" s="20">
        <f t="shared" si="5"/>
        <v>0</v>
      </c>
      <c r="AD13" s="20">
        <f t="shared" si="6"/>
        <v>13.81976597885342</v>
      </c>
      <c r="AE13" s="20">
        <f t="shared" si="7"/>
        <v>8.94</v>
      </c>
      <c r="AF13" s="20">
        <f>IF($C13="","",IFERROR(IF($G13="33kV",INDEX('Assumptions &amp; Ref'!$H$109:$H$122,MATCH(E13,'Assumptions &amp; Ref'!$B$109:$B$122,1)),IF($G13="22kV",INDEX('Assumptions &amp; Ref'!$G$109:$G$122,MATCH(E13,'Assumptions &amp; Ref'!$B$109:$B$122,1)),IF($G13="11kV",INDEX('Assumptions &amp; Ref'!$F$109:$F$122,MATCH(E13,'Assumptions &amp; Ref'!$B$109:$B$122,1)),IF($G13="6.6kV",INDEX('Assumptions &amp; Ref'!$D$109:$D$122,MATCH(E13,'Assumptions &amp; Ref'!$B$109:$B$122,1)),INDEX('Assumptions &amp; Ref'!$C$109:$C$122,MATCH(E13,'Assumptions &amp; Ref'!$B$109:$B$122,1)))))),INDEX('Assumptions &amp; Ref'!$C$109:$C$122,1)))</f>
        <v>2.8</v>
      </c>
      <c r="AG13" s="20">
        <f t="shared" si="8"/>
        <v>19.41976597885342</v>
      </c>
      <c r="AH13" s="20">
        <f t="shared" si="9"/>
        <v>0.93</v>
      </c>
      <c r="AI13" s="20">
        <f>IF($C13="","",IF(C13=3.5,IFERROR(INDEX('Assumptions &amp; Ref'!$G$93:$G$105,MATCH(E13,'Assumptions &amp; Ref'!$F$93:$F$105,0)),0),0))</f>
        <v>0</v>
      </c>
      <c r="AJ13" s="20">
        <f t="shared" si="10"/>
        <v>0</v>
      </c>
      <c r="AK13" s="20">
        <f>IF($C13="","",IF(C13=3.5,IFERROR(IF($G13="33kV",INDEX('Assumptions &amp; Ref'!$H$109:$H$122,MATCH(AI13,'Assumptions &amp; Ref'!$B$109:$B$122,1)),IF($G13="22kV",INDEX('Assumptions &amp; Ref'!$G$109:$G$122,MATCH(AI13,'Assumptions &amp; Ref'!$B$109:$B$122,1)),IF($G13="11kV",INDEX('Assumptions &amp; Ref'!$E$109:$E$122,MATCH(AI13,'Assumptions &amp; Ref'!$B$109:$B$122,1)),IF($G13="6.6kV",INDEX('Assumptions &amp; Ref'!$D$109:$D$122,MATCH(AI13,'Assumptions &amp; Ref'!$B$109:$B$122,1)),INDEX('Assumptions &amp; Ref'!$C$109:$C$122,MATCH(AI13,'Assumptions &amp; Ref'!$B$109:$B$122,1)))))),0),0))</f>
        <v>0</v>
      </c>
      <c r="AL13" s="20">
        <f t="shared" si="11"/>
        <v>0</v>
      </c>
      <c r="AM13" s="20">
        <f t="shared" si="12"/>
        <v>41.9</v>
      </c>
      <c r="AN13" s="20">
        <f>IF($C13="","",IFERROR(INDEX('Assumptions &amp; Ref'!$C$126:$C$130,MATCH(AM13,'Assumptions &amp; Ref'!$B$126:$B$130,1)),INDEX('Assumptions &amp; Ref'!$C$126:$C$130,1)))</f>
        <v>0.5</v>
      </c>
      <c r="AO13" s="20">
        <f t="shared" si="13"/>
        <v>42.9</v>
      </c>
      <c r="AP13" s="20">
        <f t="shared" si="14"/>
        <v>1.35</v>
      </c>
      <c r="AQ13" s="20">
        <f>IF($C13="","",IF(J13="Unarmored",0,IF(OR(J13="Galvanised steel flat strip",J13="Aluminium Flat Strip"),IFERROR(INDEX('Assumptions &amp; Ref'!$F$126:$F$131,MATCH(AO13,'Assumptions &amp; Ref'!$E$126:$E$131,1)),INDEX('Assumptions &amp; Ref'!$F$126:$F$131,1)),IFERROR(INDEX('Assumptions &amp; Ref'!$G$126:$G$131,MATCH(AO13,'Assumptions &amp; Ref'!$E$126:$E$131,1)),INDEX('Assumptions &amp; Ref'!$G$126:$G$131,1)))))</f>
        <v>1.4</v>
      </c>
      <c r="AR13" s="20">
        <f t="shared" si="15"/>
        <v>45.699999999999996</v>
      </c>
      <c r="AS13" s="20">
        <f t="shared" si="16"/>
        <v>7.86</v>
      </c>
      <c r="AT13" s="20">
        <f>IF($C13="","",IFERROR(INDEX('Assumptions &amp; Ref'!$J$126:$J$136,MATCH(AR13,'Assumptions &amp; Ref'!$I$126:$I$136,1)),INDEX('Assumptions &amp; Ref'!$J$126:$J$136,1)))</f>
        <v>2.04</v>
      </c>
      <c r="AU13" s="20">
        <f t="shared" si="17"/>
        <v>49.779999999999994</v>
      </c>
      <c r="AV13" s="20">
        <f t="shared" si="18"/>
        <v>1.35</v>
      </c>
      <c r="AW13" s="20">
        <f t="shared" si="19"/>
        <v>50</v>
      </c>
      <c r="AX13" s="20">
        <f>IF($C13="","",PI()*((AD13+2*'Assumptions &amp; Ref'!$C$63)^2-AD13^2)/4*'Assumptions &amp; Ref'!$C$62)</f>
        <v>12.455881701936079</v>
      </c>
      <c r="AY13" s="20">
        <f>IF($C13="","",PI()*((AG13+2*'Assumptions &amp; Ref'!$C$64)^2-AG13^2)/4*'Assumptions &amp; Ref'!$C$62)</f>
        <v>17.395973317853041</v>
      </c>
      <c r="AZ13" s="20">
        <f>IF($C13="","",(AU13-'Assumptions &amp; Ref'!$C$65)*PI()*('Assumptions &amp; Ref'!$C$65*'Assumptions &amp; Ref'!$C$66)*INDEX($C$5:$G$5,MATCH("Copper",$C$4:$G$4,0)))</f>
        <v>167.57134577090054</v>
      </c>
      <c r="BA13" s="20">
        <f>IF($C13="","",((E13*AE13*IF(C13=3.5,3,C13))+(AI13*AE13*IF(C13=3.5,1,0)))*(1+'Assumptions &amp; Ref'!$C$33))</f>
        <v>4063.23</v>
      </c>
      <c r="BB13" s="20">
        <f>IF($C13="","",IF(C13=3.5,((AB13/360)*PI()*(AG13^2-AD13^2)/4*AH13*3)+((AC13/360)*PI()*(AL13^2-AJ13^2)/4*AH13),(AB13/360)*PI()*(AG13^2-AD13^2)/4*AH13*C13)*(1+'Assumptions &amp; Ref'!$C$33))</f>
        <v>411.96316431515396</v>
      </c>
      <c r="BC13" s="20">
        <f>IF($C13="","",PI()*(AO13^2-AM13^2)/4*AP13*(1+'Assumptions &amp; Ref'!$C$33))</f>
        <v>90.81150556319723</v>
      </c>
      <c r="BD13" s="20">
        <f>IF($C13="","",PI()*(AW13^2-AU13^2)/4*AV13*(1+'Assumptions &amp; Ref'!$C$33))</f>
        <v>23.507757612277739</v>
      </c>
      <c r="BE13" s="20">
        <f>IF($C13="","",PI()*(AR13^2-AO13^2)/4*AS13*(1+'Assumptions &amp; Ref'!$C$33))</f>
        <v>1546.7693382156472</v>
      </c>
      <c r="BF13" s="21">
        <f>IF($C13="","",BA13*INDEX($C$6:$G$6,MATCH(F13,$C$4:$G$4,0))+IF(H13="XLPE",BB13*INDEX($C$6:$G$6,MATCH("XLPE",$C$4:$G$4,0)),0)+IF(H13="PVC",(BB13+BC13+BD13)*INDEX($C$6:$G$6,MATCH("PVC",$C$4:$G$4,0)),(BC13+BD13)*INDEX($C$6:$G$6,MATCH("PVC",$C$4:$G$4,0)))+IF(J13="Unarmored",0,IF(OR(J13="Aluminium Flat Strip",J13="Aluminium Round Wired"),BE13*INDEX($C$6:$G$6,MATCH("Aluminium",$C$4:$G$4,0)),BE13*INDEX($C$6:$G$6,MATCH("Steel Wire",$C$4:$G$4,0))))+AZ13*(1+'Assumptions &amp; Ref'!$C$34)*INDEX($C$6:$G$6,MATCH("Copper",$C$4:$G$4,0))*'Assumptions &amp; Ref'!$C$67+AX13*(1+'Assumptions &amp; Ref'!$C$35)*INDEX($C$6:$G$6,MATCH("XLPE",$C$4:$G$4,0))+AY13*(1+'Assumptions &amp; Ref'!$C$35)*INDEX($C$6:$G$6,MATCH("XLPE",$C$4:$G$4,0)))</f>
        <v>5898367.9444857817</v>
      </c>
      <c r="BG13" s="22">
        <f>IF($C13="","",IF(L13="Y",'Assumptions &amp; Ref'!$C$53,0)+IF(M13="Y",'Assumptions &amp; Ref'!$C$54,0)+IF(N13="Y",'Assumptions &amp; Ref'!$C$55,0)+IF(O13="Y",'Assumptions &amp; Ref'!$C$56,0)+IF(P13="Y",'Assumptions &amp; Ref'!$C$57,0)+IF(Q13="Y",'Assumptions &amp; Ref'!$C$58,0)+IF(R13="Y",'Assumptions &amp; Ref'!$C$59,0))</f>
        <v>0</v>
      </c>
      <c r="BH13" s="23">
        <f>IF($C13="","",(IF($F13="Aluminium",'Assumptions &amp; Ref'!$D$28,'Assumptions &amp; Ref'!$C$28)+IF($F13="Aluminium",'Assumptions &amp; Ref'!$D$29,'Assumptions &amp; Ref'!$C$29)+IF($F13="Aluminium",'Assumptions &amp; Ref'!$D$30,'Assumptions &amp; Ref'!$C$30)+IF($F13="Aluminium",'Assumptions &amp; Ref'!$D$31,'Assumptions &amp; Ref'!$C$31))/IF($F13="Aluminium",'Assumptions &amp; Ref'!$D$27,'Assumptions &amp; Ref'!$C$27))</f>
        <v>0.18823529411764706</v>
      </c>
      <c r="BI13" s="23">
        <f>IF($C13="","",(IF($F13="Aluminium",'Assumptions &amp; Ref'!$F$28,'Assumptions &amp; Ref'!$E$28)+IF($F13="Aluminium",'Assumptions &amp; Ref'!$F$29,'Assumptions &amp; Ref'!$E$29)+IF($F13="Aluminium",'Assumptions &amp; Ref'!$F$30,'Assumptions &amp; Ref'!$E$30)+IF($F13="Aluminium",'Assumptions &amp; Ref'!$F$31,'Assumptions &amp; Ref'!$E$31))/IF($F13="Aluminium",'Assumptions &amp; Ref'!$F$27,'Assumptions &amp; Ref'!$E$27))</f>
        <v>0.11111111111111112</v>
      </c>
      <c r="BJ13" s="21">
        <f t="shared" si="20"/>
        <v>7008648.9693301646</v>
      </c>
      <c r="BK13" s="21">
        <f t="shared" si="21"/>
        <v>6553742.1605397575</v>
      </c>
      <c r="BL13" s="21">
        <f>IF($C13="","",BJ13*(1+BG13)*(1+IF($F13="Aluminium",'Assumptions &amp; Ref'!$D$31,'Assumptions &amp; Ref'!$C$31)))</f>
        <v>7288994.9281033715</v>
      </c>
      <c r="BM13" s="21">
        <f>IF($C13="","",BK13*(1+BG13)*(1+IF($F13="Aluminium",'Assumptions &amp; Ref'!$F$31,'Assumptions &amp; Ref'!$E$31)))</f>
        <v>6750354.4253559504</v>
      </c>
    </row>
    <row r="14" spans="2:65" ht="15" customHeight="1" x14ac:dyDescent="0.25">
      <c r="B14" s="13"/>
      <c r="C14" s="14"/>
      <c r="D14" s="14"/>
      <c r="E14" s="14"/>
      <c r="F14" s="14"/>
      <c r="G14" s="14"/>
      <c r="H14" s="14"/>
      <c r="I14" s="14"/>
      <c r="J14" s="14"/>
      <c r="K14" s="14"/>
      <c r="L14" s="15"/>
      <c r="M14" s="15"/>
      <c r="N14" s="15"/>
      <c r="O14" s="15"/>
      <c r="P14" s="15"/>
      <c r="Q14" s="15"/>
      <c r="R14" s="15"/>
      <c r="S14" s="16" t="str">
        <f t="shared" si="0"/>
        <v/>
      </c>
      <c r="T14" s="16" t="str">
        <f t="shared" si="1"/>
        <v/>
      </c>
      <c r="U14" s="17" t="str">
        <f t="shared" si="2"/>
        <v/>
      </c>
      <c r="V14" s="18" t="str">
        <f t="shared" si="3"/>
        <v/>
      </c>
      <c r="W14" s="19" t="str">
        <f>IF($C14="","",IF(F14="Copper",BA14,0)+AZ14*(1+'Assumptions &amp; Ref'!$C$34))</f>
        <v/>
      </c>
      <c r="X14" s="19" t="str">
        <f>IF($C14="","",AZ14*(1+'Assumptions &amp; Ref'!$C$34))</f>
        <v/>
      </c>
      <c r="Y14" s="19" t="str">
        <f>IF($C14="","",AX14*(1+'Assumptions &amp; Ref'!$C$35))</f>
        <v/>
      </c>
      <c r="Z14" s="19" t="str">
        <f>IF($C14="","",AY14*(1+'Assumptions &amp; Ref'!$C$35))</f>
        <v/>
      </c>
      <c r="AB14" s="20" t="str">
        <f t="shared" si="4"/>
        <v/>
      </c>
      <c r="AC14" s="20" t="str">
        <f t="shared" si="5"/>
        <v/>
      </c>
      <c r="AD14" s="20" t="str">
        <f t="shared" si="6"/>
        <v/>
      </c>
      <c r="AE14" s="20" t="str">
        <f t="shared" si="7"/>
        <v/>
      </c>
      <c r="AF14" s="20" t="str">
        <f>IF($C14="","",IFERROR(IF($G14="33kV",INDEX('Assumptions &amp; Ref'!$H$109:$H$122,MATCH(E14,'Assumptions &amp; Ref'!$B$109:$B$122,1)),IF($G14="22kV",INDEX('Assumptions &amp; Ref'!$G$109:$G$122,MATCH(E14,'Assumptions &amp; Ref'!$B$109:$B$122,1)),IF($G14="11kV",INDEX('Assumptions &amp; Ref'!$F$109:$F$122,MATCH(E14,'Assumptions &amp; Ref'!$B$109:$B$122,1)),IF($G14="6.6kV",INDEX('Assumptions &amp; Ref'!$D$109:$D$122,MATCH(E14,'Assumptions &amp; Ref'!$B$109:$B$122,1)),INDEX('Assumptions &amp; Ref'!$C$109:$C$122,MATCH(E14,'Assumptions &amp; Ref'!$B$109:$B$122,1)))))),INDEX('Assumptions &amp; Ref'!$C$109:$C$122,1)))</f>
        <v/>
      </c>
      <c r="AG14" s="20" t="str">
        <f t="shared" si="8"/>
        <v/>
      </c>
      <c r="AH14" s="20" t="str">
        <f t="shared" si="9"/>
        <v/>
      </c>
      <c r="AI14" s="20" t="str">
        <f>IF($C14="","",IF(C14=3.5,IFERROR(INDEX('Assumptions &amp; Ref'!$G$93:$G$105,MATCH(E14,'Assumptions &amp; Ref'!$F$93:$F$105,0)),0),0))</f>
        <v/>
      </c>
      <c r="AJ14" s="20" t="str">
        <f t="shared" si="10"/>
        <v/>
      </c>
      <c r="AK14" s="20" t="str">
        <f>IF($C14="","",IF(C14=3.5,IFERROR(IF($G14="33kV",INDEX('Assumptions &amp; Ref'!$H$109:$H$122,MATCH(AI14,'Assumptions &amp; Ref'!$B$109:$B$122,1)),IF($G14="22kV",INDEX('Assumptions &amp; Ref'!$G$109:$G$122,MATCH(AI14,'Assumptions &amp; Ref'!$B$109:$B$122,1)),IF($G14="11kV",INDEX('Assumptions &amp; Ref'!$E$109:$E$122,MATCH(AI14,'Assumptions &amp; Ref'!$B$109:$B$122,1)),IF($G14="6.6kV",INDEX('Assumptions &amp; Ref'!$D$109:$D$122,MATCH(AI14,'Assumptions &amp; Ref'!$B$109:$B$122,1)),INDEX('Assumptions &amp; Ref'!$C$109:$C$122,MATCH(AI14,'Assumptions &amp; Ref'!$B$109:$B$122,1)))))),0),0))</f>
        <v/>
      </c>
      <c r="AL14" s="20" t="str">
        <f t="shared" si="11"/>
        <v/>
      </c>
      <c r="AM14" s="20" t="str">
        <f t="shared" si="12"/>
        <v/>
      </c>
      <c r="AN14" s="20" t="str">
        <f>IF($C14="","",IFERROR(INDEX('Assumptions &amp; Ref'!$C$126:$C$130,MATCH(AM14,'Assumptions &amp; Ref'!$B$126:$B$130,1)),INDEX('Assumptions &amp; Ref'!$C$126:$C$130,1)))</f>
        <v/>
      </c>
      <c r="AO14" s="20" t="str">
        <f t="shared" si="13"/>
        <v/>
      </c>
      <c r="AP14" s="20" t="str">
        <f t="shared" si="14"/>
        <v/>
      </c>
      <c r="AQ14" s="20" t="str">
        <f>IF($C14="","",IF(J14="Unarmored",0,IF(OR(J14="Galvanised steel flat strip",J14="Aluminium Flat Strip"),IFERROR(INDEX('Assumptions &amp; Ref'!$F$126:$F$131,MATCH(AO14,'Assumptions &amp; Ref'!$E$126:$E$131,1)),INDEX('Assumptions &amp; Ref'!$F$126:$F$131,1)),IFERROR(INDEX('Assumptions &amp; Ref'!$G$126:$G$131,MATCH(AO14,'Assumptions &amp; Ref'!$E$126:$E$131,1)),INDEX('Assumptions &amp; Ref'!$G$126:$G$131,1)))))</f>
        <v/>
      </c>
      <c r="AR14" s="20" t="str">
        <f t="shared" si="15"/>
        <v/>
      </c>
      <c r="AS14" s="20" t="str">
        <f t="shared" si="16"/>
        <v/>
      </c>
      <c r="AT14" s="20" t="str">
        <f>IF($C14="","",IFERROR(INDEX('Assumptions &amp; Ref'!$J$126:$J$136,MATCH(AR14,'Assumptions &amp; Ref'!$I$126:$I$136,1)),INDEX('Assumptions &amp; Ref'!$J$126:$J$136,1)))</f>
        <v/>
      </c>
      <c r="AU14" s="20" t="str">
        <f t="shared" si="17"/>
        <v/>
      </c>
      <c r="AV14" s="20" t="str">
        <f t="shared" si="18"/>
        <v/>
      </c>
      <c r="AW14" s="20" t="str">
        <f t="shared" si="19"/>
        <v/>
      </c>
      <c r="AX14" s="20" t="str">
        <f>IF($C14="","",PI()*((AD14+2*'Assumptions &amp; Ref'!$C$63)^2-AD14^2)/4*'Assumptions &amp; Ref'!$C$62)</f>
        <v/>
      </c>
      <c r="AY14" s="20" t="str">
        <f>IF($C14="","",PI()*((AG14+2*'Assumptions &amp; Ref'!$C$64)^2-AG14^2)/4*'Assumptions &amp; Ref'!$C$62)</f>
        <v/>
      </c>
      <c r="AZ14" s="20" t="str">
        <f>IF($C14="","",(AU14-'Assumptions &amp; Ref'!$C$65)*PI()*('Assumptions &amp; Ref'!$C$65*'Assumptions &amp; Ref'!$C$66)*INDEX($C$5:$G$5,MATCH("Copper",$C$4:$G$4,0)))</f>
        <v/>
      </c>
      <c r="BA14" s="20" t="str">
        <f>IF($C14="","",((E14*AE14*IF(C14=3.5,3,C14))+(AI14*AE14*IF(C14=3.5,1,0)))*(1+'Assumptions &amp; Ref'!$C$33))</f>
        <v/>
      </c>
      <c r="BB14" s="20" t="str">
        <f>IF($C14="","",IF(C14=3.5,((AB14/360)*PI()*(AG14^2-AD14^2)/4*AH14*3)+((AC14/360)*PI()*(AL14^2-AJ14^2)/4*AH14),(AB14/360)*PI()*(AG14^2-AD14^2)/4*AH14*C14)*(1+'Assumptions &amp; Ref'!$C$33))</f>
        <v/>
      </c>
      <c r="BC14" s="20" t="str">
        <f>IF($C14="","",PI()*(AO14^2-AM14^2)/4*AP14*(1+'Assumptions &amp; Ref'!$C$33))</f>
        <v/>
      </c>
      <c r="BD14" s="20" t="str">
        <f>IF($C14="","",PI()*(AW14^2-AU14^2)/4*AV14*(1+'Assumptions &amp; Ref'!$C$33))</f>
        <v/>
      </c>
      <c r="BE14" s="20" t="str">
        <f>IF($C14="","",PI()*(AR14^2-AO14^2)/4*AS14*(1+'Assumptions &amp; Ref'!$C$33))</f>
        <v/>
      </c>
      <c r="BF14" s="21" t="str">
        <f>IF($C14="","",BA14*INDEX($C$6:$G$6,MATCH(F14,$C$4:$G$4,0))+IF(H14="XLPE",BB14*INDEX($C$6:$G$6,MATCH("XLPE",$C$4:$G$4,0)),0)+IF(H14="PVC",(BB14+BC14+BD14)*INDEX($C$6:$G$6,MATCH("PVC",$C$4:$G$4,0)),(BC14+BD14)*INDEX($C$6:$G$6,MATCH("PVC",$C$4:$G$4,0)))+IF(J14="Unarmored",0,IF(OR(J14="Aluminium Flat Strip",J14="Aluminium Round Wired"),BE14*INDEX($C$6:$G$6,MATCH("Aluminium",$C$4:$G$4,0)),BE14*INDEX($C$6:$G$6,MATCH("Steel Wire",$C$4:$G$4,0))))+AZ14*(1+'Assumptions &amp; Ref'!$C$34)*INDEX($C$6:$G$6,MATCH("Copper",$C$4:$G$4,0))*'Assumptions &amp; Ref'!$C$67+AX14*(1+'Assumptions &amp; Ref'!$C$35)*INDEX($C$6:$G$6,MATCH("XLPE",$C$4:$G$4,0))+AY14*(1+'Assumptions &amp; Ref'!$C$35)*INDEX($C$6:$G$6,MATCH("XLPE",$C$4:$G$4,0)))</f>
        <v/>
      </c>
      <c r="BG14" s="22" t="str">
        <f>IF($C14="","",IF(L14="Y",'Assumptions &amp; Ref'!$C$53,0)+IF(M14="Y",'Assumptions &amp; Ref'!$C$54,0)+IF(N14="Y",'Assumptions &amp; Ref'!$C$55,0)+IF(O14="Y",'Assumptions &amp; Ref'!$C$56,0)+IF(P14="Y",'Assumptions &amp; Ref'!$C$57,0)+IF(Q14="Y",'Assumptions &amp; Ref'!$C$58,0)+IF(R14="Y",'Assumptions &amp; Ref'!$C$59,0))</f>
        <v/>
      </c>
      <c r="BH14" s="23" t="str">
        <f>IF($C14="","",(IF($F14="Aluminium",'Assumptions &amp; Ref'!$D$28,'Assumptions &amp; Ref'!$C$28)+IF($F14="Aluminium",'Assumptions &amp; Ref'!$D$29,'Assumptions &amp; Ref'!$C$29)+IF($F14="Aluminium",'Assumptions &amp; Ref'!$D$30,'Assumptions &amp; Ref'!$C$30)+IF($F14="Aluminium",'Assumptions &amp; Ref'!$D$31,'Assumptions &amp; Ref'!$C$31))/IF($F14="Aluminium",'Assumptions &amp; Ref'!$D$27,'Assumptions &amp; Ref'!$C$27))</f>
        <v/>
      </c>
      <c r="BI14" s="23" t="str">
        <f>IF($C14="","",(IF($F14="Aluminium",'Assumptions &amp; Ref'!$F$28,'Assumptions &amp; Ref'!$E$28)+IF($F14="Aluminium",'Assumptions &amp; Ref'!$F$29,'Assumptions &amp; Ref'!$E$29)+IF($F14="Aluminium",'Assumptions &amp; Ref'!$F$30,'Assumptions &amp; Ref'!$E$30)+IF($F14="Aluminium",'Assumptions &amp; Ref'!$F$31,'Assumptions &amp; Ref'!$E$31))/IF($F14="Aluminium",'Assumptions &amp; Ref'!$F$27,'Assumptions &amp; Ref'!$E$27))</f>
        <v/>
      </c>
      <c r="BJ14" s="21" t="str">
        <f t="shared" si="20"/>
        <v/>
      </c>
      <c r="BK14" s="21" t="str">
        <f t="shared" si="21"/>
        <v/>
      </c>
      <c r="BL14" s="21" t="str">
        <f>IF($C14="","",BJ14*(1+BG14)*(1+IF($F14="Aluminium",'Assumptions &amp; Ref'!$D$31,'Assumptions &amp; Ref'!$C$31)))</f>
        <v/>
      </c>
      <c r="BM14" s="21" t="str">
        <f>IF($C14="","",BK14*(1+BG14)*(1+IF($F14="Aluminium",'Assumptions &amp; Ref'!$F$31,'Assumptions &amp; Ref'!$E$31)))</f>
        <v/>
      </c>
    </row>
    <row r="15" spans="2:65" ht="15" customHeight="1" x14ac:dyDescent="0.25">
      <c r="B15" s="13"/>
      <c r="C15" s="14"/>
      <c r="D15" s="14"/>
      <c r="E15" s="14"/>
      <c r="F15" s="14"/>
      <c r="G15" s="14"/>
      <c r="H15" s="14"/>
      <c r="I15" s="14"/>
      <c r="J15" s="14"/>
      <c r="K15" s="14"/>
      <c r="L15" s="15"/>
      <c r="M15" s="15"/>
      <c r="N15" s="15"/>
      <c r="O15" s="15"/>
      <c r="P15" s="15"/>
      <c r="Q15" s="15"/>
      <c r="R15" s="15"/>
      <c r="S15" s="16" t="str">
        <f t="shared" si="0"/>
        <v/>
      </c>
      <c r="T15" s="16" t="str">
        <f t="shared" si="1"/>
        <v/>
      </c>
      <c r="U15" s="17" t="str">
        <f t="shared" si="2"/>
        <v/>
      </c>
      <c r="V15" s="18" t="str">
        <f t="shared" si="3"/>
        <v/>
      </c>
      <c r="W15" s="19" t="str">
        <f>IF($C15="","",IF(F15="Copper",BA15,0)+AZ15*(1+'Assumptions &amp; Ref'!$C$34))</f>
        <v/>
      </c>
      <c r="X15" s="19" t="str">
        <f>IF($C15="","",AZ15*(1+'Assumptions &amp; Ref'!$C$34))</f>
        <v/>
      </c>
      <c r="Y15" s="19" t="str">
        <f>IF($C15="","",AX15*(1+'Assumptions &amp; Ref'!$C$35))</f>
        <v/>
      </c>
      <c r="Z15" s="19" t="str">
        <f>IF($C15="","",AY15*(1+'Assumptions &amp; Ref'!$C$35))</f>
        <v/>
      </c>
      <c r="AB15" s="20" t="str">
        <f t="shared" si="4"/>
        <v/>
      </c>
      <c r="AC15" s="20" t="str">
        <f t="shared" si="5"/>
        <v/>
      </c>
      <c r="AD15" s="20" t="str">
        <f t="shared" si="6"/>
        <v/>
      </c>
      <c r="AE15" s="20" t="str">
        <f t="shared" si="7"/>
        <v/>
      </c>
      <c r="AF15" s="20" t="str">
        <f>IF($C15="","",IFERROR(IF($G15="33kV",INDEX('Assumptions &amp; Ref'!$H$109:$H$122,MATCH(E15,'Assumptions &amp; Ref'!$B$109:$B$122,1)),IF($G15="22kV",INDEX('Assumptions &amp; Ref'!$G$109:$G$122,MATCH(E15,'Assumptions &amp; Ref'!$B$109:$B$122,1)),IF($G15="11kV",INDEX('Assumptions &amp; Ref'!$F$109:$F$122,MATCH(E15,'Assumptions &amp; Ref'!$B$109:$B$122,1)),IF($G15="6.6kV",INDEX('Assumptions &amp; Ref'!$D$109:$D$122,MATCH(E15,'Assumptions &amp; Ref'!$B$109:$B$122,1)),INDEX('Assumptions &amp; Ref'!$C$109:$C$122,MATCH(E15,'Assumptions &amp; Ref'!$B$109:$B$122,1)))))),INDEX('Assumptions &amp; Ref'!$C$109:$C$122,1)))</f>
        <v/>
      </c>
      <c r="AG15" s="20" t="str">
        <f t="shared" si="8"/>
        <v/>
      </c>
      <c r="AH15" s="20" t="str">
        <f t="shared" si="9"/>
        <v/>
      </c>
      <c r="AI15" s="20" t="str">
        <f>IF($C15="","",IF(C15=3.5,IFERROR(INDEX('Assumptions &amp; Ref'!$G$93:$G$105,MATCH(E15,'Assumptions &amp; Ref'!$F$93:$F$105,0)),0),0))</f>
        <v/>
      </c>
      <c r="AJ15" s="20" t="str">
        <f t="shared" si="10"/>
        <v/>
      </c>
      <c r="AK15" s="20" t="str">
        <f>IF($C15="","",IF(C15=3.5,IFERROR(IF($G15="33kV",INDEX('Assumptions &amp; Ref'!$H$109:$H$122,MATCH(AI15,'Assumptions &amp; Ref'!$B$109:$B$122,1)),IF($G15="22kV",INDEX('Assumptions &amp; Ref'!$G$109:$G$122,MATCH(AI15,'Assumptions &amp; Ref'!$B$109:$B$122,1)),IF($G15="11kV",INDEX('Assumptions &amp; Ref'!$E$109:$E$122,MATCH(AI15,'Assumptions &amp; Ref'!$B$109:$B$122,1)),IF($G15="6.6kV",INDEX('Assumptions &amp; Ref'!$D$109:$D$122,MATCH(AI15,'Assumptions &amp; Ref'!$B$109:$B$122,1)),INDEX('Assumptions &amp; Ref'!$C$109:$C$122,MATCH(AI15,'Assumptions &amp; Ref'!$B$109:$B$122,1)))))),0),0))</f>
        <v/>
      </c>
      <c r="AL15" s="20" t="str">
        <f t="shared" si="11"/>
        <v/>
      </c>
      <c r="AM15" s="20" t="str">
        <f t="shared" si="12"/>
        <v/>
      </c>
      <c r="AN15" s="20" t="str">
        <f>IF($C15="","",IFERROR(INDEX('Assumptions &amp; Ref'!$C$126:$C$130,MATCH(AM15,'Assumptions &amp; Ref'!$B$126:$B$130,1)),INDEX('Assumptions &amp; Ref'!$C$126:$C$130,1)))</f>
        <v/>
      </c>
      <c r="AO15" s="20" t="str">
        <f t="shared" si="13"/>
        <v/>
      </c>
      <c r="AP15" s="20" t="str">
        <f t="shared" si="14"/>
        <v/>
      </c>
      <c r="AQ15" s="20" t="str">
        <f>IF($C15="","",IF(J15="Unarmored",0,IF(OR(J15="Galvanised steel flat strip",J15="Aluminium Flat Strip"),IFERROR(INDEX('Assumptions &amp; Ref'!$F$126:$F$131,MATCH(AO15,'Assumptions &amp; Ref'!$E$126:$E$131,1)),INDEX('Assumptions &amp; Ref'!$F$126:$F$131,1)),IFERROR(INDEX('Assumptions &amp; Ref'!$G$126:$G$131,MATCH(AO15,'Assumptions &amp; Ref'!$E$126:$E$131,1)),INDEX('Assumptions &amp; Ref'!$G$126:$G$131,1)))))</f>
        <v/>
      </c>
      <c r="AR15" s="20" t="str">
        <f t="shared" si="15"/>
        <v/>
      </c>
      <c r="AS15" s="20" t="str">
        <f t="shared" si="16"/>
        <v/>
      </c>
      <c r="AT15" s="20" t="str">
        <f>IF($C15="","",IFERROR(INDEX('Assumptions &amp; Ref'!$J$126:$J$136,MATCH(AR15,'Assumptions &amp; Ref'!$I$126:$I$136,1)),INDEX('Assumptions &amp; Ref'!$J$126:$J$136,1)))</f>
        <v/>
      </c>
      <c r="AU15" s="20" t="str">
        <f t="shared" si="17"/>
        <v/>
      </c>
      <c r="AV15" s="20" t="str">
        <f t="shared" si="18"/>
        <v/>
      </c>
      <c r="AW15" s="20" t="str">
        <f t="shared" si="19"/>
        <v/>
      </c>
      <c r="AX15" s="20" t="str">
        <f>IF($C15="","",PI()*((AD15+2*'Assumptions &amp; Ref'!$C$63)^2-AD15^2)/4*'Assumptions &amp; Ref'!$C$62)</f>
        <v/>
      </c>
      <c r="AY15" s="20" t="str">
        <f>IF($C15="","",PI()*((AG15+2*'Assumptions &amp; Ref'!$C$64)^2-AG15^2)/4*'Assumptions &amp; Ref'!$C$62)</f>
        <v/>
      </c>
      <c r="AZ15" s="20" t="str">
        <f>IF($C15="","",(AU15-'Assumptions &amp; Ref'!$C$65)*PI()*('Assumptions &amp; Ref'!$C$65*'Assumptions &amp; Ref'!$C$66)*INDEX($C$5:$G$5,MATCH("Copper",$C$4:$G$4,0)))</f>
        <v/>
      </c>
      <c r="BA15" s="20" t="str">
        <f>IF($C15="","",((E15*AE15*IF(C15=3.5,3,C15))+(AI15*AE15*IF(C15=3.5,1,0)))*(1+'Assumptions &amp; Ref'!$C$33))</f>
        <v/>
      </c>
      <c r="BB15" s="20" t="str">
        <f>IF($C15="","",IF(C15=3.5,((AB15/360)*PI()*(AG15^2-AD15^2)/4*AH15*3)+((AC15/360)*PI()*(AL15^2-AJ15^2)/4*AH15),(AB15/360)*PI()*(AG15^2-AD15^2)/4*AH15*C15)*(1+'Assumptions &amp; Ref'!$C$33))</f>
        <v/>
      </c>
      <c r="BC15" s="20" t="str">
        <f>IF($C15="","",PI()*(AO15^2-AM15^2)/4*AP15*(1+'Assumptions &amp; Ref'!$C$33))</f>
        <v/>
      </c>
      <c r="BD15" s="20" t="str">
        <f>IF($C15="","",PI()*(AW15^2-AU15^2)/4*AV15*(1+'Assumptions &amp; Ref'!$C$33))</f>
        <v/>
      </c>
      <c r="BE15" s="20" t="str">
        <f>IF($C15="","",PI()*(AR15^2-AO15^2)/4*AS15*(1+'Assumptions &amp; Ref'!$C$33))</f>
        <v/>
      </c>
      <c r="BF15" s="21" t="str">
        <f>IF($C15="","",BA15*INDEX($C$6:$G$6,MATCH(F15,$C$4:$G$4,0))+IF(H15="XLPE",BB15*INDEX($C$6:$G$6,MATCH("XLPE",$C$4:$G$4,0)),0)+IF(H15="PVC",(BB15+BC15+BD15)*INDEX($C$6:$G$6,MATCH("PVC",$C$4:$G$4,0)),(BC15+BD15)*INDEX($C$6:$G$6,MATCH("PVC",$C$4:$G$4,0)))+IF(J15="Unarmored",0,IF(OR(J15="Aluminium Flat Strip",J15="Aluminium Round Wired"),BE15*INDEX($C$6:$G$6,MATCH("Aluminium",$C$4:$G$4,0)),BE15*INDEX($C$6:$G$6,MATCH("Steel Wire",$C$4:$G$4,0))))+AZ15*(1+'Assumptions &amp; Ref'!$C$34)*INDEX($C$6:$G$6,MATCH("Copper",$C$4:$G$4,0))*'Assumptions &amp; Ref'!$C$67+AX15*(1+'Assumptions &amp; Ref'!$C$35)*INDEX($C$6:$G$6,MATCH("XLPE",$C$4:$G$4,0))+AY15*(1+'Assumptions &amp; Ref'!$C$35)*INDEX($C$6:$G$6,MATCH("XLPE",$C$4:$G$4,0)))</f>
        <v/>
      </c>
      <c r="BG15" s="22" t="str">
        <f>IF($C15="","",IF(L15="Y",'Assumptions &amp; Ref'!$C$53,0)+IF(M15="Y",'Assumptions &amp; Ref'!$C$54,0)+IF(N15="Y",'Assumptions &amp; Ref'!$C$55,0)+IF(O15="Y",'Assumptions &amp; Ref'!$C$56,0)+IF(P15="Y",'Assumptions &amp; Ref'!$C$57,0)+IF(Q15="Y",'Assumptions &amp; Ref'!$C$58,0)+IF(R15="Y",'Assumptions &amp; Ref'!$C$59,0))</f>
        <v/>
      </c>
      <c r="BH15" s="23" t="str">
        <f>IF($C15="","",(IF($F15="Aluminium",'Assumptions &amp; Ref'!$D$28,'Assumptions &amp; Ref'!$C$28)+IF($F15="Aluminium",'Assumptions &amp; Ref'!$D$29,'Assumptions &amp; Ref'!$C$29)+IF($F15="Aluminium",'Assumptions &amp; Ref'!$D$30,'Assumptions &amp; Ref'!$C$30)+IF($F15="Aluminium",'Assumptions &amp; Ref'!$D$31,'Assumptions &amp; Ref'!$C$31))/IF($F15="Aluminium",'Assumptions &amp; Ref'!$D$27,'Assumptions &amp; Ref'!$C$27))</f>
        <v/>
      </c>
      <c r="BI15" s="23" t="str">
        <f>IF($C15="","",(IF($F15="Aluminium",'Assumptions &amp; Ref'!$F$28,'Assumptions &amp; Ref'!$E$28)+IF($F15="Aluminium",'Assumptions &amp; Ref'!$F$29,'Assumptions &amp; Ref'!$E$29)+IF($F15="Aluminium",'Assumptions &amp; Ref'!$F$30,'Assumptions &amp; Ref'!$E$30)+IF($F15="Aluminium",'Assumptions &amp; Ref'!$F$31,'Assumptions &amp; Ref'!$E$31))/IF($F15="Aluminium",'Assumptions &amp; Ref'!$F$27,'Assumptions &amp; Ref'!$E$27))</f>
        <v/>
      </c>
      <c r="BJ15" s="21" t="str">
        <f t="shared" si="20"/>
        <v/>
      </c>
      <c r="BK15" s="21" t="str">
        <f t="shared" si="21"/>
        <v/>
      </c>
      <c r="BL15" s="21" t="str">
        <f>IF($C15="","",BJ15*(1+BG15)*(1+IF($F15="Aluminium",'Assumptions &amp; Ref'!$D$31,'Assumptions &amp; Ref'!$C$31)))</f>
        <v/>
      </c>
      <c r="BM15" s="21" t="str">
        <f>IF($C15="","",BK15*(1+BG15)*(1+IF($F15="Aluminium",'Assumptions &amp; Ref'!$F$31,'Assumptions &amp; Ref'!$E$31)))</f>
        <v/>
      </c>
    </row>
    <row r="16" spans="2:65" ht="15" customHeight="1" x14ac:dyDescent="0.25">
      <c r="B16" s="13"/>
      <c r="C16" s="14"/>
      <c r="D16" s="14"/>
      <c r="E16" s="14"/>
      <c r="F16" s="14"/>
      <c r="G16" s="14"/>
      <c r="H16" s="14"/>
      <c r="I16" s="14"/>
      <c r="J16" s="14"/>
      <c r="K16" s="14"/>
      <c r="L16" s="15"/>
      <c r="M16" s="15"/>
      <c r="N16" s="15"/>
      <c r="O16" s="15"/>
      <c r="P16" s="15"/>
      <c r="Q16" s="15"/>
      <c r="R16" s="15"/>
      <c r="S16" s="16" t="str">
        <f t="shared" si="0"/>
        <v/>
      </c>
      <c r="T16" s="16" t="str">
        <f t="shared" si="1"/>
        <v/>
      </c>
      <c r="U16" s="17" t="str">
        <f t="shared" si="2"/>
        <v/>
      </c>
      <c r="V16" s="18" t="str">
        <f t="shared" si="3"/>
        <v/>
      </c>
      <c r="W16" s="19" t="str">
        <f>IF($C16="","",IF(F16="Copper",BA16,0)+AZ16*(1+'Assumptions &amp; Ref'!$C$34))</f>
        <v/>
      </c>
      <c r="X16" s="19" t="str">
        <f>IF($C16="","",AZ16*(1+'Assumptions &amp; Ref'!$C$34))</f>
        <v/>
      </c>
      <c r="Y16" s="19" t="str">
        <f>IF($C16="","",AX16*(1+'Assumptions &amp; Ref'!$C$35))</f>
        <v/>
      </c>
      <c r="Z16" s="19" t="str">
        <f>IF($C16="","",AY16*(1+'Assumptions &amp; Ref'!$C$35))</f>
        <v/>
      </c>
      <c r="AB16" s="20" t="str">
        <f t="shared" si="4"/>
        <v/>
      </c>
      <c r="AC16" s="20" t="str">
        <f t="shared" si="5"/>
        <v/>
      </c>
      <c r="AD16" s="20" t="str">
        <f t="shared" si="6"/>
        <v/>
      </c>
      <c r="AE16" s="20" t="str">
        <f t="shared" si="7"/>
        <v/>
      </c>
      <c r="AF16" s="20" t="str">
        <f>IF($C16="","",IFERROR(IF($G16="33kV",INDEX('Assumptions &amp; Ref'!$H$109:$H$122,MATCH(E16,'Assumptions &amp; Ref'!$B$109:$B$122,1)),IF($G16="22kV",INDEX('Assumptions &amp; Ref'!$G$109:$G$122,MATCH(E16,'Assumptions &amp; Ref'!$B$109:$B$122,1)),IF($G16="11kV",INDEX('Assumptions &amp; Ref'!$F$109:$F$122,MATCH(E16,'Assumptions &amp; Ref'!$B$109:$B$122,1)),IF($G16="6.6kV",INDEX('Assumptions &amp; Ref'!$D$109:$D$122,MATCH(E16,'Assumptions &amp; Ref'!$B$109:$B$122,1)),INDEX('Assumptions &amp; Ref'!$C$109:$C$122,MATCH(E16,'Assumptions &amp; Ref'!$B$109:$B$122,1)))))),INDEX('Assumptions &amp; Ref'!$C$109:$C$122,1)))</f>
        <v/>
      </c>
      <c r="AG16" s="20" t="str">
        <f t="shared" si="8"/>
        <v/>
      </c>
      <c r="AH16" s="20" t="str">
        <f t="shared" si="9"/>
        <v/>
      </c>
      <c r="AI16" s="20" t="str">
        <f>IF($C16="","",IF(C16=3.5,IFERROR(INDEX('Assumptions &amp; Ref'!$G$93:$G$105,MATCH(E16,'Assumptions &amp; Ref'!$F$93:$F$105,0)),0),0))</f>
        <v/>
      </c>
      <c r="AJ16" s="20" t="str">
        <f t="shared" si="10"/>
        <v/>
      </c>
      <c r="AK16" s="20" t="str">
        <f>IF($C16="","",IF(C16=3.5,IFERROR(IF($G16="33kV",INDEX('Assumptions &amp; Ref'!$H$109:$H$122,MATCH(AI16,'Assumptions &amp; Ref'!$B$109:$B$122,1)),IF($G16="22kV",INDEX('Assumptions &amp; Ref'!$G$109:$G$122,MATCH(AI16,'Assumptions &amp; Ref'!$B$109:$B$122,1)),IF($G16="11kV",INDEX('Assumptions &amp; Ref'!$E$109:$E$122,MATCH(AI16,'Assumptions &amp; Ref'!$B$109:$B$122,1)),IF($G16="6.6kV",INDEX('Assumptions &amp; Ref'!$D$109:$D$122,MATCH(AI16,'Assumptions &amp; Ref'!$B$109:$B$122,1)),INDEX('Assumptions &amp; Ref'!$C$109:$C$122,MATCH(AI16,'Assumptions &amp; Ref'!$B$109:$B$122,1)))))),0),0))</f>
        <v/>
      </c>
      <c r="AL16" s="20" t="str">
        <f t="shared" si="11"/>
        <v/>
      </c>
      <c r="AM16" s="20" t="str">
        <f t="shared" si="12"/>
        <v/>
      </c>
      <c r="AN16" s="20" t="str">
        <f>IF($C16="","",IFERROR(INDEX('Assumptions &amp; Ref'!$C$126:$C$130,MATCH(AM16,'Assumptions &amp; Ref'!$B$126:$B$130,1)),INDEX('Assumptions &amp; Ref'!$C$126:$C$130,1)))</f>
        <v/>
      </c>
      <c r="AO16" s="20" t="str">
        <f t="shared" si="13"/>
        <v/>
      </c>
      <c r="AP16" s="20" t="str">
        <f t="shared" si="14"/>
        <v/>
      </c>
      <c r="AQ16" s="20" t="str">
        <f>IF($C16="","",IF(J16="Unarmored",0,IF(OR(J16="Galvanised steel flat strip",J16="Aluminium Flat Strip"),IFERROR(INDEX('Assumptions &amp; Ref'!$F$126:$F$131,MATCH(AO16,'Assumptions &amp; Ref'!$E$126:$E$131,1)),INDEX('Assumptions &amp; Ref'!$F$126:$F$131,1)),IFERROR(INDEX('Assumptions &amp; Ref'!$G$126:$G$131,MATCH(AO16,'Assumptions &amp; Ref'!$E$126:$E$131,1)),INDEX('Assumptions &amp; Ref'!$G$126:$G$131,1)))))</f>
        <v/>
      </c>
      <c r="AR16" s="20" t="str">
        <f t="shared" si="15"/>
        <v/>
      </c>
      <c r="AS16" s="20" t="str">
        <f t="shared" si="16"/>
        <v/>
      </c>
      <c r="AT16" s="20" t="str">
        <f>IF($C16="","",IFERROR(INDEX('Assumptions &amp; Ref'!$J$126:$J$136,MATCH(AR16,'Assumptions &amp; Ref'!$I$126:$I$136,1)),INDEX('Assumptions &amp; Ref'!$J$126:$J$136,1)))</f>
        <v/>
      </c>
      <c r="AU16" s="20" t="str">
        <f t="shared" si="17"/>
        <v/>
      </c>
      <c r="AV16" s="20" t="str">
        <f t="shared" si="18"/>
        <v/>
      </c>
      <c r="AW16" s="20" t="str">
        <f t="shared" si="19"/>
        <v/>
      </c>
      <c r="AX16" s="20" t="str">
        <f>IF($C16="","",PI()*((AD16+2*'Assumptions &amp; Ref'!$C$63)^2-AD16^2)/4*'Assumptions &amp; Ref'!$C$62)</f>
        <v/>
      </c>
      <c r="AY16" s="20" t="str">
        <f>IF($C16="","",PI()*((AG16+2*'Assumptions &amp; Ref'!$C$64)^2-AG16^2)/4*'Assumptions &amp; Ref'!$C$62)</f>
        <v/>
      </c>
      <c r="AZ16" s="20" t="str">
        <f>IF($C16="","",(AU16-'Assumptions &amp; Ref'!$C$65)*PI()*('Assumptions &amp; Ref'!$C$65*'Assumptions &amp; Ref'!$C$66)*INDEX($C$5:$G$5,MATCH("Copper",$C$4:$G$4,0)))</f>
        <v/>
      </c>
      <c r="BA16" s="20" t="str">
        <f>IF($C16="","",((E16*AE16*IF(C16=3.5,3,C16))+(AI16*AE16*IF(C16=3.5,1,0)))*(1+'Assumptions &amp; Ref'!$C$33))</f>
        <v/>
      </c>
      <c r="BB16" s="20" t="str">
        <f>IF($C16="","",IF(C16=3.5,((AB16/360)*PI()*(AG16^2-AD16^2)/4*AH16*3)+((AC16/360)*PI()*(AL16^2-AJ16^2)/4*AH16),(AB16/360)*PI()*(AG16^2-AD16^2)/4*AH16*C16)*(1+'Assumptions &amp; Ref'!$C$33))</f>
        <v/>
      </c>
      <c r="BC16" s="20" t="str">
        <f>IF($C16="","",PI()*(AO16^2-AM16^2)/4*AP16*(1+'Assumptions &amp; Ref'!$C$33))</f>
        <v/>
      </c>
      <c r="BD16" s="20" t="str">
        <f>IF($C16="","",PI()*(AW16^2-AU16^2)/4*AV16*(1+'Assumptions &amp; Ref'!$C$33))</f>
        <v/>
      </c>
      <c r="BE16" s="20" t="str">
        <f>IF($C16="","",PI()*(AR16^2-AO16^2)/4*AS16*(1+'Assumptions &amp; Ref'!$C$33))</f>
        <v/>
      </c>
      <c r="BF16" s="21" t="str">
        <f>IF($C16="","",BA16*INDEX($C$6:$G$6,MATCH(F16,$C$4:$G$4,0))+IF(H16="XLPE",BB16*INDEX($C$6:$G$6,MATCH("XLPE",$C$4:$G$4,0)),0)+IF(H16="PVC",(BB16+BC16+BD16)*INDEX($C$6:$G$6,MATCH("PVC",$C$4:$G$4,0)),(BC16+BD16)*INDEX($C$6:$G$6,MATCH("PVC",$C$4:$G$4,0)))+IF(J16="Unarmored",0,IF(OR(J16="Aluminium Flat Strip",J16="Aluminium Round Wired"),BE16*INDEX($C$6:$G$6,MATCH("Aluminium",$C$4:$G$4,0)),BE16*INDEX($C$6:$G$6,MATCH("Steel Wire",$C$4:$G$4,0))))+AZ16*(1+'Assumptions &amp; Ref'!$C$34)*INDEX($C$6:$G$6,MATCH("Copper",$C$4:$G$4,0))*'Assumptions &amp; Ref'!$C$67+AX16*(1+'Assumptions &amp; Ref'!$C$35)*INDEX($C$6:$G$6,MATCH("XLPE",$C$4:$G$4,0))+AY16*(1+'Assumptions &amp; Ref'!$C$35)*INDEX($C$6:$G$6,MATCH("XLPE",$C$4:$G$4,0)))</f>
        <v/>
      </c>
      <c r="BG16" s="22" t="str">
        <f>IF($C16="","",IF(L16="Y",'Assumptions &amp; Ref'!$C$53,0)+IF(M16="Y",'Assumptions &amp; Ref'!$C$54,0)+IF(N16="Y",'Assumptions &amp; Ref'!$C$55,0)+IF(O16="Y",'Assumptions &amp; Ref'!$C$56,0)+IF(P16="Y",'Assumptions &amp; Ref'!$C$57,0)+IF(Q16="Y",'Assumptions &amp; Ref'!$C$58,0)+IF(R16="Y",'Assumptions &amp; Ref'!$C$59,0))</f>
        <v/>
      </c>
      <c r="BH16" s="23" t="str">
        <f>IF($C16="","",(IF($F16="Aluminium",'Assumptions &amp; Ref'!$D$28,'Assumptions &amp; Ref'!$C$28)+IF($F16="Aluminium",'Assumptions &amp; Ref'!$D$29,'Assumptions &amp; Ref'!$C$29)+IF($F16="Aluminium",'Assumptions &amp; Ref'!$D$30,'Assumptions &amp; Ref'!$C$30)+IF($F16="Aluminium",'Assumptions &amp; Ref'!$D$31,'Assumptions &amp; Ref'!$C$31))/IF($F16="Aluminium",'Assumptions &amp; Ref'!$D$27,'Assumptions &amp; Ref'!$C$27))</f>
        <v/>
      </c>
      <c r="BI16" s="23" t="str">
        <f>IF($C16="","",(IF($F16="Aluminium",'Assumptions &amp; Ref'!$F$28,'Assumptions &amp; Ref'!$E$28)+IF($F16="Aluminium",'Assumptions &amp; Ref'!$F$29,'Assumptions &amp; Ref'!$E$29)+IF($F16="Aluminium",'Assumptions &amp; Ref'!$F$30,'Assumptions &amp; Ref'!$E$30)+IF($F16="Aluminium",'Assumptions &amp; Ref'!$F$31,'Assumptions &amp; Ref'!$E$31))/IF($F16="Aluminium",'Assumptions &amp; Ref'!$F$27,'Assumptions &amp; Ref'!$E$27))</f>
        <v/>
      </c>
      <c r="BJ16" s="21" t="str">
        <f t="shared" si="20"/>
        <v/>
      </c>
      <c r="BK16" s="21" t="str">
        <f t="shared" si="21"/>
        <v/>
      </c>
      <c r="BL16" s="21" t="str">
        <f>IF($C16="","",BJ16*(1+BG16)*(1+IF($F16="Aluminium",'Assumptions &amp; Ref'!$D$31,'Assumptions &amp; Ref'!$C$31)))</f>
        <v/>
      </c>
      <c r="BM16" s="21" t="str">
        <f>IF($C16="","",BK16*(1+BG16)*(1+IF($F16="Aluminium",'Assumptions &amp; Ref'!$F$31,'Assumptions &amp; Ref'!$E$31)))</f>
        <v/>
      </c>
    </row>
    <row r="17" spans="2:65" ht="15" customHeight="1" x14ac:dyDescent="0.25">
      <c r="B17" s="13"/>
      <c r="C17" s="14"/>
      <c r="D17" s="14"/>
      <c r="E17" s="14"/>
      <c r="F17" s="14"/>
      <c r="G17" s="14"/>
      <c r="H17" s="14"/>
      <c r="I17" s="14"/>
      <c r="J17" s="14"/>
      <c r="K17" s="14"/>
      <c r="L17" s="15"/>
      <c r="M17" s="15"/>
      <c r="N17" s="15"/>
      <c r="O17" s="15"/>
      <c r="P17" s="15"/>
      <c r="Q17" s="15"/>
      <c r="R17" s="15"/>
      <c r="S17" s="16" t="str">
        <f t="shared" si="0"/>
        <v/>
      </c>
      <c r="T17" s="16" t="str">
        <f t="shared" si="1"/>
        <v/>
      </c>
      <c r="U17" s="17" t="str">
        <f t="shared" si="2"/>
        <v/>
      </c>
      <c r="V17" s="18" t="str">
        <f t="shared" si="3"/>
        <v/>
      </c>
      <c r="W17" s="19" t="str">
        <f>IF($C17="","",IF(F17="Copper",BA17,0)+AZ17*(1+'Assumptions &amp; Ref'!$C$34))</f>
        <v/>
      </c>
      <c r="X17" s="19" t="str">
        <f>IF($C17="","",AZ17*(1+'Assumptions &amp; Ref'!$C$34))</f>
        <v/>
      </c>
      <c r="Y17" s="19" t="str">
        <f>IF($C17="","",AX17*(1+'Assumptions &amp; Ref'!$C$35))</f>
        <v/>
      </c>
      <c r="Z17" s="19" t="str">
        <f>IF($C17="","",AY17*(1+'Assumptions &amp; Ref'!$C$35))</f>
        <v/>
      </c>
      <c r="AB17" s="20" t="str">
        <f t="shared" si="4"/>
        <v/>
      </c>
      <c r="AC17" s="20" t="str">
        <f t="shared" si="5"/>
        <v/>
      </c>
      <c r="AD17" s="20" t="str">
        <f t="shared" si="6"/>
        <v/>
      </c>
      <c r="AE17" s="20" t="str">
        <f t="shared" si="7"/>
        <v/>
      </c>
      <c r="AF17" s="20" t="str">
        <f>IF($C17="","",IFERROR(IF($G17="33kV",INDEX('Assumptions &amp; Ref'!$H$109:$H$122,MATCH(E17,'Assumptions &amp; Ref'!$B$109:$B$122,1)),IF($G17="22kV",INDEX('Assumptions &amp; Ref'!$G$109:$G$122,MATCH(E17,'Assumptions &amp; Ref'!$B$109:$B$122,1)),IF($G17="11kV",INDEX('Assumptions &amp; Ref'!$F$109:$F$122,MATCH(E17,'Assumptions &amp; Ref'!$B$109:$B$122,1)),IF($G17="6.6kV",INDEX('Assumptions &amp; Ref'!$D$109:$D$122,MATCH(E17,'Assumptions &amp; Ref'!$B$109:$B$122,1)),INDEX('Assumptions &amp; Ref'!$C$109:$C$122,MATCH(E17,'Assumptions &amp; Ref'!$B$109:$B$122,1)))))),INDEX('Assumptions &amp; Ref'!$C$109:$C$122,1)))</f>
        <v/>
      </c>
      <c r="AG17" s="20" t="str">
        <f t="shared" si="8"/>
        <v/>
      </c>
      <c r="AH17" s="20" t="str">
        <f t="shared" si="9"/>
        <v/>
      </c>
      <c r="AI17" s="20" t="str">
        <f>IF($C17="","",IF(C17=3.5,IFERROR(INDEX('Assumptions &amp; Ref'!$G$93:$G$105,MATCH(E17,'Assumptions &amp; Ref'!$F$93:$F$105,0)),0),0))</f>
        <v/>
      </c>
      <c r="AJ17" s="20" t="str">
        <f t="shared" si="10"/>
        <v/>
      </c>
      <c r="AK17" s="20" t="str">
        <f>IF($C17="","",IF(C17=3.5,IFERROR(IF($G17="33kV",INDEX('Assumptions &amp; Ref'!$H$109:$H$122,MATCH(AI17,'Assumptions &amp; Ref'!$B$109:$B$122,1)),IF($G17="22kV",INDEX('Assumptions &amp; Ref'!$G$109:$G$122,MATCH(AI17,'Assumptions &amp; Ref'!$B$109:$B$122,1)),IF($G17="11kV",INDEX('Assumptions &amp; Ref'!$E$109:$E$122,MATCH(AI17,'Assumptions &amp; Ref'!$B$109:$B$122,1)),IF($G17="6.6kV",INDEX('Assumptions &amp; Ref'!$D$109:$D$122,MATCH(AI17,'Assumptions &amp; Ref'!$B$109:$B$122,1)),INDEX('Assumptions &amp; Ref'!$C$109:$C$122,MATCH(AI17,'Assumptions &amp; Ref'!$B$109:$B$122,1)))))),0),0))</f>
        <v/>
      </c>
      <c r="AL17" s="20" t="str">
        <f t="shared" si="11"/>
        <v/>
      </c>
      <c r="AM17" s="20" t="str">
        <f t="shared" si="12"/>
        <v/>
      </c>
      <c r="AN17" s="20" t="str">
        <f>IF($C17="","",IFERROR(INDEX('Assumptions &amp; Ref'!$C$126:$C$130,MATCH(AM17,'Assumptions &amp; Ref'!$B$126:$B$130,1)),INDEX('Assumptions &amp; Ref'!$C$126:$C$130,1)))</f>
        <v/>
      </c>
      <c r="AO17" s="20" t="str">
        <f t="shared" si="13"/>
        <v/>
      </c>
      <c r="AP17" s="20" t="str">
        <f t="shared" si="14"/>
        <v/>
      </c>
      <c r="AQ17" s="20" t="str">
        <f>IF($C17="","",IF(J17="Unarmored",0,IF(OR(J17="Galvanised steel flat strip",J17="Aluminium Flat Strip"),IFERROR(INDEX('Assumptions &amp; Ref'!$F$126:$F$131,MATCH(AO17,'Assumptions &amp; Ref'!$E$126:$E$131,1)),INDEX('Assumptions &amp; Ref'!$F$126:$F$131,1)),IFERROR(INDEX('Assumptions &amp; Ref'!$G$126:$G$131,MATCH(AO17,'Assumptions &amp; Ref'!$E$126:$E$131,1)),INDEX('Assumptions &amp; Ref'!$G$126:$G$131,1)))))</f>
        <v/>
      </c>
      <c r="AR17" s="20" t="str">
        <f t="shared" si="15"/>
        <v/>
      </c>
      <c r="AS17" s="20" t="str">
        <f t="shared" si="16"/>
        <v/>
      </c>
      <c r="AT17" s="20" t="str">
        <f>IF($C17="","",IFERROR(INDEX('Assumptions &amp; Ref'!$J$126:$J$136,MATCH(AR17,'Assumptions &amp; Ref'!$I$126:$I$136,1)),INDEX('Assumptions &amp; Ref'!$J$126:$J$136,1)))</f>
        <v/>
      </c>
      <c r="AU17" s="20" t="str">
        <f t="shared" si="17"/>
        <v/>
      </c>
      <c r="AV17" s="20" t="str">
        <f t="shared" si="18"/>
        <v/>
      </c>
      <c r="AW17" s="20" t="str">
        <f t="shared" si="19"/>
        <v/>
      </c>
      <c r="AX17" s="20" t="str">
        <f>IF($C17="","",PI()*((AD17+2*'Assumptions &amp; Ref'!$C$63)^2-AD17^2)/4*'Assumptions &amp; Ref'!$C$62)</f>
        <v/>
      </c>
      <c r="AY17" s="20" t="str">
        <f>IF($C17="","",PI()*((AG17+2*'Assumptions &amp; Ref'!$C$64)^2-AG17^2)/4*'Assumptions &amp; Ref'!$C$62)</f>
        <v/>
      </c>
      <c r="AZ17" s="20" t="str">
        <f>IF($C17="","",(AU17-'Assumptions &amp; Ref'!$C$65)*PI()*('Assumptions &amp; Ref'!$C$65*'Assumptions &amp; Ref'!$C$66)*INDEX($C$5:$G$5,MATCH("Copper",$C$4:$G$4,0)))</f>
        <v/>
      </c>
      <c r="BA17" s="20" t="str">
        <f>IF($C17="","",((E17*AE17*IF(C17=3.5,3,C17))+(AI17*AE17*IF(C17=3.5,1,0)))*(1+'Assumptions &amp; Ref'!$C$33))</f>
        <v/>
      </c>
      <c r="BB17" s="20" t="str">
        <f>IF($C17="","",IF(C17=3.5,((AB17/360)*PI()*(AG17^2-AD17^2)/4*AH17*3)+((AC17/360)*PI()*(AL17^2-AJ17^2)/4*AH17),(AB17/360)*PI()*(AG17^2-AD17^2)/4*AH17*C17)*(1+'Assumptions &amp; Ref'!$C$33))</f>
        <v/>
      </c>
      <c r="BC17" s="20" t="str">
        <f>IF($C17="","",PI()*(AO17^2-AM17^2)/4*AP17*(1+'Assumptions &amp; Ref'!$C$33))</f>
        <v/>
      </c>
      <c r="BD17" s="20" t="str">
        <f>IF($C17="","",PI()*(AW17^2-AU17^2)/4*AV17*(1+'Assumptions &amp; Ref'!$C$33))</f>
        <v/>
      </c>
      <c r="BE17" s="20" t="str">
        <f>IF($C17="","",PI()*(AR17^2-AO17^2)/4*AS17*(1+'Assumptions &amp; Ref'!$C$33))</f>
        <v/>
      </c>
      <c r="BF17" s="21" t="str">
        <f>IF($C17="","",BA17*INDEX($C$6:$G$6,MATCH(F17,$C$4:$G$4,0))+IF(H17="XLPE",BB17*INDEX($C$6:$G$6,MATCH("XLPE",$C$4:$G$4,0)),0)+IF(H17="PVC",(BB17+BC17+BD17)*INDEX($C$6:$G$6,MATCH("PVC",$C$4:$G$4,0)),(BC17+BD17)*INDEX($C$6:$G$6,MATCH("PVC",$C$4:$G$4,0)))+IF(J17="Unarmored",0,IF(OR(J17="Aluminium Flat Strip",J17="Aluminium Round Wired"),BE17*INDEX($C$6:$G$6,MATCH("Aluminium",$C$4:$G$4,0)),BE17*INDEX($C$6:$G$6,MATCH("Steel Wire",$C$4:$G$4,0))))+AZ17*(1+'Assumptions &amp; Ref'!$C$34)*INDEX($C$6:$G$6,MATCH("Copper",$C$4:$G$4,0))*'Assumptions &amp; Ref'!$C$67+AX17*(1+'Assumptions &amp; Ref'!$C$35)*INDEX($C$6:$G$6,MATCH("XLPE",$C$4:$G$4,0))+AY17*(1+'Assumptions &amp; Ref'!$C$35)*INDEX($C$6:$G$6,MATCH("XLPE",$C$4:$G$4,0)))</f>
        <v/>
      </c>
      <c r="BG17" s="22" t="str">
        <f>IF($C17="","",IF(L17="Y",'Assumptions &amp; Ref'!$C$53,0)+IF(M17="Y",'Assumptions &amp; Ref'!$C$54,0)+IF(N17="Y",'Assumptions &amp; Ref'!$C$55,0)+IF(O17="Y",'Assumptions &amp; Ref'!$C$56,0)+IF(P17="Y",'Assumptions &amp; Ref'!$C$57,0)+IF(Q17="Y",'Assumptions &amp; Ref'!$C$58,0)+IF(R17="Y",'Assumptions &amp; Ref'!$C$59,0))</f>
        <v/>
      </c>
      <c r="BH17" s="23" t="str">
        <f>IF($C17="","",(IF($F17="Aluminium",'Assumptions &amp; Ref'!$D$28,'Assumptions &amp; Ref'!$C$28)+IF($F17="Aluminium",'Assumptions &amp; Ref'!$D$29,'Assumptions &amp; Ref'!$C$29)+IF($F17="Aluminium",'Assumptions &amp; Ref'!$D$30,'Assumptions &amp; Ref'!$C$30)+IF($F17="Aluminium",'Assumptions &amp; Ref'!$D$31,'Assumptions &amp; Ref'!$C$31))/IF($F17="Aluminium",'Assumptions &amp; Ref'!$D$27,'Assumptions &amp; Ref'!$C$27))</f>
        <v/>
      </c>
      <c r="BI17" s="23" t="str">
        <f>IF($C17="","",(IF($F17="Aluminium",'Assumptions &amp; Ref'!$F$28,'Assumptions &amp; Ref'!$E$28)+IF($F17="Aluminium",'Assumptions &amp; Ref'!$F$29,'Assumptions &amp; Ref'!$E$29)+IF($F17="Aluminium",'Assumptions &amp; Ref'!$F$30,'Assumptions &amp; Ref'!$E$30)+IF($F17="Aluminium",'Assumptions &amp; Ref'!$F$31,'Assumptions &amp; Ref'!$E$31))/IF($F17="Aluminium",'Assumptions &amp; Ref'!$F$27,'Assumptions &amp; Ref'!$E$27))</f>
        <v/>
      </c>
      <c r="BJ17" s="21" t="str">
        <f t="shared" si="20"/>
        <v/>
      </c>
      <c r="BK17" s="21" t="str">
        <f t="shared" si="21"/>
        <v/>
      </c>
      <c r="BL17" s="21" t="str">
        <f>IF($C17="","",BJ17*(1+BG17)*(1+IF($F17="Aluminium",'Assumptions &amp; Ref'!$D$31,'Assumptions &amp; Ref'!$C$31)))</f>
        <v/>
      </c>
      <c r="BM17" s="21" t="str">
        <f>IF($C17="","",BK17*(1+BG17)*(1+IF($F17="Aluminium",'Assumptions &amp; Ref'!$F$31,'Assumptions &amp; Ref'!$E$31)))</f>
        <v/>
      </c>
    </row>
    <row r="18" spans="2:65" ht="15" customHeight="1" x14ac:dyDescent="0.25">
      <c r="B18" s="13"/>
      <c r="C18" s="14"/>
      <c r="D18" s="14"/>
      <c r="E18" s="14"/>
      <c r="F18" s="14"/>
      <c r="G18" s="14"/>
      <c r="H18" s="14"/>
      <c r="I18" s="14"/>
      <c r="J18" s="14"/>
      <c r="K18" s="14"/>
      <c r="L18" s="15"/>
      <c r="M18" s="15"/>
      <c r="N18" s="15"/>
      <c r="O18" s="15"/>
      <c r="P18" s="15"/>
      <c r="Q18" s="15"/>
      <c r="R18" s="15"/>
      <c r="S18" s="16" t="str">
        <f t="shared" si="0"/>
        <v/>
      </c>
      <c r="T18" s="16" t="str">
        <f t="shared" si="1"/>
        <v/>
      </c>
      <c r="U18" s="17" t="str">
        <f t="shared" si="2"/>
        <v/>
      </c>
      <c r="V18" s="18" t="str">
        <f t="shared" si="3"/>
        <v/>
      </c>
      <c r="W18" s="19" t="str">
        <f>IF($C18="","",IF(F18="Copper",BA18,0)+AZ18*(1+'Assumptions &amp; Ref'!$C$34))</f>
        <v/>
      </c>
      <c r="X18" s="19" t="str">
        <f>IF($C18="","",AZ18*(1+'Assumptions &amp; Ref'!$C$34))</f>
        <v/>
      </c>
      <c r="Y18" s="19" t="str">
        <f>IF($C18="","",AX18*(1+'Assumptions &amp; Ref'!$C$35))</f>
        <v/>
      </c>
      <c r="Z18" s="19" t="str">
        <f>IF($C18="","",AY18*(1+'Assumptions &amp; Ref'!$C$35))</f>
        <v/>
      </c>
      <c r="AB18" s="20" t="str">
        <f t="shared" si="4"/>
        <v/>
      </c>
      <c r="AC18" s="20" t="str">
        <f t="shared" si="5"/>
        <v/>
      </c>
      <c r="AD18" s="20" t="str">
        <f t="shared" si="6"/>
        <v/>
      </c>
      <c r="AE18" s="20" t="str">
        <f t="shared" si="7"/>
        <v/>
      </c>
      <c r="AF18" s="20" t="str">
        <f>IF($C18="","",IFERROR(IF($G18="33kV",INDEX('Assumptions &amp; Ref'!$H$109:$H$122,MATCH(E18,'Assumptions &amp; Ref'!$B$109:$B$122,1)),IF($G18="22kV",INDEX('Assumptions &amp; Ref'!$G$109:$G$122,MATCH(E18,'Assumptions &amp; Ref'!$B$109:$B$122,1)),IF($G18="11kV",INDEX('Assumptions &amp; Ref'!$F$109:$F$122,MATCH(E18,'Assumptions &amp; Ref'!$B$109:$B$122,1)),IF($G18="6.6kV",INDEX('Assumptions &amp; Ref'!$D$109:$D$122,MATCH(E18,'Assumptions &amp; Ref'!$B$109:$B$122,1)),INDEX('Assumptions &amp; Ref'!$C$109:$C$122,MATCH(E18,'Assumptions &amp; Ref'!$B$109:$B$122,1)))))),INDEX('Assumptions &amp; Ref'!$C$109:$C$122,1)))</f>
        <v/>
      </c>
      <c r="AG18" s="20" t="str">
        <f t="shared" si="8"/>
        <v/>
      </c>
      <c r="AH18" s="20" t="str">
        <f t="shared" si="9"/>
        <v/>
      </c>
      <c r="AI18" s="20" t="str">
        <f>IF($C18="","",IF(C18=3.5,IFERROR(INDEX('Assumptions &amp; Ref'!$G$93:$G$105,MATCH(E18,'Assumptions &amp; Ref'!$F$93:$F$105,0)),0),0))</f>
        <v/>
      </c>
      <c r="AJ18" s="20" t="str">
        <f t="shared" si="10"/>
        <v/>
      </c>
      <c r="AK18" s="20" t="str">
        <f>IF($C18="","",IF(C18=3.5,IFERROR(IF($G18="33kV",INDEX('Assumptions &amp; Ref'!$H$109:$H$122,MATCH(AI18,'Assumptions &amp; Ref'!$B$109:$B$122,1)),IF($G18="22kV",INDEX('Assumptions &amp; Ref'!$G$109:$G$122,MATCH(AI18,'Assumptions &amp; Ref'!$B$109:$B$122,1)),IF($G18="11kV",INDEX('Assumptions &amp; Ref'!$E$109:$E$122,MATCH(AI18,'Assumptions &amp; Ref'!$B$109:$B$122,1)),IF($G18="6.6kV",INDEX('Assumptions &amp; Ref'!$D$109:$D$122,MATCH(AI18,'Assumptions &amp; Ref'!$B$109:$B$122,1)),INDEX('Assumptions &amp; Ref'!$C$109:$C$122,MATCH(AI18,'Assumptions &amp; Ref'!$B$109:$B$122,1)))))),0),0))</f>
        <v/>
      </c>
      <c r="AL18" s="20" t="str">
        <f t="shared" si="11"/>
        <v/>
      </c>
      <c r="AM18" s="20" t="str">
        <f t="shared" si="12"/>
        <v/>
      </c>
      <c r="AN18" s="20" t="str">
        <f>IF($C18="","",IFERROR(INDEX('Assumptions &amp; Ref'!$C$126:$C$130,MATCH(AM18,'Assumptions &amp; Ref'!$B$126:$B$130,1)),INDEX('Assumptions &amp; Ref'!$C$126:$C$130,1)))</f>
        <v/>
      </c>
      <c r="AO18" s="20" t="str">
        <f t="shared" si="13"/>
        <v/>
      </c>
      <c r="AP18" s="20" t="str">
        <f t="shared" si="14"/>
        <v/>
      </c>
      <c r="AQ18" s="20" t="str">
        <f>IF($C18="","",IF(J18="Unarmored",0,IF(OR(J18="Galvanised steel flat strip",J18="Aluminium Flat Strip"),IFERROR(INDEX('Assumptions &amp; Ref'!$F$126:$F$131,MATCH(AO18,'Assumptions &amp; Ref'!$E$126:$E$131,1)),INDEX('Assumptions &amp; Ref'!$F$126:$F$131,1)),IFERROR(INDEX('Assumptions &amp; Ref'!$G$126:$G$131,MATCH(AO18,'Assumptions &amp; Ref'!$E$126:$E$131,1)),INDEX('Assumptions &amp; Ref'!$G$126:$G$131,1)))))</f>
        <v/>
      </c>
      <c r="AR18" s="20" t="str">
        <f t="shared" si="15"/>
        <v/>
      </c>
      <c r="AS18" s="20" t="str">
        <f t="shared" si="16"/>
        <v/>
      </c>
      <c r="AT18" s="20" t="str">
        <f>IF($C18="","",IFERROR(INDEX('Assumptions &amp; Ref'!$J$126:$J$136,MATCH(AR18,'Assumptions &amp; Ref'!$I$126:$I$136,1)),INDEX('Assumptions &amp; Ref'!$J$126:$J$136,1)))</f>
        <v/>
      </c>
      <c r="AU18" s="20" t="str">
        <f t="shared" si="17"/>
        <v/>
      </c>
      <c r="AV18" s="20" t="str">
        <f t="shared" si="18"/>
        <v/>
      </c>
      <c r="AW18" s="20" t="str">
        <f t="shared" si="19"/>
        <v/>
      </c>
      <c r="AX18" s="20" t="str">
        <f>IF($C18="","",PI()*((AD18+2*'Assumptions &amp; Ref'!$C$63)^2-AD18^2)/4*'Assumptions &amp; Ref'!$C$62)</f>
        <v/>
      </c>
      <c r="AY18" s="20" t="str">
        <f>IF($C18="","",PI()*((AG18+2*'Assumptions &amp; Ref'!$C$64)^2-AG18^2)/4*'Assumptions &amp; Ref'!$C$62)</f>
        <v/>
      </c>
      <c r="AZ18" s="20" t="str">
        <f>IF($C18="","",(AU18-'Assumptions &amp; Ref'!$C$65)*PI()*('Assumptions &amp; Ref'!$C$65*'Assumptions &amp; Ref'!$C$66)*INDEX($C$5:$G$5,MATCH("Copper",$C$4:$G$4,0)))</f>
        <v/>
      </c>
      <c r="BA18" s="20" t="str">
        <f>IF($C18="","",((E18*AE18*IF(C18=3.5,3,C18))+(AI18*AE18*IF(C18=3.5,1,0)))*(1+'Assumptions &amp; Ref'!$C$33))</f>
        <v/>
      </c>
      <c r="BB18" s="20" t="str">
        <f>IF($C18="","",IF(C18=3.5,((AB18/360)*PI()*(AG18^2-AD18^2)/4*AH18*3)+((AC18/360)*PI()*(AL18^2-AJ18^2)/4*AH18),(AB18/360)*PI()*(AG18^2-AD18^2)/4*AH18*C18)*(1+'Assumptions &amp; Ref'!$C$33))</f>
        <v/>
      </c>
      <c r="BC18" s="20" t="str">
        <f>IF($C18="","",PI()*(AO18^2-AM18^2)/4*AP18*(1+'Assumptions &amp; Ref'!$C$33))</f>
        <v/>
      </c>
      <c r="BD18" s="20" t="str">
        <f>IF($C18="","",PI()*(AW18^2-AU18^2)/4*AV18*(1+'Assumptions &amp; Ref'!$C$33))</f>
        <v/>
      </c>
      <c r="BE18" s="20" t="str">
        <f>IF($C18="","",PI()*(AR18^2-AO18^2)/4*AS18*(1+'Assumptions &amp; Ref'!$C$33))</f>
        <v/>
      </c>
      <c r="BF18" s="21" t="str">
        <f>IF($C18="","",BA18*INDEX($C$6:$G$6,MATCH(F18,$C$4:$G$4,0))+IF(H18="XLPE",BB18*INDEX($C$6:$G$6,MATCH("XLPE",$C$4:$G$4,0)),0)+IF(H18="PVC",(BB18+BC18+BD18)*INDEX($C$6:$G$6,MATCH("PVC",$C$4:$G$4,0)),(BC18+BD18)*INDEX($C$6:$G$6,MATCH("PVC",$C$4:$G$4,0)))+IF(J18="Unarmored",0,IF(OR(J18="Aluminium Flat Strip",J18="Aluminium Round Wired"),BE18*INDEX($C$6:$G$6,MATCH("Aluminium",$C$4:$G$4,0)),BE18*INDEX($C$6:$G$6,MATCH("Steel Wire",$C$4:$G$4,0))))+AZ18*(1+'Assumptions &amp; Ref'!$C$34)*INDEX($C$6:$G$6,MATCH("Copper",$C$4:$G$4,0))*'Assumptions &amp; Ref'!$C$67+AX18*(1+'Assumptions &amp; Ref'!$C$35)*INDEX($C$6:$G$6,MATCH("XLPE",$C$4:$G$4,0))+AY18*(1+'Assumptions &amp; Ref'!$C$35)*INDEX($C$6:$G$6,MATCH("XLPE",$C$4:$G$4,0)))</f>
        <v/>
      </c>
      <c r="BG18" s="22" t="str">
        <f>IF($C18="","",IF(L18="Y",'Assumptions &amp; Ref'!$C$53,0)+IF(M18="Y",'Assumptions &amp; Ref'!$C$54,0)+IF(N18="Y",'Assumptions &amp; Ref'!$C$55,0)+IF(O18="Y",'Assumptions &amp; Ref'!$C$56,0)+IF(P18="Y",'Assumptions &amp; Ref'!$C$57,0)+IF(Q18="Y",'Assumptions &amp; Ref'!$C$58,0)+IF(R18="Y",'Assumptions &amp; Ref'!$C$59,0))</f>
        <v/>
      </c>
      <c r="BH18" s="23" t="str">
        <f>IF($C18="","",(IF($F18="Aluminium",'Assumptions &amp; Ref'!$D$28,'Assumptions &amp; Ref'!$C$28)+IF($F18="Aluminium",'Assumptions &amp; Ref'!$D$29,'Assumptions &amp; Ref'!$C$29)+IF($F18="Aluminium",'Assumptions &amp; Ref'!$D$30,'Assumptions &amp; Ref'!$C$30)+IF($F18="Aluminium",'Assumptions &amp; Ref'!$D$31,'Assumptions &amp; Ref'!$C$31))/IF($F18="Aluminium",'Assumptions &amp; Ref'!$D$27,'Assumptions &amp; Ref'!$C$27))</f>
        <v/>
      </c>
      <c r="BI18" s="23" t="str">
        <f>IF($C18="","",(IF($F18="Aluminium",'Assumptions &amp; Ref'!$F$28,'Assumptions &amp; Ref'!$E$28)+IF($F18="Aluminium",'Assumptions &amp; Ref'!$F$29,'Assumptions &amp; Ref'!$E$29)+IF($F18="Aluminium",'Assumptions &amp; Ref'!$F$30,'Assumptions &amp; Ref'!$E$30)+IF($F18="Aluminium",'Assumptions &amp; Ref'!$F$31,'Assumptions &amp; Ref'!$E$31))/IF($F18="Aluminium",'Assumptions &amp; Ref'!$F$27,'Assumptions &amp; Ref'!$E$27))</f>
        <v/>
      </c>
      <c r="BJ18" s="21" t="str">
        <f t="shared" si="20"/>
        <v/>
      </c>
      <c r="BK18" s="21" t="str">
        <f t="shared" si="21"/>
        <v/>
      </c>
      <c r="BL18" s="21" t="str">
        <f>IF($C18="","",BJ18*(1+BG18)*(1+IF($F18="Aluminium",'Assumptions &amp; Ref'!$D$31,'Assumptions &amp; Ref'!$C$31)))</f>
        <v/>
      </c>
      <c r="BM18" s="21" t="str">
        <f>IF($C18="","",BK18*(1+BG18)*(1+IF($F18="Aluminium",'Assumptions &amp; Ref'!$F$31,'Assumptions &amp; Ref'!$E$31)))</f>
        <v/>
      </c>
    </row>
    <row r="19" spans="2:65" ht="15" customHeight="1" x14ac:dyDescent="0.25">
      <c r="B19" s="13"/>
      <c r="C19" s="14"/>
      <c r="D19" s="14"/>
      <c r="E19" s="14"/>
      <c r="F19" s="14"/>
      <c r="G19" s="14"/>
      <c r="H19" s="14"/>
      <c r="I19" s="14"/>
      <c r="J19" s="14"/>
      <c r="K19" s="14"/>
      <c r="L19" s="15"/>
      <c r="M19" s="15"/>
      <c r="N19" s="15"/>
      <c r="O19" s="15"/>
      <c r="P19" s="15"/>
      <c r="Q19" s="15"/>
      <c r="R19" s="15"/>
      <c r="S19" s="16" t="str">
        <f t="shared" si="0"/>
        <v/>
      </c>
      <c r="T19" s="16" t="str">
        <f t="shared" si="1"/>
        <v/>
      </c>
      <c r="U19" s="17" t="str">
        <f t="shared" si="2"/>
        <v/>
      </c>
      <c r="V19" s="18" t="str">
        <f t="shared" si="3"/>
        <v/>
      </c>
      <c r="W19" s="19" t="str">
        <f>IF($C19="","",IF(F19="Copper",BA19,0)+AZ19*(1+'Assumptions &amp; Ref'!$C$34))</f>
        <v/>
      </c>
      <c r="X19" s="19" t="str">
        <f>IF($C19="","",AZ19*(1+'Assumptions &amp; Ref'!$C$34))</f>
        <v/>
      </c>
      <c r="Y19" s="19" t="str">
        <f>IF($C19="","",AX19*(1+'Assumptions &amp; Ref'!$C$35))</f>
        <v/>
      </c>
      <c r="Z19" s="19" t="str">
        <f>IF($C19="","",AY19*(1+'Assumptions &amp; Ref'!$C$35))</f>
        <v/>
      </c>
      <c r="AB19" s="20" t="str">
        <f t="shared" si="4"/>
        <v/>
      </c>
      <c r="AC19" s="20" t="str">
        <f t="shared" si="5"/>
        <v/>
      </c>
      <c r="AD19" s="20" t="str">
        <f t="shared" si="6"/>
        <v/>
      </c>
      <c r="AE19" s="20" t="str">
        <f t="shared" si="7"/>
        <v/>
      </c>
      <c r="AF19" s="20" t="str">
        <f>IF($C19="","",IFERROR(IF($G19="33kV",INDEX('Assumptions &amp; Ref'!$H$109:$H$122,MATCH(E19,'Assumptions &amp; Ref'!$B$109:$B$122,1)),IF($G19="22kV",INDEX('Assumptions &amp; Ref'!$G$109:$G$122,MATCH(E19,'Assumptions &amp; Ref'!$B$109:$B$122,1)),IF($G19="11kV",INDEX('Assumptions &amp; Ref'!$F$109:$F$122,MATCH(E19,'Assumptions &amp; Ref'!$B$109:$B$122,1)),IF($G19="6.6kV",INDEX('Assumptions &amp; Ref'!$D$109:$D$122,MATCH(E19,'Assumptions &amp; Ref'!$B$109:$B$122,1)),INDEX('Assumptions &amp; Ref'!$C$109:$C$122,MATCH(E19,'Assumptions &amp; Ref'!$B$109:$B$122,1)))))),INDEX('Assumptions &amp; Ref'!$C$109:$C$122,1)))</f>
        <v/>
      </c>
      <c r="AG19" s="20" t="str">
        <f t="shared" si="8"/>
        <v/>
      </c>
      <c r="AH19" s="20" t="str">
        <f t="shared" si="9"/>
        <v/>
      </c>
      <c r="AI19" s="20" t="str">
        <f>IF($C19="","",IF(C19=3.5,IFERROR(INDEX('Assumptions &amp; Ref'!$G$93:$G$105,MATCH(E19,'Assumptions &amp; Ref'!$F$93:$F$105,0)),0),0))</f>
        <v/>
      </c>
      <c r="AJ19" s="20" t="str">
        <f t="shared" si="10"/>
        <v/>
      </c>
      <c r="AK19" s="20" t="str">
        <f>IF($C19="","",IF(C19=3.5,IFERROR(IF($G19="33kV",INDEX('Assumptions &amp; Ref'!$H$109:$H$122,MATCH(AI19,'Assumptions &amp; Ref'!$B$109:$B$122,1)),IF($G19="22kV",INDEX('Assumptions &amp; Ref'!$G$109:$G$122,MATCH(AI19,'Assumptions &amp; Ref'!$B$109:$B$122,1)),IF($G19="11kV",INDEX('Assumptions &amp; Ref'!$E$109:$E$122,MATCH(AI19,'Assumptions &amp; Ref'!$B$109:$B$122,1)),IF($G19="6.6kV",INDEX('Assumptions &amp; Ref'!$D$109:$D$122,MATCH(AI19,'Assumptions &amp; Ref'!$B$109:$B$122,1)),INDEX('Assumptions &amp; Ref'!$C$109:$C$122,MATCH(AI19,'Assumptions &amp; Ref'!$B$109:$B$122,1)))))),0),0))</f>
        <v/>
      </c>
      <c r="AL19" s="20" t="str">
        <f t="shared" si="11"/>
        <v/>
      </c>
      <c r="AM19" s="20" t="str">
        <f t="shared" si="12"/>
        <v/>
      </c>
      <c r="AN19" s="20" t="str">
        <f>IF($C19="","",IFERROR(INDEX('Assumptions &amp; Ref'!$C$126:$C$130,MATCH(AM19,'Assumptions &amp; Ref'!$B$126:$B$130,1)),INDEX('Assumptions &amp; Ref'!$C$126:$C$130,1)))</f>
        <v/>
      </c>
      <c r="AO19" s="20" t="str">
        <f t="shared" si="13"/>
        <v/>
      </c>
      <c r="AP19" s="20" t="str">
        <f t="shared" si="14"/>
        <v/>
      </c>
      <c r="AQ19" s="20" t="str">
        <f>IF($C19="","",IF(J19="Unarmored",0,IF(OR(J19="Galvanised steel flat strip",J19="Aluminium Flat Strip"),IFERROR(INDEX('Assumptions &amp; Ref'!$F$126:$F$131,MATCH(AO19,'Assumptions &amp; Ref'!$E$126:$E$131,1)),INDEX('Assumptions &amp; Ref'!$F$126:$F$131,1)),IFERROR(INDEX('Assumptions &amp; Ref'!$G$126:$G$131,MATCH(AO19,'Assumptions &amp; Ref'!$E$126:$E$131,1)),INDEX('Assumptions &amp; Ref'!$G$126:$G$131,1)))))</f>
        <v/>
      </c>
      <c r="AR19" s="20" t="str">
        <f t="shared" si="15"/>
        <v/>
      </c>
      <c r="AS19" s="20" t="str">
        <f t="shared" si="16"/>
        <v/>
      </c>
      <c r="AT19" s="20" t="str">
        <f>IF($C19="","",IFERROR(INDEX('Assumptions &amp; Ref'!$J$126:$J$136,MATCH(AR19,'Assumptions &amp; Ref'!$I$126:$I$136,1)),INDEX('Assumptions &amp; Ref'!$J$126:$J$136,1)))</f>
        <v/>
      </c>
      <c r="AU19" s="20" t="str">
        <f t="shared" si="17"/>
        <v/>
      </c>
      <c r="AV19" s="20" t="str">
        <f t="shared" si="18"/>
        <v/>
      </c>
      <c r="AW19" s="20" t="str">
        <f t="shared" si="19"/>
        <v/>
      </c>
      <c r="AX19" s="20" t="str">
        <f>IF($C19="","",PI()*((AD19+2*'Assumptions &amp; Ref'!$C$63)^2-AD19^2)/4*'Assumptions &amp; Ref'!$C$62)</f>
        <v/>
      </c>
      <c r="AY19" s="20" t="str">
        <f>IF($C19="","",PI()*((AG19+2*'Assumptions &amp; Ref'!$C$64)^2-AG19^2)/4*'Assumptions &amp; Ref'!$C$62)</f>
        <v/>
      </c>
      <c r="AZ19" s="20" t="str">
        <f>IF($C19="","",(AU19-'Assumptions &amp; Ref'!$C$65)*PI()*('Assumptions &amp; Ref'!$C$65*'Assumptions &amp; Ref'!$C$66)*INDEX($C$5:$G$5,MATCH("Copper",$C$4:$G$4,0)))</f>
        <v/>
      </c>
      <c r="BA19" s="20" t="str">
        <f>IF($C19="","",((E19*AE19*IF(C19=3.5,3,C19))+(AI19*AE19*IF(C19=3.5,1,0)))*(1+'Assumptions &amp; Ref'!$C$33))</f>
        <v/>
      </c>
      <c r="BB19" s="20" t="str">
        <f>IF($C19="","",IF(C19=3.5,((AB19/360)*PI()*(AG19^2-AD19^2)/4*AH19*3)+((AC19/360)*PI()*(AL19^2-AJ19^2)/4*AH19),(AB19/360)*PI()*(AG19^2-AD19^2)/4*AH19*C19)*(1+'Assumptions &amp; Ref'!$C$33))</f>
        <v/>
      </c>
      <c r="BC19" s="20" t="str">
        <f>IF($C19="","",PI()*(AO19^2-AM19^2)/4*AP19*(1+'Assumptions &amp; Ref'!$C$33))</f>
        <v/>
      </c>
      <c r="BD19" s="20" t="str">
        <f>IF($C19="","",PI()*(AW19^2-AU19^2)/4*AV19*(1+'Assumptions &amp; Ref'!$C$33))</f>
        <v/>
      </c>
      <c r="BE19" s="20" t="str">
        <f>IF($C19="","",PI()*(AR19^2-AO19^2)/4*AS19*(1+'Assumptions &amp; Ref'!$C$33))</f>
        <v/>
      </c>
      <c r="BF19" s="21" t="str">
        <f>IF($C19="","",BA19*INDEX($C$6:$G$6,MATCH(F19,$C$4:$G$4,0))+IF(H19="XLPE",BB19*INDEX($C$6:$G$6,MATCH("XLPE",$C$4:$G$4,0)),0)+IF(H19="PVC",(BB19+BC19+BD19)*INDEX($C$6:$G$6,MATCH("PVC",$C$4:$G$4,0)),(BC19+BD19)*INDEX($C$6:$G$6,MATCH("PVC",$C$4:$G$4,0)))+IF(J19="Unarmored",0,IF(OR(J19="Aluminium Flat Strip",J19="Aluminium Round Wired"),BE19*INDEX($C$6:$G$6,MATCH("Aluminium",$C$4:$G$4,0)),BE19*INDEX($C$6:$G$6,MATCH("Steel Wire",$C$4:$G$4,0))))+AZ19*(1+'Assumptions &amp; Ref'!$C$34)*INDEX($C$6:$G$6,MATCH("Copper",$C$4:$G$4,0))*'Assumptions &amp; Ref'!$C$67+AX19*(1+'Assumptions &amp; Ref'!$C$35)*INDEX($C$6:$G$6,MATCH("XLPE",$C$4:$G$4,0))+AY19*(1+'Assumptions &amp; Ref'!$C$35)*INDEX($C$6:$G$6,MATCH("XLPE",$C$4:$G$4,0)))</f>
        <v/>
      </c>
      <c r="BG19" s="22" t="str">
        <f>IF($C19="","",IF(L19="Y",'Assumptions &amp; Ref'!$C$53,0)+IF(M19="Y",'Assumptions &amp; Ref'!$C$54,0)+IF(N19="Y",'Assumptions &amp; Ref'!$C$55,0)+IF(O19="Y",'Assumptions &amp; Ref'!$C$56,0)+IF(P19="Y",'Assumptions &amp; Ref'!$C$57,0)+IF(Q19="Y",'Assumptions &amp; Ref'!$C$58,0)+IF(R19="Y",'Assumptions &amp; Ref'!$C$59,0))</f>
        <v/>
      </c>
      <c r="BH19" s="23" t="str">
        <f>IF($C19="","",(IF($F19="Aluminium",'Assumptions &amp; Ref'!$D$28,'Assumptions &amp; Ref'!$C$28)+IF($F19="Aluminium",'Assumptions &amp; Ref'!$D$29,'Assumptions &amp; Ref'!$C$29)+IF($F19="Aluminium",'Assumptions &amp; Ref'!$D$30,'Assumptions &amp; Ref'!$C$30)+IF($F19="Aluminium",'Assumptions &amp; Ref'!$D$31,'Assumptions &amp; Ref'!$C$31))/IF($F19="Aluminium",'Assumptions &amp; Ref'!$D$27,'Assumptions &amp; Ref'!$C$27))</f>
        <v/>
      </c>
      <c r="BI19" s="23" t="str">
        <f>IF($C19="","",(IF($F19="Aluminium",'Assumptions &amp; Ref'!$F$28,'Assumptions &amp; Ref'!$E$28)+IF($F19="Aluminium",'Assumptions &amp; Ref'!$F$29,'Assumptions &amp; Ref'!$E$29)+IF($F19="Aluminium",'Assumptions &amp; Ref'!$F$30,'Assumptions &amp; Ref'!$E$30)+IF($F19="Aluminium",'Assumptions &amp; Ref'!$F$31,'Assumptions &amp; Ref'!$E$31))/IF($F19="Aluminium",'Assumptions &amp; Ref'!$F$27,'Assumptions &amp; Ref'!$E$27))</f>
        <v/>
      </c>
      <c r="BJ19" s="21" t="str">
        <f t="shared" si="20"/>
        <v/>
      </c>
      <c r="BK19" s="21" t="str">
        <f t="shared" si="21"/>
        <v/>
      </c>
      <c r="BL19" s="21" t="str">
        <f>IF($C19="","",BJ19*(1+BG19)*(1+IF($F19="Aluminium",'Assumptions &amp; Ref'!$D$31,'Assumptions &amp; Ref'!$C$31)))</f>
        <v/>
      </c>
      <c r="BM19" s="21" t="str">
        <f>IF($C19="","",BK19*(1+BG19)*(1+IF($F19="Aluminium",'Assumptions &amp; Ref'!$F$31,'Assumptions &amp; Ref'!$E$31)))</f>
        <v/>
      </c>
    </row>
    <row r="20" spans="2:65" ht="15" customHeight="1" x14ac:dyDescent="0.25">
      <c r="B20" s="13"/>
      <c r="C20" s="14"/>
      <c r="D20" s="14"/>
      <c r="E20" s="14"/>
      <c r="F20" s="14"/>
      <c r="G20" s="14"/>
      <c r="H20" s="14"/>
      <c r="I20" s="14"/>
      <c r="J20" s="14"/>
      <c r="K20" s="14"/>
      <c r="L20" s="15"/>
      <c r="M20" s="15"/>
      <c r="N20" s="15"/>
      <c r="O20" s="15"/>
      <c r="P20" s="15"/>
      <c r="Q20" s="15"/>
      <c r="R20" s="15"/>
      <c r="S20" s="16" t="str">
        <f t="shared" si="0"/>
        <v/>
      </c>
      <c r="T20" s="16" t="str">
        <f t="shared" si="1"/>
        <v/>
      </c>
      <c r="U20" s="17" t="str">
        <f t="shared" si="2"/>
        <v/>
      </c>
      <c r="V20" s="18" t="str">
        <f t="shared" si="3"/>
        <v/>
      </c>
      <c r="W20" s="19" t="str">
        <f>IF($C20="","",IF(F20="Copper",BA20,0)+AZ20*(1+'Assumptions &amp; Ref'!$C$34))</f>
        <v/>
      </c>
      <c r="X20" s="19" t="str">
        <f>IF($C20="","",AZ20*(1+'Assumptions &amp; Ref'!$C$34))</f>
        <v/>
      </c>
      <c r="Y20" s="19" t="str">
        <f>IF($C20="","",AX20*(1+'Assumptions &amp; Ref'!$C$35))</f>
        <v/>
      </c>
      <c r="Z20" s="19" t="str">
        <f>IF($C20="","",AY20*(1+'Assumptions &amp; Ref'!$C$35))</f>
        <v/>
      </c>
      <c r="AB20" s="20" t="str">
        <f t="shared" si="4"/>
        <v/>
      </c>
      <c r="AC20" s="20" t="str">
        <f t="shared" si="5"/>
        <v/>
      </c>
      <c r="AD20" s="20" t="str">
        <f t="shared" si="6"/>
        <v/>
      </c>
      <c r="AE20" s="20" t="str">
        <f t="shared" si="7"/>
        <v/>
      </c>
      <c r="AF20" s="20" t="str">
        <f>IF($C20="","",IFERROR(IF($G20="33kV",INDEX('Assumptions &amp; Ref'!$H$109:$H$122,MATCH(E20,'Assumptions &amp; Ref'!$B$109:$B$122,1)),IF($G20="22kV",INDEX('Assumptions &amp; Ref'!$G$109:$G$122,MATCH(E20,'Assumptions &amp; Ref'!$B$109:$B$122,1)),IF($G20="11kV",INDEX('Assumptions &amp; Ref'!$F$109:$F$122,MATCH(E20,'Assumptions &amp; Ref'!$B$109:$B$122,1)),IF($G20="6.6kV",INDEX('Assumptions &amp; Ref'!$D$109:$D$122,MATCH(E20,'Assumptions &amp; Ref'!$B$109:$B$122,1)),INDEX('Assumptions &amp; Ref'!$C$109:$C$122,MATCH(E20,'Assumptions &amp; Ref'!$B$109:$B$122,1)))))),INDEX('Assumptions &amp; Ref'!$C$109:$C$122,1)))</f>
        <v/>
      </c>
      <c r="AG20" s="20" t="str">
        <f t="shared" si="8"/>
        <v/>
      </c>
      <c r="AH20" s="20" t="str">
        <f t="shared" si="9"/>
        <v/>
      </c>
      <c r="AI20" s="20" t="str">
        <f>IF($C20="","",IF(C20=3.5,IFERROR(INDEX('Assumptions &amp; Ref'!$G$93:$G$105,MATCH(E20,'Assumptions &amp; Ref'!$F$93:$F$105,0)),0),0))</f>
        <v/>
      </c>
      <c r="AJ20" s="20" t="str">
        <f t="shared" si="10"/>
        <v/>
      </c>
      <c r="AK20" s="20" t="str">
        <f>IF($C20="","",IF(C20=3.5,IFERROR(IF($G20="33kV",INDEX('Assumptions &amp; Ref'!$H$109:$H$122,MATCH(AI20,'Assumptions &amp; Ref'!$B$109:$B$122,1)),IF($G20="22kV",INDEX('Assumptions &amp; Ref'!$G$109:$G$122,MATCH(AI20,'Assumptions &amp; Ref'!$B$109:$B$122,1)),IF($G20="11kV",INDEX('Assumptions &amp; Ref'!$E$109:$E$122,MATCH(AI20,'Assumptions &amp; Ref'!$B$109:$B$122,1)),IF($G20="6.6kV",INDEX('Assumptions &amp; Ref'!$D$109:$D$122,MATCH(AI20,'Assumptions &amp; Ref'!$B$109:$B$122,1)),INDEX('Assumptions &amp; Ref'!$C$109:$C$122,MATCH(AI20,'Assumptions &amp; Ref'!$B$109:$B$122,1)))))),0),0))</f>
        <v/>
      </c>
      <c r="AL20" s="20" t="str">
        <f t="shared" si="11"/>
        <v/>
      </c>
      <c r="AM20" s="20" t="str">
        <f t="shared" si="12"/>
        <v/>
      </c>
      <c r="AN20" s="20" t="str">
        <f>IF($C20="","",IFERROR(INDEX('Assumptions &amp; Ref'!$C$126:$C$130,MATCH(AM20,'Assumptions &amp; Ref'!$B$126:$B$130,1)),INDEX('Assumptions &amp; Ref'!$C$126:$C$130,1)))</f>
        <v/>
      </c>
      <c r="AO20" s="20" t="str">
        <f t="shared" si="13"/>
        <v/>
      </c>
      <c r="AP20" s="20" t="str">
        <f t="shared" si="14"/>
        <v/>
      </c>
      <c r="AQ20" s="20" t="str">
        <f>IF($C20="","",IF(J20="Unarmored",0,IF(OR(J20="Galvanised steel flat strip",J20="Aluminium Flat Strip"),IFERROR(INDEX('Assumptions &amp; Ref'!$F$126:$F$131,MATCH(AO20,'Assumptions &amp; Ref'!$E$126:$E$131,1)),INDEX('Assumptions &amp; Ref'!$F$126:$F$131,1)),IFERROR(INDEX('Assumptions &amp; Ref'!$G$126:$G$131,MATCH(AO20,'Assumptions &amp; Ref'!$E$126:$E$131,1)),INDEX('Assumptions &amp; Ref'!$G$126:$G$131,1)))))</f>
        <v/>
      </c>
      <c r="AR20" s="20" t="str">
        <f t="shared" si="15"/>
        <v/>
      </c>
      <c r="AS20" s="20" t="str">
        <f t="shared" si="16"/>
        <v/>
      </c>
      <c r="AT20" s="20" t="str">
        <f>IF($C20="","",IFERROR(INDEX('Assumptions &amp; Ref'!$J$126:$J$136,MATCH(AR20,'Assumptions &amp; Ref'!$I$126:$I$136,1)),INDEX('Assumptions &amp; Ref'!$J$126:$J$136,1)))</f>
        <v/>
      </c>
      <c r="AU20" s="20" t="str">
        <f t="shared" si="17"/>
        <v/>
      </c>
      <c r="AV20" s="20" t="str">
        <f t="shared" si="18"/>
        <v/>
      </c>
      <c r="AW20" s="20" t="str">
        <f t="shared" si="19"/>
        <v/>
      </c>
      <c r="AX20" s="20" t="str">
        <f>IF($C20="","",PI()*((AD20+2*'Assumptions &amp; Ref'!$C$63)^2-AD20^2)/4*'Assumptions &amp; Ref'!$C$62)</f>
        <v/>
      </c>
      <c r="AY20" s="20" t="str">
        <f>IF($C20="","",PI()*((AG20+2*'Assumptions &amp; Ref'!$C$64)^2-AG20^2)/4*'Assumptions &amp; Ref'!$C$62)</f>
        <v/>
      </c>
      <c r="AZ20" s="20" t="str">
        <f>IF($C20="","",(AU20-'Assumptions &amp; Ref'!$C$65)*PI()*('Assumptions &amp; Ref'!$C$65*'Assumptions &amp; Ref'!$C$66)*INDEX($C$5:$G$5,MATCH("Copper",$C$4:$G$4,0)))</f>
        <v/>
      </c>
      <c r="BA20" s="20" t="str">
        <f>IF($C20="","",((E20*AE20*IF(C20=3.5,3,C20))+(AI20*AE20*IF(C20=3.5,1,0)))*(1+'Assumptions &amp; Ref'!$C$33))</f>
        <v/>
      </c>
      <c r="BB20" s="20" t="str">
        <f>IF($C20="","",IF(C20=3.5,((AB20/360)*PI()*(AG20^2-AD20^2)/4*AH20*3)+((AC20/360)*PI()*(AL20^2-AJ20^2)/4*AH20),(AB20/360)*PI()*(AG20^2-AD20^2)/4*AH20*C20)*(1+'Assumptions &amp; Ref'!$C$33))</f>
        <v/>
      </c>
      <c r="BC20" s="20" t="str">
        <f>IF($C20="","",PI()*(AO20^2-AM20^2)/4*AP20*(1+'Assumptions &amp; Ref'!$C$33))</f>
        <v/>
      </c>
      <c r="BD20" s="20" t="str">
        <f>IF($C20="","",PI()*(AW20^2-AU20^2)/4*AV20*(1+'Assumptions &amp; Ref'!$C$33))</f>
        <v/>
      </c>
      <c r="BE20" s="20" t="str">
        <f>IF($C20="","",PI()*(AR20^2-AO20^2)/4*AS20*(1+'Assumptions &amp; Ref'!$C$33))</f>
        <v/>
      </c>
      <c r="BF20" s="21" t="str">
        <f>IF($C20="","",BA20*INDEX($C$6:$G$6,MATCH(F20,$C$4:$G$4,0))+IF(H20="XLPE",BB20*INDEX($C$6:$G$6,MATCH("XLPE",$C$4:$G$4,0)),0)+IF(H20="PVC",(BB20+BC20+BD20)*INDEX($C$6:$G$6,MATCH("PVC",$C$4:$G$4,0)),(BC20+BD20)*INDEX($C$6:$G$6,MATCH("PVC",$C$4:$G$4,0)))+IF(J20="Unarmored",0,IF(OR(J20="Aluminium Flat Strip",J20="Aluminium Round Wired"),BE20*INDEX($C$6:$G$6,MATCH("Aluminium",$C$4:$G$4,0)),BE20*INDEX($C$6:$G$6,MATCH("Steel Wire",$C$4:$G$4,0))))+AZ20*(1+'Assumptions &amp; Ref'!$C$34)*INDEX($C$6:$G$6,MATCH("Copper",$C$4:$G$4,0))*'Assumptions &amp; Ref'!$C$67+AX20*(1+'Assumptions &amp; Ref'!$C$35)*INDEX($C$6:$G$6,MATCH("XLPE",$C$4:$G$4,0))+AY20*(1+'Assumptions &amp; Ref'!$C$35)*INDEX($C$6:$G$6,MATCH("XLPE",$C$4:$G$4,0)))</f>
        <v/>
      </c>
      <c r="BG20" s="22" t="str">
        <f>IF($C20="","",IF(L20="Y",'Assumptions &amp; Ref'!$C$53,0)+IF(M20="Y",'Assumptions &amp; Ref'!$C$54,0)+IF(N20="Y",'Assumptions &amp; Ref'!$C$55,0)+IF(O20="Y",'Assumptions &amp; Ref'!$C$56,0)+IF(P20="Y",'Assumptions &amp; Ref'!$C$57,0)+IF(Q20="Y",'Assumptions &amp; Ref'!$C$58,0)+IF(R20="Y",'Assumptions &amp; Ref'!$C$59,0))</f>
        <v/>
      </c>
      <c r="BH20" s="23" t="str">
        <f>IF($C20="","",(IF($F20="Aluminium",'Assumptions &amp; Ref'!$D$28,'Assumptions &amp; Ref'!$C$28)+IF($F20="Aluminium",'Assumptions &amp; Ref'!$D$29,'Assumptions &amp; Ref'!$C$29)+IF($F20="Aluminium",'Assumptions &amp; Ref'!$D$30,'Assumptions &amp; Ref'!$C$30)+IF($F20="Aluminium",'Assumptions &amp; Ref'!$D$31,'Assumptions &amp; Ref'!$C$31))/IF($F20="Aluminium",'Assumptions &amp; Ref'!$D$27,'Assumptions &amp; Ref'!$C$27))</f>
        <v/>
      </c>
      <c r="BI20" s="23" t="str">
        <f>IF($C20="","",(IF($F20="Aluminium",'Assumptions &amp; Ref'!$F$28,'Assumptions &amp; Ref'!$E$28)+IF($F20="Aluminium",'Assumptions &amp; Ref'!$F$29,'Assumptions &amp; Ref'!$E$29)+IF($F20="Aluminium",'Assumptions &amp; Ref'!$F$30,'Assumptions &amp; Ref'!$E$30)+IF($F20="Aluminium",'Assumptions &amp; Ref'!$F$31,'Assumptions &amp; Ref'!$E$31))/IF($F20="Aluminium",'Assumptions &amp; Ref'!$F$27,'Assumptions &amp; Ref'!$E$27))</f>
        <v/>
      </c>
      <c r="BJ20" s="21" t="str">
        <f t="shared" si="20"/>
        <v/>
      </c>
      <c r="BK20" s="21" t="str">
        <f t="shared" si="21"/>
        <v/>
      </c>
      <c r="BL20" s="21" t="str">
        <f>IF($C20="","",BJ20*(1+BG20)*(1+IF($F20="Aluminium",'Assumptions &amp; Ref'!$D$31,'Assumptions &amp; Ref'!$C$31)))</f>
        <v/>
      </c>
      <c r="BM20" s="21" t="str">
        <f>IF($C20="","",BK20*(1+BG20)*(1+IF($F20="Aluminium",'Assumptions &amp; Ref'!$F$31,'Assumptions &amp; Ref'!$E$31)))</f>
        <v/>
      </c>
    </row>
    <row r="21" spans="2:65" ht="15" customHeight="1" x14ac:dyDescent="0.25">
      <c r="B21" s="13"/>
      <c r="C21" s="14"/>
      <c r="D21" s="14"/>
      <c r="E21" s="14"/>
      <c r="F21" s="14"/>
      <c r="G21" s="14"/>
      <c r="H21" s="14"/>
      <c r="I21" s="14"/>
      <c r="J21" s="14"/>
      <c r="K21" s="14"/>
      <c r="L21" s="15"/>
      <c r="M21" s="15"/>
      <c r="N21" s="15"/>
      <c r="O21" s="15"/>
      <c r="P21" s="15"/>
      <c r="Q21" s="15"/>
      <c r="R21" s="15"/>
      <c r="S21" s="16" t="str">
        <f t="shared" si="0"/>
        <v/>
      </c>
      <c r="T21" s="16" t="str">
        <f t="shared" si="1"/>
        <v/>
      </c>
      <c r="U21" s="17" t="str">
        <f t="shared" si="2"/>
        <v/>
      </c>
      <c r="V21" s="18" t="str">
        <f t="shared" si="3"/>
        <v/>
      </c>
      <c r="W21" s="19" t="str">
        <f>IF($C21="","",IF(F21="Copper",BA21,0)+AZ21*(1+'Assumptions &amp; Ref'!$C$34))</f>
        <v/>
      </c>
      <c r="X21" s="19" t="str">
        <f>IF($C21="","",AZ21*(1+'Assumptions &amp; Ref'!$C$34))</f>
        <v/>
      </c>
      <c r="Y21" s="19" t="str">
        <f>IF($C21="","",AX21*(1+'Assumptions &amp; Ref'!$C$35))</f>
        <v/>
      </c>
      <c r="Z21" s="19" t="str">
        <f>IF($C21="","",AY21*(1+'Assumptions &amp; Ref'!$C$35))</f>
        <v/>
      </c>
      <c r="AB21" s="20" t="str">
        <f t="shared" si="4"/>
        <v/>
      </c>
      <c r="AC21" s="20" t="str">
        <f t="shared" si="5"/>
        <v/>
      </c>
      <c r="AD21" s="20" t="str">
        <f t="shared" si="6"/>
        <v/>
      </c>
      <c r="AE21" s="20" t="str">
        <f t="shared" si="7"/>
        <v/>
      </c>
      <c r="AF21" s="20" t="str">
        <f>IF($C21="","",IFERROR(IF($G21="33kV",INDEX('Assumptions &amp; Ref'!$H$109:$H$122,MATCH(E21,'Assumptions &amp; Ref'!$B$109:$B$122,1)),IF($G21="22kV",INDEX('Assumptions &amp; Ref'!$G$109:$G$122,MATCH(E21,'Assumptions &amp; Ref'!$B$109:$B$122,1)),IF($G21="11kV",INDEX('Assumptions &amp; Ref'!$F$109:$F$122,MATCH(E21,'Assumptions &amp; Ref'!$B$109:$B$122,1)),IF($G21="6.6kV",INDEX('Assumptions &amp; Ref'!$D$109:$D$122,MATCH(E21,'Assumptions &amp; Ref'!$B$109:$B$122,1)),INDEX('Assumptions &amp; Ref'!$C$109:$C$122,MATCH(E21,'Assumptions &amp; Ref'!$B$109:$B$122,1)))))),INDEX('Assumptions &amp; Ref'!$C$109:$C$122,1)))</f>
        <v/>
      </c>
      <c r="AG21" s="20" t="str">
        <f t="shared" si="8"/>
        <v/>
      </c>
      <c r="AH21" s="20" t="str">
        <f t="shared" si="9"/>
        <v/>
      </c>
      <c r="AI21" s="20" t="str">
        <f>IF($C21="","",IF(C21=3.5,IFERROR(INDEX('Assumptions &amp; Ref'!$G$93:$G$105,MATCH(E21,'Assumptions &amp; Ref'!$F$93:$F$105,0)),0),0))</f>
        <v/>
      </c>
      <c r="AJ21" s="20" t="str">
        <f t="shared" si="10"/>
        <v/>
      </c>
      <c r="AK21" s="20" t="str">
        <f>IF($C21="","",IF(C21=3.5,IFERROR(IF($G21="33kV",INDEX('Assumptions &amp; Ref'!$H$109:$H$122,MATCH(AI21,'Assumptions &amp; Ref'!$B$109:$B$122,1)),IF($G21="22kV",INDEX('Assumptions &amp; Ref'!$G$109:$G$122,MATCH(AI21,'Assumptions &amp; Ref'!$B$109:$B$122,1)),IF($G21="11kV",INDEX('Assumptions &amp; Ref'!$E$109:$E$122,MATCH(AI21,'Assumptions &amp; Ref'!$B$109:$B$122,1)),IF($G21="6.6kV",INDEX('Assumptions &amp; Ref'!$D$109:$D$122,MATCH(AI21,'Assumptions &amp; Ref'!$B$109:$B$122,1)),INDEX('Assumptions &amp; Ref'!$C$109:$C$122,MATCH(AI21,'Assumptions &amp; Ref'!$B$109:$B$122,1)))))),0),0))</f>
        <v/>
      </c>
      <c r="AL21" s="20" t="str">
        <f t="shared" si="11"/>
        <v/>
      </c>
      <c r="AM21" s="20" t="str">
        <f t="shared" si="12"/>
        <v/>
      </c>
      <c r="AN21" s="20" t="str">
        <f>IF($C21="","",IFERROR(INDEX('Assumptions &amp; Ref'!$C$126:$C$130,MATCH(AM21,'Assumptions &amp; Ref'!$B$126:$B$130,1)),INDEX('Assumptions &amp; Ref'!$C$126:$C$130,1)))</f>
        <v/>
      </c>
      <c r="AO21" s="20" t="str">
        <f t="shared" si="13"/>
        <v/>
      </c>
      <c r="AP21" s="20" t="str">
        <f t="shared" si="14"/>
        <v/>
      </c>
      <c r="AQ21" s="20" t="str">
        <f>IF($C21="","",IF(J21="Unarmored",0,IF(OR(J21="Galvanised steel flat strip",J21="Aluminium Flat Strip"),IFERROR(INDEX('Assumptions &amp; Ref'!$F$126:$F$131,MATCH(AO21,'Assumptions &amp; Ref'!$E$126:$E$131,1)),INDEX('Assumptions &amp; Ref'!$F$126:$F$131,1)),IFERROR(INDEX('Assumptions &amp; Ref'!$G$126:$G$131,MATCH(AO21,'Assumptions &amp; Ref'!$E$126:$E$131,1)),INDEX('Assumptions &amp; Ref'!$G$126:$G$131,1)))))</f>
        <v/>
      </c>
      <c r="AR21" s="20" t="str">
        <f t="shared" si="15"/>
        <v/>
      </c>
      <c r="AS21" s="20" t="str">
        <f t="shared" si="16"/>
        <v/>
      </c>
      <c r="AT21" s="20" t="str">
        <f>IF($C21="","",IFERROR(INDEX('Assumptions &amp; Ref'!$J$126:$J$136,MATCH(AR21,'Assumptions &amp; Ref'!$I$126:$I$136,1)),INDEX('Assumptions &amp; Ref'!$J$126:$J$136,1)))</f>
        <v/>
      </c>
      <c r="AU21" s="20" t="str">
        <f t="shared" si="17"/>
        <v/>
      </c>
      <c r="AV21" s="20" t="str">
        <f t="shared" si="18"/>
        <v/>
      </c>
      <c r="AW21" s="20" t="str">
        <f t="shared" si="19"/>
        <v/>
      </c>
      <c r="AX21" s="20" t="str">
        <f>IF($C21="","",PI()*((AD21+2*'Assumptions &amp; Ref'!$C$63)^2-AD21^2)/4*'Assumptions &amp; Ref'!$C$62)</f>
        <v/>
      </c>
      <c r="AY21" s="20" t="str">
        <f>IF($C21="","",PI()*((AG21+2*'Assumptions &amp; Ref'!$C$64)^2-AG21^2)/4*'Assumptions &amp; Ref'!$C$62)</f>
        <v/>
      </c>
      <c r="AZ21" s="20" t="str">
        <f>IF($C21="","",(AU21-'Assumptions &amp; Ref'!$C$65)*PI()*('Assumptions &amp; Ref'!$C$65*'Assumptions &amp; Ref'!$C$66)*INDEX($C$5:$G$5,MATCH("Copper",$C$4:$G$4,0)))</f>
        <v/>
      </c>
      <c r="BA21" s="20" t="str">
        <f>IF($C21="","",((E21*AE21*IF(C21=3.5,3,C21))+(AI21*AE21*IF(C21=3.5,1,0)))*(1+'Assumptions &amp; Ref'!$C$33))</f>
        <v/>
      </c>
      <c r="BB21" s="20" t="str">
        <f>IF($C21="","",IF(C21=3.5,((AB21/360)*PI()*(AG21^2-AD21^2)/4*AH21*3)+((AC21/360)*PI()*(AL21^2-AJ21^2)/4*AH21),(AB21/360)*PI()*(AG21^2-AD21^2)/4*AH21*C21)*(1+'Assumptions &amp; Ref'!$C$33))</f>
        <v/>
      </c>
      <c r="BC21" s="20" t="str">
        <f>IF($C21="","",PI()*(AO21^2-AM21^2)/4*AP21*(1+'Assumptions &amp; Ref'!$C$33))</f>
        <v/>
      </c>
      <c r="BD21" s="20" t="str">
        <f>IF($C21="","",PI()*(AW21^2-AU21^2)/4*AV21*(1+'Assumptions &amp; Ref'!$C$33))</f>
        <v/>
      </c>
      <c r="BE21" s="20" t="str">
        <f>IF($C21="","",PI()*(AR21^2-AO21^2)/4*AS21*(1+'Assumptions &amp; Ref'!$C$33))</f>
        <v/>
      </c>
      <c r="BF21" s="21" t="str">
        <f>IF($C21="","",BA21*INDEX($C$6:$G$6,MATCH(F21,$C$4:$G$4,0))+IF(H21="XLPE",BB21*INDEX($C$6:$G$6,MATCH("XLPE",$C$4:$G$4,0)),0)+IF(H21="PVC",(BB21+BC21+BD21)*INDEX($C$6:$G$6,MATCH("PVC",$C$4:$G$4,0)),(BC21+BD21)*INDEX($C$6:$G$6,MATCH("PVC",$C$4:$G$4,0)))+IF(J21="Unarmored",0,IF(OR(J21="Aluminium Flat Strip",J21="Aluminium Round Wired"),BE21*INDEX($C$6:$G$6,MATCH("Aluminium",$C$4:$G$4,0)),BE21*INDEX($C$6:$G$6,MATCH("Steel Wire",$C$4:$G$4,0))))+AZ21*(1+'Assumptions &amp; Ref'!$C$34)*INDEX($C$6:$G$6,MATCH("Copper",$C$4:$G$4,0))*'Assumptions &amp; Ref'!$C$67+AX21*(1+'Assumptions &amp; Ref'!$C$35)*INDEX($C$6:$G$6,MATCH("XLPE",$C$4:$G$4,0))+AY21*(1+'Assumptions &amp; Ref'!$C$35)*INDEX($C$6:$G$6,MATCH("XLPE",$C$4:$G$4,0)))</f>
        <v/>
      </c>
      <c r="BG21" s="22" t="str">
        <f>IF($C21="","",IF(L21="Y",'Assumptions &amp; Ref'!$C$53,0)+IF(M21="Y",'Assumptions &amp; Ref'!$C$54,0)+IF(N21="Y",'Assumptions &amp; Ref'!$C$55,0)+IF(O21="Y",'Assumptions &amp; Ref'!$C$56,0)+IF(P21="Y",'Assumptions &amp; Ref'!$C$57,0)+IF(Q21="Y",'Assumptions &amp; Ref'!$C$58,0)+IF(R21="Y",'Assumptions &amp; Ref'!$C$59,0))</f>
        <v/>
      </c>
      <c r="BH21" s="23" t="str">
        <f>IF($C21="","",(IF($F21="Aluminium",'Assumptions &amp; Ref'!$D$28,'Assumptions &amp; Ref'!$C$28)+IF($F21="Aluminium",'Assumptions &amp; Ref'!$D$29,'Assumptions &amp; Ref'!$C$29)+IF($F21="Aluminium",'Assumptions &amp; Ref'!$D$30,'Assumptions &amp; Ref'!$C$30)+IF($F21="Aluminium",'Assumptions &amp; Ref'!$D$31,'Assumptions &amp; Ref'!$C$31))/IF($F21="Aluminium",'Assumptions &amp; Ref'!$D$27,'Assumptions &amp; Ref'!$C$27))</f>
        <v/>
      </c>
      <c r="BI21" s="23" t="str">
        <f>IF($C21="","",(IF($F21="Aluminium",'Assumptions &amp; Ref'!$F$28,'Assumptions &amp; Ref'!$E$28)+IF($F21="Aluminium",'Assumptions &amp; Ref'!$F$29,'Assumptions &amp; Ref'!$E$29)+IF($F21="Aluminium",'Assumptions &amp; Ref'!$F$30,'Assumptions &amp; Ref'!$E$30)+IF($F21="Aluminium",'Assumptions &amp; Ref'!$F$31,'Assumptions &amp; Ref'!$E$31))/IF($F21="Aluminium",'Assumptions &amp; Ref'!$F$27,'Assumptions &amp; Ref'!$E$27))</f>
        <v/>
      </c>
      <c r="BJ21" s="21" t="str">
        <f t="shared" si="20"/>
        <v/>
      </c>
      <c r="BK21" s="21" t="str">
        <f t="shared" si="21"/>
        <v/>
      </c>
      <c r="BL21" s="21" t="str">
        <f>IF($C21="","",BJ21*(1+BG21)*(1+IF($F21="Aluminium",'Assumptions &amp; Ref'!$D$31,'Assumptions &amp; Ref'!$C$31)))</f>
        <v/>
      </c>
      <c r="BM21" s="21" t="str">
        <f>IF($C21="","",BK21*(1+BG21)*(1+IF($F21="Aluminium",'Assumptions &amp; Ref'!$F$31,'Assumptions &amp; Ref'!$E$31)))</f>
        <v/>
      </c>
    </row>
    <row r="22" spans="2:65" ht="15" customHeight="1" x14ac:dyDescent="0.25">
      <c r="B22" s="13"/>
      <c r="C22" s="14"/>
      <c r="D22" s="14"/>
      <c r="E22" s="14"/>
      <c r="F22" s="14"/>
      <c r="G22" s="14"/>
      <c r="H22" s="14"/>
      <c r="I22" s="14"/>
      <c r="J22" s="14"/>
      <c r="K22" s="14"/>
      <c r="L22" s="15"/>
      <c r="M22" s="15"/>
      <c r="N22" s="15"/>
      <c r="O22" s="15"/>
      <c r="P22" s="15"/>
      <c r="Q22" s="15"/>
      <c r="R22" s="15"/>
      <c r="S22" s="16" t="str">
        <f t="shared" si="0"/>
        <v/>
      </c>
      <c r="T22" s="16" t="str">
        <f t="shared" si="1"/>
        <v/>
      </c>
      <c r="U22" s="17" t="str">
        <f t="shared" si="2"/>
        <v/>
      </c>
      <c r="V22" s="18" t="str">
        <f t="shared" si="3"/>
        <v/>
      </c>
      <c r="W22" s="19" t="str">
        <f>IF($C22="","",IF(F22="Copper",BA22,0)+AZ22*(1+'Assumptions &amp; Ref'!$C$34))</f>
        <v/>
      </c>
      <c r="X22" s="19" t="str">
        <f>IF($C22="","",AZ22*(1+'Assumptions &amp; Ref'!$C$34))</f>
        <v/>
      </c>
      <c r="Y22" s="19" t="str">
        <f>IF($C22="","",AX22*(1+'Assumptions &amp; Ref'!$C$35))</f>
        <v/>
      </c>
      <c r="Z22" s="19" t="str">
        <f>IF($C22="","",AY22*(1+'Assumptions &amp; Ref'!$C$35))</f>
        <v/>
      </c>
      <c r="AB22" s="20" t="str">
        <f t="shared" si="4"/>
        <v/>
      </c>
      <c r="AC22" s="20" t="str">
        <f t="shared" si="5"/>
        <v/>
      </c>
      <c r="AD22" s="20" t="str">
        <f t="shared" si="6"/>
        <v/>
      </c>
      <c r="AE22" s="20" t="str">
        <f t="shared" si="7"/>
        <v/>
      </c>
      <c r="AF22" s="20" t="str">
        <f>IF($C22="","",IFERROR(IF($G22="33kV",INDEX('Assumptions &amp; Ref'!$H$109:$H$122,MATCH(E22,'Assumptions &amp; Ref'!$B$109:$B$122,1)),IF($G22="22kV",INDEX('Assumptions &amp; Ref'!$G$109:$G$122,MATCH(E22,'Assumptions &amp; Ref'!$B$109:$B$122,1)),IF($G22="11kV",INDEX('Assumptions &amp; Ref'!$F$109:$F$122,MATCH(E22,'Assumptions &amp; Ref'!$B$109:$B$122,1)),IF($G22="6.6kV",INDEX('Assumptions &amp; Ref'!$D$109:$D$122,MATCH(E22,'Assumptions &amp; Ref'!$B$109:$B$122,1)),INDEX('Assumptions &amp; Ref'!$C$109:$C$122,MATCH(E22,'Assumptions &amp; Ref'!$B$109:$B$122,1)))))),INDEX('Assumptions &amp; Ref'!$C$109:$C$122,1)))</f>
        <v/>
      </c>
      <c r="AG22" s="20" t="str">
        <f t="shared" si="8"/>
        <v/>
      </c>
      <c r="AH22" s="20" t="str">
        <f t="shared" si="9"/>
        <v/>
      </c>
      <c r="AI22" s="20" t="str">
        <f>IF($C22="","",IF(C22=3.5,IFERROR(INDEX('Assumptions &amp; Ref'!$G$93:$G$105,MATCH(E22,'Assumptions &amp; Ref'!$F$93:$F$105,0)),0),0))</f>
        <v/>
      </c>
      <c r="AJ22" s="20" t="str">
        <f t="shared" si="10"/>
        <v/>
      </c>
      <c r="AK22" s="20" t="str">
        <f>IF($C22="","",IF(C22=3.5,IFERROR(IF($G22="33kV",INDEX('Assumptions &amp; Ref'!$H$109:$H$122,MATCH(AI22,'Assumptions &amp; Ref'!$B$109:$B$122,1)),IF($G22="22kV",INDEX('Assumptions &amp; Ref'!$G$109:$G$122,MATCH(AI22,'Assumptions &amp; Ref'!$B$109:$B$122,1)),IF($G22="11kV",INDEX('Assumptions &amp; Ref'!$E$109:$E$122,MATCH(AI22,'Assumptions &amp; Ref'!$B$109:$B$122,1)),IF($G22="6.6kV",INDEX('Assumptions &amp; Ref'!$D$109:$D$122,MATCH(AI22,'Assumptions &amp; Ref'!$B$109:$B$122,1)),INDEX('Assumptions &amp; Ref'!$C$109:$C$122,MATCH(AI22,'Assumptions &amp; Ref'!$B$109:$B$122,1)))))),0),0))</f>
        <v/>
      </c>
      <c r="AL22" s="20" t="str">
        <f t="shared" si="11"/>
        <v/>
      </c>
      <c r="AM22" s="20" t="str">
        <f t="shared" si="12"/>
        <v/>
      </c>
      <c r="AN22" s="20" t="str">
        <f>IF($C22="","",IFERROR(INDEX('Assumptions &amp; Ref'!$C$126:$C$130,MATCH(AM22,'Assumptions &amp; Ref'!$B$126:$B$130,1)),INDEX('Assumptions &amp; Ref'!$C$126:$C$130,1)))</f>
        <v/>
      </c>
      <c r="AO22" s="20" t="str">
        <f t="shared" si="13"/>
        <v/>
      </c>
      <c r="AP22" s="20" t="str">
        <f t="shared" si="14"/>
        <v/>
      </c>
      <c r="AQ22" s="20" t="str">
        <f>IF($C22="","",IF(J22="Unarmored",0,IF(OR(J22="Galvanised steel flat strip",J22="Aluminium Flat Strip"),IFERROR(INDEX('Assumptions &amp; Ref'!$F$126:$F$131,MATCH(AO22,'Assumptions &amp; Ref'!$E$126:$E$131,1)),INDEX('Assumptions &amp; Ref'!$F$126:$F$131,1)),IFERROR(INDEX('Assumptions &amp; Ref'!$G$126:$G$131,MATCH(AO22,'Assumptions &amp; Ref'!$E$126:$E$131,1)),INDEX('Assumptions &amp; Ref'!$G$126:$G$131,1)))))</f>
        <v/>
      </c>
      <c r="AR22" s="20" t="str">
        <f t="shared" si="15"/>
        <v/>
      </c>
      <c r="AS22" s="20" t="str">
        <f t="shared" si="16"/>
        <v/>
      </c>
      <c r="AT22" s="20" t="str">
        <f>IF($C22="","",IFERROR(INDEX('Assumptions &amp; Ref'!$J$126:$J$136,MATCH(AR22,'Assumptions &amp; Ref'!$I$126:$I$136,1)),INDEX('Assumptions &amp; Ref'!$J$126:$J$136,1)))</f>
        <v/>
      </c>
      <c r="AU22" s="20" t="str">
        <f t="shared" si="17"/>
        <v/>
      </c>
      <c r="AV22" s="20" t="str">
        <f t="shared" si="18"/>
        <v/>
      </c>
      <c r="AW22" s="20" t="str">
        <f t="shared" si="19"/>
        <v/>
      </c>
      <c r="AX22" s="20" t="str">
        <f>IF($C22="","",PI()*((AD22+2*'Assumptions &amp; Ref'!$C$63)^2-AD22^2)/4*'Assumptions &amp; Ref'!$C$62)</f>
        <v/>
      </c>
      <c r="AY22" s="20" t="str">
        <f>IF($C22="","",PI()*((AG22+2*'Assumptions &amp; Ref'!$C$64)^2-AG22^2)/4*'Assumptions &amp; Ref'!$C$62)</f>
        <v/>
      </c>
      <c r="AZ22" s="20" t="str">
        <f>IF($C22="","",(AU22-'Assumptions &amp; Ref'!$C$65)*PI()*('Assumptions &amp; Ref'!$C$65*'Assumptions &amp; Ref'!$C$66)*INDEX($C$5:$G$5,MATCH("Copper",$C$4:$G$4,0)))</f>
        <v/>
      </c>
      <c r="BA22" s="20" t="str">
        <f>IF($C22="","",((E22*AE22*IF(C22=3.5,3,C22))+(AI22*AE22*IF(C22=3.5,1,0)))*(1+'Assumptions &amp; Ref'!$C$33))</f>
        <v/>
      </c>
      <c r="BB22" s="20" t="str">
        <f>IF($C22="","",IF(C22=3.5,((AB22/360)*PI()*(AG22^2-AD22^2)/4*AH22*3)+((AC22/360)*PI()*(AL22^2-AJ22^2)/4*AH22),(AB22/360)*PI()*(AG22^2-AD22^2)/4*AH22*C22)*(1+'Assumptions &amp; Ref'!$C$33))</f>
        <v/>
      </c>
      <c r="BC22" s="20" t="str">
        <f>IF($C22="","",PI()*(AO22^2-AM22^2)/4*AP22*(1+'Assumptions &amp; Ref'!$C$33))</f>
        <v/>
      </c>
      <c r="BD22" s="20" t="str">
        <f>IF($C22="","",PI()*(AW22^2-AU22^2)/4*AV22*(1+'Assumptions &amp; Ref'!$C$33))</f>
        <v/>
      </c>
      <c r="BE22" s="20" t="str">
        <f>IF($C22="","",PI()*(AR22^2-AO22^2)/4*AS22*(1+'Assumptions &amp; Ref'!$C$33))</f>
        <v/>
      </c>
      <c r="BF22" s="21" t="str">
        <f>IF($C22="","",BA22*INDEX($C$6:$G$6,MATCH(F22,$C$4:$G$4,0))+IF(H22="XLPE",BB22*INDEX($C$6:$G$6,MATCH("XLPE",$C$4:$G$4,0)),0)+IF(H22="PVC",(BB22+BC22+BD22)*INDEX($C$6:$G$6,MATCH("PVC",$C$4:$G$4,0)),(BC22+BD22)*INDEX($C$6:$G$6,MATCH("PVC",$C$4:$G$4,0)))+IF(J22="Unarmored",0,IF(OR(J22="Aluminium Flat Strip",J22="Aluminium Round Wired"),BE22*INDEX($C$6:$G$6,MATCH("Aluminium",$C$4:$G$4,0)),BE22*INDEX($C$6:$G$6,MATCH("Steel Wire",$C$4:$G$4,0))))+AZ22*(1+'Assumptions &amp; Ref'!$C$34)*INDEX($C$6:$G$6,MATCH("Copper",$C$4:$G$4,0))*'Assumptions &amp; Ref'!$C$67+AX22*(1+'Assumptions &amp; Ref'!$C$35)*INDEX($C$6:$G$6,MATCH("XLPE",$C$4:$G$4,0))+AY22*(1+'Assumptions &amp; Ref'!$C$35)*INDEX($C$6:$G$6,MATCH("XLPE",$C$4:$G$4,0)))</f>
        <v/>
      </c>
      <c r="BG22" s="22" t="str">
        <f>IF($C22="","",IF(L22="Y",'Assumptions &amp; Ref'!$C$53,0)+IF(M22="Y",'Assumptions &amp; Ref'!$C$54,0)+IF(N22="Y",'Assumptions &amp; Ref'!$C$55,0)+IF(O22="Y",'Assumptions &amp; Ref'!$C$56,0)+IF(P22="Y",'Assumptions &amp; Ref'!$C$57,0)+IF(Q22="Y",'Assumptions &amp; Ref'!$C$58,0)+IF(R22="Y",'Assumptions &amp; Ref'!$C$59,0))</f>
        <v/>
      </c>
      <c r="BH22" s="23" t="str">
        <f>IF($C22="","",(IF($F22="Aluminium",'Assumptions &amp; Ref'!$D$28,'Assumptions &amp; Ref'!$C$28)+IF($F22="Aluminium",'Assumptions &amp; Ref'!$D$29,'Assumptions &amp; Ref'!$C$29)+IF($F22="Aluminium",'Assumptions &amp; Ref'!$D$30,'Assumptions &amp; Ref'!$C$30)+IF($F22="Aluminium",'Assumptions &amp; Ref'!$D$31,'Assumptions &amp; Ref'!$C$31))/IF($F22="Aluminium",'Assumptions &amp; Ref'!$D$27,'Assumptions &amp; Ref'!$C$27))</f>
        <v/>
      </c>
      <c r="BI22" s="23" t="str">
        <f>IF($C22="","",(IF($F22="Aluminium",'Assumptions &amp; Ref'!$F$28,'Assumptions &amp; Ref'!$E$28)+IF($F22="Aluminium",'Assumptions &amp; Ref'!$F$29,'Assumptions &amp; Ref'!$E$29)+IF($F22="Aluminium",'Assumptions &amp; Ref'!$F$30,'Assumptions &amp; Ref'!$E$30)+IF($F22="Aluminium",'Assumptions &amp; Ref'!$F$31,'Assumptions &amp; Ref'!$E$31))/IF($F22="Aluminium",'Assumptions &amp; Ref'!$F$27,'Assumptions &amp; Ref'!$E$27))</f>
        <v/>
      </c>
      <c r="BJ22" s="21" t="str">
        <f t="shared" si="20"/>
        <v/>
      </c>
      <c r="BK22" s="21" t="str">
        <f t="shared" si="21"/>
        <v/>
      </c>
      <c r="BL22" s="21" t="str">
        <f>IF($C22="","",BJ22*(1+BG22)*(1+IF($F22="Aluminium",'Assumptions &amp; Ref'!$D$31,'Assumptions &amp; Ref'!$C$31)))</f>
        <v/>
      </c>
      <c r="BM22" s="21" t="str">
        <f>IF($C22="","",BK22*(1+BG22)*(1+IF($F22="Aluminium",'Assumptions &amp; Ref'!$F$31,'Assumptions &amp; Ref'!$E$31)))</f>
        <v/>
      </c>
    </row>
    <row r="23" spans="2:65" ht="15" customHeight="1" x14ac:dyDescent="0.25">
      <c r="B23" s="13"/>
      <c r="C23" s="14"/>
      <c r="D23" s="14"/>
      <c r="E23" s="14"/>
      <c r="F23" s="14"/>
      <c r="G23" s="14"/>
      <c r="H23" s="14"/>
      <c r="I23" s="14"/>
      <c r="J23" s="14"/>
      <c r="K23" s="14"/>
      <c r="L23" s="15"/>
      <c r="M23" s="15"/>
      <c r="N23" s="15"/>
      <c r="O23" s="15"/>
      <c r="P23" s="15"/>
      <c r="Q23" s="15"/>
      <c r="R23" s="15"/>
      <c r="S23" s="16" t="str">
        <f t="shared" si="0"/>
        <v/>
      </c>
      <c r="T23" s="16" t="str">
        <f t="shared" si="1"/>
        <v/>
      </c>
      <c r="U23" s="17" t="str">
        <f t="shared" si="2"/>
        <v/>
      </c>
      <c r="V23" s="18" t="str">
        <f t="shared" si="3"/>
        <v/>
      </c>
      <c r="W23" s="19" t="str">
        <f>IF($C23="","",IF(F23="Copper",BA23,0)+AZ23*(1+'Assumptions &amp; Ref'!$C$34))</f>
        <v/>
      </c>
      <c r="X23" s="19" t="str">
        <f>IF($C23="","",AZ23*(1+'Assumptions &amp; Ref'!$C$34))</f>
        <v/>
      </c>
      <c r="Y23" s="19" t="str">
        <f>IF($C23="","",AX23*(1+'Assumptions &amp; Ref'!$C$35))</f>
        <v/>
      </c>
      <c r="Z23" s="19" t="str">
        <f>IF($C23="","",AY23*(1+'Assumptions &amp; Ref'!$C$35))</f>
        <v/>
      </c>
      <c r="AB23" s="20" t="str">
        <f t="shared" si="4"/>
        <v/>
      </c>
      <c r="AC23" s="20" t="str">
        <f t="shared" si="5"/>
        <v/>
      </c>
      <c r="AD23" s="20" t="str">
        <f t="shared" si="6"/>
        <v/>
      </c>
      <c r="AE23" s="20" t="str">
        <f t="shared" si="7"/>
        <v/>
      </c>
      <c r="AF23" s="20" t="str">
        <f>IF($C23="","",IFERROR(IF($G23="33kV",INDEX('Assumptions &amp; Ref'!$H$109:$H$122,MATCH(E23,'Assumptions &amp; Ref'!$B$109:$B$122,1)),IF($G23="22kV",INDEX('Assumptions &amp; Ref'!$G$109:$G$122,MATCH(E23,'Assumptions &amp; Ref'!$B$109:$B$122,1)),IF($G23="11kV",INDEX('Assumptions &amp; Ref'!$F$109:$F$122,MATCH(E23,'Assumptions &amp; Ref'!$B$109:$B$122,1)),IF($G23="6.6kV",INDEX('Assumptions &amp; Ref'!$D$109:$D$122,MATCH(E23,'Assumptions &amp; Ref'!$B$109:$B$122,1)),INDEX('Assumptions &amp; Ref'!$C$109:$C$122,MATCH(E23,'Assumptions &amp; Ref'!$B$109:$B$122,1)))))),INDEX('Assumptions &amp; Ref'!$C$109:$C$122,1)))</f>
        <v/>
      </c>
      <c r="AG23" s="20" t="str">
        <f t="shared" si="8"/>
        <v/>
      </c>
      <c r="AH23" s="20" t="str">
        <f t="shared" si="9"/>
        <v/>
      </c>
      <c r="AI23" s="20" t="str">
        <f>IF($C23="","",IF(C23=3.5,IFERROR(INDEX('Assumptions &amp; Ref'!$G$93:$G$105,MATCH(E23,'Assumptions &amp; Ref'!$F$93:$F$105,0)),0),0))</f>
        <v/>
      </c>
      <c r="AJ23" s="20" t="str">
        <f t="shared" si="10"/>
        <v/>
      </c>
      <c r="AK23" s="20" t="str">
        <f>IF($C23="","",IF(C23=3.5,IFERROR(IF($G23="33kV",INDEX('Assumptions &amp; Ref'!$H$109:$H$122,MATCH(AI23,'Assumptions &amp; Ref'!$B$109:$B$122,1)),IF($G23="22kV",INDEX('Assumptions &amp; Ref'!$G$109:$G$122,MATCH(AI23,'Assumptions &amp; Ref'!$B$109:$B$122,1)),IF($G23="11kV",INDEX('Assumptions &amp; Ref'!$E$109:$E$122,MATCH(AI23,'Assumptions &amp; Ref'!$B$109:$B$122,1)),IF($G23="6.6kV",INDEX('Assumptions &amp; Ref'!$D$109:$D$122,MATCH(AI23,'Assumptions &amp; Ref'!$B$109:$B$122,1)),INDEX('Assumptions &amp; Ref'!$C$109:$C$122,MATCH(AI23,'Assumptions &amp; Ref'!$B$109:$B$122,1)))))),0),0))</f>
        <v/>
      </c>
      <c r="AL23" s="20" t="str">
        <f t="shared" si="11"/>
        <v/>
      </c>
      <c r="AM23" s="20" t="str">
        <f t="shared" si="12"/>
        <v/>
      </c>
      <c r="AN23" s="20" t="str">
        <f>IF($C23="","",IFERROR(INDEX('Assumptions &amp; Ref'!$C$126:$C$130,MATCH(AM23,'Assumptions &amp; Ref'!$B$126:$B$130,1)),INDEX('Assumptions &amp; Ref'!$C$126:$C$130,1)))</f>
        <v/>
      </c>
      <c r="AO23" s="20" t="str">
        <f t="shared" si="13"/>
        <v/>
      </c>
      <c r="AP23" s="20" t="str">
        <f t="shared" si="14"/>
        <v/>
      </c>
      <c r="AQ23" s="20" t="str">
        <f>IF($C23="","",IF(J23="Unarmored",0,IF(OR(J23="Galvanised steel flat strip",J23="Aluminium Flat Strip"),IFERROR(INDEX('Assumptions &amp; Ref'!$F$126:$F$131,MATCH(AO23,'Assumptions &amp; Ref'!$E$126:$E$131,1)),INDEX('Assumptions &amp; Ref'!$F$126:$F$131,1)),IFERROR(INDEX('Assumptions &amp; Ref'!$G$126:$G$131,MATCH(AO23,'Assumptions &amp; Ref'!$E$126:$E$131,1)),INDEX('Assumptions &amp; Ref'!$G$126:$G$131,1)))))</f>
        <v/>
      </c>
      <c r="AR23" s="20" t="str">
        <f t="shared" si="15"/>
        <v/>
      </c>
      <c r="AS23" s="20" t="str">
        <f t="shared" si="16"/>
        <v/>
      </c>
      <c r="AT23" s="20" t="str">
        <f>IF($C23="","",IFERROR(INDEX('Assumptions &amp; Ref'!$J$126:$J$136,MATCH(AR23,'Assumptions &amp; Ref'!$I$126:$I$136,1)),INDEX('Assumptions &amp; Ref'!$J$126:$J$136,1)))</f>
        <v/>
      </c>
      <c r="AU23" s="20" t="str">
        <f t="shared" si="17"/>
        <v/>
      </c>
      <c r="AV23" s="20" t="str">
        <f t="shared" si="18"/>
        <v/>
      </c>
      <c r="AW23" s="20" t="str">
        <f t="shared" si="19"/>
        <v/>
      </c>
      <c r="AX23" s="20" t="str">
        <f>IF($C23="","",PI()*((AD23+2*'Assumptions &amp; Ref'!$C$63)^2-AD23^2)/4*'Assumptions &amp; Ref'!$C$62)</f>
        <v/>
      </c>
      <c r="AY23" s="20" t="str">
        <f>IF($C23="","",PI()*((AG23+2*'Assumptions &amp; Ref'!$C$64)^2-AG23^2)/4*'Assumptions &amp; Ref'!$C$62)</f>
        <v/>
      </c>
      <c r="AZ23" s="20" t="str">
        <f>IF($C23="","",(AU23-'Assumptions &amp; Ref'!$C$65)*PI()*('Assumptions &amp; Ref'!$C$65*'Assumptions &amp; Ref'!$C$66)*INDEX($C$5:$G$5,MATCH("Copper",$C$4:$G$4,0)))</f>
        <v/>
      </c>
      <c r="BA23" s="20" t="str">
        <f>IF($C23="","",((E23*AE23*IF(C23=3.5,3,C23))+(AI23*AE23*IF(C23=3.5,1,0)))*(1+'Assumptions &amp; Ref'!$C$33))</f>
        <v/>
      </c>
      <c r="BB23" s="20" t="str">
        <f>IF($C23="","",IF(C23=3.5,((AB23/360)*PI()*(AG23^2-AD23^2)/4*AH23*3)+((AC23/360)*PI()*(AL23^2-AJ23^2)/4*AH23),(AB23/360)*PI()*(AG23^2-AD23^2)/4*AH23*C23)*(1+'Assumptions &amp; Ref'!$C$33))</f>
        <v/>
      </c>
      <c r="BC23" s="20" t="str">
        <f>IF($C23="","",PI()*(AO23^2-AM23^2)/4*AP23*(1+'Assumptions &amp; Ref'!$C$33))</f>
        <v/>
      </c>
      <c r="BD23" s="20" t="str">
        <f>IF($C23="","",PI()*(AW23^2-AU23^2)/4*AV23*(1+'Assumptions &amp; Ref'!$C$33))</f>
        <v/>
      </c>
      <c r="BE23" s="20" t="str">
        <f>IF($C23="","",PI()*(AR23^2-AO23^2)/4*AS23*(1+'Assumptions &amp; Ref'!$C$33))</f>
        <v/>
      </c>
      <c r="BF23" s="21" t="str">
        <f>IF($C23="","",BA23*INDEX($C$6:$G$6,MATCH(F23,$C$4:$G$4,0))+IF(H23="XLPE",BB23*INDEX($C$6:$G$6,MATCH("XLPE",$C$4:$G$4,0)),0)+IF(H23="PVC",(BB23+BC23+BD23)*INDEX($C$6:$G$6,MATCH("PVC",$C$4:$G$4,0)),(BC23+BD23)*INDEX($C$6:$G$6,MATCH("PVC",$C$4:$G$4,0)))+IF(J23="Unarmored",0,IF(OR(J23="Aluminium Flat Strip",J23="Aluminium Round Wired"),BE23*INDEX($C$6:$G$6,MATCH("Aluminium",$C$4:$G$4,0)),BE23*INDEX($C$6:$G$6,MATCH("Steel Wire",$C$4:$G$4,0))))+AZ23*(1+'Assumptions &amp; Ref'!$C$34)*INDEX($C$6:$G$6,MATCH("Copper",$C$4:$G$4,0))*'Assumptions &amp; Ref'!$C$67+AX23*(1+'Assumptions &amp; Ref'!$C$35)*INDEX($C$6:$G$6,MATCH("XLPE",$C$4:$G$4,0))+AY23*(1+'Assumptions &amp; Ref'!$C$35)*INDEX($C$6:$G$6,MATCH("XLPE",$C$4:$G$4,0)))</f>
        <v/>
      </c>
      <c r="BG23" s="22" t="str">
        <f>IF($C23="","",IF(L23="Y",'Assumptions &amp; Ref'!$C$53,0)+IF(M23="Y",'Assumptions &amp; Ref'!$C$54,0)+IF(N23="Y",'Assumptions &amp; Ref'!$C$55,0)+IF(O23="Y",'Assumptions &amp; Ref'!$C$56,0)+IF(P23="Y",'Assumptions &amp; Ref'!$C$57,0)+IF(Q23="Y",'Assumptions &amp; Ref'!$C$58,0)+IF(R23="Y",'Assumptions &amp; Ref'!$C$59,0))</f>
        <v/>
      </c>
      <c r="BH23" s="23" t="str">
        <f>IF($C23="","",(IF($F23="Aluminium",'Assumptions &amp; Ref'!$D$28,'Assumptions &amp; Ref'!$C$28)+IF($F23="Aluminium",'Assumptions &amp; Ref'!$D$29,'Assumptions &amp; Ref'!$C$29)+IF($F23="Aluminium",'Assumptions &amp; Ref'!$D$30,'Assumptions &amp; Ref'!$C$30)+IF($F23="Aluminium",'Assumptions &amp; Ref'!$D$31,'Assumptions &amp; Ref'!$C$31))/IF($F23="Aluminium",'Assumptions &amp; Ref'!$D$27,'Assumptions &amp; Ref'!$C$27))</f>
        <v/>
      </c>
      <c r="BI23" s="23" t="str">
        <f>IF($C23="","",(IF($F23="Aluminium",'Assumptions &amp; Ref'!$F$28,'Assumptions &amp; Ref'!$E$28)+IF($F23="Aluminium",'Assumptions &amp; Ref'!$F$29,'Assumptions &amp; Ref'!$E$29)+IF($F23="Aluminium",'Assumptions &amp; Ref'!$F$30,'Assumptions &amp; Ref'!$E$30)+IF($F23="Aluminium",'Assumptions &amp; Ref'!$F$31,'Assumptions &amp; Ref'!$E$31))/IF($F23="Aluminium",'Assumptions &amp; Ref'!$F$27,'Assumptions &amp; Ref'!$E$27))</f>
        <v/>
      </c>
      <c r="BJ23" s="21" t="str">
        <f t="shared" si="20"/>
        <v/>
      </c>
      <c r="BK23" s="21" t="str">
        <f t="shared" si="21"/>
        <v/>
      </c>
      <c r="BL23" s="21" t="str">
        <f>IF($C23="","",BJ23*(1+BG23)*(1+IF($F23="Aluminium",'Assumptions &amp; Ref'!$D$31,'Assumptions &amp; Ref'!$C$31)))</f>
        <v/>
      </c>
      <c r="BM23" s="21" t="str">
        <f>IF($C23="","",BK23*(1+BG23)*(1+IF($F23="Aluminium",'Assumptions &amp; Ref'!$F$31,'Assumptions &amp; Ref'!$E$31)))</f>
        <v/>
      </c>
    </row>
    <row r="24" spans="2:65" ht="15" customHeight="1" x14ac:dyDescent="0.25">
      <c r="B24" s="13"/>
      <c r="C24" s="14"/>
      <c r="D24" s="14"/>
      <c r="E24" s="14"/>
      <c r="F24" s="14"/>
      <c r="G24" s="14"/>
      <c r="H24" s="14"/>
      <c r="I24" s="14"/>
      <c r="J24" s="14"/>
      <c r="K24" s="14"/>
      <c r="L24" s="15"/>
      <c r="M24" s="15"/>
      <c r="N24" s="15"/>
      <c r="O24" s="15"/>
      <c r="P24" s="15"/>
      <c r="Q24" s="15"/>
      <c r="R24" s="15"/>
      <c r="S24" s="16" t="str">
        <f t="shared" si="0"/>
        <v/>
      </c>
      <c r="T24" s="16" t="str">
        <f t="shared" si="1"/>
        <v/>
      </c>
      <c r="U24" s="17" t="str">
        <f t="shared" si="2"/>
        <v/>
      </c>
      <c r="V24" s="18" t="str">
        <f t="shared" si="3"/>
        <v/>
      </c>
      <c r="W24" s="19" t="str">
        <f>IF($C24="","",IF(F24="Copper",BA24,0)+AZ24*(1+'Assumptions &amp; Ref'!$C$34))</f>
        <v/>
      </c>
      <c r="X24" s="19" t="str">
        <f>IF($C24="","",AZ24*(1+'Assumptions &amp; Ref'!$C$34))</f>
        <v/>
      </c>
      <c r="Y24" s="19" t="str">
        <f>IF($C24="","",AX24*(1+'Assumptions &amp; Ref'!$C$35))</f>
        <v/>
      </c>
      <c r="Z24" s="19" t="str">
        <f>IF($C24="","",AY24*(1+'Assumptions &amp; Ref'!$C$35))</f>
        <v/>
      </c>
      <c r="AB24" s="20" t="str">
        <f t="shared" si="4"/>
        <v/>
      </c>
      <c r="AC24" s="20" t="str">
        <f t="shared" si="5"/>
        <v/>
      </c>
      <c r="AD24" s="20" t="str">
        <f t="shared" si="6"/>
        <v/>
      </c>
      <c r="AE24" s="20" t="str">
        <f t="shared" si="7"/>
        <v/>
      </c>
      <c r="AF24" s="20" t="str">
        <f>IF($C24="","",IFERROR(IF($G24="33kV",INDEX('Assumptions &amp; Ref'!$H$109:$H$122,MATCH(E24,'Assumptions &amp; Ref'!$B$109:$B$122,1)),IF($G24="22kV",INDEX('Assumptions &amp; Ref'!$G$109:$G$122,MATCH(E24,'Assumptions &amp; Ref'!$B$109:$B$122,1)),IF($G24="11kV",INDEX('Assumptions &amp; Ref'!$F$109:$F$122,MATCH(E24,'Assumptions &amp; Ref'!$B$109:$B$122,1)),IF($G24="6.6kV",INDEX('Assumptions &amp; Ref'!$D$109:$D$122,MATCH(E24,'Assumptions &amp; Ref'!$B$109:$B$122,1)),INDEX('Assumptions &amp; Ref'!$C$109:$C$122,MATCH(E24,'Assumptions &amp; Ref'!$B$109:$B$122,1)))))),INDEX('Assumptions &amp; Ref'!$C$109:$C$122,1)))</f>
        <v/>
      </c>
      <c r="AG24" s="20" t="str">
        <f t="shared" si="8"/>
        <v/>
      </c>
      <c r="AH24" s="20" t="str">
        <f t="shared" si="9"/>
        <v/>
      </c>
      <c r="AI24" s="20" t="str">
        <f>IF($C24="","",IF(C24=3.5,IFERROR(INDEX('Assumptions &amp; Ref'!$G$93:$G$105,MATCH(E24,'Assumptions &amp; Ref'!$F$93:$F$105,0)),0),0))</f>
        <v/>
      </c>
      <c r="AJ24" s="20" t="str">
        <f t="shared" si="10"/>
        <v/>
      </c>
      <c r="AK24" s="20" t="str">
        <f>IF($C24="","",IF(C24=3.5,IFERROR(IF($G24="33kV",INDEX('Assumptions &amp; Ref'!$H$109:$H$122,MATCH(AI24,'Assumptions &amp; Ref'!$B$109:$B$122,1)),IF($G24="22kV",INDEX('Assumptions &amp; Ref'!$G$109:$G$122,MATCH(AI24,'Assumptions &amp; Ref'!$B$109:$B$122,1)),IF($G24="11kV",INDEX('Assumptions &amp; Ref'!$E$109:$E$122,MATCH(AI24,'Assumptions &amp; Ref'!$B$109:$B$122,1)),IF($G24="6.6kV",INDEX('Assumptions &amp; Ref'!$D$109:$D$122,MATCH(AI24,'Assumptions &amp; Ref'!$B$109:$B$122,1)),INDEX('Assumptions &amp; Ref'!$C$109:$C$122,MATCH(AI24,'Assumptions &amp; Ref'!$B$109:$B$122,1)))))),0),0))</f>
        <v/>
      </c>
      <c r="AL24" s="20" t="str">
        <f t="shared" si="11"/>
        <v/>
      </c>
      <c r="AM24" s="20" t="str">
        <f t="shared" si="12"/>
        <v/>
      </c>
      <c r="AN24" s="20" t="str">
        <f>IF($C24="","",IFERROR(INDEX('Assumptions &amp; Ref'!$C$126:$C$130,MATCH(AM24,'Assumptions &amp; Ref'!$B$126:$B$130,1)),INDEX('Assumptions &amp; Ref'!$C$126:$C$130,1)))</f>
        <v/>
      </c>
      <c r="AO24" s="20" t="str">
        <f t="shared" si="13"/>
        <v/>
      </c>
      <c r="AP24" s="20" t="str">
        <f t="shared" si="14"/>
        <v/>
      </c>
      <c r="AQ24" s="20" t="str">
        <f>IF($C24="","",IF(J24="Unarmored",0,IF(OR(J24="Galvanised steel flat strip",J24="Aluminium Flat Strip"),IFERROR(INDEX('Assumptions &amp; Ref'!$F$126:$F$131,MATCH(AO24,'Assumptions &amp; Ref'!$E$126:$E$131,1)),INDEX('Assumptions &amp; Ref'!$F$126:$F$131,1)),IFERROR(INDEX('Assumptions &amp; Ref'!$G$126:$G$131,MATCH(AO24,'Assumptions &amp; Ref'!$E$126:$E$131,1)),INDEX('Assumptions &amp; Ref'!$G$126:$G$131,1)))))</f>
        <v/>
      </c>
      <c r="AR24" s="20" t="str">
        <f t="shared" si="15"/>
        <v/>
      </c>
      <c r="AS24" s="20" t="str">
        <f t="shared" si="16"/>
        <v/>
      </c>
      <c r="AT24" s="20" t="str">
        <f>IF($C24="","",IFERROR(INDEX('Assumptions &amp; Ref'!$J$126:$J$136,MATCH(AR24,'Assumptions &amp; Ref'!$I$126:$I$136,1)),INDEX('Assumptions &amp; Ref'!$J$126:$J$136,1)))</f>
        <v/>
      </c>
      <c r="AU24" s="20" t="str">
        <f t="shared" si="17"/>
        <v/>
      </c>
      <c r="AV24" s="20" t="str">
        <f t="shared" si="18"/>
        <v/>
      </c>
      <c r="AW24" s="20" t="str">
        <f t="shared" si="19"/>
        <v/>
      </c>
      <c r="AX24" s="20" t="str">
        <f>IF($C24="","",PI()*((AD24+2*'Assumptions &amp; Ref'!$C$63)^2-AD24^2)/4*'Assumptions &amp; Ref'!$C$62)</f>
        <v/>
      </c>
      <c r="AY24" s="20" t="str">
        <f>IF($C24="","",PI()*((AG24+2*'Assumptions &amp; Ref'!$C$64)^2-AG24^2)/4*'Assumptions &amp; Ref'!$C$62)</f>
        <v/>
      </c>
      <c r="AZ24" s="20" t="str">
        <f>IF($C24="","",(AU24-'Assumptions &amp; Ref'!$C$65)*PI()*('Assumptions &amp; Ref'!$C$65*'Assumptions &amp; Ref'!$C$66)*INDEX($C$5:$G$5,MATCH("Copper",$C$4:$G$4,0)))</f>
        <v/>
      </c>
      <c r="BA24" s="20" t="str">
        <f>IF($C24="","",((E24*AE24*IF(C24=3.5,3,C24))+(AI24*AE24*IF(C24=3.5,1,0)))*(1+'Assumptions &amp; Ref'!$C$33))</f>
        <v/>
      </c>
      <c r="BB24" s="20" t="str">
        <f>IF($C24="","",IF(C24=3.5,((AB24/360)*PI()*(AG24^2-AD24^2)/4*AH24*3)+((AC24/360)*PI()*(AL24^2-AJ24^2)/4*AH24),(AB24/360)*PI()*(AG24^2-AD24^2)/4*AH24*C24)*(1+'Assumptions &amp; Ref'!$C$33))</f>
        <v/>
      </c>
      <c r="BC24" s="20" t="str">
        <f>IF($C24="","",PI()*(AO24^2-AM24^2)/4*AP24*(1+'Assumptions &amp; Ref'!$C$33))</f>
        <v/>
      </c>
      <c r="BD24" s="20" t="str">
        <f>IF($C24="","",PI()*(AW24^2-AU24^2)/4*AV24*(1+'Assumptions &amp; Ref'!$C$33))</f>
        <v/>
      </c>
      <c r="BE24" s="20" t="str">
        <f>IF($C24="","",PI()*(AR24^2-AO24^2)/4*AS24*(1+'Assumptions &amp; Ref'!$C$33))</f>
        <v/>
      </c>
      <c r="BF24" s="21" t="str">
        <f>IF($C24="","",BA24*INDEX($C$6:$G$6,MATCH(F24,$C$4:$G$4,0))+IF(H24="XLPE",BB24*INDEX($C$6:$G$6,MATCH("XLPE",$C$4:$G$4,0)),0)+IF(H24="PVC",(BB24+BC24+BD24)*INDEX($C$6:$G$6,MATCH("PVC",$C$4:$G$4,0)),(BC24+BD24)*INDEX($C$6:$G$6,MATCH("PVC",$C$4:$G$4,0)))+IF(J24="Unarmored",0,IF(OR(J24="Aluminium Flat Strip",J24="Aluminium Round Wired"),BE24*INDEX($C$6:$G$6,MATCH("Aluminium",$C$4:$G$4,0)),BE24*INDEX($C$6:$G$6,MATCH("Steel Wire",$C$4:$G$4,0))))+AZ24*(1+'Assumptions &amp; Ref'!$C$34)*INDEX($C$6:$G$6,MATCH("Copper",$C$4:$G$4,0))*'Assumptions &amp; Ref'!$C$67+AX24*(1+'Assumptions &amp; Ref'!$C$35)*INDEX($C$6:$G$6,MATCH("XLPE",$C$4:$G$4,0))+AY24*(1+'Assumptions &amp; Ref'!$C$35)*INDEX($C$6:$G$6,MATCH("XLPE",$C$4:$G$4,0)))</f>
        <v/>
      </c>
      <c r="BG24" s="22" t="str">
        <f>IF($C24="","",IF(L24="Y",'Assumptions &amp; Ref'!$C$53,0)+IF(M24="Y",'Assumptions &amp; Ref'!$C$54,0)+IF(N24="Y",'Assumptions &amp; Ref'!$C$55,0)+IF(O24="Y",'Assumptions &amp; Ref'!$C$56,0)+IF(P24="Y",'Assumptions &amp; Ref'!$C$57,0)+IF(Q24="Y",'Assumptions &amp; Ref'!$C$58,0)+IF(R24="Y",'Assumptions &amp; Ref'!$C$59,0))</f>
        <v/>
      </c>
      <c r="BH24" s="23" t="str">
        <f>IF($C24="","",(IF($F24="Aluminium",'Assumptions &amp; Ref'!$D$28,'Assumptions &amp; Ref'!$C$28)+IF($F24="Aluminium",'Assumptions &amp; Ref'!$D$29,'Assumptions &amp; Ref'!$C$29)+IF($F24="Aluminium",'Assumptions &amp; Ref'!$D$30,'Assumptions &amp; Ref'!$C$30)+IF($F24="Aluminium",'Assumptions &amp; Ref'!$D$31,'Assumptions &amp; Ref'!$C$31))/IF($F24="Aluminium",'Assumptions &amp; Ref'!$D$27,'Assumptions &amp; Ref'!$C$27))</f>
        <v/>
      </c>
      <c r="BI24" s="23" t="str">
        <f>IF($C24="","",(IF($F24="Aluminium",'Assumptions &amp; Ref'!$F$28,'Assumptions &amp; Ref'!$E$28)+IF($F24="Aluminium",'Assumptions &amp; Ref'!$F$29,'Assumptions &amp; Ref'!$E$29)+IF($F24="Aluminium",'Assumptions &amp; Ref'!$F$30,'Assumptions &amp; Ref'!$E$30)+IF($F24="Aluminium",'Assumptions &amp; Ref'!$F$31,'Assumptions &amp; Ref'!$E$31))/IF($F24="Aluminium",'Assumptions &amp; Ref'!$F$27,'Assumptions &amp; Ref'!$E$27))</f>
        <v/>
      </c>
      <c r="BJ24" s="21" t="str">
        <f t="shared" si="20"/>
        <v/>
      </c>
      <c r="BK24" s="21" t="str">
        <f t="shared" si="21"/>
        <v/>
      </c>
      <c r="BL24" s="21" t="str">
        <f>IF($C24="","",BJ24*(1+BG24)*(1+IF($F24="Aluminium",'Assumptions &amp; Ref'!$D$31,'Assumptions &amp; Ref'!$C$31)))</f>
        <v/>
      </c>
      <c r="BM24" s="21" t="str">
        <f>IF($C24="","",BK24*(1+BG24)*(1+IF($F24="Aluminium",'Assumptions &amp; Ref'!$F$31,'Assumptions &amp; Ref'!$E$31)))</f>
        <v/>
      </c>
    </row>
    <row r="25" spans="2:65" ht="15" customHeight="1" x14ac:dyDescent="0.25">
      <c r="B25" s="13"/>
      <c r="C25" s="14"/>
      <c r="D25" s="14"/>
      <c r="E25" s="14"/>
      <c r="F25" s="14"/>
      <c r="G25" s="14"/>
      <c r="H25" s="14"/>
      <c r="I25" s="14"/>
      <c r="J25" s="14"/>
      <c r="K25" s="14"/>
      <c r="L25" s="15"/>
      <c r="M25" s="15"/>
      <c r="N25" s="15"/>
      <c r="O25" s="15"/>
      <c r="P25" s="15"/>
      <c r="Q25" s="15"/>
      <c r="R25" s="15"/>
      <c r="S25" s="16" t="str">
        <f t="shared" si="0"/>
        <v/>
      </c>
      <c r="T25" s="16" t="str">
        <f t="shared" si="1"/>
        <v/>
      </c>
      <c r="U25" s="17" t="str">
        <f t="shared" si="2"/>
        <v/>
      </c>
      <c r="V25" s="18" t="str">
        <f t="shared" si="3"/>
        <v/>
      </c>
      <c r="W25" s="19" t="str">
        <f>IF($C25="","",IF(F25="Copper",BA25,0)+AZ25*(1+'Assumptions &amp; Ref'!$C$34))</f>
        <v/>
      </c>
      <c r="X25" s="19" t="str">
        <f>IF($C25="","",AZ25*(1+'Assumptions &amp; Ref'!$C$34))</f>
        <v/>
      </c>
      <c r="Y25" s="19" t="str">
        <f>IF($C25="","",AX25*(1+'Assumptions &amp; Ref'!$C$35))</f>
        <v/>
      </c>
      <c r="Z25" s="19" t="str">
        <f>IF($C25="","",AY25*(1+'Assumptions &amp; Ref'!$C$35))</f>
        <v/>
      </c>
      <c r="AB25" s="20" t="str">
        <f t="shared" si="4"/>
        <v/>
      </c>
      <c r="AC25" s="20" t="str">
        <f t="shared" si="5"/>
        <v/>
      </c>
      <c r="AD25" s="20" t="str">
        <f t="shared" si="6"/>
        <v/>
      </c>
      <c r="AE25" s="20" t="str">
        <f t="shared" si="7"/>
        <v/>
      </c>
      <c r="AF25" s="20" t="str">
        <f>IF($C25="","",IFERROR(IF($G25="33kV",INDEX('Assumptions &amp; Ref'!$H$109:$H$122,MATCH(E25,'Assumptions &amp; Ref'!$B$109:$B$122,1)),IF($G25="22kV",INDEX('Assumptions &amp; Ref'!$G$109:$G$122,MATCH(E25,'Assumptions &amp; Ref'!$B$109:$B$122,1)),IF($G25="11kV",INDEX('Assumptions &amp; Ref'!$F$109:$F$122,MATCH(E25,'Assumptions &amp; Ref'!$B$109:$B$122,1)),IF($G25="6.6kV",INDEX('Assumptions &amp; Ref'!$D$109:$D$122,MATCH(E25,'Assumptions &amp; Ref'!$B$109:$B$122,1)),INDEX('Assumptions &amp; Ref'!$C$109:$C$122,MATCH(E25,'Assumptions &amp; Ref'!$B$109:$B$122,1)))))),INDEX('Assumptions &amp; Ref'!$C$109:$C$122,1)))</f>
        <v/>
      </c>
      <c r="AG25" s="20" t="str">
        <f t="shared" si="8"/>
        <v/>
      </c>
      <c r="AH25" s="20" t="str">
        <f t="shared" si="9"/>
        <v/>
      </c>
      <c r="AI25" s="20" t="str">
        <f>IF($C25="","",IF(C25=3.5,IFERROR(INDEX('Assumptions &amp; Ref'!$G$93:$G$105,MATCH(E25,'Assumptions &amp; Ref'!$F$93:$F$105,0)),0),0))</f>
        <v/>
      </c>
      <c r="AJ25" s="20" t="str">
        <f t="shared" si="10"/>
        <v/>
      </c>
      <c r="AK25" s="20" t="str">
        <f>IF($C25="","",IF(C25=3.5,IFERROR(IF($G25="33kV",INDEX('Assumptions &amp; Ref'!$H$109:$H$122,MATCH(AI25,'Assumptions &amp; Ref'!$B$109:$B$122,1)),IF($G25="22kV",INDEX('Assumptions &amp; Ref'!$G$109:$G$122,MATCH(AI25,'Assumptions &amp; Ref'!$B$109:$B$122,1)),IF($G25="11kV",INDEX('Assumptions &amp; Ref'!$E$109:$E$122,MATCH(AI25,'Assumptions &amp; Ref'!$B$109:$B$122,1)),IF($G25="6.6kV",INDEX('Assumptions &amp; Ref'!$D$109:$D$122,MATCH(AI25,'Assumptions &amp; Ref'!$B$109:$B$122,1)),INDEX('Assumptions &amp; Ref'!$C$109:$C$122,MATCH(AI25,'Assumptions &amp; Ref'!$B$109:$B$122,1)))))),0),0))</f>
        <v/>
      </c>
      <c r="AL25" s="20" t="str">
        <f t="shared" si="11"/>
        <v/>
      </c>
      <c r="AM25" s="20" t="str">
        <f t="shared" si="12"/>
        <v/>
      </c>
      <c r="AN25" s="20" t="str">
        <f>IF($C25="","",IFERROR(INDEX('Assumptions &amp; Ref'!$C$126:$C$130,MATCH(AM25,'Assumptions &amp; Ref'!$B$126:$B$130,1)),INDEX('Assumptions &amp; Ref'!$C$126:$C$130,1)))</f>
        <v/>
      </c>
      <c r="AO25" s="20" t="str">
        <f t="shared" si="13"/>
        <v/>
      </c>
      <c r="AP25" s="20" t="str">
        <f t="shared" si="14"/>
        <v/>
      </c>
      <c r="AQ25" s="20" t="str">
        <f>IF($C25="","",IF(J25="Unarmored",0,IF(OR(J25="Galvanised steel flat strip",J25="Aluminium Flat Strip"),IFERROR(INDEX('Assumptions &amp; Ref'!$F$126:$F$131,MATCH(AO25,'Assumptions &amp; Ref'!$E$126:$E$131,1)),INDEX('Assumptions &amp; Ref'!$F$126:$F$131,1)),IFERROR(INDEX('Assumptions &amp; Ref'!$G$126:$G$131,MATCH(AO25,'Assumptions &amp; Ref'!$E$126:$E$131,1)),INDEX('Assumptions &amp; Ref'!$G$126:$G$131,1)))))</f>
        <v/>
      </c>
      <c r="AR25" s="20" t="str">
        <f t="shared" si="15"/>
        <v/>
      </c>
      <c r="AS25" s="20" t="str">
        <f t="shared" si="16"/>
        <v/>
      </c>
      <c r="AT25" s="20" t="str">
        <f>IF($C25="","",IFERROR(INDEX('Assumptions &amp; Ref'!$J$126:$J$136,MATCH(AR25,'Assumptions &amp; Ref'!$I$126:$I$136,1)),INDEX('Assumptions &amp; Ref'!$J$126:$J$136,1)))</f>
        <v/>
      </c>
      <c r="AU25" s="20" t="str">
        <f t="shared" si="17"/>
        <v/>
      </c>
      <c r="AV25" s="20" t="str">
        <f t="shared" si="18"/>
        <v/>
      </c>
      <c r="AW25" s="20" t="str">
        <f t="shared" si="19"/>
        <v/>
      </c>
      <c r="AX25" s="20" t="str">
        <f>IF($C25="","",PI()*((AD25+2*'Assumptions &amp; Ref'!$C$63)^2-AD25^2)/4*'Assumptions &amp; Ref'!$C$62)</f>
        <v/>
      </c>
      <c r="AY25" s="20" t="str">
        <f>IF($C25="","",PI()*((AG25+2*'Assumptions &amp; Ref'!$C$64)^2-AG25^2)/4*'Assumptions &amp; Ref'!$C$62)</f>
        <v/>
      </c>
      <c r="AZ25" s="20" t="str">
        <f>IF($C25="","",(AU25-'Assumptions &amp; Ref'!$C$65)*PI()*('Assumptions &amp; Ref'!$C$65*'Assumptions &amp; Ref'!$C$66)*INDEX($C$5:$G$5,MATCH("Copper",$C$4:$G$4,0)))</f>
        <v/>
      </c>
      <c r="BA25" s="20" t="str">
        <f>IF($C25="","",((E25*AE25*IF(C25=3.5,3,C25))+(AI25*AE25*IF(C25=3.5,1,0)))*(1+'Assumptions &amp; Ref'!$C$33))</f>
        <v/>
      </c>
      <c r="BB25" s="20" t="str">
        <f>IF($C25="","",IF(C25=3.5,((AB25/360)*PI()*(AG25^2-AD25^2)/4*AH25*3)+((AC25/360)*PI()*(AL25^2-AJ25^2)/4*AH25),(AB25/360)*PI()*(AG25^2-AD25^2)/4*AH25*C25)*(1+'Assumptions &amp; Ref'!$C$33))</f>
        <v/>
      </c>
      <c r="BC25" s="20" t="str">
        <f>IF($C25="","",PI()*(AO25^2-AM25^2)/4*AP25*(1+'Assumptions &amp; Ref'!$C$33))</f>
        <v/>
      </c>
      <c r="BD25" s="20" t="str">
        <f>IF($C25="","",PI()*(AW25^2-AU25^2)/4*AV25*(1+'Assumptions &amp; Ref'!$C$33))</f>
        <v/>
      </c>
      <c r="BE25" s="20" t="str">
        <f>IF($C25="","",PI()*(AR25^2-AO25^2)/4*AS25*(1+'Assumptions &amp; Ref'!$C$33))</f>
        <v/>
      </c>
      <c r="BF25" s="21" t="str">
        <f>IF($C25="","",BA25*INDEX($C$6:$G$6,MATCH(F25,$C$4:$G$4,0))+IF(H25="XLPE",BB25*INDEX($C$6:$G$6,MATCH("XLPE",$C$4:$G$4,0)),0)+IF(H25="PVC",(BB25+BC25+BD25)*INDEX($C$6:$G$6,MATCH("PVC",$C$4:$G$4,0)),(BC25+BD25)*INDEX($C$6:$G$6,MATCH("PVC",$C$4:$G$4,0)))+IF(J25="Unarmored",0,IF(OR(J25="Aluminium Flat Strip",J25="Aluminium Round Wired"),BE25*INDEX($C$6:$G$6,MATCH("Aluminium",$C$4:$G$4,0)),BE25*INDEX($C$6:$G$6,MATCH("Steel Wire",$C$4:$G$4,0))))+AZ25*(1+'Assumptions &amp; Ref'!$C$34)*INDEX($C$6:$G$6,MATCH("Copper",$C$4:$G$4,0))*'Assumptions &amp; Ref'!$C$67+AX25*(1+'Assumptions &amp; Ref'!$C$35)*INDEX($C$6:$G$6,MATCH("XLPE",$C$4:$G$4,0))+AY25*(1+'Assumptions &amp; Ref'!$C$35)*INDEX($C$6:$G$6,MATCH("XLPE",$C$4:$G$4,0)))</f>
        <v/>
      </c>
      <c r="BG25" s="22" t="str">
        <f>IF($C25="","",IF(L25="Y",'Assumptions &amp; Ref'!$C$53,0)+IF(M25="Y",'Assumptions &amp; Ref'!$C$54,0)+IF(N25="Y",'Assumptions &amp; Ref'!$C$55,0)+IF(O25="Y",'Assumptions &amp; Ref'!$C$56,0)+IF(P25="Y",'Assumptions &amp; Ref'!$C$57,0)+IF(Q25="Y",'Assumptions &amp; Ref'!$C$58,0)+IF(R25="Y",'Assumptions &amp; Ref'!$C$59,0))</f>
        <v/>
      </c>
      <c r="BH25" s="23" t="str">
        <f>IF($C25="","",(IF($F25="Aluminium",'Assumptions &amp; Ref'!$D$28,'Assumptions &amp; Ref'!$C$28)+IF($F25="Aluminium",'Assumptions &amp; Ref'!$D$29,'Assumptions &amp; Ref'!$C$29)+IF($F25="Aluminium",'Assumptions &amp; Ref'!$D$30,'Assumptions &amp; Ref'!$C$30)+IF($F25="Aluminium",'Assumptions &amp; Ref'!$D$31,'Assumptions &amp; Ref'!$C$31))/IF($F25="Aluminium",'Assumptions &amp; Ref'!$D$27,'Assumptions &amp; Ref'!$C$27))</f>
        <v/>
      </c>
      <c r="BI25" s="23" t="str">
        <f>IF($C25="","",(IF($F25="Aluminium",'Assumptions &amp; Ref'!$F$28,'Assumptions &amp; Ref'!$E$28)+IF($F25="Aluminium",'Assumptions &amp; Ref'!$F$29,'Assumptions &amp; Ref'!$E$29)+IF($F25="Aluminium",'Assumptions &amp; Ref'!$F$30,'Assumptions &amp; Ref'!$E$30)+IF($F25="Aluminium",'Assumptions &amp; Ref'!$F$31,'Assumptions &amp; Ref'!$E$31))/IF($F25="Aluminium",'Assumptions &amp; Ref'!$F$27,'Assumptions &amp; Ref'!$E$27))</f>
        <v/>
      </c>
      <c r="BJ25" s="21" t="str">
        <f t="shared" si="20"/>
        <v/>
      </c>
      <c r="BK25" s="21" t="str">
        <f t="shared" si="21"/>
        <v/>
      </c>
      <c r="BL25" s="21" t="str">
        <f>IF($C25="","",BJ25*(1+BG25)*(1+IF($F25="Aluminium",'Assumptions &amp; Ref'!$D$31,'Assumptions &amp; Ref'!$C$31)))</f>
        <v/>
      </c>
      <c r="BM25" s="21" t="str">
        <f>IF($C25="","",BK25*(1+BG25)*(1+IF($F25="Aluminium",'Assumptions &amp; Ref'!$F$31,'Assumptions &amp; Ref'!$E$31)))</f>
        <v/>
      </c>
    </row>
    <row r="26" spans="2:65" ht="15" customHeight="1" x14ac:dyDescent="0.25">
      <c r="B26" s="13"/>
      <c r="C26" s="14"/>
      <c r="D26" s="14"/>
      <c r="E26" s="14"/>
      <c r="F26" s="14"/>
      <c r="G26" s="14"/>
      <c r="H26" s="14"/>
      <c r="I26" s="14"/>
      <c r="J26" s="14"/>
      <c r="K26" s="14"/>
      <c r="L26" s="15"/>
      <c r="M26" s="15"/>
      <c r="N26" s="15"/>
      <c r="O26" s="15"/>
      <c r="P26" s="15"/>
      <c r="Q26" s="15"/>
      <c r="R26" s="15"/>
      <c r="S26" s="16" t="str">
        <f t="shared" si="0"/>
        <v/>
      </c>
      <c r="T26" s="16" t="str">
        <f t="shared" si="1"/>
        <v/>
      </c>
      <c r="U26" s="17" t="str">
        <f t="shared" si="2"/>
        <v/>
      </c>
      <c r="V26" s="18" t="str">
        <f t="shared" si="3"/>
        <v/>
      </c>
      <c r="W26" s="19" t="str">
        <f>IF($C26="","",IF(F26="Copper",BA26,0)+AZ26*(1+'Assumptions &amp; Ref'!$C$34))</f>
        <v/>
      </c>
      <c r="X26" s="19" t="str">
        <f>IF($C26="","",AZ26*(1+'Assumptions &amp; Ref'!$C$34))</f>
        <v/>
      </c>
      <c r="Y26" s="19" t="str">
        <f>IF($C26="","",AX26*(1+'Assumptions &amp; Ref'!$C$35))</f>
        <v/>
      </c>
      <c r="Z26" s="19" t="str">
        <f>IF($C26="","",AY26*(1+'Assumptions &amp; Ref'!$C$35))</f>
        <v/>
      </c>
      <c r="AB26" s="20" t="str">
        <f t="shared" si="4"/>
        <v/>
      </c>
      <c r="AC26" s="20" t="str">
        <f t="shared" si="5"/>
        <v/>
      </c>
      <c r="AD26" s="20" t="str">
        <f t="shared" si="6"/>
        <v/>
      </c>
      <c r="AE26" s="20" t="str">
        <f t="shared" si="7"/>
        <v/>
      </c>
      <c r="AF26" s="20" t="str">
        <f>IF($C26="","",IFERROR(IF($G26="33kV",INDEX('Assumptions &amp; Ref'!$H$109:$H$122,MATCH(E26,'Assumptions &amp; Ref'!$B$109:$B$122,1)),IF($G26="22kV",INDEX('Assumptions &amp; Ref'!$G$109:$G$122,MATCH(E26,'Assumptions &amp; Ref'!$B$109:$B$122,1)),IF($G26="11kV",INDEX('Assumptions &amp; Ref'!$F$109:$F$122,MATCH(E26,'Assumptions &amp; Ref'!$B$109:$B$122,1)),IF($G26="6.6kV",INDEX('Assumptions &amp; Ref'!$D$109:$D$122,MATCH(E26,'Assumptions &amp; Ref'!$B$109:$B$122,1)),INDEX('Assumptions &amp; Ref'!$C$109:$C$122,MATCH(E26,'Assumptions &amp; Ref'!$B$109:$B$122,1)))))),INDEX('Assumptions &amp; Ref'!$C$109:$C$122,1)))</f>
        <v/>
      </c>
      <c r="AG26" s="20" t="str">
        <f t="shared" si="8"/>
        <v/>
      </c>
      <c r="AH26" s="20" t="str">
        <f t="shared" si="9"/>
        <v/>
      </c>
      <c r="AI26" s="20" t="str">
        <f>IF($C26="","",IF(C26=3.5,IFERROR(INDEX('Assumptions &amp; Ref'!$G$93:$G$105,MATCH(E26,'Assumptions &amp; Ref'!$F$93:$F$105,0)),0),0))</f>
        <v/>
      </c>
      <c r="AJ26" s="20" t="str">
        <f t="shared" si="10"/>
        <v/>
      </c>
      <c r="AK26" s="20" t="str">
        <f>IF($C26="","",IF(C26=3.5,IFERROR(IF($G26="33kV",INDEX('Assumptions &amp; Ref'!$H$109:$H$122,MATCH(AI26,'Assumptions &amp; Ref'!$B$109:$B$122,1)),IF($G26="22kV",INDEX('Assumptions &amp; Ref'!$G$109:$G$122,MATCH(AI26,'Assumptions &amp; Ref'!$B$109:$B$122,1)),IF($G26="11kV",INDEX('Assumptions &amp; Ref'!$E$109:$E$122,MATCH(AI26,'Assumptions &amp; Ref'!$B$109:$B$122,1)),IF($G26="6.6kV",INDEX('Assumptions &amp; Ref'!$D$109:$D$122,MATCH(AI26,'Assumptions &amp; Ref'!$B$109:$B$122,1)),INDEX('Assumptions &amp; Ref'!$C$109:$C$122,MATCH(AI26,'Assumptions &amp; Ref'!$B$109:$B$122,1)))))),0),0))</f>
        <v/>
      </c>
      <c r="AL26" s="20" t="str">
        <f t="shared" si="11"/>
        <v/>
      </c>
      <c r="AM26" s="20" t="str">
        <f t="shared" si="12"/>
        <v/>
      </c>
      <c r="AN26" s="20" t="str">
        <f>IF($C26="","",IFERROR(INDEX('Assumptions &amp; Ref'!$C$126:$C$130,MATCH(AM26,'Assumptions &amp; Ref'!$B$126:$B$130,1)),INDEX('Assumptions &amp; Ref'!$C$126:$C$130,1)))</f>
        <v/>
      </c>
      <c r="AO26" s="20" t="str">
        <f t="shared" si="13"/>
        <v/>
      </c>
      <c r="AP26" s="20" t="str">
        <f t="shared" si="14"/>
        <v/>
      </c>
      <c r="AQ26" s="20" t="str">
        <f>IF($C26="","",IF(J26="Unarmored",0,IF(OR(J26="Galvanised steel flat strip",J26="Aluminium Flat Strip"),IFERROR(INDEX('Assumptions &amp; Ref'!$F$126:$F$131,MATCH(AO26,'Assumptions &amp; Ref'!$E$126:$E$131,1)),INDEX('Assumptions &amp; Ref'!$F$126:$F$131,1)),IFERROR(INDEX('Assumptions &amp; Ref'!$G$126:$G$131,MATCH(AO26,'Assumptions &amp; Ref'!$E$126:$E$131,1)),INDEX('Assumptions &amp; Ref'!$G$126:$G$131,1)))))</f>
        <v/>
      </c>
      <c r="AR26" s="20" t="str">
        <f t="shared" si="15"/>
        <v/>
      </c>
      <c r="AS26" s="20" t="str">
        <f t="shared" si="16"/>
        <v/>
      </c>
      <c r="AT26" s="20" t="str">
        <f>IF($C26="","",IFERROR(INDEX('Assumptions &amp; Ref'!$J$126:$J$136,MATCH(AR26,'Assumptions &amp; Ref'!$I$126:$I$136,1)),INDEX('Assumptions &amp; Ref'!$J$126:$J$136,1)))</f>
        <v/>
      </c>
      <c r="AU26" s="20" t="str">
        <f t="shared" si="17"/>
        <v/>
      </c>
      <c r="AV26" s="20" t="str">
        <f t="shared" si="18"/>
        <v/>
      </c>
      <c r="AW26" s="20" t="str">
        <f t="shared" si="19"/>
        <v/>
      </c>
      <c r="AX26" s="20" t="str">
        <f>IF($C26="","",PI()*((AD26+2*'Assumptions &amp; Ref'!$C$63)^2-AD26^2)/4*'Assumptions &amp; Ref'!$C$62)</f>
        <v/>
      </c>
      <c r="AY26" s="20" t="str">
        <f>IF($C26="","",PI()*((AG26+2*'Assumptions &amp; Ref'!$C$64)^2-AG26^2)/4*'Assumptions &amp; Ref'!$C$62)</f>
        <v/>
      </c>
      <c r="AZ26" s="20" t="str">
        <f>IF($C26="","",(AU26-'Assumptions &amp; Ref'!$C$65)*PI()*('Assumptions &amp; Ref'!$C$65*'Assumptions &amp; Ref'!$C$66)*INDEX($C$5:$G$5,MATCH("Copper",$C$4:$G$4,0)))</f>
        <v/>
      </c>
      <c r="BA26" s="20" t="str">
        <f>IF($C26="","",((E26*AE26*IF(C26=3.5,3,C26))+(AI26*AE26*IF(C26=3.5,1,0)))*(1+'Assumptions &amp; Ref'!$C$33))</f>
        <v/>
      </c>
      <c r="BB26" s="20" t="str">
        <f>IF($C26="","",IF(C26=3.5,((AB26/360)*PI()*(AG26^2-AD26^2)/4*AH26*3)+((AC26/360)*PI()*(AL26^2-AJ26^2)/4*AH26),(AB26/360)*PI()*(AG26^2-AD26^2)/4*AH26*C26)*(1+'Assumptions &amp; Ref'!$C$33))</f>
        <v/>
      </c>
      <c r="BC26" s="20" t="str">
        <f>IF($C26="","",PI()*(AO26^2-AM26^2)/4*AP26*(1+'Assumptions &amp; Ref'!$C$33))</f>
        <v/>
      </c>
      <c r="BD26" s="20" t="str">
        <f>IF($C26="","",PI()*(AW26^2-AU26^2)/4*AV26*(1+'Assumptions &amp; Ref'!$C$33))</f>
        <v/>
      </c>
      <c r="BE26" s="20" t="str">
        <f>IF($C26="","",PI()*(AR26^2-AO26^2)/4*AS26*(1+'Assumptions &amp; Ref'!$C$33))</f>
        <v/>
      </c>
      <c r="BF26" s="21" t="str">
        <f>IF($C26="","",BA26*INDEX($C$6:$G$6,MATCH(F26,$C$4:$G$4,0))+IF(H26="XLPE",BB26*INDEX($C$6:$G$6,MATCH("XLPE",$C$4:$G$4,0)),0)+IF(H26="PVC",(BB26+BC26+BD26)*INDEX($C$6:$G$6,MATCH("PVC",$C$4:$G$4,0)),(BC26+BD26)*INDEX($C$6:$G$6,MATCH("PVC",$C$4:$G$4,0)))+IF(J26="Unarmored",0,IF(OR(J26="Aluminium Flat Strip",J26="Aluminium Round Wired"),BE26*INDEX($C$6:$G$6,MATCH("Aluminium",$C$4:$G$4,0)),BE26*INDEX($C$6:$G$6,MATCH("Steel Wire",$C$4:$G$4,0))))+AZ26*(1+'Assumptions &amp; Ref'!$C$34)*INDEX($C$6:$G$6,MATCH("Copper",$C$4:$G$4,0))*'Assumptions &amp; Ref'!$C$67+AX26*(1+'Assumptions &amp; Ref'!$C$35)*INDEX($C$6:$G$6,MATCH("XLPE",$C$4:$G$4,0))+AY26*(1+'Assumptions &amp; Ref'!$C$35)*INDEX($C$6:$G$6,MATCH("XLPE",$C$4:$G$4,0)))</f>
        <v/>
      </c>
      <c r="BG26" s="22" t="str">
        <f>IF($C26="","",IF(L26="Y",'Assumptions &amp; Ref'!$C$53,0)+IF(M26="Y",'Assumptions &amp; Ref'!$C$54,0)+IF(N26="Y",'Assumptions &amp; Ref'!$C$55,0)+IF(O26="Y",'Assumptions &amp; Ref'!$C$56,0)+IF(P26="Y",'Assumptions &amp; Ref'!$C$57,0)+IF(Q26="Y",'Assumptions &amp; Ref'!$C$58,0)+IF(R26="Y",'Assumptions &amp; Ref'!$C$59,0))</f>
        <v/>
      </c>
      <c r="BH26" s="23" t="str">
        <f>IF($C26="","",(IF($F26="Aluminium",'Assumptions &amp; Ref'!$D$28,'Assumptions &amp; Ref'!$C$28)+IF($F26="Aluminium",'Assumptions &amp; Ref'!$D$29,'Assumptions &amp; Ref'!$C$29)+IF($F26="Aluminium",'Assumptions &amp; Ref'!$D$30,'Assumptions &amp; Ref'!$C$30)+IF($F26="Aluminium",'Assumptions &amp; Ref'!$D$31,'Assumptions &amp; Ref'!$C$31))/IF($F26="Aluminium",'Assumptions &amp; Ref'!$D$27,'Assumptions &amp; Ref'!$C$27))</f>
        <v/>
      </c>
      <c r="BI26" s="23" t="str">
        <f>IF($C26="","",(IF($F26="Aluminium",'Assumptions &amp; Ref'!$F$28,'Assumptions &amp; Ref'!$E$28)+IF($F26="Aluminium",'Assumptions &amp; Ref'!$F$29,'Assumptions &amp; Ref'!$E$29)+IF($F26="Aluminium",'Assumptions &amp; Ref'!$F$30,'Assumptions &amp; Ref'!$E$30)+IF($F26="Aluminium",'Assumptions &amp; Ref'!$F$31,'Assumptions &amp; Ref'!$E$31))/IF($F26="Aluminium",'Assumptions &amp; Ref'!$F$27,'Assumptions &amp; Ref'!$E$27))</f>
        <v/>
      </c>
      <c r="BJ26" s="21" t="str">
        <f t="shared" si="20"/>
        <v/>
      </c>
      <c r="BK26" s="21" t="str">
        <f t="shared" si="21"/>
        <v/>
      </c>
      <c r="BL26" s="21" t="str">
        <f>IF($C26="","",BJ26*(1+BG26)*(1+IF($F26="Aluminium",'Assumptions &amp; Ref'!$D$31,'Assumptions &amp; Ref'!$C$31)))</f>
        <v/>
      </c>
      <c r="BM26" s="21" t="str">
        <f>IF($C26="","",BK26*(1+BG26)*(1+IF($F26="Aluminium",'Assumptions &amp; Ref'!$F$31,'Assumptions &amp; Ref'!$E$31)))</f>
        <v/>
      </c>
    </row>
    <row r="27" spans="2:65" ht="15" customHeight="1" x14ac:dyDescent="0.25">
      <c r="B27" s="13"/>
      <c r="C27" s="14"/>
      <c r="D27" s="14"/>
      <c r="E27" s="14"/>
      <c r="F27" s="14"/>
      <c r="G27" s="14"/>
      <c r="H27" s="14"/>
      <c r="I27" s="14"/>
      <c r="J27" s="14"/>
      <c r="K27" s="14"/>
      <c r="L27" s="15"/>
      <c r="M27" s="15"/>
      <c r="N27" s="15"/>
      <c r="O27" s="15"/>
      <c r="P27" s="15"/>
      <c r="Q27" s="15"/>
      <c r="R27" s="15"/>
      <c r="S27" s="16" t="str">
        <f t="shared" si="0"/>
        <v/>
      </c>
      <c r="T27" s="16" t="str">
        <f t="shared" si="1"/>
        <v/>
      </c>
      <c r="U27" s="17" t="str">
        <f t="shared" si="2"/>
        <v/>
      </c>
      <c r="V27" s="18" t="str">
        <f t="shared" si="3"/>
        <v/>
      </c>
      <c r="W27" s="19" t="str">
        <f>IF($C27="","",IF(F27="Copper",BA27,0)+AZ27*(1+'Assumptions &amp; Ref'!$C$34))</f>
        <v/>
      </c>
      <c r="X27" s="19" t="str">
        <f>IF($C27="","",AZ27*(1+'Assumptions &amp; Ref'!$C$34))</f>
        <v/>
      </c>
      <c r="Y27" s="19" t="str">
        <f>IF($C27="","",AX27*(1+'Assumptions &amp; Ref'!$C$35))</f>
        <v/>
      </c>
      <c r="Z27" s="19" t="str">
        <f>IF($C27="","",AY27*(1+'Assumptions &amp; Ref'!$C$35))</f>
        <v/>
      </c>
      <c r="AB27" s="20" t="str">
        <f t="shared" si="4"/>
        <v/>
      </c>
      <c r="AC27" s="20" t="str">
        <f t="shared" si="5"/>
        <v/>
      </c>
      <c r="AD27" s="20" t="str">
        <f t="shared" si="6"/>
        <v/>
      </c>
      <c r="AE27" s="20" t="str">
        <f t="shared" si="7"/>
        <v/>
      </c>
      <c r="AF27" s="20" t="str">
        <f>IF($C27="","",IFERROR(IF($G27="33kV",INDEX('Assumptions &amp; Ref'!$H$109:$H$122,MATCH(E27,'Assumptions &amp; Ref'!$B$109:$B$122,1)),IF($G27="22kV",INDEX('Assumptions &amp; Ref'!$G$109:$G$122,MATCH(E27,'Assumptions &amp; Ref'!$B$109:$B$122,1)),IF($G27="11kV",INDEX('Assumptions &amp; Ref'!$F$109:$F$122,MATCH(E27,'Assumptions &amp; Ref'!$B$109:$B$122,1)),IF($G27="6.6kV",INDEX('Assumptions &amp; Ref'!$D$109:$D$122,MATCH(E27,'Assumptions &amp; Ref'!$B$109:$B$122,1)),INDEX('Assumptions &amp; Ref'!$C$109:$C$122,MATCH(E27,'Assumptions &amp; Ref'!$B$109:$B$122,1)))))),INDEX('Assumptions &amp; Ref'!$C$109:$C$122,1)))</f>
        <v/>
      </c>
      <c r="AG27" s="20" t="str">
        <f t="shared" si="8"/>
        <v/>
      </c>
      <c r="AH27" s="20" t="str">
        <f t="shared" si="9"/>
        <v/>
      </c>
      <c r="AI27" s="20" t="str">
        <f>IF($C27="","",IF(C27=3.5,IFERROR(INDEX('Assumptions &amp; Ref'!$G$93:$G$105,MATCH(E27,'Assumptions &amp; Ref'!$F$93:$F$105,0)),0),0))</f>
        <v/>
      </c>
      <c r="AJ27" s="20" t="str">
        <f t="shared" si="10"/>
        <v/>
      </c>
      <c r="AK27" s="20" t="str">
        <f>IF($C27="","",IF(C27=3.5,IFERROR(IF($G27="33kV",INDEX('Assumptions &amp; Ref'!$H$109:$H$122,MATCH(AI27,'Assumptions &amp; Ref'!$B$109:$B$122,1)),IF($G27="22kV",INDEX('Assumptions &amp; Ref'!$G$109:$G$122,MATCH(AI27,'Assumptions &amp; Ref'!$B$109:$B$122,1)),IF($G27="11kV",INDEX('Assumptions &amp; Ref'!$E$109:$E$122,MATCH(AI27,'Assumptions &amp; Ref'!$B$109:$B$122,1)),IF($G27="6.6kV",INDEX('Assumptions &amp; Ref'!$D$109:$D$122,MATCH(AI27,'Assumptions &amp; Ref'!$B$109:$B$122,1)),INDEX('Assumptions &amp; Ref'!$C$109:$C$122,MATCH(AI27,'Assumptions &amp; Ref'!$B$109:$B$122,1)))))),0),0))</f>
        <v/>
      </c>
      <c r="AL27" s="20" t="str">
        <f t="shared" si="11"/>
        <v/>
      </c>
      <c r="AM27" s="20" t="str">
        <f t="shared" si="12"/>
        <v/>
      </c>
      <c r="AN27" s="20" t="str">
        <f>IF($C27="","",IFERROR(INDEX('Assumptions &amp; Ref'!$C$126:$C$130,MATCH(AM27,'Assumptions &amp; Ref'!$B$126:$B$130,1)),INDEX('Assumptions &amp; Ref'!$C$126:$C$130,1)))</f>
        <v/>
      </c>
      <c r="AO27" s="20" t="str">
        <f t="shared" si="13"/>
        <v/>
      </c>
      <c r="AP27" s="20" t="str">
        <f t="shared" si="14"/>
        <v/>
      </c>
      <c r="AQ27" s="20" t="str">
        <f>IF($C27="","",IF(J27="Unarmored",0,IF(OR(J27="Galvanised steel flat strip",J27="Aluminium Flat Strip"),IFERROR(INDEX('Assumptions &amp; Ref'!$F$126:$F$131,MATCH(AO27,'Assumptions &amp; Ref'!$E$126:$E$131,1)),INDEX('Assumptions &amp; Ref'!$F$126:$F$131,1)),IFERROR(INDEX('Assumptions &amp; Ref'!$G$126:$G$131,MATCH(AO27,'Assumptions &amp; Ref'!$E$126:$E$131,1)),INDEX('Assumptions &amp; Ref'!$G$126:$G$131,1)))))</f>
        <v/>
      </c>
      <c r="AR27" s="20" t="str">
        <f t="shared" si="15"/>
        <v/>
      </c>
      <c r="AS27" s="20" t="str">
        <f t="shared" si="16"/>
        <v/>
      </c>
      <c r="AT27" s="20" t="str">
        <f>IF($C27="","",IFERROR(INDEX('Assumptions &amp; Ref'!$J$126:$J$136,MATCH(AR27,'Assumptions &amp; Ref'!$I$126:$I$136,1)),INDEX('Assumptions &amp; Ref'!$J$126:$J$136,1)))</f>
        <v/>
      </c>
      <c r="AU27" s="20" t="str">
        <f t="shared" si="17"/>
        <v/>
      </c>
      <c r="AV27" s="20" t="str">
        <f t="shared" si="18"/>
        <v/>
      </c>
      <c r="AW27" s="20" t="str">
        <f t="shared" si="19"/>
        <v/>
      </c>
      <c r="AX27" s="20" t="str">
        <f>IF($C27="","",PI()*((AD27+2*'Assumptions &amp; Ref'!$C$63)^2-AD27^2)/4*'Assumptions &amp; Ref'!$C$62)</f>
        <v/>
      </c>
      <c r="AY27" s="20" t="str">
        <f>IF($C27="","",PI()*((AG27+2*'Assumptions &amp; Ref'!$C$64)^2-AG27^2)/4*'Assumptions &amp; Ref'!$C$62)</f>
        <v/>
      </c>
      <c r="AZ27" s="20" t="str">
        <f>IF($C27="","",(AU27-'Assumptions &amp; Ref'!$C$65)*PI()*('Assumptions &amp; Ref'!$C$65*'Assumptions &amp; Ref'!$C$66)*INDEX($C$5:$G$5,MATCH("Copper",$C$4:$G$4,0)))</f>
        <v/>
      </c>
      <c r="BA27" s="20" t="str">
        <f>IF($C27="","",((E27*AE27*IF(C27=3.5,3,C27))+(AI27*AE27*IF(C27=3.5,1,0)))*(1+'Assumptions &amp; Ref'!$C$33))</f>
        <v/>
      </c>
      <c r="BB27" s="20" t="str">
        <f>IF($C27="","",IF(C27=3.5,((AB27/360)*PI()*(AG27^2-AD27^2)/4*AH27*3)+((AC27/360)*PI()*(AL27^2-AJ27^2)/4*AH27),(AB27/360)*PI()*(AG27^2-AD27^2)/4*AH27*C27)*(1+'Assumptions &amp; Ref'!$C$33))</f>
        <v/>
      </c>
      <c r="BC27" s="20" t="str">
        <f>IF($C27="","",PI()*(AO27^2-AM27^2)/4*AP27*(1+'Assumptions &amp; Ref'!$C$33))</f>
        <v/>
      </c>
      <c r="BD27" s="20" t="str">
        <f>IF($C27="","",PI()*(AW27^2-AU27^2)/4*AV27*(1+'Assumptions &amp; Ref'!$C$33))</f>
        <v/>
      </c>
      <c r="BE27" s="20" t="str">
        <f>IF($C27="","",PI()*(AR27^2-AO27^2)/4*AS27*(1+'Assumptions &amp; Ref'!$C$33))</f>
        <v/>
      </c>
      <c r="BF27" s="21" t="str">
        <f>IF($C27="","",BA27*INDEX($C$6:$G$6,MATCH(F27,$C$4:$G$4,0))+IF(H27="XLPE",BB27*INDEX($C$6:$G$6,MATCH("XLPE",$C$4:$G$4,0)),0)+IF(H27="PVC",(BB27+BC27+BD27)*INDEX($C$6:$G$6,MATCH("PVC",$C$4:$G$4,0)),(BC27+BD27)*INDEX($C$6:$G$6,MATCH("PVC",$C$4:$G$4,0)))+IF(J27="Unarmored",0,IF(OR(J27="Aluminium Flat Strip",J27="Aluminium Round Wired"),BE27*INDEX($C$6:$G$6,MATCH("Aluminium",$C$4:$G$4,0)),BE27*INDEX($C$6:$G$6,MATCH("Steel Wire",$C$4:$G$4,0))))+AZ27*(1+'Assumptions &amp; Ref'!$C$34)*INDEX($C$6:$G$6,MATCH("Copper",$C$4:$G$4,0))*'Assumptions &amp; Ref'!$C$67+AX27*(1+'Assumptions &amp; Ref'!$C$35)*INDEX($C$6:$G$6,MATCH("XLPE",$C$4:$G$4,0))+AY27*(1+'Assumptions &amp; Ref'!$C$35)*INDEX($C$6:$G$6,MATCH("XLPE",$C$4:$G$4,0)))</f>
        <v/>
      </c>
      <c r="BG27" s="22" t="str">
        <f>IF($C27="","",IF(L27="Y",'Assumptions &amp; Ref'!$C$53,0)+IF(M27="Y",'Assumptions &amp; Ref'!$C$54,0)+IF(N27="Y",'Assumptions &amp; Ref'!$C$55,0)+IF(O27="Y",'Assumptions &amp; Ref'!$C$56,0)+IF(P27="Y",'Assumptions &amp; Ref'!$C$57,0)+IF(Q27="Y",'Assumptions &amp; Ref'!$C$58,0)+IF(R27="Y",'Assumptions &amp; Ref'!$C$59,0))</f>
        <v/>
      </c>
      <c r="BH27" s="23" t="str">
        <f>IF($C27="","",(IF($F27="Aluminium",'Assumptions &amp; Ref'!$D$28,'Assumptions &amp; Ref'!$C$28)+IF($F27="Aluminium",'Assumptions &amp; Ref'!$D$29,'Assumptions &amp; Ref'!$C$29)+IF($F27="Aluminium",'Assumptions &amp; Ref'!$D$30,'Assumptions &amp; Ref'!$C$30)+IF($F27="Aluminium",'Assumptions &amp; Ref'!$D$31,'Assumptions &amp; Ref'!$C$31))/IF($F27="Aluminium",'Assumptions &amp; Ref'!$D$27,'Assumptions &amp; Ref'!$C$27))</f>
        <v/>
      </c>
      <c r="BI27" s="23" t="str">
        <f>IF($C27="","",(IF($F27="Aluminium",'Assumptions &amp; Ref'!$F$28,'Assumptions &amp; Ref'!$E$28)+IF($F27="Aluminium",'Assumptions &amp; Ref'!$F$29,'Assumptions &amp; Ref'!$E$29)+IF($F27="Aluminium",'Assumptions &amp; Ref'!$F$30,'Assumptions &amp; Ref'!$E$30)+IF($F27="Aluminium",'Assumptions &amp; Ref'!$F$31,'Assumptions &amp; Ref'!$E$31))/IF($F27="Aluminium",'Assumptions &amp; Ref'!$F$27,'Assumptions &amp; Ref'!$E$27))</f>
        <v/>
      </c>
      <c r="BJ27" s="21" t="str">
        <f t="shared" si="20"/>
        <v/>
      </c>
      <c r="BK27" s="21" t="str">
        <f t="shared" si="21"/>
        <v/>
      </c>
      <c r="BL27" s="21" t="str">
        <f>IF($C27="","",BJ27*(1+BG27)*(1+IF($F27="Aluminium",'Assumptions &amp; Ref'!$D$31,'Assumptions &amp; Ref'!$C$31)))</f>
        <v/>
      </c>
      <c r="BM27" s="21" t="str">
        <f>IF($C27="","",BK27*(1+BG27)*(1+IF($F27="Aluminium",'Assumptions &amp; Ref'!$F$31,'Assumptions &amp; Ref'!$E$31)))</f>
        <v/>
      </c>
    </row>
    <row r="28" spans="2:65" ht="15" customHeight="1" x14ac:dyDescent="0.25">
      <c r="B28" s="13"/>
      <c r="C28" s="14"/>
      <c r="D28" s="14"/>
      <c r="E28" s="14"/>
      <c r="F28" s="14"/>
      <c r="G28" s="14"/>
      <c r="H28" s="14"/>
      <c r="I28" s="14"/>
      <c r="J28" s="14"/>
      <c r="K28" s="14"/>
      <c r="L28" s="15"/>
      <c r="M28" s="15"/>
      <c r="N28" s="15"/>
      <c r="O28" s="15"/>
      <c r="P28" s="15"/>
      <c r="Q28" s="15"/>
      <c r="R28" s="15"/>
      <c r="S28" s="16" t="str">
        <f t="shared" si="0"/>
        <v/>
      </c>
      <c r="T28" s="16" t="str">
        <f t="shared" si="1"/>
        <v/>
      </c>
      <c r="U28" s="17" t="str">
        <f t="shared" si="2"/>
        <v/>
      </c>
      <c r="V28" s="18" t="str">
        <f t="shared" si="3"/>
        <v/>
      </c>
      <c r="W28" s="19" t="str">
        <f>IF($C28="","",IF(F28="Copper",BA28,0)+AZ28*(1+'Assumptions &amp; Ref'!$C$34))</f>
        <v/>
      </c>
      <c r="X28" s="19" t="str">
        <f>IF($C28="","",AZ28*(1+'Assumptions &amp; Ref'!$C$34))</f>
        <v/>
      </c>
      <c r="Y28" s="19" t="str">
        <f>IF($C28="","",AX28*(1+'Assumptions &amp; Ref'!$C$35))</f>
        <v/>
      </c>
      <c r="Z28" s="19" t="str">
        <f>IF($C28="","",AY28*(1+'Assumptions &amp; Ref'!$C$35))</f>
        <v/>
      </c>
      <c r="AB28" s="20" t="str">
        <f t="shared" si="4"/>
        <v/>
      </c>
      <c r="AC28" s="20" t="str">
        <f t="shared" si="5"/>
        <v/>
      </c>
      <c r="AD28" s="20" t="str">
        <f t="shared" si="6"/>
        <v/>
      </c>
      <c r="AE28" s="20" t="str">
        <f t="shared" si="7"/>
        <v/>
      </c>
      <c r="AF28" s="20" t="str">
        <f>IF($C28="","",IFERROR(IF($G28="33kV",INDEX('Assumptions &amp; Ref'!$H$109:$H$122,MATCH(E28,'Assumptions &amp; Ref'!$B$109:$B$122,1)),IF($G28="22kV",INDEX('Assumptions &amp; Ref'!$G$109:$G$122,MATCH(E28,'Assumptions &amp; Ref'!$B$109:$B$122,1)),IF($G28="11kV",INDEX('Assumptions &amp; Ref'!$F$109:$F$122,MATCH(E28,'Assumptions &amp; Ref'!$B$109:$B$122,1)),IF($G28="6.6kV",INDEX('Assumptions &amp; Ref'!$D$109:$D$122,MATCH(E28,'Assumptions &amp; Ref'!$B$109:$B$122,1)),INDEX('Assumptions &amp; Ref'!$C$109:$C$122,MATCH(E28,'Assumptions &amp; Ref'!$B$109:$B$122,1)))))),INDEX('Assumptions &amp; Ref'!$C$109:$C$122,1)))</f>
        <v/>
      </c>
      <c r="AG28" s="20" t="str">
        <f t="shared" si="8"/>
        <v/>
      </c>
      <c r="AH28" s="20" t="str">
        <f t="shared" si="9"/>
        <v/>
      </c>
      <c r="AI28" s="20" t="str">
        <f>IF($C28="","",IF(C28=3.5,IFERROR(INDEX('Assumptions &amp; Ref'!$G$93:$G$105,MATCH(E28,'Assumptions &amp; Ref'!$F$93:$F$105,0)),0),0))</f>
        <v/>
      </c>
      <c r="AJ28" s="20" t="str">
        <f t="shared" si="10"/>
        <v/>
      </c>
      <c r="AK28" s="20" t="str">
        <f>IF($C28="","",IF(C28=3.5,IFERROR(IF($G28="33kV",INDEX('Assumptions &amp; Ref'!$H$109:$H$122,MATCH(AI28,'Assumptions &amp; Ref'!$B$109:$B$122,1)),IF($G28="22kV",INDEX('Assumptions &amp; Ref'!$G$109:$G$122,MATCH(AI28,'Assumptions &amp; Ref'!$B$109:$B$122,1)),IF($G28="11kV",INDEX('Assumptions &amp; Ref'!$E$109:$E$122,MATCH(AI28,'Assumptions &amp; Ref'!$B$109:$B$122,1)),IF($G28="6.6kV",INDEX('Assumptions &amp; Ref'!$D$109:$D$122,MATCH(AI28,'Assumptions &amp; Ref'!$B$109:$B$122,1)),INDEX('Assumptions &amp; Ref'!$C$109:$C$122,MATCH(AI28,'Assumptions &amp; Ref'!$B$109:$B$122,1)))))),0),0))</f>
        <v/>
      </c>
      <c r="AL28" s="20" t="str">
        <f t="shared" si="11"/>
        <v/>
      </c>
      <c r="AM28" s="20" t="str">
        <f t="shared" si="12"/>
        <v/>
      </c>
      <c r="AN28" s="20" t="str">
        <f>IF($C28="","",IFERROR(INDEX('Assumptions &amp; Ref'!$C$126:$C$130,MATCH(AM28,'Assumptions &amp; Ref'!$B$126:$B$130,1)),INDEX('Assumptions &amp; Ref'!$C$126:$C$130,1)))</f>
        <v/>
      </c>
      <c r="AO28" s="20" t="str">
        <f t="shared" si="13"/>
        <v/>
      </c>
      <c r="AP28" s="20" t="str">
        <f t="shared" si="14"/>
        <v/>
      </c>
      <c r="AQ28" s="20" t="str">
        <f>IF($C28="","",IF(J28="Unarmored",0,IF(OR(J28="Galvanised steel flat strip",J28="Aluminium Flat Strip"),IFERROR(INDEX('Assumptions &amp; Ref'!$F$126:$F$131,MATCH(AO28,'Assumptions &amp; Ref'!$E$126:$E$131,1)),INDEX('Assumptions &amp; Ref'!$F$126:$F$131,1)),IFERROR(INDEX('Assumptions &amp; Ref'!$G$126:$G$131,MATCH(AO28,'Assumptions &amp; Ref'!$E$126:$E$131,1)),INDEX('Assumptions &amp; Ref'!$G$126:$G$131,1)))))</f>
        <v/>
      </c>
      <c r="AR28" s="20" t="str">
        <f t="shared" si="15"/>
        <v/>
      </c>
      <c r="AS28" s="20" t="str">
        <f t="shared" si="16"/>
        <v/>
      </c>
      <c r="AT28" s="20" t="str">
        <f>IF($C28="","",IFERROR(INDEX('Assumptions &amp; Ref'!$J$126:$J$136,MATCH(AR28,'Assumptions &amp; Ref'!$I$126:$I$136,1)),INDEX('Assumptions &amp; Ref'!$J$126:$J$136,1)))</f>
        <v/>
      </c>
      <c r="AU28" s="20" t="str">
        <f t="shared" si="17"/>
        <v/>
      </c>
      <c r="AV28" s="20" t="str">
        <f t="shared" si="18"/>
        <v/>
      </c>
      <c r="AW28" s="20" t="str">
        <f t="shared" si="19"/>
        <v/>
      </c>
      <c r="AX28" s="20" t="str">
        <f>IF($C28="","",PI()*((AD28+2*'Assumptions &amp; Ref'!$C$63)^2-AD28^2)/4*'Assumptions &amp; Ref'!$C$62)</f>
        <v/>
      </c>
      <c r="AY28" s="20" t="str">
        <f>IF($C28="","",PI()*((AG28+2*'Assumptions &amp; Ref'!$C$64)^2-AG28^2)/4*'Assumptions &amp; Ref'!$C$62)</f>
        <v/>
      </c>
      <c r="AZ28" s="20" t="str">
        <f>IF($C28="","",(AU28-'Assumptions &amp; Ref'!$C$65)*PI()*('Assumptions &amp; Ref'!$C$65*'Assumptions &amp; Ref'!$C$66)*INDEX($C$5:$G$5,MATCH("Copper",$C$4:$G$4,0)))</f>
        <v/>
      </c>
      <c r="BA28" s="20" t="str">
        <f>IF($C28="","",((E28*AE28*IF(C28=3.5,3,C28))+(AI28*AE28*IF(C28=3.5,1,0)))*(1+'Assumptions &amp; Ref'!$C$33))</f>
        <v/>
      </c>
      <c r="BB28" s="20" t="str">
        <f>IF($C28="","",IF(C28=3.5,((AB28/360)*PI()*(AG28^2-AD28^2)/4*AH28*3)+((AC28/360)*PI()*(AL28^2-AJ28^2)/4*AH28),(AB28/360)*PI()*(AG28^2-AD28^2)/4*AH28*C28)*(1+'Assumptions &amp; Ref'!$C$33))</f>
        <v/>
      </c>
      <c r="BC28" s="20" t="str">
        <f>IF($C28="","",PI()*(AO28^2-AM28^2)/4*AP28*(1+'Assumptions &amp; Ref'!$C$33))</f>
        <v/>
      </c>
      <c r="BD28" s="20" t="str">
        <f>IF($C28="","",PI()*(AW28^2-AU28^2)/4*AV28*(1+'Assumptions &amp; Ref'!$C$33))</f>
        <v/>
      </c>
      <c r="BE28" s="20" t="str">
        <f>IF($C28="","",PI()*(AR28^2-AO28^2)/4*AS28*(1+'Assumptions &amp; Ref'!$C$33))</f>
        <v/>
      </c>
      <c r="BF28" s="21" t="str">
        <f>IF($C28="","",BA28*INDEX($C$6:$G$6,MATCH(F28,$C$4:$G$4,0))+IF(H28="XLPE",BB28*INDEX($C$6:$G$6,MATCH("XLPE",$C$4:$G$4,0)),0)+IF(H28="PVC",(BB28+BC28+BD28)*INDEX($C$6:$G$6,MATCH("PVC",$C$4:$G$4,0)),(BC28+BD28)*INDEX($C$6:$G$6,MATCH("PVC",$C$4:$G$4,0)))+IF(J28="Unarmored",0,IF(OR(J28="Aluminium Flat Strip",J28="Aluminium Round Wired"),BE28*INDEX($C$6:$G$6,MATCH("Aluminium",$C$4:$G$4,0)),BE28*INDEX($C$6:$G$6,MATCH("Steel Wire",$C$4:$G$4,0))))+AZ28*(1+'Assumptions &amp; Ref'!$C$34)*INDEX($C$6:$G$6,MATCH("Copper",$C$4:$G$4,0))*'Assumptions &amp; Ref'!$C$67+AX28*(1+'Assumptions &amp; Ref'!$C$35)*INDEX($C$6:$G$6,MATCH("XLPE",$C$4:$G$4,0))+AY28*(1+'Assumptions &amp; Ref'!$C$35)*INDEX($C$6:$G$6,MATCH("XLPE",$C$4:$G$4,0)))</f>
        <v/>
      </c>
      <c r="BG28" s="22" t="str">
        <f>IF($C28="","",IF(L28="Y",'Assumptions &amp; Ref'!$C$53,0)+IF(M28="Y",'Assumptions &amp; Ref'!$C$54,0)+IF(N28="Y",'Assumptions &amp; Ref'!$C$55,0)+IF(O28="Y",'Assumptions &amp; Ref'!$C$56,0)+IF(P28="Y",'Assumptions &amp; Ref'!$C$57,0)+IF(Q28="Y",'Assumptions &amp; Ref'!$C$58,0)+IF(R28="Y",'Assumptions &amp; Ref'!$C$59,0))</f>
        <v/>
      </c>
      <c r="BH28" s="23" t="str">
        <f>IF($C28="","",(IF($F28="Aluminium",'Assumptions &amp; Ref'!$D$28,'Assumptions &amp; Ref'!$C$28)+IF($F28="Aluminium",'Assumptions &amp; Ref'!$D$29,'Assumptions &amp; Ref'!$C$29)+IF($F28="Aluminium",'Assumptions &amp; Ref'!$D$30,'Assumptions &amp; Ref'!$C$30)+IF($F28="Aluminium",'Assumptions &amp; Ref'!$D$31,'Assumptions &amp; Ref'!$C$31))/IF($F28="Aluminium",'Assumptions &amp; Ref'!$D$27,'Assumptions &amp; Ref'!$C$27))</f>
        <v/>
      </c>
      <c r="BI28" s="23" t="str">
        <f>IF($C28="","",(IF($F28="Aluminium",'Assumptions &amp; Ref'!$F$28,'Assumptions &amp; Ref'!$E$28)+IF($F28="Aluminium",'Assumptions &amp; Ref'!$F$29,'Assumptions &amp; Ref'!$E$29)+IF($F28="Aluminium",'Assumptions &amp; Ref'!$F$30,'Assumptions &amp; Ref'!$E$30)+IF($F28="Aluminium",'Assumptions &amp; Ref'!$F$31,'Assumptions &amp; Ref'!$E$31))/IF($F28="Aluminium",'Assumptions &amp; Ref'!$F$27,'Assumptions &amp; Ref'!$E$27))</f>
        <v/>
      </c>
      <c r="BJ28" s="21" t="str">
        <f t="shared" si="20"/>
        <v/>
      </c>
      <c r="BK28" s="21" t="str">
        <f t="shared" si="21"/>
        <v/>
      </c>
      <c r="BL28" s="21" t="str">
        <f>IF($C28="","",BJ28*(1+BG28)*(1+IF($F28="Aluminium",'Assumptions &amp; Ref'!$D$31,'Assumptions &amp; Ref'!$C$31)))</f>
        <v/>
      </c>
      <c r="BM28" s="21" t="str">
        <f>IF($C28="","",BK28*(1+BG28)*(1+IF($F28="Aluminium",'Assumptions &amp; Ref'!$F$31,'Assumptions &amp; Ref'!$E$31)))</f>
        <v/>
      </c>
    </row>
    <row r="29" spans="2:65" ht="15" customHeight="1" x14ac:dyDescent="0.25">
      <c r="B29" s="13"/>
      <c r="C29" s="14"/>
      <c r="D29" s="14"/>
      <c r="E29" s="14"/>
      <c r="F29" s="14"/>
      <c r="G29" s="14"/>
      <c r="H29" s="14"/>
      <c r="I29" s="14"/>
      <c r="J29" s="14"/>
      <c r="K29" s="14"/>
      <c r="L29" s="15"/>
      <c r="M29" s="15"/>
      <c r="N29" s="15"/>
      <c r="O29" s="15"/>
      <c r="P29" s="15"/>
      <c r="Q29" s="15"/>
      <c r="R29" s="15"/>
      <c r="S29" s="16" t="str">
        <f t="shared" si="0"/>
        <v/>
      </c>
      <c r="T29" s="16" t="str">
        <f t="shared" si="1"/>
        <v/>
      </c>
      <c r="U29" s="17" t="str">
        <f t="shared" si="2"/>
        <v/>
      </c>
      <c r="V29" s="18" t="str">
        <f t="shared" si="3"/>
        <v/>
      </c>
      <c r="W29" s="19" t="str">
        <f>IF($C29="","",IF(F29="Copper",BA29,0)+AZ29*(1+'Assumptions &amp; Ref'!$C$34))</f>
        <v/>
      </c>
      <c r="X29" s="19" t="str">
        <f>IF($C29="","",AZ29*(1+'Assumptions &amp; Ref'!$C$34))</f>
        <v/>
      </c>
      <c r="Y29" s="19" t="str">
        <f>IF($C29="","",AX29*(1+'Assumptions &amp; Ref'!$C$35))</f>
        <v/>
      </c>
      <c r="Z29" s="19" t="str">
        <f>IF($C29="","",AY29*(1+'Assumptions &amp; Ref'!$C$35))</f>
        <v/>
      </c>
      <c r="AB29" s="20" t="str">
        <f t="shared" si="4"/>
        <v/>
      </c>
      <c r="AC29" s="20" t="str">
        <f t="shared" si="5"/>
        <v/>
      </c>
      <c r="AD29" s="20" t="str">
        <f t="shared" si="6"/>
        <v/>
      </c>
      <c r="AE29" s="20" t="str">
        <f t="shared" si="7"/>
        <v/>
      </c>
      <c r="AF29" s="20" t="str">
        <f>IF($C29="","",IFERROR(IF($G29="33kV",INDEX('Assumptions &amp; Ref'!$H$109:$H$122,MATCH(E29,'Assumptions &amp; Ref'!$B$109:$B$122,1)),IF($G29="22kV",INDEX('Assumptions &amp; Ref'!$G$109:$G$122,MATCH(E29,'Assumptions &amp; Ref'!$B$109:$B$122,1)),IF($G29="11kV",INDEX('Assumptions &amp; Ref'!$F$109:$F$122,MATCH(E29,'Assumptions &amp; Ref'!$B$109:$B$122,1)),IF($G29="6.6kV",INDEX('Assumptions &amp; Ref'!$D$109:$D$122,MATCH(E29,'Assumptions &amp; Ref'!$B$109:$B$122,1)),INDEX('Assumptions &amp; Ref'!$C$109:$C$122,MATCH(E29,'Assumptions &amp; Ref'!$B$109:$B$122,1)))))),INDEX('Assumptions &amp; Ref'!$C$109:$C$122,1)))</f>
        <v/>
      </c>
      <c r="AG29" s="20" t="str">
        <f t="shared" si="8"/>
        <v/>
      </c>
      <c r="AH29" s="20" t="str">
        <f t="shared" si="9"/>
        <v/>
      </c>
      <c r="AI29" s="20" t="str">
        <f>IF($C29="","",IF(C29=3.5,IFERROR(INDEX('Assumptions &amp; Ref'!$G$93:$G$105,MATCH(E29,'Assumptions &amp; Ref'!$F$93:$F$105,0)),0),0))</f>
        <v/>
      </c>
      <c r="AJ29" s="20" t="str">
        <f t="shared" si="10"/>
        <v/>
      </c>
      <c r="AK29" s="20" t="str">
        <f>IF($C29="","",IF(C29=3.5,IFERROR(IF($G29="33kV",INDEX('Assumptions &amp; Ref'!$H$109:$H$122,MATCH(AI29,'Assumptions &amp; Ref'!$B$109:$B$122,1)),IF($G29="22kV",INDEX('Assumptions &amp; Ref'!$G$109:$G$122,MATCH(AI29,'Assumptions &amp; Ref'!$B$109:$B$122,1)),IF($G29="11kV",INDEX('Assumptions &amp; Ref'!$E$109:$E$122,MATCH(AI29,'Assumptions &amp; Ref'!$B$109:$B$122,1)),IF($G29="6.6kV",INDEX('Assumptions &amp; Ref'!$D$109:$D$122,MATCH(AI29,'Assumptions &amp; Ref'!$B$109:$B$122,1)),INDEX('Assumptions &amp; Ref'!$C$109:$C$122,MATCH(AI29,'Assumptions &amp; Ref'!$B$109:$B$122,1)))))),0),0))</f>
        <v/>
      </c>
      <c r="AL29" s="20" t="str">
        <f t="shared" si="11"/>
        <v/>
      </c>
      <c r="AM29" s="20" t="str">
        <f t="shared" si="12"/>
        <v/>
      </c>
      <c r="AN29" s="20" t="str">
        <f>IF($C29="","",IFERROR(INDEX('Assumptions &amp; Ref'!$C$126:$C$130,MATCH(AM29,'Assumptions &amp; Ref'!$B$126:$B$130,1)),INDEX('Assumptions &amp; Ref'!$C$126:$C$130,1)))</f>
        <v/>
      </c>
      <c r="AO29" s="20" t="str">
        <f t="shared" si="13"/>
        <v/>
      </c>
      <c r="AP29" s="20" t="str">
        <f t="shared" si="14"/>
        <v/>
      </c>
      <c r="AQ29" s="20" t="str">
        <f>IF($C29="","",IF(J29="Unarmored",0,IF(OR(J29="Galvanised steel flat strip",J29="Aluminium Flat Strip"),IFERROR(INDEX('Assumptions &amp; Ref'!$F$126:$F$131,MATCH(AO29,'Assumptions &amp; Ref'!$E$126:$E$131,1)),INDEX('Assumptions &amp; Ref'!$F$126:$F$131,1)),IFERROR(INDEX('Assumptions &amp; Ref'!$G$126:$G$131,MATCH(AO29,'Assumptions &amp; Ref'!$E$126:$E$131,1)),INDEX('Assumptions &amp; Ref'!$G$126:$G$131,1)))))</f>
        <v/>
      </c>
      <c r="AR29" s="20" t="str">
        <f t="shared" si="15"/>
        <v/>
      </c>
      <c r="AS29" s="20" t="str">
        <f t="shared" si="16"/>
        <v/>
      </c>
      <c r="AT29" s="20" t="str">
        <f>IF($C29="","",IFERROR(INDEX('Assumptions &amp; Ref'!$J$126:$J$136,MATCH(AR29,'Assumptions &amp; Ref'!$I$126:$I$136,1)),INDEX('Assumptions &amp; Ref'!$J$126:$J$136,1)))</f>
        <v/>
      </c>
      <c r="AU29" s="20" t="str">
        <f t="shared" si="17"/>
        <v/>
      </c>
      <c r="AV29" s="20" t="str">
        <f t="shared" si="18"/>
        <v/>
      </c>
      <c r="AW29" s="20" t="str">
        <f t="shared" si="19"/>
        <v/>
      </c>
      <c r="AX29" s="20" t="str">
        <f>IF($C29="","",PI()*((AD29+2*'Assumptions &amp; Ref'!$C$63)^2-AD29^2)/4*'Assumptions &amp; Ref'!$C$62)</f>
        <v/>
      </c>
      <c r="AY29" s="20" t="str">
        <f>IF($C29="","",PI()*((AG29+2*'Assumptions &amp; Ref'!$C$64)^2-AG29^2)/4*'Assumptions &amp; Ref'!$C$62)</f>
        <v/>
      </c>
      <c r="AZ29" s="20" t="str">
        <f>IF($C29="","",(AU29-'Assumptions &amp; Ref'!$C$65)*PI()*('Assumptions &amp; Ref'!$C$65*'Assumptions &amp; Ref'!$C$66)*INDEX($C$5:$G$5,MATCH("Copper",$C$4:$G$4,0)))</f>
        <v/>
      </c>
      <c r="BA29" s="20" t="str">
        <f>IF($C29="","",((E29*AE29*IF(C29=3.5,3,C29))+(AI29*AE29*IF(C29=3.5,1,0)))*(1+'Assumptions &amp; Ref'!$C$33))</f>
        <v/>
      </c>
      <c r="BB29" s="20" t="str">
        <f>IF($C29="","",IF(C29=3.5,((AB29/360)*PI()*(AG29^2-AD29^2)/4*AH29*3)+((AC29/360)*PI()*(AL29^2-AJ29^2)/4*AH29),(AB29/360)*PI()*(AG29^2-AD29^2)/4*AH29*C29)*(1+'Assumptions &amp; Ref'!$C$33))</f>
        <v/>
      </c>
      <c r="BC29" s="20" t="str">
        <f>IF($C29="","",PI()*(AO29^2-AM29^2)/4*AP29*(1+'Assumptions &amp; Ref'!$C$33))</f>
        <v/>
      </c>
      <c r="BD29" s="20" t="str">
        <f>IF($C29="","",PI()*(AW29^2-AU29^2)/4*AV29*(1+'Assumptions &amp; Ref'!$C$33))</f>
        <v/>
      </c>
      <c r="BE29" s="20" t="str">
        <f>IF($C29="","",PI()*(AR29^2-AO29^2)/4*AS29*(1+'Assumptions &amp; Ref'!$C$33))</f>
        <v/>
      </c>
      <c r="BF29" s="21" t="str">
        <f>IF($C29="","",BA29*INDEX($C$6:$G$6,MATCH(F29,$C$4:$G$4,0))+IF(H29="XLPE",BB29*INDEX($C$6:$G$6,MATCH("XLPE",$C$4:$G$4,0)),0)+IF(H29="PVC",(BB29+BC29+BD29)*INDEX($C$6:$G$6,MATCH("PVC",$C$4:$G$4,0)),(BC29+BD29)*INDEX($C$6:$G$6,MATCH("PVC",$C$4:$G$4,0)))+IF(J29="Unarmored",0,IF(OR(J29="Aluminium Flat Strip",J29="Aluminium Round Wired"),BE29*INDEX($C$6:$G$6,MATCH("Aluminium",$C$4:$G$4,0)),BE29*INDEX($C$6:$G$6,MATCH("Steel Wire",$C$4:$G$4,0))))+AZ29*(1+'Assumptions &amp; Ref'!$C$34)*INDEX($C$6:$G$6,MATCH("Copper",$C$4:$G$4,0))*'Assumptions &amp; Ref'!$C$67+AX29*(1+'Assumptions &amp; Ref'!$C$35)*INDEX($C$6:$G$6,MATCH("XLPE",$C$4:$G$4,0))+AY29*(1+'Assumptions &amp; Ref'!$C$35)*INDEX($C$6:$G$6,MATCH("XLPE",$C$4:$G$4,0)))</f>
        <v/>
      </c>
      <c r="BG29" s="22" t="str">
        <f>IF($C29="","",IF(L29="Y",'Assumptions &amp; Ref'!$C$53,0)+IF(M29="Y",'Assumptions &amp; Ref'!$C$54,0)+IF(N29="Y",'Assumptions &amp; Ref'!$C$55,0)+IF(O29="Y",'Assumptions &amp; Ref'!$C$56,0)+IF(P29="Y",'Assumptions &amp; Ref'!$C$57,0)+IF(Q29="Y",'Assumptions &amp; Ref'!$C$58,0)+IF(R29="Y",'Assumptions &amp; Ref'!$C$59,0))</f>
        <v/>
      </c>
      <c r="BH29" s="23" t="str">
        <f>IF($C29="","",(IF($F29="Aluminium",'Assumptions &amp; Ref'!$D$28,'Assumptions &amp; Ref'!$C$28)+IF($F29="Aluminium",'Assumptions &amp; Ref'!$D$29,'Assumptions &amp; Ref'!$C$29)+IF($F29="Aluminium",'Assumptions &amp; Ref'!$D$30,'Assumptions &amp; Ref'!$C$30)+IF($F29="Aluminium",'Assumptions &amp; Ref'!$D$31,'Assumptions &amp; Ref'!$C$31))/IF($F29="Aluminium",'Assumptions &amp; Ref'!$D$27,'Assumptions &amp; Ref'!$C$27))</f>
        <v/>
      </c>
      <c r="BI29" s="23" t="str">
        <f>IF($C29="","",(IF($F29="Aluminium",'Assumptions &amp; Ref'!$F$28,'Assumptions &amp; Ref'!$E$28)+IF($F29="Aluminium",'Assumptions &amp; Ref'!$F$29,'Assumptions &amp; Ref'!$E$29)+IF($F29="Aluminium",'Assumptions &amp; Ref'!$F$30,'Assumptions &amp; Ref'!$E$30)+IF($F29="Aluminium",'Assumptions &amp; Ref'!$F$31,'Assumptions &amp; Ref'!$E$31))/IF($F29="Aluminium",'Assumptions &amp; Ref'!$F$27,'Assumptions &amp; Ref'!$E$27))</f>
        <v/>
      </c>
      <c r="BJ29" s="21" t="str">
        <f t="shared" si="20"/>
        <v/>
      </c>
      <c r="BK29" s="21" t="str">
        <f t="shared" si="21"/>
        <v/>
      </c>
      <c r="BL29" s="21" t="str">
        <f>IF($C29="","",BJ29*(1+BG29)*(1+IF($F29="Aluminium",'Assumptions &amp; Ref'!$D$31,'Assumptions &amp; Ref'!$C$31)))</f>
        <v/>
      </c>
      <c r="BM29" s="21" t="str">
        <f>IF($C29="","",BK29*(1+BG29)*(1+IF($F29="Aluminium",'Assumptions &amp; Ref'!$F$31,'Assumptions &amp; Ref'!$E$31)))</f>
        <v/>
      </c>
    </row>
    <row r="30" spans="2:65" ht="15" customHeight="1" x14ac:dyDescent="0.25">
      <c r="B30" s="13"/>
      <c r="C30" s="14"/>
      <c r="D30" s="14"/>
      <c r="E30" s="14"/>
      <c r="F30" s="14"/>
      <c r="G30" s="14"/>
      <c r="H30" s="14"/>
      <c r="I30" s="14"/>
      <c r="J30" s="14"/>
      <c r="K30" s="14"/>
      <c r="L30" s="15"/>
      <c r="M30" s="15"/>
      <c r="N30" s="15"/>
      <c r="O30" s="15"/>
      <c r="P30" s="15"/>
      <c r="Q30" s="15"/>
      <c r="R30" s="15"/>
      <c r="S30" s="16" t="str">
        <f t="shared" si="0"/>
        <v/>
      </c>
      <c r="T30" s="16" t="str">
        <f t="shared" si="1"/>
        <v/>
      </c>
      <c r="U30" s="17" t="str">
        <f t="shared" si="2"/>
        <v/>
      </c>
      <c r="V30" s="18" t="str">
        <f t="shared" si="3"/>
        <v/>
      </c>
      <c r="W30" s="19" t="str">
        <f>IF($C30="","",IF(F30="Copper",BA30,0)+AZ30*(1+'Assumptions &amp; Ref'!$C$34))</f>
        <v/>
      </c>
      <c r="X30" s="19" t="str">
        <f>IF($C30="","",AZ30*(1+'Assumptions &amp; Ref'!$C$34))</f>
        <v/>
      </c>
      <c r="Y30" s="19" t="str">
        <f>IF($C30="","",AX30*(1+'Assumptions &amp; Ref'!$C$35))</f>
        <v/>
      </c>
      <c r="Z30" s="19" t="str">
        <f>IF($C30="","",AY30*(1+'Assumptions &amp; Ref'!$C$35))</f>
        <v/>
      </c>
      <c r="AB30" s="20" t="str">
        <f t="shared" si="4"/>
        <v/>
      </c>
      <c r="AC30" s="20" t="str">
        <f t="shared" si="5"/>
        <v/>
      </c>
      <c r="AD30" s="20" t="str">
        <f t="shared" si="6"/>
        <v/>
      </c>
      <c r="AE30" s="20" t="str">
        <f t="shared" si="7"/>
        <v/>
      </c>
      <c r="AF30" s="20" t="str">
        <f>IF($C30="","",IFERROR(IF($G30="33kV",INDEX('Assumptions &amp; Ref'!$H$109:$H$122,MATCH(E30,'Assumptions &amp; Ref'!$B$109:$B$122,1)),IF($G30="22kV",INDEX('Assumptions &amp; Ref'!$G$109:$G$122,MATCH(E30,'Assumptions &amp; Ref'!$B$109:$B$122,1)),IF($G30="11kV",INDEX('Assumptions &amp; Ref'!$F$109:$F$122,MATCH(E30,'Assumptions &amp; Ref'!$B$109:$B$122,1)),IF($G30="6.6kV",INDEX('Assumptions &amp; Ref'!$D$109:$D$122,MATCH(E30,'Assumptions &amp; Ref'!$B$109:$B$122,1)),INDEX('Assumptions &amp; Ref'!$C$109:$C$122,MATCH(E30,'Assumptions &amp; Ref'!$B$109:$B$122,1)))))),INDEX('Assumptions &amp; Ref'!$C$109:$C$122,1)))</f>
        <v/>
      </c>
      <c r="AG30" s="20" t="str">
        <f t="shared" si="8"/>
        <v/>
      </c>
      <c r="AH30" s="20" t="str">
        <f t="shared" si="9"/>
        <v/>
      </c>
      <c r="AI30" s="20" t="str">
        <f>IF($C30="","",IF(C30=3.5,IFERROR(INDEX('Assumptions &amp; Ref'!$G$93:$G$105,MATCH(E30,'Assumptions &amp; Ref'!$F$93:$F$105,0)),0),0))</f>
        <v/>
      </c>
      <c r="AJ30" s="20" t="str">
        <f t="shared" si="10"/>
        <v/>
      </c>
      <c r="AK30" s="20" t="str">
        <f>IF($C30="","",IF(C30=3.5,IFERROR(IF($G30="33kV",INDEX('Assumptions &amp; Ref'!$H$109:$H$122,MATCH(AI30,'Assumptions &amp; Ref'!$B$109:$B$122,1)),IF($G30="22kV",INDEX('Assumptions &amp; Ref'!$G$109:$G$122,MATCH(AI30,'Assumptions &amp; Ref'!$B$109:$B$122,1)),IF($G30="11kV",INDEX('Assumptions &amp; Ref'!$E$109:$E$122,MATCH(AI30,'Assumptions &amp; Ref'!$B$109:$B$122,1)),IF($G30="6.6kV",INDEX('Assumptions &amp; Ref'!$D$109:$D$122,MATCH(AI30,'Assumptions &amp; Ref'!$B$109:$B$122,1)),INDEX('Assumptions &amp; Ref'!$C$109:$C$122,MATCH(AI30,'Assumptions &amp; Ref'!$B$109:$B$122,1)))))),0),0))</f>
        <v/>
      </c>
      <c r="AL30" s="20" t="str">
        <f t="shared" si="11"/>
        <v/>
      </c>
      <c r="AM30" s="20" t="str">
        <f t="shared" si="12"/>
        <v/>
      </c>
      <c r="AN30" s="20" t="str">
        <f>IF($C30="","",IFERROR(INDEX('Assumptions &amp; Ref'!$C$126:$C$130,MATCH(AM30,'Assumptions &amp; Ref'!$B$126:$B$130,1)),INDEX('Assumptions &amp; Ref'!$C$126:$C$130,1)))</f>
        <v/>
      </c>
      <c r="AO30" s="20" t="str">
        <f t="shared" si="13"/>
        <v/>
      </c>
      <c r="AP30" s="20" t="str">
        <f t="shared" si="14"/>
        <v/>
      </c>
      <c r="AQ30" s="20" t="str">
        <f>IF($C30="","",IF(J30="Unarmored",0,IF(OR(J30="Galvanised steel flat strip",J30="Aluminium Flat Strip"),IFERROR(INDEX('Assumptions &amp; Ref'!$F$126:$F$131,MATCH(AO30,'Assumptions &amp; Ref'!$E$126:$E$131,1)),INDEX('Assumptions &amp; Ref'!$F$126:$F$131,1)),IFERROR(INDEX('Assumptions &amp; Ref'!$G$126:$G$131,MATCH(AO30,'Assumptions &amp; Ref'!$E$126:$E$131,1)),INDEX('Assumptions &amp; Ref'!$G$126:$G$131,1)))))</f>
        <v/>
      </c>
      <c r="AR30" s="20" t="str">
        <f t="shared" si="15"/>
        <v/>
      </c>
      <c r="AS30" s="20" t="str">
        <f t="shared" si="16"/>
        <v/>
      </c>
      <c r="AT30" s="20" t="str">
        <f>IF($C30="","",IFERROR(INDEX('Assumptions &amp; Ref'!$J$126:$J$136,MATCH(AR30,'Assumptions &amp; Ref'!$I$126:$I$136,1)),INDEX('Assumptions &amp; Ref'!$J$126:$J$136,1)))</f>
        <v/>
      </c>
      <c r="AU30" s="20" t="str">
        <f t="shared" si="17"/>
        <v/>
      </c>
      <c r="AV30" s="20" t="str">
        <f t="shared" si="18"/>
        <v/>
      </c>
      <c r="AW30" s="20" t="str">
        <f t="shared" si="19"/>
        <v/>
      </c>
      <c r="AX30" s="20" t="str">
        <f>IF($C30="","",PI()*((AD30+2*'Assumptions &amp; Ref'!$C$63)^2-AD30^2)/4*'Assumptions &amp; Ref'!$C$62)</f>
        <v/>
      </c>
      <c r="AY30" s="20" t="str">
        <f>IF($C30="","",PI()*((AG30+2*'Assumptions &amp; Ref'!$C$64)^2-AG30^2)/4*'Assumptions &amp; Ref'!$C$62)</f>
        <v/>
      </c>
      <c r="AZ30" s="20" t="str">
        <f>IF($C30="","",(AU30-'Assumptions &amp; Ref'!$C$65)*PI()*('Assumptions &amp; Ref'!$C$65*'Assumptions &amp; Ref'!$C$66)*INDEX($C$5:$G$5,MATCH("Copper",$C$4:$G$4,0)))</f>
        <v/>
      </c>
      <c r="BA30" s="20" t="str">
        <f>IF($C30="","",((E30*AE30*IF(C30=3.5,3,C30))+(AI30*AE30*IF(C30=3.5,1,0)))*(1+'Assumptions &amp; Ref'!$C$33))</f>
        <v/>
      </c>
      <c r="BB30" s="20" t="str">
        <f>IF($C30="","",IF(C30=3.5,((AB30/360)*PI()*(AG30^2-AD30^2)/4*AH30*3)+((AC30/360)*PI()*(AL30^2-AJ30^2)/4*AH30),(AB30/360)*PI()*(AG30^2-AD30^2)/4*AH30*C30)*(1+'Assumptions &amp; Ref'!$C$33))</f>
        <v/>
      </c>
      <c r="BC30" s="20" t="str">
        <f>IF($C30="","",PI()*(AO30^2-AM30^2)/4*AP30*(1+'Assumptions &amp; Ref'!$C$33))</f>
        <v/>
      </c>
      <c r="BD30" s="20" t="str">
        <f>IF($C30="","",PI()*(AW30^2-AU30^2)/4*AV30*(1+'Assumptions &amp; Ref'!$C$33))</f>
        <v/>
      </c>
      <c r="BE30" s="20" t="str">
        <f>IF($C30="","",PI()*(AR30^2-AO30^2)/4*AS30*(1+'Assumptions &amp; Ref'!$C$33))</f>
        <v/>
      </c>
      <c r="BF30" s="21" t="str">
        <f>IF($C30="","",BA30*INDEX($C$6:$G$6,MATCH(F30,$C$4:$G$4,0))+IF(H30="XLPE",BB30*INDEX($C$6:$G$6,MATCH("XLPE",$C$4:$G$4,0)),0)+IF(H30="PVC",(BB30+BC30+BD30)*INDEX($C$6:$G$6,MATCH("PVC",$C$4:$G$4,0)),(BC30+BD30)*INDEX($C$6:$G$6,MATCH("PVC",$C$4:$G$4,0)))+IF(J30="Unarmored",0,IF(OR(J30="Aluminium Flat Strip",J30="Aluminium Round Wired"),BE30*INDEX($C$6:$G$6,MATCH("Aluminium",$C$4:$G$4,0)),BE30*INDEX($C$6:$G$6,MATCH("Steel Wire",$C$4:$G$4,0))))+AZ30*(1+'Assumptions &amp; Ref'!$C$34)*INDEX($C$6:$G$6,MATCH("Copper",$C$4:$G$4,0))*'Assumptions &amp; Ref'!$C$67+AX30*(1+'Assumptions &amp; Ref'!$C$35)*INDEX($C$6:$G$6,MATCH("XLPE",$C$4:$G$4,0))+AY30*(1+'Assumptions &amp; Ref'!$C$35)*INDEX($C$6:$G$6,MATCH("XLPE",$C$4:$G$4,0)))</f>
        <v/>
      </c>
      <c r="BG30" s="22" t="str">
        <f>IF($C30="","",IF(L30="Y",'Assumptions &amp; Ref'!$C$53,0)+IF(M30="Y",'Assumptions &amp; Ref'!$C$54,0)+IF(N30="Y",'Assumptions &amp; Ref'!$C$55,0)+IF(O30="Y",'Assumptions &amp; Ref'!$C$56,0)+IF(P30="Y",'Assumptions &amp; Ref'!$C$57,0)+IF(Q30="Y",'Assumptions &amp; Ref'!$C$58,0)+IF(R30="Y",'Assumptions &amp; Ref'!$C$59,0))</f>
        <v/>
      </c>
      <c r="BH30" s="23" t="str">
        <f>IF($C30="","",(IF($F30="Aluminium",'Assumptions &amp; Ref'!$D$28,'Assumptions &amp; Ref'!$C$28)+IF($F30="Aluminium",'Assumptions &amp; Ref'!$D$29,'Assumptions &amp; Ref'!$C$29)+IF($F30="Aluminium",'Assumptions &amp; Ref'!$D$30,'Assumptions &amp; Ref'!$C$30)+IF($F30="Aluminium",'Assumptions &amp; Ref'!$D$31,'Assumptions &amp; Ref'!$C$31))/IF($F30="Aluminium",'Assumptions &amp; Ref'!$D$27,'Assumptions &amp; Ref'!$C$27))</f>
        <v/>
      </c>
      <c r="BI30" s="23" t="str">
        <f>IF($C30="","",(IF($F30="Aluminium",'Assumptions &amp; Ref'!$F$28,'Assumptions &amp; Ref'!$E$28)+IF($F30="Aluminium",'Assumptions &amp; Ref'!$F$29,'Assumptions &amp; Ref'!$E$29)+IF($F30="Aluminium",'Assumptions &amp; Ref'!$F$30,'Assumptions &amp; Ref'!$E$30)+IF($F30="Aluminium",'Assumptions &amp; Ref'!$F$31,'Assumptions &amp; Ref'!$E$31))/IF($F30="Aluminium",'Assumptions &amp; Ref'!$F$27,'Assumptions &amp; Ref'!$E$27))</f>
        <v/>
      </c>
      <c r="BJ30" s="21" t="str">
        <f t="shared" si="20"/>
        <v/>
      </c>
      <c r="BK30" s="21" t="str">
        <f t="shared" si="21"/>
        <v/>
      </c>
      <c r="BL30" s="21" t="str">
        <f>IF($C30="","",BJ30*(1+BG30)*(1+IF($F30="Aluminium",'Assumptions &amp; Ref'!$D$31,'Assumptions &amp; Ref'!$C$31)))</f>
        <v/>
      </c>
      <c r="BM30" s="21" t="str">
        <f>IF($C30="","",BK30*(1+BG30)*(1+IF($F30="Aluminium",'Assumptions &amp; Ref'!$F$31,'Assumptions &amp; Ref'!$E$31)))</f>
        <v/>
      </c>
    </row>
    <row r="31" spans="2:65" ht="15" customHeight="1" x14ac:dyDescent="0.25">
      <c r="B31" s="13"/>
      <c r="C31" s="14"/>
      <c r="D31" s="14"/>
      <c r="E31" s="14"/>
      <c r="F31" s="14"/>
      <c r="G31" s="14"/>
      <c r="H31" s="14"/>
      <c r="I31" s="14"/>
      <c r="J31" s="14"/>
      <c r="K31" s="14"/>
      <c r="L31" s="15"/>
      <c r="M31" s="15"/>
      <c r="N31" s="15"/>
      <c r="O31" s="15"/>
      <c r="P31" s="15"/>
      <c r="Q31" s="15"/>
      <c r="R31" s="15"/>
      <c r="S31" s="16" t="str">
        <f t="shared" si="0"/>
        <v/>
      </c>
      <c r="T31" s="16" t="str">
        <f t="shared" si="1"/>
        <v/>
      </c>
      <c r="U31" s="17" t="str">
        <f t="shared" si="2"/>
        <v/>
      </c>
      <c r="V31" s="18" t="str">
        <f t="shared" si="3"/>
        <v/>
      </c>
      <c r="W31" s="19" t="str">
        <f>IF($C31="","",IF(F31="Copper",BA31,0)+AZ31*(1+'Assumptions &amp; Ref'!$C$34))</f>
        <v/>
      </c>
      <c r="X31" s="19" t="str">
        <f>IF($C31="","",AZ31*(1+'Assumptions &amp; Ref'!$C$34))</f>
        <v/>
      </c>
      <c r="Y31" s="19" t="str">
        <f>IF($C31="","",AX31*(1+'Assumptions &amp; Ref'!$C$35))</f>
        <v/>
      </c>
      <c r="Z31" s="19" t="str">
        <f>IF($C31="","",AY31*(1+'Assumptions &amp; Ref'!$C$35))</f>
        <v/>
      </c>
      <c r="AB31" s="20" t="str">
        <f t="shared" si="4"/>
        <v/>
      </c>
      <c r="AC31" s="20" t="str">
        <f t="shared" si="5"/>
        <v/>
      </c>
      <c r="AD31" s="20" t="str">
        <f t="shared" si="6"/>
        <v/>
      </c>
      <c r="AE31" s="20" t="str">
        <f t="shared" si="7"/>
        <v/>
      </c>
      <c r="AF31" s="20" t="str">
        <f>IF($C31="","",IFERROR(IF($G31="33kV",INDEX('Assumptions &amp; Ref'!$H$109:$H$122,MATCH(E31,'Assumptions &amp; Ref'!$B$109:$B$122,1)),IF($G31="22kV",INDEX('Assumptions &amp; Ref'!$G$109:$G$122,MATCH(E31,'Assumptions &amp; Ref'!$B$109:$B$122,1)),IF($G31="11kV",INDEX('Assumptions &amp; Ref'!$F$109:$F$122,MATCH(E31,'Assumptions &amp; Ref'!$B$109:$B$122,1)),IF($G31="6.6kV",INDEX('Assumptions &amp; Ref'!$D$109:$D$122,MATCH(E31,'Assumptions &amp; Ref'!$B$109:$B$122,1)),INDEX('Assumptions &amp; Ref'!$C$109:$C$122,MATCH(E31,'Assumptions &amp; Ref'!$B$109:$B$122,1)))))),INDEX('Assumptions &amp; Ref'!$C$109:$C$122,1)))</f>
        <v/>
      </c>
      <c r="AG31" s="20" t="str">
        <f t="shared" si="8"/>
        <v/>
      </c>
      <c r="AH31" s="20" t="str">
        <f t="shared" si="9"/>
        <v/>
      </c>
      <c r="AI31" s="20" t="str">
        <f>IF($C31="","",IF(C31=3.5,IFERROR(INDEX('Assumptions &amp; Ref'!$G$93:$G$105,MATCH(E31,'Assumptions &amp; Ref'!$F$93:$F$105,0)),0),0))</f>
        <v/>
      </c>
      <c r="AJ31" s="20" t="str">
        <f t="shared" si="10"/>
        <v/>
      </c>
      <c r="AK31" s="20" t="str">
        <f>IF($C31="","",IF(C31=3.5,IFERROR(IF($G31="33kV",INDEX('Assumptions &amp; Ref'!$H$109:$H$122,MATCH(AI31,'Assumptions &amp; Ref'!$B$109:$B$122,1)),IF($G31="22kV",INDEX('Assumptions &amp; Ref'!$G$109:$G$122,MATCH(AI31,'Assumptions &amp; Ref'!$B$109:$B$122,1)),IF($G31="11kV",INDEX('Assumptions &amp; Ref'!$E$109:$E$122,MATCH(AI31,'Assumptions &amp; Ref'!$B$109:$B$122,1)),IF($G31="6.6kV",INDEX('Assumptions &amp; Ref'!$D$109:$D$122,MATCH(AI31,'Assumptions &amp; Ref'!$B$109:$B$122,1)),INDEX('Assumptions &amp; Ref'!$C$109:$C$122,MATCH(AI31,'Assumptions &amp; Ref'!$B$109:$B$122,1)))))),0),0))</f>
        <v/>
      </c>
      <c r="AL31" s="20" t="str">
        <f t="shared" si="11"/>
        <v/>
      </c>
      <c r="AM31" s="20" t="str">
        <f t="shared" si="12"/>
        <v/>
      </c>
      <c r="AN31" s="20" t="str">
        <f>IF($C31="","",IFERROR(INDEX('Assumptions &amp; Ref'!$C$126:$C$130,MATCH(AM31,'Assumptions &amp; Ref'!$B$126:$B$130,1)),INDEX('Assumptions &amp; Ref'!$C$126:$C$130,1)))</f>
        <v/>
      </c>
      <c r="AO31" s="20" t="str">
        <f t="shared" si="13"/>
        <v/>
      </c>
      <c r="AP31" s="20" t="str">
        <f t="shared" si="14"/>
        <v/>
      </c>
      <c r="AQ31" s="20" t="str">
        <f>IF($C31="","",IF(J31="Unarmored",0,IF(OR(J31="Galvanised steel flat strip",J31="Aluminium Flat Strip"),IFERROR(INDEX('Assumptions &amp; Ref'!$F$126:$F$131,MATCH(AO31,'Assumptions &amp; Ref'!$E$126:$E$131,1)),INDEX('Assumptions &amp; Ref'!$F$126:$F$131,1)),IFERROR(INDEX('Assumptions &amp; Ref'!$G$126:$G$131,MATCH(AO31,'Assumptions &amp; Ref'!$E$126:$E$131,1)),INDEX('Assumptions &amp; Ref'!$G$126:$G$131,1)))))</f>
        <v/>
      </c>
      <c r="AR31" s="20" t="str">
        <f t="shared" si="15"/>
        <v/>
      </c>
      <c r="AS31" s="20" t="str">
        <f t="shared" si="16"/>
        <v/>
      </c>
      <c r="AT31" s="20" t="str">
        <f>IF($C31="","",IFERROR(INDEX('Assumptions &amp; Ref'!$J$126:$J$136,MATCH(AR31,'Assumptions &amp; Ref'!$I$126:$I$136,1)),INDEX('Assumptions &amp; Ref'!$J$126:$J$136,1)))</f>
        <v/>
      </c>
      <c r="AU31" s="20" t="str">
        <f t="shared" si="17"/>
        <v/>
      </c>
      <c r="AV31" s="20" t="str">
        <f t="shared" si="18"/>
        <v/>
      </c>
      <c r="AW31" s="20" t="str">
        <f t="shared" si="19"/>
        <v/>
      </c>
      <c r="AX31" s="20" t="str">
        <f>IF($C31="","",PI()*((AD31+2*'Assumptions &amp; Ref'!$C$63)^2-AD31^2)/4*'Assumptions &amp; Ref'!$C$62)</f>
        <v/>
      </c>
      <c r="AY31" s="20" t="str">
        <f>IF($C31="","",PI()*((AG31+2*'Assumptions &amp; Ref'!$C$64)^2-AG31^2)/4*'Assumptions &amp; Ref'!$C$62)</f>
        <v/>
      </c>
      <c r="AZ31" s="20" t="str">
        <f>IF($C31="","",(AU31-'Assumptions &amp; Ref'!$C$65)*PI()*('Assumptions &amp; Ref'!$C$65*'Assumptions &amp; Ref'!$C$66)*INDEX($C$5:$G$5,MATCH("Copper",$C$4:$G$4,0)))</f>
        <v/>
      </c>
      <c r="BA31" s="20" t="str">
        <f>IF($C31="","",((E31*AE31*IF(C31=3.5,3,C31))+(AI31*AE31*IF(C31=3.5,1,0)))*(1+'Assumptions &amp; Ref'!$C$33))</f>
        <v/>
      </c>
      <c r="BB31" s="20" t="str">
        <f>IF($C31="","",IF(C31=3.5,((AB31/360)*PI()*(AG31^2-AD31^2)/4*AH31*3)+((AC31/360)*PI()*(AL31^2-AJ31^2)/4*AH31),(AB31/360)*PI()*(AG31^2-AD31^2)/4*AH31*C31)*(1+'Assumptions &amp; Ref'!$C$33))</f>
        <v/>
      </c>
      <c r="BC31" s="20" t="str">
        <f>IF($C31="","",PI()*(AO31^2-AM31^2)/4*AP31*(1+'Assumptions &amp; Ref'!$C$33))</f>
        <v/>
      </c>
      <c r="BD31" s="20" t="str">
        <f>IF($C31="","",PI()*(AW31^2-AU31^2)/4*AV31*(1+'Assumptions &amp; Ref'!$C$33))</f>
        <v/>
      </c>
      <c r="BE31" s="20" t="str">
        <f>IF($C31="","",PI()*(AR31^2-AO31^2)/4*AS31*(1+'Assumptions &amp; Ref'!$C$33))</f>
        <v/>
      </c>
      <c r="BF31" s="21" t="str">
        <f>IF($C31="","",BA31*INDEX($C$6:$G$6,MATCH(F31,$C$4:$G$4,0))+IF(H31="XLPE",BB31*INDEX($C$6:$G$6,MATCH("XLPE",$C$4:$G$4,0)),0)+IF(H31="PVC",(BB31+BC31+BD31)*INDEX($C$6:$G$6,MATCH("PVC",$C$4:$G$4,0)),(BC31+BD31)*INDEX($C$6:$G$6,MATCH("PVC",$C$4:$G$4,0)))+IF(J31="Unarmored",0,IF(OR(J31="Aluminium Flat Strip",J31="Aluminium Round Wired"),BE31*INDEX($C$6:$G$6,MATCH("Aluminium",$C$4:$G$4,0)),BE31*INDEX($C$6:$G$6,MATCH("Steel Wire",$C$4:$G$4,0))))+AZ31*(1+'Assumptions &amp; Ref'!$C$34)*INDEX($C$6:$G$6,MATCH("Copper",$C$4:$G$4,0))*'Assumptions &amp; Ref'!$C$67+AX31*(1+'Assumptions &amp; Ref'!$C$35)*INDEX($C$6:$G$6,MATCH("XLPE",$C$4:$G$4,0))+AY31*(1+'Assumptions &amp; Ref'!$C$35)*INDEX($C$6:$G$6,MATCH("XLPE",$C$4:$G$4,0)))</f>
        <v/>
      </c>
      <c r="BG31" s="22" t="str">
        <f>IF($C31="","",IF(L31="Y",'Assumptions &amp; Ref'!$C$53,0)+IF(M31="Y",'Assumptions &amp; Ref'!$C$54,0)+IF(N31="Y",'Assumptions &amp; Ref'!$C$55,0)+IF(O31="Y",'Assumptions &amp; Ref'!$C$56,0)+IF(P31="Y",'Assumptions &amp; Ref'!$C$57,0)+IF(Q31="Y",'Assumptions &amp; Ref'!$C$58,0)+IF(R31="Y",'Assumptions &amp; Ref'!$C$59,0))</f>
        <v/>
      </c>
      <c r="BH31" s="23" t="str">
        <f>IF($C31="","",(IF($F31="Aluminium",'Assumptions &amp; Ref'!$D$28,'Assumptions &amp; Ref'!$C$28)+IF($F31="Aluminium",'Assumptions &amp; Ref'!$D$29,'Assumptions &amp; Ref'!$C$29)+IF($F31="Aluminium",'Assumptions &amp; Ref'!$D$30,'Assumptions &amp; Ref'!$C$30)+IF($F31="Aluminium",'Assumptions &amp; Ref'!$D$31,'Assumptions &amp; Ref'!$C$31))/IF($F31="Aluminium",'Assumptions &amp; Ref'!$D$27,'Assumptions &amp; Ref'!$C$27))</f>
        <v/>
      </c>
      <c r="BI31" s="23" t="str">
        <f>IF($C31="","",(IF($F31="Aluminium",'Assumptions &amp; Ref'!$F$28,'Assumptions &amp; Ref'!$E$28)+IF($F31="Aluminium",'Assumptions &amp; Ref'!$F$29,'Assumptions &amp; Ref'!$E$29)+IF($F31="Aluminium",'Assumptions &amp; Ref'!$F$30,'Assumptions &amp; Ref'!$E$30)+IF($F31="Aluminium",'Assumptions &amp; Ref'!$F$31,'Assumptions &amp; Ref'!$E$31))/IF($F31="Aluminium",'Assumptions &amp; Ref'!$F$27,'Assumptions &amp; Ref'!$E$27))</f>
        <v/>
      </c>
      <c r="BJ31" s="21" t="str">
        <f t="shared" si="20"/>
        <v/>
      </c>
      <c r="BK31" s="21" t="str">
        <f t="shared" si="21"/>
        <v/>
      </c>
      <c r="BL31" s="21" t="str">
        <f>IF($C31="","",BJ31*(1+BG31)*(1+IF($F31="Aluminium",'Assumptions &amp; Ref'!$D$31,'Assumptions &amp; Ref'!$C$31)))</f>
        <v/>
      </c>
      <c r="BM31" s="21" t="str">
        <f>IF($C31="","",BK31*(1+BG31)*(1+IF($F31="Aluminium",'Assumptions &amp; Ref'!$F$31,'Assumptions &amp; Ref'!$E$31)))</f>
        <v/>
      </c>
    </row>
    <row r="32" spans="2:65" ht="15" customHeight="1" x14ac:dyDescent="0.25">
      <c r="B32" s="13"/>
      <c r="C32" s="14"/>
      <c r="D32" s="14"/>
      <c r="E32" s="14"/>
      <c r="F32" s="14"/>
      <c r="G32" s="14"/>
      <c r="H32" s="14"/>
      <c r="I32" s="14"/>
      <c r="J32" s="14"/>
      <c r="K32" s="14"/>
      <c r="L32" s="15"/>
      <c r="M32" s="15"/>
      <c r="N32" s="15"/>
      <c r="O32" s="15"/>
      <c r="P32" s="15"/>
      <c r="Q32" s="15"/>
      <c r="R32" s="15"/>
      <c r="S32" s="16" t="str">
        <f t="shared" si="0"/>
        <v/>
      </c>
      <c r="T32" s="16" t="str">
        <f t="shared" si="1"/>
        <v/>
      </c>
      <c r="U32" s="17" t="str">
        <f t="shared" si="2"/>
        <v/>
      </c>
      <c r="V32" s="18" t="str">
        <f t="shared" si="3"/>
        <v/>
      </c>
      <c r="W32" s="19" t="str">
        <f>IF($C32="","",IF(F32="Copper",BA32,0)+AZ32*(1+'Assumptions &amp; Ref'!$C$34))</f>
        <v/>
      </c>
      <c r="X32" s="19" t="str">
        <f>IF($C32="","",AZ32*(1+'Assumptions &amp; Ref'!$C$34))</f>
        <v/>
      </c>
      <c r="Y32" s="19" t="str">
        <f>IF($C32="","",AX32*(1+'Assumptions &amp; Ref'!$C$35))</f>
        <v/>
      </c>
      <c r="Z32" s="19" t="str">
        <f>IF($C32="","",AY32*(1+'Assumptions &amp; Ref'!$C$35))</f>
        <v/>
      </c>
      <c r="AB32" s="20" t="str">
        <f t="shared" si="4"/>
        <v/>
      </c>
      <c r="AC32" s="20" t="str">
        <f t="shared" si="5"/>
        <v/>
      </c>
      <c r="AD32" s="20" t="str">
        <f t="shared" si="6"/>
        <v/>
      </c>
      <c r="AE32" s="20" t="str">
        <f t="shared" si="7"/>
        <v/>
      </c>
      <c r="AF32" s="20" t="str">
        <f>IF($C32="","",IFERROR(IF($G32="33kV",INDEX('Assumptions &amp; Ref'!$H$109:$H$122,MATCH(E32,'Assumptions &amp; Ref'!$B$109:$B$122,1)),IF($G32="22kV",INDEX('Assumptions &amp; Ref'!$G$109:$G$122,MATCH(E32,'Assumptions &amp; Ref'!$B$109:$B$122,1)),IF($G32="11kV",INDEX('Assumptions &amp; Ref'!$F$109:$F$122,MATCH(E32,'Assumptions &amp; Ref'!$B$109:$B$122,1)),IF($G32="6.6kV",INDEX('Assumptions &amp; Ref'!$D$109:$D$122,MATCH(E32,'Assumptions &amp; Ref'!$B$109:$B$122,1)),INDEX('Assumptions &amp; Ref'!$C$109:$C$122,MATCH(E32,'Assumptions &amp; Ref'!$B$109:$B$122,1)))))),INDEX('Assumptions &amp; Ref'!$C$109:$C$122,1)))</f>
        <v/>
      </c>
      <c r="AG32" s="20" t="str">
        <f t="shared" si="8"/>
        <v/>
      </c>
      <c r="AH32" s="20" t="str">
        <f t="shared" si="9"/>
        <v/>
      </c>
      <c r="AI32" s="20" t="str">
        <f>IF($C32="","",IF(C32=3.5,IFERROR(INDEX('Assumptions &amp; Ref'!$G$93:$G$105,MATCH(E32,'Assumptions &amp; Ref'!$F$93:$F$105,0)),0),0))</f>
        <v/>
      </c>
      <c r="AJ32" s="20" t="str">
        <f t="shared" si="10"/>
        <v/>
      </c>
      <c r="AK32" s="20" t="str">
        <f>IF($C32="","",IF(C32=3.5,IFERROR(IF($G32="33kV",INDEX('Assumptions &amp; Ref'!$H$109:$H$122,MATCH(AI32,'Assumptions &amp; Ref'!$B$109:$B$122,1)),IF($G32="22kV",INDEX('Assumptions &amp; Ref'!$G$109:$G$122,MATCH(AI32,'Assumptions &amp; Ref'!$B$109:$B$122,1)),IF($G32="11kV",INDEX('Assumptions &amp; Ref'!$E$109:$E$122,MATCH(AI32,'Assumptions &amp; Ref'!$B$109:$B$122,1)),IF($G32="6.6kV",INDEX('Assumptions &amp; Ref'!$D$109:$D$122,MATCH(AI32,'Assumptions &amp; Ref'!$B$109:$B$122,1)),INDEX('Assumptions &amp; Ref'!$C$109:$C$122,MATCH(AI32,'Assumptions &amp; Ref'!$B$109:$B$122,1)))))),0),0))</f>
        <v/>
      </c>
      <c r="AL32" s="20" t="str">
        <f t="shared" si="11"/>
        <v/>
      </c>
      <c r="AM32" s="20" t="str">
        <f t="shared" si="12"/>
        <v/>
      </c>
      <c r="AN32" s="20" t="str">
        <f>IF($C32="","",IFERROR(INDEX('Assumptions &amp; Ref'!$C$126:$C$130,MATCH(AM32,'Assumptions &amp; Ref'!$B$126:$B$130,1)),INDEX('Assumptions &amp; Ref'!$C$126:$C$130,1)))</f>
        <v/>
      </c>
      <c r="AO32" s="20" t="str">
        <f t="shared" si="13"/>
        <v/>
      </c>
      <c r="AP32" s="20" t="str">
        <f t="shared" si="14"/>
        <v/>
      </c>
      <c r="AQ32" s="20" t="str">
        <f>IF($C32="","",IF(J32="Unarmored",0,IF(OR(J32="Galvanised steel flat strip",J32="Aluminium Flat Strip"),IFERROR(INDEX('Assumptions &amp; Ref'!$F$126:$F$131,MATCH(AO32,'Assumptions &amp; Ref'!$E$126:$E$131,1)),INDEX('Assumptions &amp; Ref'!$F$126:$F$131,1)),IFERROR(INDEX('Assumptions &amp; Ref'!$G$126:$G$131,MATCH(AO32,'Assumptions &amp; Ref'!$E$126:$E$131,1)),INDEX('Assumptions &amp; Ref'!$G$126:$G$131,1)))))</f>
        <v/>
      </c>
      <c r="AR32" s="20" t="str">
        <f t="shared" si="15"/>
        <v/>
      </c>
      <c r="AS32" s="20" t="str">
        <f t="shared" si="16"/>
        <v/>
      </c>
      <c r="AT32" s="20" t="str">
        <f>IF($C32="","",IFERROR(INDEX('Assumptions &amp; Ref'!$J$126:$J$136,MATCH(AR32,'Assumptions &amp; Ref'!$I$126:$I$136,1)),INDEX('Assumptions &amp; Ref'!$J$126:$J$136,1)))</f>
        <v/>
      </c>
      <c r="AU32" s="20" t="str">
        <f t="shared" si="17"/>
        <v/>
      </c>
      <c r="AV32" s="20" t="str">
        <f t="shared" si="18"/>
        <v/>
      </c>
      <c r="AW32" s="20" t="str">
        <f t="shared" si="19"/>
        <v/>
      </c>
      <c r="AX32" s="20" t="str">
        <f>IF($C32="","",PI()*((AD32+2*'Assumptions &amp; Ref'!$C$63)^2-AD32^2)/4*'Assumptions &amp; Ref'!$C$62)</f>
        <v/>
      </c>
      <c r="AY32" s="20" t="str">
        <f>IF($C32="","",PI()*((AG32+2*'Assumptions &amp; Ref'!$C$64)^2-AG32^2)/4*'Assumptions &amp; Ref'!$C$62)</f>
        <v/>
      </c>
      <c r="AZ32" s="20" t="str">
        <f>IF($C32="","",(AU32-'Assumptions &amp; Ref'!$C$65)*PI()*('Assumptions &amp; Ref'!$C$65*'Assumptions &amp; Ref'!$C$66)*INDEX($C$5:$G$5,MATCH("Copper",$C$4:$G$4,0)))</f>
        <v/>
      </c>
      <c r="BA32" s="20" t="str">
        <f>IF($C32="","",((E32*AE32*IF(C32=3.5,3,C32))+(AI32*AE32*IF(C32=3.5,1,0)))*(1+'Assumptions &amp; Ref'!$C$33))</f>
        <v/>
      </c>
      <c r="BB32" s="20" t="str">
        <f>IF($C32="","",IF(C32=3.5,((AB32/360)*PI()*(AG32^2-AD32^2)/4*AH32*3)+((AC32/360)*PI()*(AL32^2-AJ32^2)/4*AH32),(AB32/360)*PI()*(AG32^2-AD32^2)/4*AH32*C32)*(1+'Assumptions &amp; Ref'!$C$33))</f>
        <v/>
      </c>
      <c r="BC32" s="20" t="str">
        <f>IF($C32="","",PI()*(AO32^2-AM32^2)/4*AP32*(1+'Assumptions &amp; Ref'!$C$33))</f>
        <v/>
      </c>
      <c r="BD32" s="20" t="str">
        <f>IF($C32="","",PI()*(AW32^2-AU32^2)/4*AV32*(1+'Assumptions &amp; Ref'!$C$33))</f>
        <v/>
      </c>
      <c r="BE32" s="20" t="str">
        <f>IF($C32="","",PI()*(AR32^2-AO32^2)/4*AS32*(1+'Assumptions &amp; Ref'!$C$33))</f>
        <v/>
      </c>
      <c r="BF32" s="21" t="str">
        <f>IF($C32="","",BA32*INDEX($C$6:$G$6,MATCH(F32,$C$4:$G$4,0))+IF(H32="XLPE",BB32*INDEX($C$6:$G$6,MATCH("XLPE",$C$4:$G$4,0)),0)+IF(H32="PVC",(BB32+BC32+BD32)*INDEX($C$6:$G$6,MATCH("PVC",$C$4:$G$4,0)),(BC32+BD32)*INDEX($C$6:$G$6,MATCH("PVC",$C$4:$G$4,0)))+IF(J32="Unarmored",0,IF(OR(J32="Aluminium Flat Strip",J32="Aluminium Round Wired"),BE32*INDEX($C$6:$G$6,MATCH("Aluminium",$C$4:$G$4,0)),BE32*INDEX($C$6:$G$6,MATCH("Steel Wire",$C$4:$G$4,0))))+AZ32*(1+'Assumptions &amp; Ref'!$C$34)*INDEX($C$6:$G$6,MATCH("Copper",$C$4:$G$4,0))*'Assumptions &amp; Ref'!$C$67+AX32*(1+'Assumptions &amp; Ref'!$C$35)*INDEX($C$6:$G$6,MATCH("XLPE",$C$4:$G$4,0))+AY32*(1+'Assumptions &amp; Ref'!$C$35)*INDEX($C$6:$G$6,MATCH("XLPE",$C$4:$G$4,0)))</f>
        <v/>
      </c>
      <c r="BG32" s="22" t="str">
        <f>IF($C32="","",IF(L32="Y",'Assumptions &amp; Ref'!$C$53,0)+IF(M32="Y",'Assumptions &amp; Ref'!$C$54,0)+IF(N32="Y",'Assumptions &amp; Ref'!$C$55,0)+IF(O32="Y",'Assumptions &amp; Ref'!$C$56,0)+IF(P32="Y",'Assumptions &amp; Ref'!$C$57,0)+IF(Q32="Y",'Assumptions &amp; Ref'!$C$58,0)+IF(R32="Y",'Assumptions &amp; Ref'!$C$59,0))</f>
        <v/>
      </c>
      <c r="BH32" s="23" t="str">
        <f>IF($C32="","",(IF($F32="Aluminium",'Assumptions &amp; Ref'!$D$28,'Assumptions &amp; Ref'!$C$28)+IF($F32="Aluminium",'Assumptions &amp; Ref'!$D$29,'Assumptions &amp; Ref'!$C$29)+IF($F32="Aluminium",'Assumptions &amp; Ref'!$D$30,'Assumptions &amp; Ref'!$C$30)+IF($F32="Aluminium",'Assumptions &amp; Ref'!$D$31,'Assumptions &amp; Ref'!$C$31))/IF($F32="Aluminium",'Assumptions &amp; Ref'!$D$27,'Assumptions &amp; Ref'!$C$27))</f>
        <v/>
      </c>
      <c r="BI32" s="23" t="str">
        <f>IF($C32="","",(IF($F32="Aluminium",'Assumptions &amp; Ref'!$F$28,'Assumptions &amp; Ref'!$E$28)+IF($F32="Aluminium",'Assumptions &amp; Ref'!$F$29,'Assumptions &amp; Ref'!$E$29)+IF($F32="Aluminium",'Assumptions &amp; Ref'!$F$30,'Assumptions &amp; Ref'!$E$30)+IF($F32="Aluminium",'Assumptions &amp; Ref'!$F$31,'Assumptions &amp; Ref'!$E$31))/IF($F32="Aluminium",'Assumptions &amp; Ref'!$F$27,'Assumptions &amp; Ref'!$E$27))</f>
        <v/>
      </c>
      <c r="BJ32" s="21" t="str">
        <f t="shared" si="20"/>
        <v/>
      </c>
      <c r="BK32" s="21" t="str">
        <f t="shared" si="21"/>
        <v/>
      </c>
      <c r="BL32" s="21" t="str">
        <f>IF($C32="","",BJ32*(1+BG32)*(1+IF($F32="Aluminium",'Assumptions &amp; Ref'!$D$31,'Assumptions &amp; Ref'!$C$31)))</f>
        <v/>
      </c>
      <c r="BM32" s="21" t="str">
        <f>IF($C32="","",BK32*(1+BG32)*(1+IF($F32="Aluminium",'Assumptions &amp; Ref'!$F$31,'Assumptions &amp; Ref'!$E$31)))</f>
        <v/>
      </c>
    </row>
    <row r="33" spans="2:65" ht="15" customHeight="1" x14ac:dyDescent="0.25">
      <c r="B33" s="13"/>
      <c r="C33" s="14"/>
      <c r="D33" s="14"/>
      <c r="E33" s="14"/>
      <c r="F33" s="14"/>
      <c r="G33" s="14"/>
      <c r="H33" s="14"/>
      <c r="I33" s="14"/>
      <c r="J33" s="14"/>
      <c r="K33" s="14"/>
      <c r="L33" s="15"/>
      <c r="M33" s="15"/>
      <c r="N33" s="15"/>
      <c r="O33" s="15"/>
      <c r="P33" s="15"/>
      <c r="Q33" s="15"/>
      <c r="R33" s="15"/>
      <c r="S33" s="16" t="str">
        <f t="shared" si="0"/>
        <v/>
      </c>
      <c r="T33" s="16" t="str">
        <f t="shared" si="1"/>
        <v/>
      </c>
      <c r="U33" s="17" t="str">
        <f t="shared" si="2"/>
        <v/>
      </c>
      <c r="V33" s="18" t="str">
        <f t="shared" si="3"/>
        <v/>
      </c>
      <c r="W33" s="19" t="str">
        <f>IF($C33="","",IF(F33="Copper",BA33,0)+AZ33*(1+'Assumptions &amp; Ref'!$C$34))</f>
        <v/>
      </c>
      <c r="X33" s="19" t="str">
        <f>IF($C33="","",AZ33*(1+'Assumptions &amp; Ref'!$C$34))</f>
        <v/>
      </c>
      <c r="Y33" s="19" t="str">
        <f>IF($C33="","",AX33*(1+'Assumptions &amp; Ref'!$C$35))</f>
        <v/>
      </c>
      <c r="Z33" s="19" t="str">
        <f>IF($C33="","",AY33*(1+'Assumptions &amp; Ref'!$C$35))</f>
        <v/>
      </c>
      <c r="AB33" s="20" t="str">
        <f t="shared" si="4"/>
        <v/>
      </c>
      <c r="AC33" s="20" t="str">
        <f t="shared" si="5"/>
        <v/>
      </c>
      <c r="AD33" s="20" t="str">
        <f t="shared" si="6"/>
        <v/>
      </c>
      <c r="AE33" s="20" t="str">
        <f t="shared" si="7"/>
        <v/>
      </c>
      <c r="AF33" s="20" t="str">
        <f>IF($C33="","",IFERROR(IF($G33="33kV",INDEX('Assumptions &amp; Ref'!$H$109:$H$122,MATCH(E33,'Assumptions &amp; Ref'!$B$109:$B$122,1)),IF($G33="22kV",INDEX('Assumptions &amp; Ref'!$G$109:$G$122,MATCH(E33,'Assumptions &amp; Ref'!$B$109:$B$122,1)),IF($G33="11kV",INDEX('Assumptions &amp; Ref'!$F$109:$F$122,MATCH(E33,'Assumptions &amp; Ref'!$B$109:$B$122,1)),IF($G33="6.6kV",INDEX('Assumptions &amp; Ref'!$D$109:$D$122,MATCH(E33,'Assumptions &amp; Ref'!$B$109:$B$122,1)),INDEX('Assumptions &amp; Ref'!$C$109:$C$122,MATCH(E33,'Assumptions &amp; Ref'!$B$109:$B$122,1)))))),INDEX('Assumptions &amp; Ref'!$C$109:$C$122,1)))</f>
        <v/>
      </c>
      <c r="AG33" s="20" t="str">
        <f t="shared" si="8"/>
        <v/>
      </c>
      <c r="AH33" s="20" t="str">
        <f t="shared" si="9"/>
        <v/>
      </c>
      <c r="AI33" s="20" t="str">
        <f>IF($C33="","",IF(C33=3.5,IFERROR(INDEX('Assumptions &amp; Ref'!$G$93:$G$105,MATCH(E33,'Assumptions &amp; Ref'!$F$93:$F$105,0)),0),0))</f>
        <v/>
      </c>
      <c r="AJ33" s="20" t="str">
        <f t="shared" si="10"/>
        <v/>
      </c>
      <c r="AK33" s="20" t="str">
        <f>IF($C33="","",IF(C33=3.5,IFERROR(IF($G33="33kV",INDEX('Assumptions &amp; Ref'!$H$109:$H$122,MATCH(AI33,'Assumptions &amp; Ref'!$B$109:$B$122,1)),IF($G33="22kV",INDEX('Assumptions &amp; Ref'!$G$109:$G$122,MATCH(AI33,'Assumptions &amp; Ref'!$B$109:$B$122,1)),IF($G33="11kV",INDEX('Assumptions &amp; Ref'!$E$109:$E$122,MATCH(AI33,'Assumptions &amp; Ref'!$B$109:$B$122,1)),IF($G33="6.6kV",INDEX('Assumptions &amp; Ref'!$D$109:$D$122,MATCH(AI33,'Assumptions &amp; Ref'!$B$109:$B$122,1)),INDEX('Assumptions &amp; Ref'!$C$109:$C$122,MATCH(AI33,'Assumptions &amp; Ref'!$B$109:$B$122,1)))))),0),0))</f>
        <v/>
      </c>
      <c r="AL33" s="20" t="str">
        <f t="shared" si="11"/>
        <v/>
      </c>
      <c r="AM33" s="20" t="str">
        <f t="shared" si="12"/>
        <v/>
      </c>
      <c r="AN33" s="20" t="str">
        <f>IF($C33="","",IFERROR(INDEX('Assumptions &amp; Ref'!$C$126:$C$130,MATCH(AM33,'Assumptions &amp; Ref'!$B$126:$B$130,1)),INDEX('Assumptions &amp; Ref'!$C$126:$C$130,1)))</f>
        <v/>
      </c>
      <c r="AO33" s="20" t="str">
        <f t="shared" si="13"/>
        <v/>
      </c>
      <c r="AP33" s="20" t="str">
        <f t="shared" si="14"/>
        <v/>
      </c>
      <c r="AQ33" s="20" t="str">
        <f>IF($C33="","",IF(J33="Unarmored",0,IF(OR(J33="Galvanised steel flat strip",J33="Aluminium Flat Strip"),IFERROR(INDEX('Assumptions &amp; Ref'!$F$126:$F$131,MATCH(AO33,'Assumptions &amp; Ref'!$E$126:$E$131,1)),INDEX('Assumptions &amp; Ref'!$F$126:$F$131,1)),IFERROR(INDEX('Assumptions &amp; Ref'!$G$126:$G$131,MATCH(AO33,'Assumptions &amp; Ref'!$E$126:$E$131,1)),INDEX('Assumptions &amp; Ref'!$G$126:$G$131,1)))))</f>
        <v/>
      </c>
      <c r="AR33" s="20" t="str">
        <f t="shared" si="15"/>
        <v/>
      </c>
      <c r="AS33" s="20" t="str">
        <f t="shared" si="16"/>
        <v/>
      </c>
      <c r="AT33" s="20" t="str">
        <f>IF($C33="","",IFERROR(INDEX('Assumptions &amp; Ref'!$J$126:$J$136,MATCH(AR33,'Assumptions &amp; Ref'!$I$126:$I$136,1)),INDEX('Assumptions &amp; Ref'!$J$126:$J$136,1)))</f>
        <v/>
      </c>
      <c r="AU33" s="20" t="str">
        <f t="shared" si="17"/>
        <v/>
      </c>
      <c r="AV33" s="20" t="str">
        <f t="shared" si="18"/>
        <v/>
      </c>
      <c r="AW33" s="20" t="str">
        <f t="shared" si="19"/>
        <v/>
      </c>
      <c r="AX33" s="20" t="str">
        <f>IF($C33="","",PI()*((AD33+2*'Assumptions &amp; Ref'!$C$63)^2-AD33^2)/4*'Assumptions &amp; Ref'!$C$62)</f>
        <v/>
      </c>
      <c r="AY33" s="20" t="str">
        <f>IF($C33="","",PI()*((AG33+2*'Assumptions &amp; Ref'!$C$64)^2-AG33^2)/4*'Assumptions &amp; Ref'!$C$62)</f>
        <v/>
      </c>
      <c r="AZ33" s="20" t="str">
        <f>IF($C33="","",(AU33-'Assumptions &amp; Ref'!$C$65)*PI()*('Assumptions &amp; Ref'!$C$65*'Assumptions &amp; Ref'!$C$66)*INDEX($C$5:$G$5,MATCH("Copper",$C$4:$G$4,0)))</f>
        <v/>
      </c>
      <c r="BA33" s="20" t="str">
        <f>IF($C33="","",((E33*AE33*IF(C33=3.5,3,C33))+(AI33*AE33*IF(C33=3.5,1,0)))*(1+'Assumptions &amp; Ref'!$C$33))</f>
        <v/>
      </c>
      <c r="BB33" s="20" t="str">
        <f>IF($C33="","",IF(C33=3.5,((AB33/360)*PI()*(AG33^2-AD33^2)/4*AH33*3)+((AC33/360)*PI()*(AL33^2-AJ33^2)/4*AH33),(AB33/360)*PI()*(AG33^2-AD33^2)/4*AH33*C33)*(1+'Assumptions &amp; Ref'!$C$33))</f>
        <v/>
      </c>
      <c r="BC33" s="20" t="str">
        <f>IF($C33="","",PI()*(AO33^2-AM33^2)/4*AP33*(1+'Assumptions &amp; Ref'!$C$33))</f>
        <v/>
      </c>
      <c r="BD33" s="20" t="str">
        <f>IF($C33="","",PI()*(AW33^2-AU33^2)/4*AV33*(1+'Assumptions &amp; Ref'!$C$33))</f>
        <v/>
      </c>
      <c r="BE33" s="20" t="str">
        <f>IF($C33="","",PI()*(AR33^2-AO33^2)/4*AS33*(1+'Assumptions &amp; Ref'!$C$33))</f>
        <v/>
      </c>
      <c r="BF33" s="21" t="str">
        <f>IF($C33="","",BA33*INDEX($C$6:$G$6,MATCH(F33,$C$4:$G$4,0))+IF(H33="XLPE",BB33*INDEX($C$6:$G$6,MATCH("XLPE",$C$4:$G$4,0)),0)+IF(H33="PVC",(BB33+BC33+BD33)*INDEX($C$6:$G$6,MATCH("PVC",$C$4:$G$4,0)),(BC33+BD33)*INDEX($C$6:$G$6,MATCH("PVC",$C$4:$G$4,0)))+IF(J33="Unarmored",0,IF(OR(J33="Aluminium Flat Strip",J33="Aluminium Round Wired"),BE33*INDEX($C$6:$G$6,MATCH("Aluminium",$C$4:$G$4,0)),BE33*INDEX($C$6:$G$6,MATCH("Steel Wire",$C$4:$G$4,0))))+AZ33*(1+'Assumptions &amp; Ref'!$C$34)*INDEX($C$6:$G$6,MATCH("Copper",$C$4:$G$4,0))*'Assumptions &amp; Ref'!$C$67+AX33*(1+'Assumptions &amp; Ref'!$C$35)*INDEX($C$6:$G$6,MATCH("XLPE",$C$4:$G$4,0))+AY33*(1+'Assumptions &amp; Ref'!$C$35)*INDEX($C$6:$G$6,MATCH("XLPE",$C$4:$G$4,0)))</f>
        <v/>
      </c>
      <c r="BG33" s="22" t="str">
        <f>IF($C33="","",IF(L33="Y",'Assumptions &amp; Ref'!$C$53,0)+IF(M33="Y",'Assumptions &amp; Ref'!$C$54,0)+IF(N33="Y",'Assumptions &amp; Ref'!$C$55,0)+IF(O33="Y",'Assumptions &amp; Ref'!$C$56,0)+IF(P33="Y",'Assumptions &amp; Ref'!$C$57,0)+IF(Q33="Y",'Assumptions &amp; Ref'!$C$58,0)+IF(R33="Y",'Assumptions &amp; Ref'!$C$59,0))</f>
        <v/>
      </c>
      <c r="BH33" s="23" t="str">
        <f>IF($C33="","",(IF($F33="Aluminium",'Assumptions &amp; Ref'!$D$28,'Assumptions &amp; Ref'!$C$28)+IF($F33="Aluminium",'Assumptions &amp; Ref'!$D$29,'Assumptions &amp; Ref'!$C$29)+IF($F33="Aluminium",'Assumptions &amp; Ref'!$D$30,'Assumptions &amp; Ref'!$C$30)+IF($F33="Aluminium",'Assumptions &amp; Ref'!$D$31,'Assumptions &amp; Ref'!$C$31))/IF($F33="Aluminium",'Assumptions &amp; Ref'!$D$27,'Assumptions &amp; Ref'!$C$27))</f>
        <v/>
      </c>
      <c r="BI33" s="23" t="str">
        <f>IF($C33="","",(IF($F33="Aluminium",'Assumptions &amp; Ref'!$F$28,'Assumptions &amp; Ref'!$E$28)+IF($F33="Aluminium",'Assumptions &amp; Ref'!$F$29,'Assumptions &amp; Ref'!$E$29)+IF($F33="Aluminium",'Assumptions &amp; Ref'!$F$30,'Assumptions &amp; Ref'!$E$30)+IF($F33="Aluminium",'Assumptions &amp; Ref'!$F$31,'Assumptions &amp; Ref'!$E$31))/IF($F33="Aluminium",'Assumptions &amp; Ref'!$F$27,'Assumptions &amp; Ref'!$E$27))</f>
        <v/>
      </c>
      <c r="BJ33" s="21" t="str">
        <f t="shared" si="20"/>
        <v/>
      </c>
      <c r="BK33" s="21" t="str">
        <f t="shared" si="21"/>
        <v/>
      </c>
      <c r="BL33" s="21" t="str">
        <f>IF($C33="","",BJ33*(1+BG33)*(1+IF($F33="Aluminium",'Assumptions &amp; Ref'!$D$31,'Assumptions &amp; Ref'!$C$31)))</f>
        <v/>
      </c>
      <c r="BM33" s="21" t="str">
        <f>IF($C33="","",BK33*(1+BG33)*(1+IF($F33="Aluminium",'Assumptions &amp; Ref'!$F$31,'Assumptions &amp; Ref'!$E$31)))</f>
        <v/>
      </c>
    </row>
  </sheetData>
  <mergeCells count="1">
    <mergeCell ref="L7:R7"/>
  </mergeCells>
  <dataValidations count="8">
    <dataValidation type="list" allowBlank="1" sqref="C9:C33" xr:uid="{00000000-0002-0000-0100-000000000000}">
      <formula1>"1,2,3,3.5,4"</formula1>
      <formula2>0</formula2>
    </dataValidation>
    <dataValidation type="list" allowBlank="1" sqref="D9:D33" xr:uid="{00000000-0002-0000-0100-000001000000}">
      <formula1>"Circular,Sector shaped"</formula1>
      <formula2>0</formula2>
    </dataValidation>
    <dataValidation type="list" allowBlank="1" sqref="F9:F33" xr:uid="{00000000-0002-0000-0100-000002000000}">
      <formula1>"Copper,Aluminium"</formula1>
      <formula2>0</formula2>
    </dataValidation>
    <dataValidation type="list" allowBlank="1" sqref="G9:G33" xr:uid="{00000000-0002-0000-0100-000003000000}">
      <formula1>"3.3kV,6.6kV,11kV,22kV,33kV"</formula1>
      <formula2>0</formula2>
    </dataValidation>
    <dataValidation type="list" allowBlank="1" sqref="H9:H33" xr:uid="{00000000-0002-0000-0100-000004000000}">
      <formula1>"XLPE,PVC"</formula1>
      <formula2>0</formula2>
    </dataValidation>
    <dataValidation type="list" allowBlank="1" sqref="I9:I33 K9:K33" xr:uid="{00000000-0002-0000-0100-000005000000}">
      <formula1>"PVC,XLPE"</formula1>
      <formula2>0</formula2>
    </dataValidation>
    <dataValidation type="list" allowBlank="1" sqref="J9:J33" xr:uid="{00000000-0002-0000-0100-000006000000}">
      <formula1>"Unarmored,Galvanised steel round wire,Galvanised steel flat strip,Aluminium Flat Strip,Aluminium Round Wired"</formula1>
      <formula2>0</formula2>
    </dataValidation>
    <dataValidation type="list" allowBlank="1" sqref="L9:R33" xr:uid="{00000000-0002-0000-0100-000007000000}">
      <formula1>"N,Y"</formula1>
      <formula2>0</formula2>
    </dataValidation>
  </dataValidations>
  <hyperlinks>
    <hyperlink ref="C3" r:id="rId1" xr:uid="{00000000-0004-0000-0100-000000000000}"/>
    <hyperlink ref="D3" r:id="rId2" xr:uid="{00000000-0004-0000-0100-000001000000}"/>
    <hyperlink ref="E3" r:id="rId3" xr:uid="{00000000-0004-0000-0100-000002000000}"/>
    <hyperlink ref="F3" r:id="rId4" xr:uid="{00000000-0004-0000-0100-000003000000}"/>
    <hyperlink ref="G3" r:id="rId5" xr:uid="{00000000-0004-0000-0100-000004000000}"/>
  </hyperlinks>
  <pageMargins left="0.75" right="0.75" top="1" bottom="1" header="0.511811023622047" footer="0.511811023622047"/>
  <pageSetup paperSize="9" orientation="portrait" horizontalDpi="300" verticalDpi="300"/>
  <legacyDrawing r:id="rId6"/>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B1:N136"/>
  <sheetViews>
    <sheetView showGridLines="0" zoomScale="80" zoomScaleNormal="80" workbookViewId="0">
      <selection activeCell="F11" sqref="F11"/>
    </sheetView>
  </sheetViews>
  <sheetFormatPr defaultColWidth="8.7109375" defaultRowHeight="15" outlineLevelRow="1" x14ac:dyDescent="0.25"/>
  <cols>
    <col min="1" max="1" width="2" customWidth="1"/>
    <col min="2" max="2" width="34" customWidth="1"/>
    <col min="3" max="7" width="11" customWidth="1"/>
    <col min="8" max="8" width="13" customWidth="1"/>
    <col min="9" max="14" width="11" customWidth="1"/>
  </cols>
  <sheetData>
    <row r="1" spans="2:8" ht="15.75" customHeight="1" x14ac:dyDescent="0.25">
      <c r="B1" s="4" t="s">
        <v>101</v>
      </c>
    </row>
    <row r="2" spans="2:8" ht="15" customHeight="1" outlineLevel="1" x14ac:dyDescent="0.25">
      <c r="B2" s="24"/>
    </row>
    <row r="3" spans="2:8" outlineLevel="1" x14ac:dyDescent="0.25"/>
    <row r="4" spans="2:8" ht="15" customHeight="1" outlineLevel="1" x14ac:dyDescent="0.25">
      <c r="B4" s="25" t="s">
        <v>102</v>
      </c>
      <c r="C4" s="26"/>
      <c r="D4" s="26"/>
      <c r="E4" s="26"/>
      <c r="F4" s="26"/>
      <c r="G4" s="26"/>
      <c r="H4" s="26"/>
    </row>
    <row r="5" spans="2:8" ht="15" customHeight="1" outlineLevel="1" x14ac:dyDescent="0.25">
      <c r="B5" s="27" t="s">
        <v>103</v>
      </c>
      <c r="C5" s="3" t="s">
        <v>104</v>
      </c>
      <c r="D5" s="3" t="s">
        <v>105</v>
      </c>
      <c r="F5" s="27" t="s">
        <v>106</v>
      </c>
    </row>
    <row r="6" spans="2:8" ht="15" customHeight="1" outlineLevel="1" x14ac:dyDescent="0.25">
      <c r="C6" s="28" t="s">
        <v>107</v>
      </c>
      <c r="D6" s="28" t="s">
        <v>108</v>
      </c>
    </row>
    <row r="7" spans="2:8" ht="15" customHeight="1" outlineLevel="1" x14ac:dyDescent="0.25">
      <c r="B7" s="29" t="s">
        <v>8</v>
      </c>
      <c r="C7" s="30"/>
      <c r="D7" s="31"/>
      <c r="F7" s="32" t="s">
        <v>109</v>
      </c>
    </row>
    <row r="8" spans="2:8" ht="15" customHeight="1" outlineLevel="1" x14ac:dyDescent="0.25">
      <c r="B8" s="29" t="s">
        <v>9</v>
      </c>
      <c r="C8" s="30"/>
      <c r="D8" s="31"/>
      <c r="F8" s="32" t="s">
        <v>109</v>
      </c>
    </row>
    <row r="9" spans="2:8" ht="15" customHeight="1" outlineLevel="1" x14ac:dyDescent="0.25">
      <c r="B9" s="29" t="s">
        <v>10</v>
      </c>
      <c r="C9" s="30"/>
      <c r="D9" s="31"/>
      <c r="F9" s="32" t="s">
        <v>109</v>
      </c>
    </row>
    <row r="10" spans="2:8" ht="15" customHeight="1" outlineLevel="1" x14ac:dyDescent="0.25">
      <c r="B10" s="29" t="s">
        <v>11</v>
      </c>
      <c r="C10" s="30"/>
      <c r="D10" s="31"/>
      <c r="F10" s="32" t="s">
        <v>109</v>
      </c>
    </row>
    <row r="11" spans="2:8" ht="15" customHeight="1" outlineLevel="1" x14ac:dyDescent="0.25">
      <c r="B11" s="29" t="s">
        <v>12</v>
      </c>
      <c r="C11" s="30"/>
      <c r="D11" s="31"/>
      <c r="F11" s="32" t="s">
        <v>109</v>
      </c>
    </row>
    <row r="13" spans="2:8" ht="15" customHeight="1" x14ac:dyDescent="0.25">
      <c r="B13" s="25" t="s">
        <v>110</v>
      </c>
      <c r="C13" s="26"/>
      <c r="D13" s="26"/>
      <c r="E13" s="26"/>
      <c r="F13" s="26"/>
      <c r="G13" s="26"/>
      <c r="H13" s="26"/>
    </row>
    <row r="14" spans="2:8" ht="15" customHeight="1" x14ac:dyDescent="0.25">
      <c r="B14" s="27" t="s">
        <v>111</v>
      </c>
      <c r="C14" s="48" t="s">
        <v>112</v>
      </c>
      <c r="D14" s="48"/>
      <c r="E14" s="48" t="s">
        <v>113</v>
      </c>
      <c r="F14" s="48"/>
      <c r="H14" s="27" t="s">
        <v>114</v>
      </c>
    </row>
    <row r="15" spans="2:8" ht="15" customHeight="1" x14ac:dyDescent="0.25">
      <c r="C15" s="33" t="s">
        <v>8</v>
      </c>
      <c r="D15" s="33" t="s">
        <v>9</v>
      </c>
      <c r="E15" s="33" t="s">
        <v>8</v>
      </c>
      <c r="F15" s="33" t="s">
        <v>9</v>
      </c>
    </row>
    <row r="16" spans="2:8" ht="15" customHeight="1" x14ac:dyDescent="0.25">
      <c r="B16" s="29" t="s">
        <v>115</v>
      </c>
      <c r="C16" s="2">
        <v>0.85</v>
      </c>
      <c r="D16" s="2">
        <v>0.8</v>
      </c>
      <c r="E16" s="2">
        <v>0.9</v>
      </c>
      <c r="F16" s="2">
        <v>0.85</v>
      </c>
    </row>
    <row r="17" spans="2:8" ht="15" customHeight="1" x14ac:dyDescent="0.25">
      <c r="B17" s="29" t="s">
        <v>116</v>
      </c>
      <c r="C17" s="2">
        <v>0.09</v>
      </c>
      <c r="D17" s="2">
        <v>0.13</v>
      </c>
      <c r="E17" s="2">
        <v>0.05</v>
      </c>
      <c r="F17" s="2">
        <v>0.1</v>
      </c>
    </row>
    <row r="18" spans="2:8" ht="15" customHeight="1" x14ac:dyDescent="0.25">
      <c r="B18" s="29" t="s">
        <v>117</v>
      </c>
      <c r="C18" s="2">
        <v>0.01</v>
      </c>
      <c r="D18" s="2">
        <v>0.01</v>
      </c>
      <c r="E18" s="2">
        <v>0.01</v>
      </c>
      <c r="F18" s="2">
        <v>0.01</v>
      </c>
    </row>
    <row r="19" spans="2:8" ht="15" customHeight="1" x14ac:dyDescent="0.25">
      <c r="B19" s="29" t="s">
        <v>118</v>
      </c>
      <c r="C19" s="2">
        <v>0.01</v>
      </c>
      <c r="D19" s="2">
        <v>0.02</v>
      </c>
      <c r="E19" s="2">
        <v>0.01</v>
      </c>
      <c r="F19" s="2">
        <v>0.01</v>
      </c>
    </row>
    <row r="20" spans="2:8" ht="15" customHeight="1" x14ac:dyDescent="0.25">
      <c r="B20" s="29" t="s">
        <v>119</v>
      </c>
      <c r="C20" s="2">
        <v>0.04</v>
      </c>
      <c r="D20" s="2">
        <v>0.04</v>
      </c>
      <c r="E20" s="2">
        <v>0.03</v>
      </c>
      <c r="F20" s="2">
        <v>0.03</v>
      </c>
    </row>
    <row r="21" spans="2:8" ht="15" customHeight="1" x14ac:dyDescent="0.25">
      <c r="B21" s="29" t="s">
        <v>120</v>
      </c>
      <c r="C21" s="2">
        <v>0.04</v>
      </c>
      <c r="D21" s="2">
        <v>0.04</v>
      </c>
      <c r="E21" s="2">
        <v>0.04</v>
      </c>
      <c r="F21" s="2">
        <v>0.04</v>
      </c>
      <c r="H21" s="34" t="s">
        <v>121</v>
      </c>
    </row>
    <row r="22" spans="2:8" ht="15" customHeight="1" x14ac:dyDescent="0.25">
      <c r="B22" s="29" t="s">
        <v>122</v>
      </c>
      <c r="C22" s="46">
        <v>0.01</v>
      </c>
      <c r="D22" s="46"/>
      <c r="E22" s="46"/>
      <c r="F22" s="46"/>
    </row>
    <row r="24" spans="2:8" ht="15" customHeight="1" x14ac:dyDescent="0.25">
      <c r="B24" s="25" t="s">
        <v>123</v>
      </c>
      <c r="C24" s="26"/>
      <c r="D24" s="26"/>
      <c r="E24" s="26"/>
      <c r="F24" s="26"/>
      <c r="G24" s="26"/>
      <c r="H24" s="26"/>
    </row>
    <row r="25" spans="2:8" ht="15" customHeight="1" x14ac:dyDescent="0.25">
      <c r="B25" s="27" t="s">
        <v>111</v>
      </c>
      <c r="C25" s="48" t="s">
        <v>112</v>
      </c>
      <c r="D25" s="48"/>
      <c r="E25" s="48" t="s">
        <v>113</v>
      </c>
      <c r="F25" s="48"/>
      <c r="H25" s="27" t="s">
        <v>114</v>
      </c>
    </row>
    <row r="26" spans="2:8" ht="15" customHeight="1" x14ac:dyDescent="0.25">
      <c r="C26" s="33" t="s">
        <v>8</v>
      </c>
      <c r="D26" s="33" t="s">
        <v>9</v>
      </c>
      <c r="E26" s="33" t="s">
        <v>8</v>
      </c>
      <c r="F26" s="33" t="s">
        <v>9</v>
      </c>
    </row>
    <row r="27" spans="2:8" ht="15" customHeight="1" x14ac:dyDescent="0.25">
      <c r="B27" s="29" t="s">
        <v>115</v>
      </c>
      <c r="C27" s="2">
        <v>0.85</v>
      </c>
      <c r="D27" s="2">
        <v>0.8</v>
      </c>
      <c r="E27" s="2">
        <v>0.9</v>
      </c>
      <c r="F27" s="2">
        <v>0.85</v>
      </c>
    </row>
    <row r="28" spans="2:8" ht="15" customHeight="1" x14ac:dyDescent="0.25">
      <c r="B28" s="29" t="s">
        <v>116</v>
      </c>
      <c r="C28" s="2">
        <v>0.09</v>
      </c>
      <c r="D28" s="2">
        <v>0.13</v>
      </c>
      <c r="E28" s="2">
        <v>0.05</v>
      </c>
      <c r="F28" s="2">
        <v>0.1</v>
      </c>
    </row>
    <row r="29" spans="2:8" ht="15" customHeight="1" x14ac:dyDescent="0.25">
      <c r="B29" s="29" t="s">
        <v>117</v>
      </c>
      <c r="C29" s="2">
        <v>0.01</v>
      </c>
      <c r="D29" s="2">
        <v>0.01</v>
      </c>
      <c r="E29" s="2">
        <v>0.01</v>
      </c>
      <c r="F29" s="2">
        <v>0.01</v>
      </c>
    </row>
    <row r="30" spans="2:8" ht="15" customHeight="1" x14ac:dyDescent="0.25">
      <c r="B30" s="29" t="s">
        <v>118</v>
      </c>
      <c r="C30" s="2">
        <v>0.02</v>
      </c>
      <c r="D30" s="2">
        <v>0.02</v>
      </c>
      <c r="E30" s="2">
        <v>0.01</v>
      </c>
      <c r="F30" s="2">
        <v>0.01</v>
      </c>
    </row>
    <row r="31" spans="2:8" ht="15" customHeight="1" x14ac:dyDescent="0.25">
      <c r="B31" s="29" t="s">
        <v>119</v>
      </c>
      <c r="C31" s="2">
        <v>0.04</v>
      </c>
      <c r="D31" s="2">
        <v>0.04</v>
      </c>
      <c r="E31" s="2">
        <v>0.03</v>
      </c>
      <c r="F31" s="2">
        <v>0.03</v>
      </c>
      <c r="H31" s="35" t="s">
        <v>124</v>
      </c>
    </row>
    <row r="32" spans="2:8" ht="15" customHeight="1" x14ac:dyDescent="0.25">
      <c r="B32" s="29" t="s">
        <v>125</v>
      </c>
      <c r="C32" s="2">
        <v>0.04</v>
      </c>
      <c r="D32" s="2">
        <v>0.04</v>
      </c>
      <c r="E32" s="2">
        <v>0.04</v>
      </c>
      <c r="F32" s="2">
        <v>0.04</v>
      </c>
      <c r="H32" s="35" t="s">
        <v>126</v>
      </c>
    </row>
    <row r="33" spans="2:14" ht="15" customHeight="1" x14ac:dyDescent="0.25">
      <c r="B33" s="29" t="s">
        <v>127</v>
      </c>
      <c r="C33" s="46">
        <v>0.01</v>
      </c>
      <c r="D33" s="46"/>
      <c r="E33" s="46"/>
      <c r="F33" s="46"/>
    </row>
    <row r="34" spans="2:14" ht="15" customHeight="1" x14ac:dyDescent="0.25">
      <c r="B34" s="29" t="s">
        <v>128</v>
      </c>
      <c r="C34" s="46">
        <v>0.02</v>
      </c>
      <c r="D34" s="46"/>
      <c r="E34" s="46"/>
      <c r="F34" s="46"/>
    </row>
    <row r="35" spans="2:14" ht="15" customHeight="1" x14ac:dyDescent="0.25">
      <c r="B35" s="29" t="s">
        <v>129</v>
      </c>
      <c r="C35" s="46">
        <v>2.5000000000000001E-2</v>
      </c>
      <c r="D35" s="46"/>
      <c r="E35" s="46"/>
      <c r="F35" s="46"/>
    </row>
    <row r="36" spans="2:14" ht="15" customHeight="1" x14ac:dyDescent="0.25">
      <c r="B36" s="47" t="s">
        <v>130</v>
      </c>
      <c r="C36" s="47"/>
      <c r="D36" s="47"/>
      <c r="E36" s="47"/>
      <c r="F36" s="47"/>
      <c r="G36" s="47"/>
      <c r="H36" s="47"/>
      <c r="I36" s="47"/>
      <c r="J36" s="47"/>
      <c r="K36" s="47"/>
      <c r="L36" s="47"/>
      <c r="M36" s="47"/>
      <c r="N36" s="47"/>
    </row>
    <row r="38" spans="2:14" ht="15" customHeight="1" x14ac:dyDescent="0.25">
      <c r="B38" s="25" t="s">
        <v>131</v>
      </c>
      <c r="C38" s="26"/>
      <c r="D38" s="26"/>
      <c r="E38" s="26"/>
      <c r="F38" s="26"/>
      <c r="G38" s="26"/>
      <c r="H38" s="26"/>
    </row>
    <row r="39" spans="2:14" ht="15" customHeight="1" x14ac:dyDescent="0.25">
      <c r="B39" s="27" t="s">
        <v>132</v>
      </c>
      <c r="C39" s="3" t="s">
        <v>133</v>
      </c>
      <c r="D39" s="3" t="s">
        <v>134</v>
      </c>
    </row>
    <row r="40" spans="2:14" ht="15" customHeight="1" x14ac:dyDescent="0.25">
      <c r="B40" s="29" t="s">
        <v>135</v>
      </c>
      <c r="C40" s="2">
        <v>2.5000000000000001E-2</v>
      </c>
      <c r="D40" s="36" t="s">
        <v>136</v>
      </c>
    </row>
    <row r="41" spans="2:14" ht="15" customHeight="1" x14ac:dyDescent="0.25">
      <c r="B41" s="29" t="s">
        <v>137</v>
      </c>
      <c r="C41" s="2">
        <v>2.5000000000000001E-2</v>
      </c>
      <c r="D41" s="36" t="s">
        <v>138</v>
      </c>
    </row>
    <row r="42" spans="2:14" ht="15" customHeight="1" x14ac:dyDescent="0.25">
      <c r="B42" s="29" t="s">
        <v>139</v>
      </c>
      <c r="C42" s="2">
        <v>0.1</v>
      </c>
      <c r="D42" s="36" t="s">
        <v>140</v>
      </c>
    </row>
    <row r="43" spans="2:14" ht="15" customHeight="1" x14ac:dyDescent="0.25">
      <c r="B43" s="29" t="s">
        <v>141</v>
      </c>
      <c r="C43" s="2">
        <v>0.1</v>
      </c>
      <c r="D43" s="36" t="s">
        <v>76</v>
      </c>
    </row>
    <row r="44" spans="2:14" ht="15" customHeight="1" x14ac:dyDescent="0.25">
      <c r="B44" s="29" t="s">
        <v>142</v>
      </c>
      <c r="C44" s="2">
        <v>2.5000000000000001E-2</v>
      </c>
      <c r="D44" s="36" t="s">
        <v>143</v>
      </c>
    </row>
    <row r="45" spans="2:14" ht="15" customHeight="1" x14ac:dyDescent="0.25">
      <c r="B45" s="29" t="s">
        <v>144</v>
      </c>
      <c r="C45" s="2">
        <v>0.02</v>
      </c>
      <c r="D45" s="36" t="s">
        <v>145</v>
      </c>
    </row>
    <row r="46" spans="2:14" ht="15" customHeight="1" x14ac:dyDescent="0.25">
      <c r="B46" s="29" t="s">
        <v>146</v>
      </c>
      <c r="C46" s="2">
        <v>0.02</v>
      </c>
      <c r="D46" s="36" t="s">
        <v>147</v>
      </c>
    </row>
    <row r="47" spans="2:14" ht="15" customHeight="1" x14ac:dyDescent="0.25">
      <c r="B47" s="29" t="s">
        <v>148</v>
      </c>
      <c r="C47" s="2">
        <v>0.03</v>
      </c>
      <c r="D47" s="36" t="s">
        <v>149</v>
      </c>
    </row>
    <row r="48" spans="2:14" ht="15" customHeight="1" x14ac:dyDescent="0.25">
      <c r="B48" s="29" t="s">
        <v>150</v>
      </c>
      <c r="C48" s="2">
        <v>2.5000000000000001E-2</v>
      </c>
      <c r="D48" s="36" t="s">
        <v>151</v>
      </c>
    </row>
    <row r="49" spans="2:8" ht="15" customHeight="1" x14ac:dyDescent="0.25">
      <c r="B49" s="29" t="s">
        <v>152</v>
      </c>
      <c r="C49" s="2">
        <v>1.4999999999999999E-2</v>
      </c>
      <c r="D49" s="36" t="s">
        <v>153</v>
      </c>
    </row>
    <row r="51" spans="2:8" ht="15" customHeight="1" x14ac:dyDescent="0.25">
      <c r="B51" s="25" t="s">
        <v>154</v>
      </c>
      <c r="C51" s="26"/>
      <c r="D51" s="26"/>
      <c r="E51" s="26"/>
      <c r="F51" s="26"/>
      <c r="G51" s="26"/>
      <c r="H51" s="26"/>
    </row>
    <row r="52" spans="2:8" ht="15" customHeight="1" x14ac:dyDescent="0.25">
      <c r="B52" s="27" t="s">
        <v>132</v>
      </c>
      <c r="C52" s="3" t="s">
        <v>133</v>
      </c>
      <c r="D52" s="3" t="s">
        <v>134</v>
      </c>
    </row>
    <row r="53" spans="2:8" ht="15" customHeight="1" x14ac:dyDescent="0.25">
      <c r="B53" s="29" t="s">
        <v>135</v>
      </c>
      <c r="C53" s="2">
        <v>2.5000000000000001E-2</v>
      </c>
      <c r="D53" s="36" t="s">
        <v>138</v>
      </c>
    </row>
    <row r="54" spans="2:8" ht="15" customHeight="1" x14ac:dyDescent="0.25">
      <c r="B54" s="29" t="s">
        <v>137</v>
      </c>
      <c r="C54" s="2">
        <v>2.5000000000000001E-2</v>
      </c>
      <c r="D54" s="36" t="s">
        <v>140</v>
      </c>
    </row>
    <row r="55" spans="2:8" ht="15" customHeight="1" x14ac:dyDescent="0.25">
      <c r="B55" s="29" t="s">
        <v>139</v>
      </c>
      <c r="C55" s="2">
        <v>0.1</v>
      </c>
      <c r="D55" s="36" t="s">
        <v>76</v>
      </c>
    </row>
    <row r="56" spans="2:8" ht="15" customHeight="1" x14ac:dyDescent="0.25">
      <c r="B56" s="29" t="s">
        <v>141</v>
      </c>
      <c r="C56" s="2">
        <v>0.1</v>
      </c>
      <c r="D56" s="36" t="s">
        <v>143</v>
      </c>
    </row>
    <row r="57" spans="2:8" ht="15" customHeight="1" x14ac:dyDescent="0.25">
      <c r="B57" s="29" t="s">
        <v>142</v>
      </c>
      <c r="C57" s="2">
        <v>2.5000000000000001E-2</v>
      </c>
      <c r="D57" s="36" t="s">
        <v>145</v>
      </c>
    </row>
    <row r="58" spans="2:8" ht="15" customHeight="1" x14ac:dyDescent="0.25">
      <c r="B58" s="29" t="s">
        <v>155</v>
      </c>
      <c r="C58" s="2">
        <v>0.03</v>
      </c>
      <c r="D58" s="36" t="s">
        <v>147</v>
      </c>
    </row>
    <row r="59" spans="2:8" ht="15" customHeight="1" x14ac:dyDescent="0.25">
      <c r="B59" s="29" t="s">
        <v>156</v>
      </c>
      <c r="C59" s="2">
        <v>0.05</v>
      </c>
      <c r="D59" s="36" t="s">
        <v>149</v>
      </c>
    </row>
    <row r="61" spans="2:8" ht="15" customHeight="1" x14ac:dyDescent="0.25">
      <c r="B61" s="25" t="s">
        <v>157</v>
      </c>
      <c r="C61" s="26"/>
      <c r="D61" s="26"/>
      <c r="E61" s="26"/>
      <c r="F61" s="26"/>
      <c r="G61" s="26"/>
      <c r="H61" s="26"/>
    </row>
    <row r="62" spans="2:8" ht="15" customHeight="1" x14ac:dyDescent="0.25">
      <c r="B62" s="29" t="s">
        <v>158</v>
      </c>
      <c r="C62" s="30">
        <v>0.93600000000000005</v>
      </c>
    </row>
    <row r="63" spans="2:8" ht="15" customHeight="1" x14ac:dyDescent="0.25">
      <c r="B63" s="29" t="s">
        <v>159</v>
      </c>
      <c r="C63" s="30">
        <v>0.3</v>
      </c>
    </row>
    <row r="64" spans="2:8" ht="15" customHeight="1" x14ac:dyDescent="0.25">
      <c r="B64" s="29" t="s">
        <v>160</v>
      </c>
      <c r="C64" s="30">
        <v>0.3</v>
      </c>
    </row>
    <row r="65" spans="2:13" ht="15" customHeight="1" x14ac:dyDescent="0.25">
      <c r="B65" s="29" t="s">
        <v>161</v>
      </c>
      <c r="C65" s="30">
        <v>0.06</v>
      </c>
    </row>
    <row r="66" spans="2:13" ht="15" customHeight="1" x14ac:dyDescent="0.25">
      <c r="B66" s="29" t="s">
        <v>162</v>
      </c>
      <c r="C66" s="30">
        <v>2</v>
      </c>
    </row>
    <row r="67" spans="2:13" ht="15" customHeight="1" x14ac:dyDescent="0.25">
      <c r="B67" s="29" t="s">
        <v>163</v>
      </c>
      <c r="C67" s="30">
        <v>1.1499999999999999</v>
      </c>
    </row>
    <row r="68" spans="2:13" ht="15" customHeight="1" x14ac:dyDescent="0.25">
      <c r="B68" s="25" t="s">
        <v>164</v>
      </c>
      <c r="C68" s="26"/>
      <c r="D68" s="26"/>
      <c r="E68" s="26"/>
      <c r="F68" s="26"/>
      <c r="G68" s="26"/>
      <c r="H68" s="26"/>
      <c r="I68" s="26"/>
      <c r="J68" s="26"/>
      <c r="K68" s="26"/>
      <c r="L68" s="26"/>
      <c r="M68" s="26"/>
    </row>
    <row r="69" spans="2:13" ht="15" customHeight="1" x14ac:dyDescent="0.25">
      <c r="B69" s="3" t="s">
        <v>165</v>
      </c>
      <c r="C69" s="3" t="s">
        <v>166</v>
      </c>
      <c r="D69" s="3" t="s">
        <v>167</v>
      </c>
      <c r="F69" s="3" t="s">
        <v>168</v>
      </c>
      <c r="G69" s="3" t="s">
        <v>169</v>
      </c>
      <c r="I69" s="3" t="s">
        <v>170</v>
      </c>
      <c r="J69" s="3" t="s">
        <v>171</v>
      </c>
      <c r="K69" s="3" t="s">
        <v>172</v>
      </c>
    </row>
    <row r="70" spans="2:13" ht="15" customHeight="1" x14ac:dyDescent="0.25">
      <c r="B70" s="37">
        <v>1.5</v>
      </c>
      <c r="C70" s="37">
        <v>1</v>
      </c>
      <c r="D70" s="37">
        <v>0.7</v>
      </c>
      <c r="F70" s="37">
        <v>0</v>
      </c>
      <c r="G70" s="37">
        <v>0.3</v>
      </c>
      <c r="I70" s="37">
        <v>0</v>
      </c>
      <c r="J70" s="37">
        <v>1.8</v>
      </c>
      <c r="K70" s="37">
        <v>1.24</v>
      </c>
    </row>
    <row r="71" spans="2:13" ht="15" customHeight="1" x14ac:dyDescent="0.25">
      <c r="B71" s="37">
        <v>2.5</v>
      </c>
      <c r="C71" s="37">
        <v>1</v>
      </c>
      <c r="D71" s="37">
        <v>0.7</v>
      </c>
      <c r="F71" s="37">
        <v>25</v>
      </c>
      <c r="G71" s="37">
        <v>0.4</v>
      </c>
      <c r="I71" s="37">
        <v>15</v>
      </c>
      <c r="J71" s="37">
        <v>2</v>
      </c>
      <c r="K71" s="37">
        <v>1.4</v>
      </c>
    </row>
    <row r="72" spans="2:13" ht="15" customHeight="1" x14ac:dyDescent="0.25">
      <c r="B72" s="37">
        <v>4</v>
      </c>
      <c r="C72" s="37">
        <v>1</v>
      </c>
      <c r="D72" s="37">
        <v>0.7</v>
      </c>
      <c r="F72" s="37">
        <v>35</v>
      </c>
      <c r="G72" s="37">
        <v>0.5</v>
      </c>
      <c r="I72" s="37">
        <v>25</v>
      </c>
      <c r="J72" s="37">
        <v>2.2000000000000002</v>
      </c>
      <c r="K72" s="37">
        <v>1.56</v>
      </c>
    </row>
    <row r="73" spans="2:13" ht="15" customHeight="1" x14ac:dyDescent="0.25">
      <c r="B73" s="37">
        <v>6</v>
      </c>
      <c r="C73" s="37">
        <v>1</v>
      </c>
      <c r="D73" s="37">
        <v>0.7</v>
      </c>
      <c r="F73" s="37">
        <v>45</v>
      </c>
      <c r="G73" s="37">
        <v>0.6</v>
      </c>
      <c r="I73" s="37">
        <v>35</v>
      </c>
      <c r="J73" s="37">
        <v>2.4</v>
      </c>
      <c r="K73" s="37">
        <v>1.72</v>
      </c>
    </row>
    <row r="74" spans="2:13" ht="15" customHeight="1" x14ac:dyDescent="0.25">
      <c r="B74" s="37">
        <v>10</v>
      </c>
      <c r="C74" s="37">
        <v>1</v>
      </c>
      <c r="D74" s="37">
        <v>0.7</v>
      </c>
      <c r="F74" s="37">
        <v>55</v>
      </c>
      <c r="G74" s="37">
        <v>0.7</v>
      </c>
      <c r="I74" s="37">
        <v>40</v>
      </c>
      <c r="J74" s="37">
        <v>2.6</v>
      </c>
      <c r="K74" s="37">
        <v>1.88</v>
      </c>
    </row>
    <row r="75" spans="2:13" ht="15" customHeight="1" x14ac:dyDescent="0.25">
      <c r="B75" s="37">
        <v>16</v>
      </c>
      <c r="C75" s="37">
        <v>1</v>
      </c>
      <c r="D75" s="37">
        <v>0.7</v>
      </c>
      <c r="I75" s="37">
        <v>45</v>
      </c>
      <c r="J75" s="37">
        <v>2.8</v>
      </c>
      <c r="K75" s="37">
        <v>2.04</v>
      </c>
    </row>
    <row r="76" spans="2:13" ht="15" customHeight="1" x14ac:dyDescent="0.25">
      <c r="B76" s="37">
        <v>25</v>
      </c>
      <c r="C76" s="37">
        <v>1.2</v>
      </c>
      <c r="D76" s="37">
        <v>0.9</v>
      </c>
      <c r="I76" s="37">
        <v>50</v>
      </c>
      <c r="J76" s="37">
        <v>3</v>
      </c>
      <c r="K76" s="37">
        <v>2.2000000000000002</v>
      </c>
    </row>
    <row r="77" spans="2:13" ht="15" customHeight="1" x14ac:dyDescent="0.25">
      <c r="B77" s="37">
        <v>35</v>
      </c>
      <c r="C77" s="37">
        <v>1.2</v>
      </c>
      <c r="D77" s="37">
        <v>0.9</v>
      </c>
      <c r="I77" s="37">
        <v>55</v>
      </c>
      <c r="J77" s="37">
        <v>3.2</v>
      </c>
      <c r="K77" s="37">
        <v>2.36</v>
      </c>
    </row>
    <row r="78" spans="2:13" ht="15" customHeight="1" x14ac:dyDescent="0.25">
      <c r="B78" s="37">
        <v>50</v>
      </c>
      <c r="C78" s="37">
        <v>1.3</v>
      </c>
      <c r="D78" s="37">
        <v>1</v>
      </c>
      <c r="I78" s="37">
        <v>60</v>
      </c>
      <c r="J78" s="37">
        <v>3.4</v>
      </c>
      <c r="K78" s="37">
        <v>2.52</v>
      </c>
    </row>
    <row r="79" spans="2:13" ht="15" customHeight="1" x14ac:dyDescent="0.25">
      <c r="B79" s="37">
        <v>70</v>
      </c>
      <c r="C79" s="37">
        <v>1.4</v>
      </c>
      <c r="D79" s="37">
        <v>1.1000000000000001</v>
      </c>
      <c r="I79" s="37">
        <v>65</v>
      </c>
      <c r="J79" s="37">
        <v>3.6</v>
      </c>
      <c r="K79" s="37">
        <v>2.68</v>
      </c>
    </row>
    <row r="80" spans="2:13" ht="15" customHeight="1" x14ac:dyDescent="0.25">
      <c r="B80" s="37">
        <v>95</v>
      </c>
      <c r="C80" s="37">
        <v>1.4</v>
      </c>
      <c r="D80" s="37">
        <v>1.1000000000000001</v>
      </c>
      <c r="I80" s="37">
        <v>70</v>
      </c>
      <c r="J80" s="37">
        <v>3.8</v>
      </c>
      <c r="K80" s="37">
        <v>2.84</v>
      </c>
    </row>
    <row r="81" spans="2:11" ht="15" customHeight="1" x14ac:dyDescent="0.25">
      <c r="B81" s="37">
        <v>120</v>
      </c>
      <c r="C81" s="37">
        <v>1.5</v>
      </c>
      <c r="D81" s="37">
        <v>1.2</v>
      </c>
      <c r="I81" s="37">
        <v>75</v>
      </c>
      <c r="J81" s="37">
        <v>4</v>
      </c>
      <c r="K81" s="37">
        <v>3</v>
      </c>
    </row>
    <row r="82" spans="2:11" ht="15" customHeight="1" x14ac:dyDescent="0.25">
      <c r="B82" s="37">
        <v>150</v>
      </c>
      <c r="C82" s="37">
        <v>1.7</v>
      </c>
      <c r="D82" s="37">
        <v>1.4</v>
      </c>
    </row>
    <row r="83" spans="2:11" ht="15" customHeight="1" x14ac:dyDescent="0.25">
      <c r="B83" s="37">
        <v>185</v>
      </c>
      <c r="C83" s="37">
        <v>1.9</v>
      </c>
      <c r="D83" s="37">
        <v>1.6</v>
      </c>
    </row>
    <row r="84" spans="2:11" ht="15" customHeight="1" x14ac:dyDescent="0.25">
      <c r="B84" s="37">
        <v>240</v>
      </c>
      <c r="C84" s="37">
        <v>2</v>
      </c>
      <c r="D84" s="37">
        <v>1.7</v>
      </c>
    </row>
    <row r="85" spans="2:11" ht="15" customHeight="1" x14ac:dyDescent="0.25">
      <c r="B85" s="37">
        <v>300</v>
      </c>
      <c r="C85" s="37">
        <v>2.1</v>
      </c>
      <c r="D85" s="37">
        <v>1.8</v>
      </c>
    </row>
    <row r="86" spans="2:11" ht="15" customHeight="1" x14ac:dyDescent="0.25">
      <c r="B86" s="37">
        <v>400</v>
      </c>
      <c r="C86" s="37">
        <v>2.4</v>
      </c>
      <c r="D86" s="37">
        <v>2</v>
      </c>
    </row>
    <row r="87" spans="2:11" ht="15" customHeight="1" x14ac:dyDescent="0.25">
      <c r="B87" s="37">
        <v>500</v>
      </c>
      <c r="C87" s="37">
        <v>2.6</v>
      </c>
      <c r="D87" s="37">
        <v>2.2000000000000002</v>
      </c>
    </row>
    <row r="88" spans="2:11" ht="15" customHeight="1" x14ac:dyDescent="0.25">
      <c r="B88" s="37">
        <v>630</v>
      </c>
      <c r="C88" s="37">
        <v>2.8</v>
      </c>
      <c r="D88" s="37">
        <v>2.4</v>
      </c>
    </row>
    <row r="89" spans="2:11" ht="15" customHeight="1" x14ac:dyDescent="0.25">
      <c r="B89" s="37">
        <v>800</v>
      </c>
      <c r="C89" s="37">
        <v>3.1</v>
      </c>
      <c r="D89" s="37">
        <v>2.6</v>
      </c>
    </row>
    <row r="90" spans="2:11" ht="15" customHeight="1" x14ac:dyDescent="0.25">
      <c r="B90" s="37">
        <v>1000</v>
      </c>
      <c r="C90" s="37">
        <v>3.3</v>
      </c>
      <c r="D90" s="37">
        <v>2.8</v>
      </c>
    </row>
    <row r="92" spans="2:11" ht="15" customHeight="1" x14ac:dyDescent="0.25">
      <c r="B92" s="3" t="s">
        <v>173</v>
      </c>
      <c r="C92" s="3" t="s">
        <v>174</v>
      </c>
      <c r="D92" s="3" t="s">
        <v>175</v>
      </c>
      <c r="F92" s="3" t="s">
        <v>176</v>
      </c>
      <c r="G92" s="3" t="s">
        <v>177</v>
      </c>
    </row>
    <row r="93" spans="2:11" ht="15" customHeight="1" x14ac:dyDescent="0.25">
      <c r="B93" s="37">
        <v>0</v>
      </c>
      <c r="C93" s="37">
        <v>0.8</v>
      </c>
      <c r="D93" s="37">
        <v>1.4</v>
      </c>
      <c r="F93" s="37">
        <v>25</v>
      </c>
      <c r="G93" s="37">
        <v>16</v>
      </c>
    </row>
    <row r="94" spans="2:11" ht="15" customHeight="1" x14ac:dyDescent="0.25">
      <c r="B94" s="37">
        <v>13</v>
      </c>
      <c r="C94" s="37">
        <v>0.8</v>
      </c>
      <c r="D94" s="37">
        <v>1.6</v>
      </c>
      <c r="F94" s="37">
        <v>35</v>
      </c>
      <c r="G94" s="37">
        <v>16</v>
      </c>
    </row>
    <row r="95" spans="2:11" ht="15" customHeight="1" x14ac:dyDescent="0.25">
      <c r="B95" s="37">
        <v>25</v>
      </c>
      <c r="C95" s="37">
        <v>0.8</v>
      </c>
      <c r="D95" s="37">
        <v>2</v>
      </c>
      <c r="F95" s="37">
        <v>50</v>
      </c>
      <c r="G95" s="37">
        <v>25</v>
      </c>
    </row>
    <row r="96" spans="2:11" ht="15" customHeight="1" x14ac:dyDescent="0.25">
      <c r="B96" s="37">
        <v>40</v>
      </c>
      <c r="C96" s="37">
        <v>1.4</v>
      </c>
      <c r="D96" s="37">
        <v>2.5</v>
      </c>
      <c r="F96" s="37">
        <v>70</v>
      </c>
      <c r="G96" s="37">
        <v>35</v>
      </c>
    </row>
    <row r="97" spans="2:13" ht="15" customHeight="1" x14ac:dyDescent="0.25">
      <c r="B97" s="37">
        <v>55</v>
      </c>
      <c r="C97" s="37">
        <v>1.4</v>
      </c>
      <c r="D97" s="37">
        <v>3.15</v>
      </c>
      <c r="F97" s="37">
        <v>95</v>
      </c>
      <c r="G97" s="37">
        <v>50</v>
      </c>
    </row>
    <row r="98" spans="2:13" ht="15" customHeight="1" x14ac:dyDescent="0.25">
      <c r="B98" s="37">
        <v>70</v>
      </c>
      <c r="C98" s="37">
        <v>1.4</v>
      </c>
      <c r="D98" s="37">
        <v>4</v>
      </c>
      <c r="F98" s="37">
        <v>120</v>
      </c>
      <c r="G98" s="37">
        <v>70</v>
      </c>
    </row>
    <row r="99" spans="2:13" ht="15" customHeight="1" x14ac:dyDescent="0.25">
      <c r="F99" s="37">
        <v>150</v>
      </c>
      <c r="G99" s="37">
        <v>70</v>
      </c>
    </row>
    <row r="100" spans="2:13" ht="15" customHeight="1" x14ac:dyDescent="0.25">
      <c r="F100" s="37">
        <v>185</v>
      </c>
      <c r="G100" s="37">
        <v>95</v>
      </c>
    </row>
    <row r="101" spans="2:13" ht="15" customHeight="1" x14ac:dyDescent="0.25">
      <c r="F101" s="37">
        <v>240</v>
      </c>
      <c r="G101" s="37">
        <v>120</v>
      </c>
    </row>
    <row r="102" spans="2:13" ht="15" customHeight="1" x14ac:dyDescent="0.25">
      <c r="F102" s="37">
        <v>300</v>
      </c>
      <c r="G102" s="37">
        <v>150</v>
      </c>
    </row>
    <row r="103" spans="2:13" ht="15" customHeight="1" x14ac:dyDescent="0.25">
      <c r="F103" s="37">
        <v>400</v>
      </c>
      <c r="G103" s="37">
        <v>185</v>
      </c>
    </row>
    <row r="104" spans="2:13" ht="15" customHeight="1" x14ac:dyDescent="0.25">
      <c r="F104" s="37">
        <v>500</v>
      </c>
      <c r="G104" s="37">
        <v>240</v>
      </c>
    </row>
    <row r="105" spans="2:13" ht="15" customHeight="1" x14ac:dyDescent="0.25">
      <c r="F105" s="37">
        <v>630</v>
      </c>
      <c r="G105" s="37">
        <v>300</v>
      </c>
    </row>
    <row r="107" spans="2:13" ht="15" customHeight="1" x14ac:dyDescent="0.25">
      <c r="B107" s="25" t="s">
        <v>178</v>
      </c>
      <c r="C107" s="26"/>
      <c r="D107" s="26"/>
      <c r="E107" s="26"/>
      <c r="F107" s="26"/>
      <c r="G107" s="26"/>
      <c r="H107" s="26"/>
      <c r="I107" s="26"/>
      <c r="J107" s="26"/>
      <c r="K107" s="26"/>
      <c r="L107" s="26"/>
      <c r="M107" s="26"/>
    </row>
    <row r="108" spans="2:13" ht="15" customHeight="1" x14ac:dyDescent="0.25">
      <c r="B108" s="3" t="s">
        <v>179</v>
      </c>
      <c r="C108" s="3" t="s">
        <v>180</v>
      </c>
      <c r="D108" s="3" t="s">
        <v>100</v>
      </c>
      <c r="E108" s="3" t="s">
        <v>181</v>
      </c>
      <c r="F108" s="3" t="s">
        <v>182</v>
      </c>
      <c r="G108" s="3" t="s">
        <v>98</v>
      </c>
      <c r="H108" s="3" t="s">
        <v>96</v>
      </c>
    </row>
    <row r="109" spans="2:13" ht="15" customHeight="1" x14ac:dyDescent="0.25">
      <c r="B109" s="37">
        <v>25</v>
      </c>
      <c r="C109" s="37">
        <v>2.5</v>
      </c>
      <c r="D109" s="37">
        <v>2.8</v>
      </c>
      <c r="E109" s="37">
        <v>3.6</v>
      </c>
      <c r="F109" s="37">
        <v>5.5</v>
      </c>
      <c r="G109" s="37">
        <v>6</v>
      </c>
      <c r="H109" s="37">
        <v>8.8000000000000007</v>
      </c>
    </row>
    <row r="110" spans="2:13" ht="15" customHeight="1" x14ac:dyDescent="0.25">
      <c r="B110" s="37">
        <v>35</v>
      </c>
      <c r="C110" s="37">
        <v>2.5</v>
      </c>
      <c r="D110" s="37">
        <v>2.8</v>
      </c>
      <c r="E110" s="37">
        <v>3.6</v>
      </c>
      <c r="F110" s="37">
        <v>5.5</v>
      </c>
      <c r="G110" s="37">
        <v>6</v>
      </c>
      <c r="H110" s="37">
        <v>8.8000000000000007</v>
      </c>
    </row>
    <row r="111" spans="2:13" ht="15" customHeight="1" x14ac:dyDescent="0.25">
      <c r="B111" s="37">
        <v>50</v>
      </c>
      <c r="C111" s="37">
        <v>2.5</v>
      </c>
      <c r="D111" s="37">
        <v>2.8</v>
      </c>
      <c r="E111" s="37">
        <v>3.6</v>
      </c>
      <c r="F111" s="37">
        <v>5.5</v>
      </c>
      <c r="G111" s="37">
        <v>6</v>
      </c>
      <c r="H111" s="37">
        <v>8.8000000000000007</v>
      </c>
    </row>
    <row r="112" spans="2:13" ht="15" customHeight="1" x14ac:dyDescent="0.25">
      <c r="B112" s="37">
        <v>70</v>
      </c>
      <c r="C112" s="37">
        <v>2.5</v>
      </c>
      <c r="D112" s="37">
        <v>2.8</v>
      </c>
      <c r="E112" s="37">
        <v>3.6</v>
      </c>
      <c r="F112" s="37">
        <v>5.5</v>
      </c>
      <c r="G112" s="37">
        <v>6</v>
      </c>
      <c r="H112" s="37">
        <v>8.8000000000000007</v>
      </c>
    </row>
    <row r="113" spans="2:13" ht="15" customHeight="1" x14ac:dyDescent="0.25">
      <c r="B113" s="37">
        <v>95</v>
      </c>
      <c r="C113" s="37">
        <v>2.5</v>
      </c>
      <c r="D113" s="37">
        <v>2.8</v>
      </c>
      <c r="E113" s="37">
        <v>3.6</v>
      </c>
      <c r="F113" s="37">
        <v>5.5</v>
      </c>
      <c r="G113" s="37">
        <v>6</v>
      </c>
      <c r="H113" s="37">
        <v>8.8000000000000007</v>
      </c>
    </row>
    <row r="114" spans="2:13" ht="15" customHeight="1" x14ac:dyDescent="0.25">
      <c r="B114" s="37">
        <v>120</v>
      </c>
      <c r="C114" s="37">
        <v>2.5</v>
      </c>
      <c r="D114" s="37">
        <v>2.8</v>
      </c>
      <c r="E114" s="37">
        <v>3.6</v>
      </c>
      <c r="F114" s="37">
        <v>5.5</v>
      </c>
      <c r="G114" s="37">
        <v>6</v>
      </c>
      <c r="H114" s="37">
        <v>8.8000000000000007</v>
      </c>
    </row>
    <row r="115" spans="2:13" ht="15" customHeight="1" x14ac:dyDescent="0.25">
      <c r="B115" s="37">
        <v>150</v>
      </c>
      <c r="C115" s="37">
        <v>2.5</v>
      </c>
      <c r="D115" s="37">
        <v>2.8</v>
      </c>
      <c r="E115" s="37">
        <v>3.6</v>
      </c>
      <c r="F115" s="37">
        <v>5.5</v>
      </c>
      <c r="G115" s="37">
        <v>6</v>
      </c>
      <c r="H115" s="37">
        <v>8.8000000000000007</v>
      </c>
    </row>
    <row r="116" spans="2:13" ht="15" customHeight="1" x14ac:dyDescent="0.25">
      <c r="B116" s="37">
        <v>185</v>
      </c>
      <c r="C116" s="37">
        <v>2.5</v>
      </c>
      <c r="D116" s="37">
        <v>2.8</v>
      </c>
      <c r="E116" s="37">
        <v>3.6</v>
      </c>
      <c r="F116" s="37">
        <v>5.5</v>
      </c>
      <c r="G116" s="37">
        <v>6</v>
      </c>
      <c r="H116" s="37">
        <v>8.8000000000000007</v>
      </c>
    </row>
    <row r="117" spans="2:13" ht="15" customHeight="1" x14ac:dyDescent="0.25">
      <c r="B117" s="37">
        <v>300</v>
      </c>
      <c r="C117" s="37">
        <v>2.5</v>
      </c>
      <c r="D117" s="37">
        <v>2.8</v>
      </c>
      <c r="E117" s="37">
        <v>3.6</v>
      </c>
      <c r="F117" s="37">
        <v>5.5</v>
      </c>
      <c r="G117" s="37">
        <v>6</v>
      </c>
      <c r="H117" s="37">
        <v>8.8000000000000007</v>
      </c>
    </row>
    <row r="118" spans="2:13" ht="15" customHeight="1" x14ac:dyDescent="0.25">
      <c r="B118" s="37">
        <v>400</v>
      </c>
      <c r="C118" s="37">
        <v>2.6</v>
      </c>
      <c r="D118" s="37">
        <v>3.3</v>
      </c>
      <c r="E118" s="37">
        <v>3.6</v>
      </c>
      <c r="F118" s="37">
        <v>5.5</v>
      </c>
      <c r="G118" s="37">
        <v>6</v>
      </c>
      <c r="H118" s="37">
        <v>8.8000000000000007</v>
      </c>
    </row>
    <row r="119" spans="2:13" ht="15" customHeight="1" x14ac:dyDescent="0.25">
      <c r="B119" s="37">
        <v>500</v>
      </c>
      <c r="C119" s="37">
        <v>2.8</v>
      </c>
      <c r="D119" s="37">
        <v>3.5</v>
      </c>
      <c r="E119" s="37">
        <v>3.6</v>
      </c>
      <c r="F119" s="37">
        <v>5.5</v>
      </c>
      <c r="G119" s="37">
        <v>6</v>
      </c>
      <c r="H119" s="37">
        <v>8.8000000000000007</v>
      </c>
    </row>
    <row r="120" spans="2:13" ht="15" customHeight="1" x14ac:dyDescent="0.25">
      <c r="B120" s="37">
        <v>630</v>
      </c>
      <c r="C120" s="37">
        <v>3</v>
      </c>
      <c r="D120" s="37">
        <v>3.5</v>
      </c>
      <c r="E120" s="37">
        <v>3.6</v>
      </c>
      <c r="F120" s="37">
        <v>5.5</v>
      </c>
      <c r="G120" s="37">
        <v>6</v>
      </c>
      <c r="H120" s="37">
        <v>8.8000000000000007</v>
      </c>
    </row>
    <row r="121" spans="2:13" ht="15" customHeight="1" x14ac:dyDescent="0.25">
      <c r="B121" s="37">
        <v>800</v>
      </c>
      <c r="C121" s="37">
        <v>3.3</v>
      </c>
      <c r="D121" s="37">
        <v>3.5</v>
      </c>
      <c r="E121" s="37">
        <v>3.6</v>
      </c>
      <c r="F121" s="37">
        <v>5.5</v>
      </c>
      <c r="G121" s="37">
        <v>6</v>
      </c>
      <c r="H121" s="37">
        <v>8.8000000000000007</v>
      </c>
    </row>
    <row r="122" spans="2:13" ht="15" customHeight="1" x14ac:dyDescent="0.25">
      <c r="B122" s="37">
        <v>1000</v>
      </c>
      <c r="C122" s="37">
        <v>3.5</v>
      </c>
      <c r="D122" s="37">
        <v>3.6</v>
      </c>
      <c r="E122" s="37">
        <v>3.6</v>
      </c>
      <c r="F122" s="37">
        <v>5.5</v>
      </c>
      <c r="G122" s="37">
        <v>6</v>
      </c>
      <c r="H122" s="37">
        <v>8.8000000000000007</v>
      </c>
    </row>
    <row r="124" spans="2:13" ht="15" customHeight="1" x14ac:dyDescent="0.25">
      <c r="B124" s="25" t="s">
        <v>183</v>
      </c>
      <c r="C124" s="26"/>
      <c r="D124" s="26"/>
      <c r="E124" s="26"/>
      <c r="F124" s="26"/>
      <c r="G124" s="26"/>
      <c r="H124" s="26"/>
      <c r="I124" s="26"/>
      <c r="J124" s="26"/>
      <c r="K124" s="26"/>
      <c r="L124" s="26"/>
      <c r="M124" s="26"/>
    </row>
    <row r="125" spans="2:13" ht="15" customHeight="1" x14ac:dyDescent="0.25">
      <c r="B125" s="3" t="s">
        <v>168</v>
      </c>
      <c r="C125" s="3" t="s">
        <v>169</v>
      </c>
      <c r="E125" s="3" t="s">
        <v>173</v>
      </c>
      <c r="F125" s="3" t="s">
        <v>184</v>
      </c>
      <c r="G125" s="3" t="s">
        <v>185</v>
      </c>
      <c r="I125" s="3" t="s">
        <v>170</v>
      </c>
      <c r="J125" s="3" t="s">
        <v>169</v>
      </c>
    </row>
    <row r="126" spans="2:13" ht="15" customHeight="1" x14ac:dyDescent="0.25">
      <c r="B126" s="37">
        <v>0</v>
      </c>
      <c r="C126" s="37">
        <v>0.3</v>
      </c>
      <c r="E126" s="37">
        <v>0</v>
      </c>
      <c r="F126" s="37">
        <v>0.8</v>
      </c>
      <c r="G126" s="37">
        <v>1.4</v>
      </c>
      <c r="I126" s="37">
        <v>0</v>
      </c>
      <c r="J126" s="37">
        <v>1.24</v>
      </c>
    </row>
    <row r="127" spans="2:13" ht="15" customHeight="1" x14ac:dyDescent="0.25">
      <c r="B127" s="37">
        <v>25</v>
      </c>
      <c r="C127" s="37">
        <v>0.4</v>
      </c>
      <c r="E127" s="37">
        <v>13</v>
      </c>
      <c r="F127" s="37">
        <v>0.8</v>
      </c>
      <c r="G127" s="37">
        <v>1.6</v>
      </c>
      <c r="I127" s="37">
        <v>15</v>
      </c>
      <c r="J127" s="37">
        <v>1.4</v>
      </c>
    </row>
    <row r="128" spans="2:13" ht="15" customHeight="1" x14ac:dyDescent="0.25">
      <c r="B128" s="37">
        <v>35</v>
      </c>
      <c r="C128" s="37">
        <v>0.5</v>
      </c>
      <c r="E128" s="37">
        <v>25</v>
      </c>
      <c r="F128" s="37">
        <v>0.8</v>
      </c>
      <c r="G128" s="37">
        <v>2</v>
      </c>
      <c r="I128" s="37">
        <v>25</v>
      </c>
      <c r="J128" s="37">
        <v>1.56</v>
      </c>
    </row>
    <row r="129" spans="2:10" ht="15" customHeight="1" x14ac:dyDescent="0.25">
      <c r="B129" s="37">
        <v>45</v>
      </c>
      <c r="C129" s="37">
        <v>0.6</v>
      </c>
      <c r="E129" s="37">
        <v>40</v>
      </c>
      <c r="F129" s="37">
        <v>1.4</v>
      </c>
      <c r="G129" s="37">
        <v>2.5</v>
      </c>
      <c r="I129" s="37">
        <v>35</v>
      </c>
      <c r="J129" s="37">
        <v>1.72</v>
      </c>
    </row>
    <row r="130" spans="2:10" ht="15" customHeight="1" x14ac:dyDescent="0.25">
      <c r="B130" s="37">
        <v>55</v>
      </c>
      <c r="C130" s="37">
        <v>0.7</v>
      </c>
      <c r="E130" s="37">
        <v>55</v>
      </c>
      <c r="F130" s="37">
        <v>1.4</v>
      </c>
      <c r="G130" s="37">
        <v>3.15</v>
      </c>
      <c r="I130" s="37">
        <v>40</v>
      </c>
      <c r="J130" s="37">
        <v>1.88</v>
      </c>
    </row>
    <row r="131" spans="2:10" ht="15" customHeight="1" x14ac:dyDescent="0.25">
      <c r="E131" s="37">
        <v>70</v>
      </c>
      <c r="F131" s="37">
        <v>1.4</v>
      </c>
      <c r="G131" s="37">
        <v>4</v>
      </c>
      <c r="I131" s="37">
        <v>45</v>
      </c>
      <c r="J131" s="37">
        <v>2.04</v>
      </c>
    </row>
    <row r="132" spans="2:10" ht="15" customHeight="1" x14ac:dyDescent="0.25">
      <c r="I132" s="37">
        <v>50</v>
      </c>
      <c r="J132" s="37">
        <v>2.2000000000000002</v>
      </c>
    </row>
    <row r="133" spans="2:10" ht="15" customHeight="1" x14ac:dyDescent="0.25">
      <c r="I133" s="37">
        <v>55</v>
      </c>
      <c r="J133" s="37">
        <v>2.36</v>
      </c>
    </row>
    <row r="134" spans="2:10" ht="15" customHeight="1" x14ac:dyDescent="0.25">
      <c r="I134" s="37">
        <v>60</v>
      </c>
      <c r="J134" s="37">
        <v>2.52</v>
      </c>
    </row>
    <row r="135" spans="2:10" ht="15" customHeight="1" x14ac:dyDescent="0.25">
      <c r="I135" s="37">
        <v>70</v>
      </c>
      <c r="J135" s="37">
        <v>2.84</v>
      </c>
    </row>
    <row r="136" spans="2:10" ht="15" customHeight="1" x14ac:dyDescent="0.25">
      <c r="I136" s="37">
        <v>75</v>
      </c>
      <c r="J136" s="37">
        <v>3</v>
      </c>
    </row>
  </sheetData>
  <mergeCells count="9">
    <mergeCell ref="C33:F33"/>
    <mergeCell ref="C34:F34"/>
    <mergeCell ref="C35:F35"/>
    <mergeCell ref="B36:N36"/>
    <mergeCell ref="C14:D14"/>
    <mergeCell ref="E14:F14"/>
    <mergeCell ref="C22:F22"/>
    <mergeCell ref="C25:D25"/>
    <mergeCell ref="E25:F25"/>
  </mergeCells>
  <pageMargins left="0.75" right="0.75" top="1" bottom="1" header="0.511811023622047" footer="0.511811023622047"/>
  <pageSetup paperSize="9" orientation="portrait" horizontalDpi="300" verticalDpi="300"/>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B1:B47"/>
  <sheetViews>
    <sheetView showGridLines="0" zoomScaleNormal="100" workbookViewId="0"/>
  </sheetViews>
  <sheetFormatPr defaultColWidth="8.7109375" defaultRowHeight="15" x14ac:dyDescent="0.25"/>
  <cols>
    <col min="1" max="1" width="2" customWidth="1"/>
    <col min="2" max="2" width="120" customWidth="1"/>
  </cols>
  <sheetData>
    <row r="1" spans="2:2" ht="16.5" customHeight="1" x14ac:dyDescent="0.25">
      <c r="B1" s="38" t="s">
        <v>186</v>
      </c>
    </row>
    <row r="2" spans="2:2" ht="15" customHeight="1" x14ac:dyDescent="0.25">
      <c r="B2" s="39" t="s">
        <v>187</v>
      </c>
    </row>
    <row r="4" spans="2:2" ht="15" customHeight="1" x14ac:dyDescent="0.25">
      <c r="B4" s="40" t="s">
        <v>188</v>
      </c>
    </row>
    <row r="5" spans="2:2" ht="15" customHeight="1" x14ac:dyDescent="0.25">
      <c r="B5" s="41" t="s">
        <v>189</v>
      </c>
    </row>
    <row r="6" spans="2:2" ht="15" customHeight="1" x14ac:dyDescent="0.25">
      <c r="B6" s="41" t="s">
        <v>190</v>
      </c>
    </row>
    <row r="7" spans="2:2" ht="25.5" customHeight="1" x14ac:dyDescent="0.25">
      <c r="B7" s="41" t="s">
        <v>191</v>
      </c>
    </row>
    <row r="8" spans="2:2" ht="15" customHeight="1" x14ac:dyDescent="0.25">
      <c r="B8" s="41" t="s">
        <v>192</v>
      </c>
    </row>
    <row r="10" spans="2:2" ht="15" customHeight="1" x14ac:dyDescent="0.25">
      <c r="B10" s="40" t="s">
        <v>193</v>
      </c>
    </row>
    <row r="11" spans="2:2" ht="25.5" customHeight="1" x14ac:dyDescent="0.25">
      <c r="B11" s="41" t="s">
        <v>194</v>
      </c>
    </row>
    <row r="12" spans="2:2" ht="15" customHeight="1" x14ac:dyDescent="0.25">
      <c r="B12" s="41" t="s">
        <v>195</v>
      </c>
    </row>
    <row r="13" spans="2:2" ht="15" customHeight="1" x14ac:dyDescent="0.25">
      <c r="B13" s="41" t="s">
        <v>196</v>
      </c>
    </row>
    <row r="14" spans="2:2" ht="15" customHeight="1" x14ac:dyDescent="0.25">
      <c r="B14" s="41" t="s">
        <v>197</v>
      </c>
    </row>
    <row r="15" spans="2:2" ht="15" customHeight="1" x14ac:dyDescent="0.25">
      <c r="B15" s="41" t="s">
        <v>198</v>
      </c>
    </row>
    <row r="17" spans="2:2" ht="15" customHeight="1" x14ac:dyDescent="0.25">
      <c r="B17" s="40" t="s">
        <v>199</v>
      </c>
    </row>
    <row r="18" spans="2:2" ht="51" customHeight="1" x14ac:dyDescent="0.25">
      <c r="B18" s="41" t="s">
        <v>200</v>
      </c>
    </row>
    <row r="20" spans="2:2" ht="15" customHeight="1" x14ac:dyDescent="0.25">
      <c r="B20" s="40" t="s">
        <v>201</v>
      </c>
    </row>
    <row r="21" spans="2:2" ht="25.5" customHeight="1" x14ac:dyDescent="0.25">
      <c r="B21" s="41" t="s">
        <v>202</v>
      </c>
    </row>
    <row r="22" spans="2:2" ht="38.25" customHeight="1" x14ac:dyDescent="0.25">
      <c r="B22" s="41" t="s">
        <v>203</v>
      </c>
    </row>
    <row r="23" spans="2:2" ht="25.5" customHeight="1" x14ac:dyDescent="0.25">
      <c r="B23" s="41" t="s">
        <v>204</v>
      </c>
    </row>
    <row r="24" spans="2:2" ht="15" customHeight="1" x14ac:dyDescent="0.25">
      <c r="B24" s="41" t="s">
        <v>205</v>
      </c>
    </row>
    <row r="26" spans="2:2" ht="15" customHeight="1" x14ac:dyDescent="0.25">
      <c r="B26" s="40" t="s">
        <v>206</v>
      </c>
    </row>
    <row r="27" spans="2:2" ht="25.5" customHeight="1" x14ac:dyDescent="0.25">
      <c r="B27" s="41" t="s">
        <v>207</v>
      </c>
    </row>
    <row r="28" spans="2:2" ht="25.5" customHeight="1" x14ac:dyDescent="0.25">
      <c r="B28" s="41" t="s">
        <v>208</v>
      </c>
    </row>
    <row r="30" spans="2:2" ht="15" customHeight="1" x14ac:dyDescent="0.25">
      <c r="B30" s="40" t="s">
        <v>209</v>
      </c>
    </row>
    <row r="31" spans="2:2" ht="63.75" customHeight="1" x14ac:dyDescent="0.25">
      <c r="B31" s="42" t="s">
        <v>210</v>
      </c>
    </row>
    <row r="33" spans="2:2" ht="15" customHeight="1" x14ac:dyDescent="0.25">
      <c r="B33" s="40" t="s">
        <v>211</v>
      </c>
    </row>
    <row r="34" spans="2:2" ht="38.25" customHeight="1" x14ac:dyDescent="0.25">
      <c r="B34" s="41" t="s">
        <v>212</v>
      </c>
    </row>
    <row r="36" spans="2:2" ht="15" customHeight="1" x14ac:dyDescent="0.25">
      <c r="B36" s="40" t="s">
        <v>213</v>
      </c>
    </row>
    <row r="37" spans="2:2" ht="15" customHeight="1" x14ac:dyDescent="0.25">
      <c r="B37" s="41" t="s">
        <v>214</v>
      </c>
    </row>
    <row r="38" spans="2:2" ht="25.5" customHeight="1" x14ac:dyDescent="0.25">
      <c r="B38" s="41" t="s">
        <v>215</v>
      </c>
    </row>
    <row r="39" spans="2:2" ht="15" customHeight="1" x14ac:dyDescent="0.25">
      <c r="B39" s="41" t="s">
        <v>216</v>
      </c>
    </row>
    <row r="41" spans="2:2" ht="15" customHeight="1" x14ac:dyDescent="0.25">
      <c r="B41" s="40" t="s">
        <v>217</v>
      </c>
    </row>
    <row r="42" spans="2:2" ht="38.25" customHeight="1" x14ac:dyDescent="0.25">
      <c r="B42" s="41" t="s">
        <v>218</v>
      </c>
    </row>
    <row r="43" spans="2:2" ht="25.5" customHeight="1" x14ac:dyDescent="0.25">
      <c r="B43" s="41" t="s">
        <v>219</v>
      </c>
    </row>
    <row r="44" spans="2:2" ht="25.5" customHeight="1" x14ac:dyDescent="0.25">
      <c r="B44" s="41" t="s">
        <v>220</v>
      </c>
    </row>
    <row r="45" spans="2:2" ht="38.25" customHeight="1" x14ac:dyDescent="0.25">
      <c r="B45" s="41" t="s">
        <v>221</v>
      </c>
    </row>
    <row r="47" spans="2:2" ht="15" customHeight="1" x14ac:dyDescent="0.25">
      <c r="B47" s="43" t="s">
        <v>222</v>
      </c>
    </row>
  </sheetData>
  <pageMargins left="0.75" right="0.75" top="1" bottom="1" header="0.511811023622047" footer="0.511811023622047"/>
  <pageSetup paperSize="9" orientation="portrait" horizontalDpi="300" verticalDpi="300"/>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ct:contentTypeSchema xmlns:ct="http://schemas.microsoft.com/office/2006/metadata/contentType" xmlns:ma="http://schemas.microsoft.com/office/2006/metadata/properties/metaAttributes" ct:_="" ma:_="" ma:contentTypeName="Document" ma:contentTypeID="0x010100DAD537FC6EEFA3469C67318615635BCD" ma:contentTypeVersion="15" ma:contentTypeDescription="Create a new document." ma:contentTypeScope="" ma:versionID="477fc19a782d09aa75c3c7510055fafc">
  <xsd:schema xmlns:xsd="http://www.w3.org/2001/XMLSchema" xmlns:xs="http://www.w3.org/2001/XMLSchema" xmlns:p="http://schemas.microsoft.com/office/2006/metadata/properties" xmlns:ns2="937d96c5-689a-445c-b497-c26898801115" xmlns:ns3="66e154ca-c873-43d1-adfc-28c8beb208b8" targetNamespace="http://schemas.microsoft.com/office/2006/metadata/properties" ma:root="true" ma:fieldsID="aa484b9a09f85fc0eec517f46bbdb829" ns2:_="" ns3:_="">
    <xsd:import namespace="937d96c5-689a-445c-b497-c26898801115"/>
    <xsd:import namespace="66e154ca-c873-43d1-adfc-28c8beb208b8"/>
    <xsd:element name="properties">
      <xsd:complexType>
        <xsd:sequence>
          <xsd:element name="documentManagement">
            <xsd:complexType>
              <xsd:all>
                <xsd:element ref="ns2:lcf76f155ced4ddcb4097134ff3c332f" minOccurs="0"/>
                <xsd:element ref="ns3:TaxCatchAll" minOccurs="0"/>
                <xsd:element ref="ns2:MediaServiceMetadata" minOccurs="0"/>
                <xsd:element ref="ns2:MediaServiceFastMetadata" minOccurs="0"/>
                <xsd:element ref="ns2:MediaServiceDateTaken" minOccurs="0"/>
                <xsd:element ref="ns2:MediaServiceOCR" minOccurs="0"/>
                <xsd:element ref="ns2:MediaServiceGenerationTime" minOccurs="0"/>
                <xsd:element ref="ns2:MediaServiceEventHashCode" minOccurs="0"/>
                <xsd:element ref="ns3:SharedWithUsers" minOccurs="0"/>
                <xsd:element ref="ns3:SharedWithDetails" minOccurs="0"/>
                <xsd:element ref="ns2:MediaServiceObjectDetectorVersions" minOccurs="0"/>
                <xsd:element ref="ns2:MediaServiceLocation" minOccurs="0"/>
                <xsd:element ref="ns2:MediaLengthInSeconds" minOccurs="0"/>
                <xsd:element ref="ns2:MediaServiceSearchProperties"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937d96c5-689a-445c-b497-c26898801115" elementFormDefault="qualified">
    <xsd:import namespace="http://schemas.microsoft.com/office/2006/documentManagement/types"/>
    <xsd:import namespace="http://schemas.microsoft.com/office/infopath/2007/PartnerControls"/>
    <xsd:element name="lcf76f155ced4ddcb4097134ff3c332f" ma:index="9" nillable="true" ma:taxonomy="true" ma:internalName="lcf76f155ced4ddcb4097134ff3c332f" ma:taxonomyFieldName="MediaServiceImageTags" ma:displayName="Image Tags" ma:readOnly="false" ma:fieldId="{5cf76f15-5ced-4ddc-b409-7134ff3c332f}" ma:taxonomyMulti="true" ma:sspId="589be9f9-5296-4597-8f73-1ef66ab7830e" ma:termSetId="09814cd3-568e-fe90-9814-8d621ff8fb84" ma:anchorId="fba54fb3-c3e1-fe81-a776-ca4b69148c4d" ma:open="true" ma:isKeyword="false">
      <xsd:complexType>
        <xsd:sequence>
          <xsd:element ref="pc:Terms" minOccurs="0" maxOccurs="1"/>
        </xsd:sequence>
      </xsd:complexType>
    </xsd:element>
    <xsd:element name="MediaServiceMetadata" ma:index="11" nillable="true" ma:displayName="MediaServiceMetadata" ma:hidden="true" ma:internalName="MediaServiceMetadata" ma:readOnly="true">
      <xsd:simpleType>
        <xsd:restriction base="dms:Note"/>
      </xsd:simpleType>
    </xsd:element>
    <xsd:element name="MediaServiceFastMetadata" ma:index="12" nillable="true" ma:displayName="MediaServiceFastMetadata" ma:hidden="true" ma:internalName="MediaServiceFastMetadata" ma:readOnly="true">
      <xsd:simpleType>
        <xsd:restriction base="dms:Note"/>
      </xsd:simpleType>
    </xsd:element>
    <xsd:element name="MediaServiceDateTaken" ma:index="13" nillable="true" ma:displayName="MediaServiceDateTaken" ma:hidden="true" ma:indexed="true" ma:internalName="MediaServiceDateTaken" ma:readOnly="true">
      <xsd:simpleType>
        <xsd:restriction base="dms:Text"/>
      </xsd:simpleType>
    </xsd:element>
    <xsd:element name="MediaServiceOCR" ma:index="14" nillable="true" ma:displayName="Extracted Text" ma:internalName="MediaServiceOCR" ma:readOnly="true">
      <xsd:simpleType>
        <xsd:restriction base="dms:Note">
          <xsd:maxLength value="255"/>
        </xsd:restriction>
      </xsd:simpleType>
    </xsd:element>
    <xsd:element name="MediaServiceGenerationTime" ma:index="15" nillable="true" ma:displayName="MediaServiceGenerationTime" ma:hidden="true" ma:internalName="MediaServiceGenerationTime" ma:readOnly="true">
      <xsd:simpleType>
        <xsd:restriction base="dms:Text"/>
      </xsd:simpleType>
    </xsd:element>
    <xsd:element name="MediaServiceEventHashCode" ma:index="16" nillable="true" ma:displayName="MediaServiceEventHashCode" ma:hidden="true" ma:internalName="MediaServiceEventHashCode" ma:readOnly="true">
      <xsd:simpleType>
        <xsd:restriction base="dms:Text"/>
      </xsd:simpleType>
    </xsd:element>
    <xsd:element name="MediaServiceObjectDetectorVersions" ma:index="19" nillable="true" ma:displayName="MediaServiceObjectDetectorVersions" ma:hidden="true" ma:indexed="true" ma:internalName="MediaServiceObjectDetectorVersions" ma:readOnly="true">
      <xsd:simpleType>
        <xsd:restriction base="dms:Text"/>
      </xsd:simpleType>
    </xsd:element>
    <xsd:element name="MediaServiceLocation" ma:index="20" nillable="true" ma:displayName="Location" ma:indexed="true" ma:internalName="MediaServiceLocation" ma:readOnly="true">
      <xsd:simpleType>
        <xsd:restriction base="dms:Text"/>
      </xsd:simpleType>
    </xsd:element>
    <xsd:element name="MediaLengthInSeconds" ma:index="21" nillable="true" ma:displayName="MediaLengthInSeconds" ma:hidden="true" ma:internalName="MediaLengthInSeconds" ma:readOnly="true">
      <xsd:simpleType>
        <xsd:restriction base="dms:Unknown"/>
      </xsd:simpleType>
    </xsd:element>
    <xsd:element name="MediaServiceSearchProperties" ma:index="22" nillable="true" ma:displayName="MediaServiceSearchProperties" ma:hidden="true" ma:internalName="MediaServiceSearchProperties" ma:readOnly="true">
      <xsd:simpleType>
        <xsd:restriction base="dms:Note"/>
      </xsd:simpleType>
    </xsd:element>
  </xsd:schema>
  <xsd:schema xmlns:xsd="http://www.w3.org/2001/XMLSchema" xmlns:xs="http://www.w3.org/2001/XMLSchema" xmlns:dms="http://schemas.microsoft.com/office/2006/documentManagement/types" xmlns:pc="http://schemas.microsoft.com/office/infopath/2007/PartnerControls" targetNamespace="66e154ca-c873-43d1-adfc-28c8beb208b8" elementFormDefault="qualified">
    <xsd:import namespace="http://schemas.microsoft.com/office/2006/documentManagement/types"/>
    <xsd:import namespace="http://schemas.microsoft.com/office/infopath/2007/PartnerControls"/>
    <xsd:element name="TaxCatchAll" ma:index="10" nillable="true" ma:displayName="Taxonomy Catch All Column" ma:hidden="true" ma:list="{4b9c3baa-e231-45e7-b610-86feff5dadb7}" ma:internalName="TaxCatchAll" ma:showField="CatchAllData" ma:web="66e154ca-c873-43d1-adfc-28c8beb208b8">
      <xsd:complexType>
        <xsd:complexContent>
          <xsd:extension base="dms:MultiChoiceLookup">
            <xsd:sequence>
              <xsd:element name="Value" type="dms:Lookup" maxOccurs="unbounded" minOccurs="0" nillable="true"/>
            </xsd:sequence>
          </xsd:extension>
        </xsd:complexContent>
      </xsd:complexType>
    </xsd:element>
    <xsd:element name="SharedWithUsers" ma:index="17" nillable="true" ma:displayName="Shared With" ma:internalName="SharedWithUsers" ma:readOnly="true">
      <xsd:complexType>
        <xsd:complexContent>
          <xsd:extension base="dms:UserMulti">
            <xsd:sequence>
              <xsd:element name="UserInfo" minOccurs="0" maxOccurs="unbounded">
                <xsd:complexType>
                  <xsd:sequence>
                    <xsd:element name="DisplayName" type="xsd:string" minOccurs="0"/>
                    <xsd:element name="AccountId" type="dms:UserId" minOccurs="0" nillable="true"/>
                    <xsd:element name="AccountType" type="xsd:string" minOccurs="0"/>
                  </xsd:sequence>
                </xsd:complexType>
              </xsd:element>
            </xsd:sequence>
          </xsd:extension>
        </xsd:complexContent>
      </xsd:complexType>
    </xsd:element>
    <xsd:element name="SharedWithDetails" ma:index="18" nillable="true" ma:displayName="Shared With Details" ma:internalName="SharedWithDetails" ma:readOnly="true">
      <xsd:simpleType>
        <xsd:restriction base="dms:Note">
          <xsd:maxLength value="255"/>
        </xsd:restriction>
      </xsd:simple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2.xml><?xml version="1.0" encoding="utf-8"?>
<p:properties xmlns:p="http://schemas.microsoft.com/office/2006/metadata/properties" xmlns:xsi="http://www.w3.org/2001/XMLSchema-instance" xmlns:pc="http://schemas.microsoft.com/office/infopath/2007/PartnerControls">
  <documentManagement>
    <lcf76f155ced4ddcb4097134ff3c332f xmlns="937d96c5-689a-445c-b497-c26898801115">
      <Terms xmlns="http://schemas.microsoft.com/office/infopath/2007/PartnerControls"/>
    </lcf76f155ced4ddcb4097134ff3c332f>
    <TaxCatchAll xmlns="66e154ca-c873-43d1-adfc-28c8beb208b8" xsi:nil="true"/>
  </documentManagement>
</p:properties>
</file>

<file path=customXml/item3.xml><?xml version="1.0" encoding="utf-8"?>
<?mso-contentType ?>
<FormTemplates xmlns="http://schemas.microsoft.com/sharepoint/v3/contenttype/forms">
  <Display>DocumentLibraryForm</Display>
  <Edit>DocumentLibraryForm</Edit>
  <New>DocumentLibraryForm</New>
</FormTemplates>
</file>

<file path=customXml/itemProps1.xml><?xml version="1.0" encoding="utf-8"?>
<ds:datastoreItem xmlns:ds="http://schemas.openxmlformats.org/officeDocument/2006/customXml" ds:itemID="{1696C8F5-1D5A-43FF-807A-13928D3FAA9C}">
  <ds:schemaRefs>
    <ds:schemaRef ds:uri="http://schemas.microsoft.com/office/2006/metadata/contentType"/>
    <ds:schemaRef ds:uri="http://schemas.microsoft.com/office/2006/metadata/properties/metaAttributes"/>
    <ds:schemaRef ds:uri="http://www.w3.org/2001/XMLSchema"/>
    <ds:schemaRef ds:uri="http://schemas.microsoft.com/office/2006/metadata/properties"/>
    <ds:schemaRef ds:uri="937d96c5-689a-445c-b497-c26898801115"/>
    <ds:schemaRef ds:uri="66e154ca-c873-43d1-adfc-28c8beb208b8"/>
    <ds:schemaRef ds:uri="http://schemas.microsoft.com/office/2006/documentManagement/types"/>
    <ds:schemaRef ds:uri="http://schemas.microsoft.com/office/infopath/2007/PartnerControls"/>
    <ds:schemaRef ds:uri="http://schemas.openxmlformats.org/package/2006/metadata/core-properties"/>
    <ds:schemaRef ds:uri="http://purl.org/dc/elements/1.1/"/>
    <ds:schemaRef ds:uri="http://purl.org/dc/terms/"/>
    <ds:schemaRef ds:uri="http://schemas.microsoft.com/internal/obd"/>
  </ds:schemaRefs>
</ds:datastoreItem>
</file>

<file path=customXml/itemProps2.xml><?xml version="1.0" encoding="utf-8"?>
<ds:datastoreItem xmlns:ds="http://schemas.openxmlformats.org/officeDocument/2006/customXml" ds:itemID="{6264B75C-9803-40F0-A419-B8473CE43885}">
  <ds:schemaRefs>
    <ds:schemaRef ds:uri="http://schemas.microsoft.com/office/2006/metadata/properties"/>
    <ds:schemaRef ds:uri="http://schemas.microsoft.com/office/infopath/2007/PartnerControls"/>
    <ds:schemaRef ds:uri="937d96c5-689a-445c-b497-c26898801115"/>
    <ds:schemaRef ds:uri="66e154ca-c873-43d1-adfc-28c8beb208b8"/>
  </ds:schemaRefs>
</ds:datastoreItem>
</file>

<file path=customXml/itemProps3.xml><?xml version="1.0" encoding="utf-8"?>
<ds:datastoreItem xmlns:ds="http://schemas.openxmlformats.org/officeDocument/2006/customXml" ds:itemID="{64EE5B32-4B1D-4C90-B64D-B5E6DB5EE256}">
  <ds:schemaRefs>
    <ds:schemaRef ds:uri="http://schemas.microsoft.com/sharepoint/v3/contenttype/forms"/>
  </ds:schemaRefs>
</ds:datastoreItem>
</file>

<file path=docProps/app.xml><?xml version="1.0" encoding="utf-8"?>
<Properties xmlns="http://schemas.openxmlformats.org/officeDocument/2006/extended-properties" xmlns:vt="http://schemas.openxmlformats.org/officeDocument/2006/docPropsVTypes">
  <Template/>
  <TotalTime>0</TotalTime>
  <Application>Microsoft Excel</Application>
  <DocSecurity>0</DocSecurity>
  <ScaleCrop>false</ScaleCrop>
  <HeadingPairs>
    <vt:vector size="2" baseType="variant">
      <vt:variant>
        <vt:lpstr>Worksheets</vt:lpstr>
      </vt:variant>
      <vt:variant>
        <vt:i4>4</vt:i4>
      </vt:variant>
    </vt:vector>
  </HeadingPairs>
  <TitlesOfParts>
    <vt:vector size="4" baseType="lpstr">
      <vt:lpstr>LT Batch Calculator</vt:lpstr>
      <vt:lpstr>HT Batch Calculator</vt:lpstr>
      <vt:lpstr>Assumptions &amp; Ref</vt:lpstr>
      <vt:lpstr>Read Me</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openpyxl</dc:creator>
  <dc:description/>
  <cp:lastModifiedBy>Ketan Katkar</cp:lastModifiedBy>
  <cp:revision>0</cp:revision>
  <dcterms:created xsi:type="dcterms:W3CDTF">2026-08-04T07:35:40Z</dcterms:created>
  <dcterms:modified xsi:type="dcterms:W3CDTF">2026-09-11T01:37:59Z</dcterms:modified>
  <dc:language>en-US</dc:language>
</cp:coreProperties>
</file>

<file path=docProps/custom.xml><?xml version="1.0" encoding="utf-8"?>
<Properties xmlns="http://schemas.openxmlformats.org/officeDocument/2006/custom-properties" xmlns:vt="http://schemas.openxmlformats.org/officeDocument/2006/docPropsVTypes">
  <property fmtid="{D5CDD505-2E9C-101B-9397-08002B2CF9AE}" pid="2" name="MSIP_Label_950a0aea-e2df-4107-a6d1-9debf081f9fd_ActionId">
    <vt:lpwstr>d3815edd-9b16-4607-ac94-d26a762adebd</vt:lpwstr>
  </property>
  <property fmtid="{D5CDD505-2E9C-101B-9397-08002B2CF9AE}" pid="3" name="MSIP_Label_950a0aea-e2df-4107-a6d1-9debf081f9fd_ContentBits">
    <vt:lpwstr>0</vt:lpwstr>
  </property>
  <property fmtid="{D5CDD505-2E9C-101B-9397-08002B2CF9AE}" pid="4" name="MSIP_Label_950a0aea-e2df-4107-a6d1-9debf081f9fd_Enabled">
    <vt:lpwstr>true</vt:lpwstr>
  </property>
  <property fmtid="{D5CDD505-2E9C-101B-9397-08002B2CF9AE}" pid="5" name="MSIP_Label_950a0aea-e2df-4107-a6d1-9debf081f9fd_Method">
    <vt:lpwstr>Standard</vt:lpwstr>
  </property>
  <property fmtid="{D5CDD505-2E9C-101B-9397-08002B2CF9AE}" pid="6" name="MSIP_Label_950a0aea-e2df-4107-a6d1-9debf081f9fd_Name">
    <vt:lpwstr>Confidential</vt:lpwstr>
  </property>
  <property fmtid="{D5CDD505-2E9C-101B-9397-08002B2CF9AE}" pid="7" name="MSIP_Label_950a0aea-e2df-4107-a6d1-9debf081f9fd_SetDate">
    <vt:lpwstr>2026-08-04T08:30:32Z</vt:lpwstr>
  </property>
  <property fmtid="{D5CDD505-2E9C-101B-9397-08002B2CF9AE}" pid="8" name="MSIP_Label_950a0aea-e2df-4107-a6d1-9debf081f9fd_SiteId">
    <vt:lpwstr>133a87f2-d3d7-47b2-af96-67b2b21bd714</vt:lpwstr>
  </property>
  <property fmtid="{D5CDD505-2E9C-101B-9397-08002B2CF9AE}" pid="9" name="MSIP_Label_950a0aea-e2df-4107-a6d1-9debf081f9fd_Tag">
    <vt:lpwstr>10, 3, 0, 1</vt:lpwstr>
  </property>
  <property fmtid="{D5CDD505-2E9C-101B-9397-08002B2CF9AE}" pid="10" name="ContentTypeId">
    <vt:lpwstr>0x010100DAD537FC6EEFA3469C67318615635BCD</vt:lpwstr>
  </property>
  <property fmtid="{D5CDD505-2E9C-101B-9397-08002B2CF9AE}" pid="11" name="MediaServiceImageTags">
    <vt:lpwstr/>
  </property>
</Properties>
</file>