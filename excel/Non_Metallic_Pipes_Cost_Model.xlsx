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Summary" sheetId="3" state="visible" r:id="rId5"/>
    <sheet name="Calc" sheetId="4" state="visible" r:id="rId6"/>
    <sheet name="Rates" sheetId="5" state="visible" r:id="rId7"/>
    <sheet name="Standards" sheetId="6" state="visible" r:id="rId8"/>
  </sheets>
  <definedNames>
    <definedName function="false" hidden="false" name="i_pick" vbProcedure="false">Inputs!$B$20</definedName>
    <definedName function="false" hidden="false" name="r_add" vbProcedure="false">Rates!$D$5:$D$8</definedName>
    <definedName function="false" hidden="false" name="r_cpvcOD" vbProcedure="false">Rates!$A$29:$A$37</definedName>
    <definedName function="false" hidden="false" name="r_cpvcWall" vbProcedure="false">Rates!$C$29:$D$37</definedName>
    <definedName function="false" hidden="false" name="r_deprec" vbProcedure="false">Rates!$H$5:$H$8</definedName>
    <definedName function="false" hidden="false" name="r_docs" vbProcedure="false">Rates!$B$16</definedName>
    <definedName function="false" hidden="false" name="r_energy" vbProcedure="false">Rates!$F$5:$F$8</definedName>
    <definedName function="false" hidden="false" name="r_famList" vbProcedure="false">Rates!$A$5:$A$8</definedName>
    <definedName function="false" hidden="false" name="r_hydro" vbProcedure="false">Rates!$B$15</definedName>
    <definedName function="false" hidden="false" name="r_intRate" vbProcedure="false">Rates!$B$18</definedName>
    <definedName function="false" hidden="false" name="r_labour" vbProcedure="false">Rates!$G$5:$G$8</definedName>
    <definedName function="false" hidden="false" name="r_lf1" vbProcedure="false">Rates!$B$22</definedName>
    <definedName function="false" hidden="false" name="r_lf1max" vbProcedure="false">Rates!$B$21</definedName>
    <definedName function="false" hidden="false" name="r_lf2" vbProcedure="false">Rates!$B$24</definedName>
    <definedName function="false" hidden="false" name="r_lf2max" vbProcedure="false">Rates!$B$23</definedName>
    <definedName function="false" hidden="false" name="r_lf3" vbProcedure="false">Rates!$B$25</definedName>
    <definedName function="false" hidden="false" name="r_loading" vbProcedure="false">Rates!$B$20</definedName>
    <definedName function="false" hidden="false" name="r_margin" vbProcedure="false">Rates!$J$5:$J$8</definedName>
    <definedName function="false" hidden="false" name="r_minWall" vbProcedure="false">Rates!$E$5:$E$8</definedName>
    <definedName function="false" hidden="false" name="r_months" vbProcedure="false">Rates!$B$17</definedName>
    <definedName function="false" hidden="false" name="r_other" vbProcedure="false">Rates!$I$5:$I$8</definedName>
    <definedName function="false" hidden="false" name="r_regrind" vbProcedure="false">Rates!$B$13</definedName>
    <definedName function="false" hidden="false" name="r_resin" vbProcedure="false">Rates!$C$5:$C$8</definedName>
    <definedName function="false" hidden="false" name="r_rho" vbProcedure="false">Rates!$B$5:$B$8</definedName>
    <definedName function="false" hidden="false" name="r_stressPvc" vbProcedure="false">Rates!$B$11</definedName>
    <definedName function="false" hidden="false" name="r_thickPct" vbProcedure="false">Rates!$B$14</definedName>
    <definedName function="false" hidden="false" name="r_yieldLoss" vbProcedure="false">Rates!$B$12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<sst xmlns="http://schemas.openxmlformats.org/spreadsheetml/2006/main" count="169" uniqueCount="140">
  <si>
    <t xml:space="preserve">Non-metallic pipes: should-cost model</t>
  </si>
  <si>
    <t xml:space="preserve">HDPE PE100, PVC-U, PP-R and CPVC pipe, costed from resin to delivered price. Not a vendor price list: every rate is an editable assumption.</t>
  </si>
  <si>
    <t xml:space="preserve">Purpose</t>
  </si>
  <si>
    <t xml:space="preserve">Estimate the ex-works plus freight price per metre, per kg and per line of extruded plastic pipe. It follows the structure of the metal-pipe cost model: raw material with yield loss and a scrap credit, conversion, testing, margin, payment interest and logistics.</t>
  </si>
  <si>
    <t xml:space="preserve">How to use</t>
  </si>
  <si>
    <t xml:space="preserve">Enter up to 12 pipe lines on Inputs (family, outside diameter, rating, length required). Prices, extrusion rates and margins are on Rates; change them to your own. Per-line results and the batch total are on Summary; the row-by-row working is on Calc.</t>
  </si>
  <si>
    <t xml:space="preserve">Sheets</t>
  </si>
  <si>
    <t xml:space="preserve">Inputs: pipe lines and the line to break down.  Summary: results per line, batch value and the cost stack of the chosen line.  Calc: the working for each line.  Rates: family constants, resin prices, wall tables, logistics.  Standards: the sizes and ratings the wall rules cover.</t>
  </si>
  <si>
    <t xml:space="preserve">Wall thickness</t>
  </si>
  <si>
    <t xml:space="preserve">HDPE and PP-R: wall = OD / SDR.  PVC-U: wall = P x OD / (2 x design stress + P), with a design stress of 10 MPa.  CPVC: ASTM F441 schedule table.  The result is never below the family minimum wall and is rounded up to 0.1 mm.</t>
  </si>
  <si>
    <t xml:space="preserve">Cost build-up</t>
  </si>
  <si>
    <t xml:space="preserve">Weight per metre = pi/4 x (OD^2 - ID^2) x density.  Raw material = weight x (1 + yield loss) x resin price x (1 + additives), less a scrap credit for trimmed material recovered as regrind.  Conversion = energy + labour + depreciation + other per kg, with a thick-wall surcharge above 10 mm.  Testing per kg.  Margin on that base, then interest on the payment period, then logistics priced by truck loading (bulk-limited for large diameters).</t>
  </si>
  <si>
    <t xml:space="preserve">Conventions</t>
  </si>
  <si>
    <t xml:space="preserve">Yellow fill = input.  Blue font = a typed assumption you may change.  Black = formula.  Green fill = key output.  Rupees, ex-GST.</t>
  </si>
  <si>
    <t xml:space="preserve">Limits</t>
  </si>
  <si>
    <t xml:space="preserve">Straight pipe only: no fittings, sockets, fusion or solvent-weld joints, or installation. Resin prices should follow your own purchase prices or the commodity file (typed here, not linked).</t>
  </si>
  <si>
    <t xml:space="preserve">Companion</t>
  </si>
  <si>
    <t xml:space="preserve">The same model runs in the Should-Cost dashboards (Pipes, plastic family), with a 3D view and a month selector for resin prices.</t>
  </si>
  <si>
    <t xml:space="preserve">Pipe lines</t>
  </si>
  <si>
    <t xml:space="preserve">Enter up to 12 lines. Blank lines are ignored.</t>
  </si>
  <si>
    <t xml:space="preserve">Description</t>
  </si>
  <si>
    <t xml:space="preserve">Family</t>
  </si>
  <si>
    <t xml:space="preserve">Outside diameter mm</t>
  </si>
  <si>
    <t xml:space="preserve">Rating</t>
  </si>
  <si>
    <t xml:space="preserve">Length required m</t>
  </si>
  <si>
    <t xml:space="preserve">HDPE 110 SDR 11</t>
  </si>
  <si>
    <t xml:space="preserve">HDPE PE100</t>
  </si>
  <si>
    <t xml:space="preserve">HDPE 315 SDR 17</t>
  </si>
  <si>
    <t xml:space="preserve">PVC-U 110 · 0.6 MPa</t>
  </si>
  <si>
    <t xml:space="preserve">PVC-U</t>
  </si>
  <si>
    <t xml:space="preserve">PVC-U 200 · 0.8 MPa</t>
  </si>
  <si>
    <t xml:space="preserve">PP-R 32 SDR 7.4</t>
  </si>
  <si>
    <t xml:space="preserve">PP-R</t>
  </si>
  <si>
    <t xml:space="preserve">CPVC 2" SCH 80</t>
  </si>
  <si>
    <t xml:space="preserve">CPVC</t>
  </si>
  <si>
    <t xml:space="preserve">Rating: SDR number (HDPE, PP-R), pressure class in MPa (PVC-U), or 40 / 80 (CPVC schedule). See Standards.</t>
  </si>
  <si>
    <t xml:space="preserve">Line to break down on Summary (1-12)</t>
  </si>
  <si>
    <t xml:space="preserve">Non-metallic pipes: summary</t>
  </si>
  <si>
    <t xml:space="preserve">OD mm</t>
  </si>
  <si>
    <t xml:space="preserve">Wall mm</t>
  </si>
  <si>
    <t xml:space="preserve">kg/m</t>
  </si>
  <si>
    <t xml:space="preserve">Rs per m</t>
  </si>
  <si>
    <t xml:space="preserve">Rs per kg</t>
  </si>
  <si>
    <t xml:space="preserve">Length m</t>
  </si>
  <si>
    <t xml:space="preserve">Line value Rs</t>
  </si>
  <si>
    <t xml:space="preserve">BATCH TOTAL</t>
  </si>
  <si>
    <t xml:space="preserve">Batch value (Rs crore)</t>
  </si>
  <si>
    <t xml:space="preserve">Weighted average Rs per kg</t>
  </si>
  <si>
    <t xml:space="preserve">Cost stack of one line</t>
  </si>
  <si>
    <t xml:space="preserve">Component</t>
  </si>
  <si>
    <t xml:space="preserve">Share</t>
  </si>
  <si>
    <t xml:space="preserve">Raw material, net of scrap credit</t>
  </si>
  <si>
    <t xml:space="preserve">Conversion</t>
  </si>
  <si>
    <t xml:space="preserve">Testing and documentation</t>
  </si>
  <si>
    <t xml:space="preserve">Margin</t>
  </si>
  <si>
    <t xml:space="preserve">Payment interest</t>
  </si>
  <si>
    <t xml:space="preserve">Logistics</t>
  </si>
  <si>
    <t xml:space="preserve">Total per metre</t>
  </si>
  <si>
    <t xml:space="preserve">Check against Calc</t>
  </si>
  <si>
    <t xml:space="preserve">Weight per metre (kg)</t>
  </si>
  <si>
    <t xml:space="preserve">Wall thickness (mm)</t>
  </si>
  <si>
    <t xml:space="preserve">Working, line by line</t>
  </si>
  <si>
    <t xml:space="preserve">Rs per metre unless the heading says otherwise.</t>
  </si>
  <si>
    <t xml:space="preserve">#</t>
  </si>
  <si>
    <t xml:space="preserve">Qty m</t>
  </si>
  <si>
    <t xml:space="preserve">ID mm</t>
  </si>
  <si>
    <t xml:space="preserve">Density</t>
  </si>
  <si>
    <t xml:space="preserve">Area mm2</t>
  </si>
  <si>
    <t xml:space="preserve">Raw kg/m (incl. yield loss)</t>
  </si>
  <si>
    <t xml:space="preserve">Compound Rs/kg</t>
  </si>
  <si>
    <t xml:space="preserve">Raw material Rs/m</t>
  </si>
  <si>
    <t xml:space="preserve">Scrap credit Rs/m</t>
  </si>
  <si>
    <t xml:space="preserve">Conv. Rs/kg</t>
  </si>
  <si>
    <t xml:space="preserve">Conversion Rs/m</t>
  </si>
  <si>
    <t xml:space="preserve">Testing Rs/m</t>
  </si>
  <si>
    <t xml:space="preserve">Base Rs/m</t>
  </si>
  <si>
    <t xml:space="preserve">Margin %</t>
  </si>
  <si>
    <t xml:space="preserve">Interest %</t>
  </si>
  <si>
    <t xml:space="preserve">Load factor</t>
  </si>
  <si>
    <t xml:space="preserve">Transport Rs/m</t>
  </si>
  <si>
    <t xml:space="preserve">Total Rs/m</t>
  </si>
  <si>
    <t xml:space="preserve">Margin Rs/m</t>
  </si>
  <si>
    <t xml:space="preserve">Interest Rs/m</t>
  </si>
  <si>
    <t xml:space="preserve">Rates and constants</t>
  </si>
  <si>
    <t xml:space="preserve">Blue = assumption. Each value is a named cell (r_...).</t>
  </si>
  <si>
    <t xml:space="preserve">Density g/cm3</t>
  </si>
  <si>
    <t xml:space="preserve">Resin Rs/kg</t>
  </si>
  <si>
    <t xml:space="preserve">Additives % of resin</t>
  </si>
  <si>
    <t xml:space="preserve">Minimum wall mm</t>
  </si>
  <si>
    <t xml:space="preserve">Energy Rs/kg</t>
  </si>
  <si>
    <t xml:space="preserve">Labour Rs/kg</t>
  </si>
  <si>
    <t xml:space="preserve">Depreciation Rs/kg</t>
  </si>
  <si>
    <t xml:space="preserve">Other Rs/kg</t>
  </si>
  <si>
    <t xml:space="preserve">Process constants</t>
  </si>
  <si>
    <t xml:space="preserve">PVC-U design stress</t>
  </si>
  <si>
    <t xml:space="preserve">MPa</t>
  </si>
  <si>
    <t xml:space="preserve">Yield loss (start-up and trim scrap)</t>
  </si>
  <si>
    <t xml:space="preserve">of weight</t>
  </si>
  <si>
    <t xml:space="preserve">Value recovered from scrap as regrind</t>
  </si>
  <si>
    <t xml:space="preserve">of scrap value</t>
  </si>
  <si>
    <t xml:space="preserve">Thick-wall conversion surcharge per mm above 10 mm</t>
  </si>
  <si>
    <t xml:space="preserve">Hydro-test</t>
  </si>
  <si>
    <t xml:space="preserve">Rs/kg</t>
  </si>
  <si>
    <t xml:space="preserve">Documentation and inspection</t>
  </si>
  <si>
    <t xml:space="preserve">Payment period</t>
  </si>
  <si>
    <t xml:space="preserve">months</t>
  </si>
  <si>
    <t xml:space="preserve">Interest rate</t>
  </si>
  <si>
    <t xml:space="preserve">per year</t>
  </si>
  <si>
    <t xml:space="preserve">Loading and freight</t>
  </si>
  <si>
    <t xml:space="preserve">Rs per tonne of truck capacity</t>
  </si>
  <si>
    <t xml:space="preserve">Outside diameter up to (class 1)</t>
  </si>
  <si>
    <t xml:space="preserve">mm</t>
  </si>
  <si>
    <t xml:space="preserve">Truck loading factor, class 1</t>
  </si>
  <si>
    <t xml:space="preserve">Outside diameter up to (class 2)</t>
  </si>
  <si>
    <t xml:space="preserve">Truck loading factor, class 2</t>
  </si>
  <si>
    <t xml:space="preserve">Truck loading factor, larger pipes</t>
  </si>
  <si>
    <t xml:space="preserve">CPVC wall thickness (ASTM F441), mm</t>
  </si>
  <si>
    <t xml:space="preserve">NPS</t>
  </si>
  <si>
    <t xml:space="preserve">SCH 40</t>
  </si>
  <si>
    <t xml:space="preserve">SCH 80</t>
  </si>
  <si>
    <t xml:space="preserve">1/2"</t>
  </si>
  <si>
    <t xml:space="preserve">3/4"</t>
  </si>
  <si>
    <t xml:space="preserve">1"</t>
  </si>
  <si>
    <t xml:space="preserve">1 1/4"</t>
  </si>
  <si>
    <t xml:space="preserve">1 1/2"</t>
  </si>
  <si>
    <t xml:space="preserve">2"</t>
  </si>
  <si>
    <t xml:space="preserve">2 1/2"</t>
  </si>
  <si>
    <t xml:space="preserve">3"</t>
  </si>
  <si>
    <t xml:space="preserve">4"</t>
  </si>
  <si>
    <t xml:space="preserve">Sizes and ratings covered</t>
  </si>
  <si>
    <t xml:space="preserve">Standard</t>
  </si>
  <si>
    <t xml:space="preserve">Outside diameters (mm) and rating to enter</t>
  </si>
  <si>
    <t xml:space="preserve">IS 4984 / ISO 4427</t>
  </si>
  <si>
    <t xml:space="preserve">20, 25, 32, 40, 50, 63, 75, 90, 110, 125, 140, 160, 180, 200, 225, 250, 280, 315, 355, 400, 450, 500, 560, 630.  Rating: SDR 33, 26, 21, 17, 13.6, 11, 9, 7.4 (enter the number)</t>
  </si>
  <si>
    <t xml:space="preserve">IS 4985</t>
  </si>
  <si>
    <t xml:space="preserve">63, 75, 90, 110, 125, 140, 160, 180, 200, 225, 250, 280, 315, 355, 400.  Rating: Pressure class in MPa: 0.25, 0.4, 0.6, 0.8, 1.0, 1.25</t>
  </si>
  <si>
    <t xml:space="preserve">DIN 8077 / IS 15801</t>
  </si>
  <si>
    <t xml:space="preserve">20, 25, 32, 40, 50, 63, 75, 90, 110.  Rating: SDR 11 (PN 10), 7.4 (PN 16), 6 (PN 20) (enter the number)</t>
  </si>
  <si>
    <t xml:space="preserve">ASTM F441 (IPS)</t>
  </si>
  <si>
    <t xml:space="preserve">21.34, 26.67, 33.4, 42.16, 48.26, 60.33, 73.03, 88.9, 114.3.  Rating: Schedule 40 or 80 (enter 40 or 80)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</si>
</sst>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0.0"/>
    <numFmt numFmtId="167" formatCode="0.0##"/>
    <numFmt numFmtId="168" formatCode="0.000"/>
    <numFmt numFmtId="169" formatCode="#,##0.00"/>
    <numFmt numFmtId="170" formatCode="#,##0"/>
    <numFmt numFmtId="171" formatCode="0.0000"/>
    <numFmt numFmtId="172" formatCode="0.0%"/>
    <numFmt numFmtId="173" formatCode="0.00"/>
    <numFmt numFmtId="174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Cambria"/>
      <family val="0"/>
      <charset val="1"/>
    </font>
    <font>
      <i val="true"/>
      <sz val="11"/>
      <color rgb="FF6B748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F4FB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D6"/>
        <bgColor rgb="FFFFFFFF"/>
      </patternFill>
    </fill>
    <fill>
      <patternFill patternType="solid">
        <fgColor rgb="FFE3F1E7"/>
        <bgColor rgb="FFFFF7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3F1E7"/>
      <rgbColor rgb="FF660066"/>
      <rgbColor rgb="FFFF8080"/>
      <rgbColor rgb="FF1F4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2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1.5" hidden="false" customHeight="true" outlineLevel="0" collapsed="false">
      <c r="A4" s="3" t="s">
        <v>2</v>
      </c>
      <c r="B4" s="4" t="s">
        <v>3</v>
      </c>
    </row>
    <row r="5" customFormat="false" ht="61.5" hidden="false" customHeight="true" outlineLevel="0" collapsed="false">
      <c r="A5" s="3" t="s">
        <v>4</v>
      </c>
      <c r="B5" s="4" t="s">
        <v>5</v>
      </c>
    </row>
    <row r="6" customFormat="false" ht="61.5" hidden="false" customHeight="true" outlineLevel="0" collapsed="false">
      <c r="A6" s="3" t="s">
        <v>6</v>
      </c>
      <c r="B6" s="4" t="s">
        <v>7</v>
      </c>
    </row>
    <row r="7" customFormat="false" ht="61.5" hidden="false" customHeight="true" outlineLevel="0" collapsed="false">
      <c r="A7" s="3" t="s">
        <v>8</v>
      </c>
      <c r="B7" s="4" t="s">
        <v>9</v>
      </c>
    </row>
    <row r="8" customFormat="false" ht="61.5" hidden="false" customHeight="true" outlineLevel="0" collapsed="false">
      <c r="A8" s="3" t="s">
        <v>10</v>
      </c>
      <c r="B8" s="4" t="s">
        <v>11</v>
      </c>
    </row>
    <row r="9" customFormat="false" ht="61.5" hidden="false" customHeight="true" outlineLevel="0" collapsed="false">
      <c r="A9" s="3" t="s">
        <v>12</v>
      </c>
      <c r="B9" s="4" t="s">
        <v>13</v>
      </c>
    </row>
    <row r="10" customFormat="false" ht="61.5" hidden="false" customHeight="true" outlineLevel="0" collapsed="false">
      <c r="A10" s="3" t="s">
        <v>14</v>
      </c>
      <c r="B10" s="4" t="s">
        <v>15</v>
      </c>
    </row>
    <row r="11" customFormat="false" ht="61.5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"/>
  </cols>
  <sheetData>
    <row r="1" customFormat="false" ht="18.5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31.5" hidden="false" customHeight="true" outlineLevel="0" collapsed="false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</row>
    <row r="5" customFormat="false" ht="15" hidden="false" customHeight="false" outlineLevel="0" collapsed="false">
      <c r="A5" s="7" t="s">
        <v>25</v>
      </c>
      <c r="B5" s="7" t="s">
        <v>26</v>
      </c>
      <c r="C5" s="7" t="n">
        <v>110</v>
      </c>
      <c r="D5" s="7" t="n">
        <v>11</v>
      </c>
      <c r="E5" s="7" t="n">
        <v>20000</v>
      </c>
    </row>
    <row r="6" customFormat="false" ht="15" hidden="false" customHeight="false" outlineLevel="0" collapsed="false">
      <c r="A6" s="7" t="s">
        <v>27</v>
      </c>
      <c r="B6" s="7" t="s">
        <v>26</v>
      </c>
      <c r="C6" s="7" t="n">
        <v>315</v>
      </c>
      <c r="D6" s="7" t="n">
        <v>17</v>
      </c>
      <c r="E6" s="7" t="n">
        <v>4000</v>
      </c>
    </row>
    <row r="7" customFormat="false" ht="15" hidden="false" customHeight="false" outlineLevel="0" collapsed="false">
      <c r="A7" s="7" t="s">
        <v>28</v>
      </c>
      <c r="B7" s="7" t="s">
        <v>29</v>
      </c>
      <c r="C7" s="7" t="n">
        <v>110</v>
      </c>
      <c r="D7" s="7" t="n">
        <v>0.6</v>
      </c>
      <c r="E7" s="7" t="n">
        <v>15000</v>
      </c>
    </row>
    <row r="8" customFormat="false" ht="15" hidden="false" customHeight="false" outlineLevel="0" collapsed="false">
      <c r="A8" s="7" t="s">
        <v>30</v>
      </c>
      <c r="B8" s="7" t="s">
        <v>29</v>
      </c>
      <c r="C8" s="7" t="n">
        <v>200</v>
      </c>
      <c r="D8" s="7" t="n">
        <v>0.8</v>
      </c>
      <c r="E8" s="7" t="n">
        <v>6000</v>
      </c>
    </row>
    <row r="9" customFormat="false" ht="15" hidden="false" customHeight="false" outlineLevel="0" collapsed="false">
      <c r="A9" s="7" t="s">
        <v>31</v>
      </c>
      <c r="B9" s="7" t="s">
        <v>32</v>
      </c>
      <c r="C9" s="7" t="n">
        <v>32</v>
      </c>
      <c r="D9" s="7" t="n">
        <v>7.4</v>
      </c>
      <c r="E9" s="7" t="n">
        <v>8000</v>
      </c>
    </row>
    <row r="10" customFormat="false" ht="15" hidden="false" customHeight="false" outlineLevel="0" collapsed="false">
      <c r="A10" s="7" t="s">
        <v>33</v>
      </c>
      <c r="B10" s="7" t="s">
        <v>34</v>
      </c>
      <c r="C10" s="7" t="n">
        <v>60.33</v>
      </c>
      <c r="D10" s="7" t="n">
        <v>80</v>
      </c>
      <c r="E10" s="7" t="n">
        <v>3000</v>
      </c>
    </row>
    <row r="11" customFormat="false" ht="15" hidden="false" customHeight="false" outlineLevel="0" collapsed="false">
      <c r="A11" s="7"/>
      <c r="B11" s="7"/>
      <c r="C11" s="7"/>
      <c r="D11" s="7"/>
      <c r="E11" s="7"/>
    </row>
    <row r="12" customFormat="false" ht="15" hidden="false" customHeight="false" outlineLevel="0" collapsed="false">
      <c r="A12" s="7"/>
      <c r="B12" s="7"/>
      <c r="C12" s="7"/>
      <c r="D12" s="7"/>
      <c r="E12" s="7"/>
    </row>
    <row r="13" customFormat="false" ht="15" hidden="false" customHeight="false" outlineLevel="0" collapsed="false">
      <c r="A13" s="7"/>
      <c r="B13" s="7"/>
      <c r="C13" s="7"/>
      <c r="D13" s="7"/>
      <c r="E13" s="7"/>
    </row>
    <row r="14" customFormat="false" ht="15" hidden="false" customHeight="false" outlineLevel="0" collapsed="false">
      <c r="A14" s="7"/>
      <c r="B14" s="7"/>
      <c r="C14" s="7"/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7"/>
      <c r="B16" s="7"/>
      <c r="C16" s="7"/>
      <c r="D16" s="7"/>
      <c r="E16" s="7"/>
    </row>
    <row r="18" customFormat="false" ht="15" hidden="false" customHeight="false" outlineLevel="0" collapsed="false">
      <c r="A18" s="2" t="s">
        <v>35</v>
      </c>
    </row>
    <row r="20" customFormat="false" ht="15" hidden="false" customHeight="false" outlineLevel="0" collapsed="false">
      <c r="A20" s="0" t="s">
        <v>36</v>
      </c>
      <c r="B20" s="7" t="n">
        <v>1</v>
      </c>
    </row>
  </sheetData>
  <dataValidations count="1">
    <dataValidation allowBlank="true" errorStyle="stop" operator="between" showDropDown="false" showErrorMessage="false" showInputMessage="false" sqref="B5:B16" type="list">
      <formula1>"HDPE PE100,PVC-U,PP-R,CPVC"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18.55" hidden="false" customHeight="false" outlineLevel="0" collapsed="false">
      <c r="A1" s="1" t="s">
        <v>37</v>
      </c>
    </row>
    <row r="4" customFormat="false" ht="31.5" hidden="false" customHeight="true" outlineLevel="0" collapsed="false">
      <c r="A4" s="5" t="s">
        <v>20</v>
      </c>
      <c r="B4" s="6" t="s">
        <v>21</v>
      </c>
      <c r="C4" s="6" t="s">
        <v>38</v>
      </c>
      <c r="D4" s="6" t="s">
        <v>23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</row>
    <row r="5" customFormat="false" ht="15" hidden="false" customHeight="false" outlineLevel="0" collapsed="false">
      <c r="A5" s="8" t="str">
        <f aca="false">IF(Calc!C5="","",Calc!B5)</f>
        <v>HDPE 110 SDR 11</v>
      </c>
      <c r="B5" s="8" t="str">
        <f aca="false">IF(Calc!C5="","",Calc!C5)</f>
        <v>HDPE PE100</v>
      </c>
      <c r="C5" s="9" t="n">
        <f aca="false">IF(Calc!C5="","",Calc!D5)</f>
        <v>110</v>
      </c>
      <c r="D5" s="10" t="n">
        <f aca="false">IF(Calc!C5="","",Calc!E5)</f>
        <v>11</v>
      </c>
      <c r="E5" s="9" t="n">
        <f aca="false">IF(Calc!C5="","",Calc!G5)</f>
        <v>10</v>
      </c>
      <c r="F5" s="11" t="n">
        <f aca="false">IF(Calc!C5="","",Calc!K5)</f>
        <v>2.9845130209103</v>
      </c>
      <c r="G5" s="12" t="n">
        <f aca="false">IF(Calc!C5="","",Calc!X5)</f>
        <v>437.135258046908</v>
      </c>
      <c r="H5" s="12" t="n">
        <f aca="false">IF(Calc!C5="","",Calc!Y5)</f>
        <v>146.467867616667</v>
      </c>
      <c r="I5" s="13" t="n">
        <f aca="false">IF(Calc!C5="","",Calc!F5)</f>
        <v>20000</v>
      </c>
      <c r="J5" s="13" t="n">
        <f aca="false">IF(Calc!C5="","",Calc!AB5)</f>
        <v>8742705.16093816</v>
      </c>
    </row>
    <row r="6" customFormat="false" ht="15" hidden="false" customHeight="false" outlineLevel="0" collapsed="false">
      <c r="A6" s="8" t="str">
        <f aca="false">IF(Calc!C6="","",Calc!B6)</f>
        <v>HDPE 315 SDR 17</v>
      </c>
      <c r="B6" s="8" t="str">
        <f aca="false">IF(Calc!C6="","",Calc!C6)</f>
        <v>HDPE PE100</v>
      </c>
      <c r="C6" s="9" t="n">
        <f aca="false">IF(Calc!C6="","",Calc!D6)</f>
        <v>315</v>
      </c>
      <c r="D6" s="10" t="n">
        <f aca="false">IF(Calc!C6="","",Calc!E6)</f>
        <v>17</v>
      </c>
      <c r="E6" s="9" t="n">
        <f aca="false">IF(Calc!C6="","",Calc!G6)</f>
        <v>18.6</v>
      </c>
      <c r="F6" s="11" t="n">
        <f aca="false">IF(Calc!C6="","",Calc!K6)</f>
        <v>16.4537396647993</v>
      </c>
      <c r="G6" s="12" t="n">
        <f aca="false">IF(Calc!C6="","",Calc!X6)</f>
        <v>2461.8488909047</v>
      </c>
      <c r="H6" s="12" t="n">
        <f aca="false">IF(Calc!C6="","",Calc!Y6)</f>
        <v>149.622453075</v>
      </c>
      <c r="I6" s="13" t="n">
        <f aca="false">IF(Calc!C6="","",Calc!F6)</f>
        <v>4000</v>
      </c>
      <c r="J6" s="13" t="n">
        <f aca="false">IF(Calc!C6="","",Calc!AB6)</f>
        <v>9847395.56361882</v>
      </c>
    </row>
    <row r="7" customFormat="false" ht="15" hidden="false" customHeight="false" outlineLevel="0" collapsed="false">
      <c r="A7" s="8" t="str">
        <f aca="false">IF(Calc!C7="","",Calc!B7)</f>
        <v>PVC-U 110 · 0.6 MPa</v>
      </c>
      <c r="B7" s="8" t="str">
        <f aca="false">IF(Calc!C7="","",Calc!C7)</f>
        <v>PVC-U</v>
      </c>
      <c r="C7" s="9" t="n">
        <f aca="false">IF(Calc!C7="","",Calc!D7)</f>
        <v>110</v>
      </c>
      <c r="D7" s="10" t="n">
        <f aca="false">IF(Calc!C7="","",Calc!E7)</f>
        <v>0.6</v>
      </c>
      <c r="E7" s="9" t="n">
        <f aca="false">IF(Calc!C7="","",Calc!G7)</f>
        <v>3.3</v>
      </c>
      <c r="F7" s="11" t="n">
        <f aca="false">IF(Calc!C7="","",Calc!K7)</f>
        <v>1.5486606649577</v>
      </c>
      <c r="G7" s="12" t="n">
        <f aca="false">IF(Calc!C7="","",Calc!X7)</f>
        <v>189.906901868695</v>
      </c>
      <c r="H7" s="12" t="n">
        <f aca="false">IF(Calc!C7="","",Calc!Y7)</f>
        <v>122.626541866667</v>
      </c>
      <c r="I7" s="13" t="n">
        <f aca="false">IF(Calc!C7="","",Calc!F7)</f>
        <v>15000</v>
      </c>
      <c r="J7" s="13" t="n">
        <f aca="false">IF(Calc!C7="","",Calc!AB7)</f>
        <v>2848603.52803043</v>
      </c>
    </row>
    <row r="8" customFormat="false" ht="15" hidden="false" customHeight="false" outlineLevel="0" collapsed="false">
      <c r="A8" s="8" t="str">
        <f aca="false">IF(Calc!C8="","",Calc!B8)</f>
        <v>PVC-U 200 · 0.8 MPa</v>
      </c>
      <c r="B8" s="8" t="str">
        <f aca="false">IF(Calc!C8="","",Calc!C8)</f>
        <v>PVC-U</v>
      </c>
      <c r="C8" s="9" t="n">
        <f aca="false">IF(Calc!C8="","",Calc!D8)</f>
        <v>200</v>
      </c>
      <c r="D8" s="10" t="n">
        <f aca="false">IF(Calc!C8="","",Calc!E8)</f>
        <v>0.8</v>
      </c>
      <c r="E8" s="9" t="n">
        <f aca="false">IF(Calc!C8="","",Calc!G8)</f>
        <v>7.7</v>
      </c>
      <c r="F8" s="11" t="n">
        <f aca="false">IF(Calc!C8="","",Calc!K8)</f>
        <v>6.51250272133572</v>
      </c>
      <c r="G8" s="12" t="n">
        <f aca="false">IF(Calc!C8="","",Calc!X8)</f>
        <v>806.393555452253</v>
      </c>
      <c r="H8" s="12" t="n">
        <f aca="false">IF(Calc!C8="","",Calc!Y8)</f>
        <v>123.8223752</v>
      </c>
      <c r="I8" s="13" t="n">
        <f aca="false">IF(Calc!C8="","",Calc!F8)</f>
        <v>6000</v>
      </c>
      <c r="J8" s="13" t="n">
        <f aca="false">IF(Calc!C8="","",Calc!AB8)</f>
        <v>4838361.33271352</v>
      </c>
    </row>
    <row r="9" customFormat="false" ht="15" hidden="false" customHeight="false" outlineLevel="0" collapsed="false">
      <c r="A9" s="8" t="str">
        <f aca="false">IF(Calc!C9="","",Calc!B9)</f>
        <v>PP-R 32 SDR 7.4</v>
      </c>
      <c r="B9" s="8" t="str">
        <f aca="false">IF(Calc!C9="","",Calc!C9)</f>
        <v>PP-R</v>
      </c>
      <c r="C9" s="9" t="n">
        <f aca="false">IF(Calc!C9="","",Calc!D9)</f>
        <v>32</v>
      </c>
      <c r="D9" s="10" t="n">
        <f aca="false">IF(Calc!C9="","",Calc!E9)</f>
        <v>7.4</v>
      </c>
      <c r="E9" s="9" t="n">
        <f aca="false">IF(Calc!C9="","",Calc!G9)</f>
        <v>4.4</v>
      </c>
      <c r="F9" s="11" t="n">
        <f aca="false">IF(Calc!C9="","",Calc!K9)</f>
        <v>0.34336351066675</v>
      </c>
      <c r="G9" s="12" t="n">
        <f aca="false">IF(Calc!C9="","",Calc!X9)</f>
        <v>62.9900624936965</v>
      </c>
      <c r="H9" s="12" t="n">
        <f aca="false">IF(Calc!C9="","",Calc!Y9)</f>
        <v>183.450077066667</v>
      </c>
      <c r="I9" s="13" t="n">
        <f aca="false">IF(Calc!C9="","",Calc!F9)</f>
        <v>8000</v>
      </c>
      <c r="J9" s="13" t="n">
        <f aca="false">IF(Calc!C9="","",Calc!AB9)</f>
        <v>503920.499949572</v>
      </c>
    </row>
    <row r="10" customFormat="false" ht="15" hidden="false" customHeight="false" outlineLevel="0" collapsed="false">
      <c r="A10" s="8" t="str">
        <f aca="false">IF(Calc!C10="","",Calc!B10)</f>
        <v>CPVC 2" SCH 80</v>
      </c>
      <c r="B10" s="8" t="str">
        <f aca="false">IF(Calc!C10="","",Calc!C10)</f>
        <v>CPVC</v>
      </c>
      <c r="C10" s="9" t="n">
        <f aca="false">IF(Calc!C10="","",Calc!D10)</f>
        <v>60.33</v>
      </c>
      <c r="D10" s="10" t="n">
        <f aca="false">IF(Calc!C10="","",Calc!E10)</f>
        <v>80</v>
      </c>
      <c r="E10" s="9" t="n">
        <f aca="false">IF(Calc!C10="","",Calc!G10)</f>
        <v>5.6</v>
      </c>
      <c r="F10" s="11" t="n">
        <f aca="false">IF(Calc!C10="","",Calc!K10)</f>
        <v>1.49243369628081</v>
      </c>
      <c r="G10" s="12" t="n">
        <f aca="false">IF(Calc!C10="","",Calc!X10)</f>
        <v>481.919822749632</v>
      </c>
      <c r="H10" s="12" t="n">
        <f aca="false">IF(Calc!C10="","",Calc!Y10)</f>
        <v>322.908698691667</v>
      </c>
      <c r="I10" s="13" t="n">
        <f aca="false">IF(Calc!C10="","",Calc!F10)</f>
        <v>3000</v>
      </c>
      <c r="J10" s="13" t="n">
        <f aca="false">IF(Calc!C10="","",Calc!AB10)</f>
        <v>1445759.4682489</v>
      </c>
    </row>
    <row r="11" customFormat="false" ht="15" hidden="false" customHeight="false" outlineLevel="0" collapsed="false">
      <c r="A11" s="8" t="str">
        <f aca="false">IF(Calc!C11="","",Calc!B11)</f>
        <v/>
      </c>
      <c r="B11" s="8" t="str">
        <f aca="false">IF(Calc!C11="","",Calc!C11)</f>
        <v/>
      </c>
      <c r="C11" s="9" t="str">
        <f aca="false">IF(Calc!C11="","",Calc!D11)</f>
        <v/>
      </c>
      <c r="D11" s="10" t="str">
        <f aca="false">IF(Calc!C11="","",Calc!E11)</f>
        <v/>
      </c>
      <c r="E11" s="9" t="str">
        <f aca="false">IF(Calc!C11="","",Calc!G11)</f>
        <v/>
      </c>
      <c r="F11" s="11" t="str">
        <f aca="false">IF(Calc!C11="","",Calc!K11)</f>
        <v/>
      </c>
      <c r="G11" s="12" t="str">
        <f aca="false">IF(Calc!C11="","",Calc!X11)</f>
        <v/>
      </c>
      <c r="H11" s="12" t="str">
        <f aca="false">IF(Calc!C11="","",Calc!Y11)</f>
        <v/>
      </c>
      <c r="I11" s="13" t="str">
        <f aca="false">IF(Calc!C11="","",Calc!F11)</f>
        <v/>
      </c>
      <c r="J11" s="13" t="str">
        <f aca="false">IF(Calc!C11="","",Calc!AB11)</f>
        <v/>
      </c>
    </row>
    <row r="12" customFormat="false" ht="15" hidden="false" customHeight="false" outlineLevel="0" collapsed="false">
      <c r="A12" s="8" t="str">
        <f aca="false">IF(Calc!C12="","",Calc!B12)</f>
        <v/>
      </c>
      <c r="B12" s="8" t="str">
        <f aca="false">IF(Calc!C12="","",Calc!C12)</f>
        <v/>
      </c>
      <c r="C12" s="9" t="str">
        <f aca="false">IF(Calc!C12="","",Calc!D12)</f>
        <v/>
      </c>
      <c r="D12" s="10" t="str">
        <f aca="false">IF(Calc!C12="","",Calc!E12)</f>
        <v/>
      </c>
      <c r="E12" s="9" t="str">
        <f aca="false">IF(Calc!C12="","",Calc!G12)</f>
        <v/>
      </c>
      <c r="F12" s="11" t="str">
        <f aca="false">IF(Calc!C12="","",Calc!K12)</f>
        <v/>
      </c>
      <c r="G12" s="12" t="str">
        <f aca="false">IF(Calc!C12="","",Calc!X12)</f>
        <v/>
      </c>
      <c r="H12" s="12" t="str">
        <f aca="false">IF(Calc!C12="","",Calc!Y12)</f>
        <v/>
      </c>
      <c r="I12" s="13" t="str">
        <f aca="false">IF(Calc!C12="","",Calc!F12)</f>
        <v/>
      </c>
      <c r="J12" s="13" t="str">
        <f aca="false">IF(Calc!C12="","",Calc!AB12)</f>
        <v/>
      </c>
    </row>
    <row r="13" customFormat="false" ht="15" hidden="false" customHeight="false" outlineLevel="0" collapsed="false">
      <c r="A13" s="8" t="str">
        <f aca="false">IF(Calc!C13="","",Calc!B13)</f>
        <v/>
      </c>
      <c r="B13" s="8" t="str">
        <f aca="false">IF(Calc!C13="","",Calc!C13)</f>
        <v/>
      </c>
      <c r="C13" s="9" t="str">
        <f aca="false">IF(Calc!C13="","",Calc!D13)</f>
        <v/>
      </c>
      <c r="D13" s="10" t="str">
        <f aca="false">IF(Calc!C13="","",Calc!E13)</f>
        <v/>
      </c>
      <c r="E13" s="9" t="str">
        <f aca="false">IF(Calc!C13="","",Calc!G13)</f>
        <v/>
      </c>
      <c r="F13" s="11" t="str">
        <f aca="false">IF(Calc!C13="","",Calc!K13)</f>
        <v/>
      </c>
      <c r="G13" s="12" t="str">
        <f aca="false">IF(Calc!C13="","",Calc!X13)</f>
        <v/>
      </c>
      <c r="H13" s="12" t="str">
        <f aca="false">IF(Calc!C13="","",Calc!Y13)</f>
        <v/>
      </c>
      <c r="I13" s="13" t="str">
        <f aca="false">IF(Calc!C13="","",Calc!F13)</f>
        <v/>
      </c>
      <c r="J13" s="13" t="str">
        <f aca="false">IF(Calc!C13="","",Calc!AB13)</f>
        <v/>
      </c>
    </row>
    <row r="14" customFormat="false" ht="15" hidden="false" customHeight="false" outlineLevel="0" collapsed="false">
      <c r="A14" s="8" t="str">
        <f aca="false">IF(Calc!C14="","",Calc!B14)</f>
        <v/>
      </c>
      <c r="B14" s="8" t="str">
        <f aca="false">IF(Calc!C14="","",Calc!C14)</f>
        <v/>
      </c>
      <c r="C14" s="9" t="str">
        <f aca="false">IF(Calc!C14="","",Calc!D14)</f>
        <v/>
      </c>
      <c r="D14" s="10" t="str">
        <f aca="false">IF(Calc!C14="","",Calc!E14)</f>
        <v/>
      </c>
      <c r="E14" s="9" t="str">
        <f aca="false">IF(Calc!C14="","",Calc!G14)</f>
        <v/>
      </c>
      <c r="F14" s="11" t="str">
        <f aca="false">IF(Calc!C14="","",Calc!K14)</f>
        <v/>
      </c>
      <c r="G14" s="12" t="str">
        <f aca="false">IF(Calc!C14="","",Calc!X14)</f>
        <v/>
      </c>
      <c r="H14" s="12" t="str">
        <f aca="false">IF(Calc!C14="","",Calc!Y14)</f>
        <v/>
      </c>
      <c r="I14" s="13" t="str">
        <f aca="false">IF(Calc!C14="","",Calc!F14)</f>
        <v/>
      </c>
      <c r="J14" s="13" t="str">
        <f aca="false">IF(Calc!C14="","",Calc!AB14)</f>
        <v/>
      </c>
    </row>
    <row r="15" customFormat="false" ht="15" hidden="false" customHeight="false" outlineLevel="0" collapsed="false">
      <c r="A15" s="8" t="str">
        <f aca="false">IF(Calc!C15="","",Calc!B15)</f>
        <v/>
      </c>
      <c r="B15" s="8" t="str">
        <f aca="false">IF(Calc!C15="","",Calc!C15)</f>
        <v/>
      </c>
      <c r="C15" s="9" t="str">
        <f aca="false">IF(Calc!C15="","",Calc!D15)</f>
        <v/>
      </c>
      <c r="D15" s="10" t="str">
        <f aca="false">IF(Calc!C15="","",Calc!E15)</f>
        <v/>
      </c>
      <c r="E15" s="9" t="str">
        <f aca="false">IF(Calc!C15="","",Calc!G15)</f>
        <v/>
      </c>
      <c r="F15" s="11" t="str">
        <f aca="false">IF(Calc!C15="","",Calc!K15)</f>
        <v/>
      </c>
      <c r="G15" s="12" t="str">
        <f aca="false">IF(Calc!C15="","",Calc!X15)</f>
        <v/>
      </c>
      <c r="H15" s="12" t="str">
        <f aca="false">IF(Calc!C15="","",Calc!Y15)</f>
        <v/>
      </c>
      <c r="I15" s="13" t="str">
        <f aca="false">IF(Calc!C15="","",Calc!F15)</f>
        <v/>
      </c>
      <c r="J15" s="13" t="str">
        <f aca="false">IF(Calc!C15="","",Calc!AB15)</f>
        <v/>
      </c>
    </row>
    <row r="16" customFormat="false" ht="15" hidden="false" customHeight="false" outlineLevel="0" collapsed="false">
      <c r="A16" s="8" t="str">
        <f aca="false">IF(Calc!C16="","",Calc!B16)</f>
        <v/>
      </c>
      <c r="B16" s="8" t="str">
        <f aca="false">IF(Calc!C16="","",Calc!C16)</f>
        <v/>
      </c>
      <c r="C16" s="9" t="str">
        <f aca="false">IF(Calc!C16="","",Calc!D16)</f>
        <v/>
      </c>
      <c r="D16" s="10" t="str">
        <f aca="false">IF(Calc!C16="","",Calc!E16)</f>
        <v/>
      </c>
      <c r="E16" s="9" t="str">
        <f aca="false">IF(Calc!C16="","",Calc!G16)</f>
        <v/>
      </c>
      <c r="F16" s="11" t="str">
        <f aca="false">IF(Calc!C16="","",Calc!K16)</f>
        <v/>
      </c>
      <c r="G16" s="12" t="str">
        <f aca="false">IF(Calc!C16="","",Calc!X16)</f>
        <v/>
      </c>
      <c r="H16" s="12" t="str">
        <f aca="false">IF(Calc!C16="","",Calc!Y16)</f>
        <v/>
      </c>
      <c r="I16" s="13" t="str">
        <f aca="false">IF(Calc!C16="","",Calc!F16)</f>
        <v/>
      </c>
      <c r="J16" s="13" t="str">
        <f aca="false">IF(Calc!C16="","",Calc!AB16)</f>
        <v/>
      </c>
    </row>
    <row r="17" customFormat="false" ht="15" hidden="false" customHeight="false" outlineLevel="0" collapsed="false">
      <c r="A17" s="3" t="s">
        <v>45</v>
      </c>
      <c r="I17" s="13" t="n">
        <f aca="false">SUM(I5:I16)</f>
        <v>56000</v>
      </c>
      <c r="J17" s="14" t="n">
        <f aca="false">SUM(J5:J16)</f>
        <v>28226745.5534994</v>
      </c>
    </row>
    <row r="18" customFormat="false" ht="15" hidden="false" customHeight="false" outlineLevel="0" collapsed="false">
      <c r="A18" s="0" t="s">
        <v>46</v>
      </c>
      <c r="J18" s="15" t="n">
        <f aca="false">J17/10000000</f>
        <v>2.82267455534994</v>
      </c>
    </row>
    <row r="19" customFormat="false" ht="15" hidden="false" customHeight="false" outlineLevel="0" collapsed="false">
      <c r="A19" s="0" t="s">
        <v>47</v>
      </c>
      <c r="J19" s="12" t="n">
        <f aca="false">IFERROR(J17/SUMPRODUCT(I5:I16,F5:F16),0)</f>
        <v>144.727043694704</v>
      </c>
    </row>
    <row r="21" customFormat="false" ht="15" hidden="false" customHeight="false" outlineLevel="0" collapsed="false">
      <c r="A21" s="3" t="s">
        <v>48</v>
      </c>
    </row>
    <row r="22" customFormat="false" ht="15" hidden="false" customHeight="false" outlineLevel="0" collapsed="false">
      <c r="A22" s="0" t="str">
        <f aca="false">IFERROR(INDEX(Calc!B5:B16,i_pick)&amp;" · "&amp;INDEX(Calc!C5:C16,i_pick)&amp;" "&amp;INDEX(Calc!D5:D16,i_pick)&amp;" mm","Pick a filled line number on Inputs")</f>
        <v>HDPE 110 SDR 11 · HDPE PE100 110 mm</v>
      </c>
    </row>
    <row r="23" customFormat="false" ht="31.5" hidden="false" customHeight="true" outlineLevel="0" collapsed="false">
      <c r="A23" s="5" t="s">
        <v>49</v>
      </c>
      <c r="B23" s="6" t="s">
        <v>41</v>
      </c>
      <c r="C23" s="6" t="s">
        <v>50</v>
      </c>
    </row>
    <row r="24" customFormat="false" ht="15" hidden="false" customHeight="false" outlineLevel="0" collapsed="false">
      <c r="A24" s="0" t="s">
        <v>51</v>
      </c>
      <c r="B24" s="12" t="n">
        <f aca="false">INDEX(Calc!N5:N16,i_pick)+INDEX(Calc!O5:O16,i_pick)</f>
        <v>333.657214588292</v>
      </c>
      <c r="C24" s="16" t="n">
        <f aca="false">B24/B30</f>
        <v>0.763281406489724</v>
      </c>
    </row>
    <row r="25" customFormat="false" ht="15" hidden="false" customHeight="false" outlineLevel="0" collapsed="false">
      <c r="A25" s="0" t="s">
        <v>52</v>
      </c>
      <c r="B25" s="12" t="n">
        <f aca="false">INDEX(Calc!Q5:Q16,i_pick)</f>
        <v>40.2909257822891</v>
      </c>
      <c r="C25" s="16" t="n">
        <f aca="false">B25/B30</f>
        <v>0.0921703867180751</v>
      </c>
    </row>
    <row r="26" customFormat="false" ht="15" hidden="false" customHeight="false" outlineLevel="0" collapsed="false">
      <c r="A26" s="0" t="s">
        <v>53</v>
      </c>
      <c r="B26" s="12" t="n">
        <f aca="false">INDEX(Calc!R5:R16,i_pick)</f>
        <v>8.35663645854885</v>
      </c>
      <c r="C26" s="16" t="n">
        <f aca="false">B26/B30</f>
        <v>0.0191168209489341</v>
      </c>
    </row>
    <row r="27" customFormat="false" ht="15" hidden="false" customHeight="false" outlineLevel="0" collapsed="false">
      <c r="A27" s="0" t="s">
        <v>54</v>
      </c>
      <c r="B27" s="12" t="n">
        <f aca="false">INDEX(Calc!Z5:Z16,i_pick)</f>
        <v>38.230477682913</v>
      </c>
      <c r="C27" s="16" t="n">
        <f aca="false">B27/B30</f>
        <v>0.0874568614156733</v>
      </c>
    </row>
    <row r="28" customFormat="false" ht="15" hidden="false" customHeight="false" outlineLevel="0" collapsed="false">
      <c r="A28" s="0" t="s">
        <v>55</v>
      </c>
      <c r="B28" s="12" t="n">
        <f aca="false">INDEX(Calc!AA5:AA16,i_pick)</f>
        <v>9.46204322652098</v>
      </c>
      <c r="C28" s="16" t="n">
        <f aca="false">B28/B30</f>
        <v>0.0216455732003791</v>
      </c>
    </row>
    <row r="29" customFormat="false" ht="15" hidden="false" customHeight="false" outlineLevel="0" collapsed="false">
      <c r="A29" s="0" t="s">
        <v>56</v>
      </c>
      <c r="B29" s="12" t="n">
        <f aca="false">INDEX(Calc!W5:W16,i_pick)</f>
        <v>7.13796030834381</v>
      </c>
      <c r="C29" s="16" t="n">
        <f aca="false">B29/B30</f>
        <v>0.0163289512272145</v>
      </c>
    </row>
    <row r="30" customFormat="false" ht="15" hidden="false" customHeight="false" outlineLevel="0" collapsed="false">
      <c r="A30" s="3" t="s">
        <v>57</v>
      </c>
      <c r="B30" s="17" t="n">
        <f aca="false">SUM(B24:B29)</f>
        <v>437.135258046908</v>
      </c>
      <c r="C30" s="16" t="n">
        <f aca="false">B30/B30</f>
        <v>1</v>
      </c>
    </row>
    <row r="31" customFormat="false" ht="15" hidden="false" customHeight="false" outlineLevel="0" collapsed="false">
      <c r="A31" s="0" t="s">
        <v>58</v>
      </c>
      <c r="B31" s="0" t="str">
        <f aca="false">IF(ABS(B30-INDEX(Calc!X5:X16,i_pick))&lt;0.0001,"OK","MISMATCH")</f>
        <v>OK</v>
      </c>
    </row>
    <row r="32" customFormat="false" ht="15" hidden="false" customHeight="false" outlineLevel="0" collapsed="false">
      <c r="A32" s="0" t="s">
        <v>59</v>
      </c>
      <c r="B32" s="11" t="n">
        <f aca="false">INDEX(Calc!K5:K16,i_pick)</f>
        <v>2.9845130209103</v>
      </c>
    </row>
    <row r="33" customFormat="false" ht="15" hidden="false" customHeight="false" outlineLevel="0" collapsed="false">
      <c r="A33" s="0" t="s">
        <v>60</v>
      </c>
      <c r="B33" s="9" t="n">
        <f aca="false">INDEX(Calc!G5:G16,i_pick)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8" min="6" style="0" width="8"/>
    <col collapsed="false" customWidth="true" hidden="false" outlineLevel="0" max="11" min="9" style="0" width="9"/>
    <col collapsed="false" customWidth="true" hidden="false" outlineLevel="0" max="19" min="12" style="0" width="10"/>
    <col collapsed="false" customWidth="true" hidden="false" outlineLevel="0" max="20" min="20" style="0" width="9"/>
    <col collapsed="false" customWidth="true" hidden="false" outlineLevel="0" max="21" min="21" style="0" width="8"/>
    <col collapsed="false" customWidth="true" hidden="false" outlineLevel="0" max="22" min="22" style="0" width="9"/>
    <col collapsed="false" customWidth="true" hidden="false" outlineLevel="0" max="25" min="23" style="0" width="10"/>
    <col collapsed="false" customWidth="true" hidden="false" outlineLevel="0" max="27" min="26" style="0" width="11"/>
    <col collapsed="false" customWidth="true" hidden="false" outlineLevel="0" max="28" min="28" style="0" width="12"/>
  </cols>
  <sheetData>
    <row r="1" customFormat="false" ht="18.5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43.5" hidden="false" customHeight="true" outlineLevel="0" collapsed="false">
      <c r="A4" s="5" t="s">
        <v>63</v>
      </c>
      <c r="B4" s="6" t="s">
        <v>20</v>
      </c>
      <c r="C4" s="6" t="s">
        <v>21</v>
      </c>
      <c r="D4" s="6" t="s">
        <v>38</v>
      </c>
      <c r="E4" s="6" t="s">
        <v>23</v>
      </c>
      <c r="F4" s="6" t="s">
        <v>64</v>
      </c>
      <c r="G4" s="6" t="s">
        <v>39</v>
      </c>
      <c r="H4" s="6" t="s">
        <v>65</v>
      </c>
      <c r="I4" s="6" t="s">
        <v>66</v>
      </c>
      <c r="J4" s="6" t="s">
        <v>67</v>
      </c>
      <c r="K4" s="6" t="s">
        <v>40</v>
      </c>
      <c r="L4" s="6" t="s">
        <v>68</v>
      </c>
      <c r="M4" s="6" t="s">
        <v>69</v>
      </c>
      <c r="N4" s="6" t="s">
        <v>70</v>
      </c>
      <c r="O4" s="6" t="s">
        <v>71</v>
      </c>
      <c r="P4" s="6" t="s">
        <v>72</v>
      </c>
      <c r="Q4" s="6" t="s">
        <v>73</v>
      </c>
      <c r="R4" s="6" t="s">
        <v>74</v>
      </c>
      <c r="S4" s="6" t="s">
        <v>75</v>
      </c>
      <c r="T4" s="6" t="s">
        <v>76</v>
      </c>
      <c r="U4" s="6" t="s">
        <v>77</v>
      </c>
      <c r="V4" s="6" t="s">
        <v>78</v>
      </c>
      <c r="W4" s="6" t="s">
        <v>79</v>
      </c>
      <c r="X4" s="6" t="s">
        <v>80</v>
      </c>
      <c r="Y4" s="6" t="s">
        <v>42</v>
      </c>
      <c r="Z4" s="6" t="s">
        <v>81</v>
      </c>
      <c r="AA4" s="6" t="s">
        <v>82</v>
      </c>
      <c r="AB4" s="6" t="s">
        <v>44</v>
      </c>
    </row>
    <row r="5" customFormat="false" ht="15" hidden="false" customHeight="false" outlineLevel="0" collapsed="false">
      <c r="A5" s="0" t="n">
        <f aca="false">1</f>
        <v>1</v>
      </c>
      <c r="B5" s="0" t="str">
        <f aca="false">IF(Inputs!A5="","",Inputs!A5)</f>
        <v>HDPE 110 SDR 11</v>
      </c>
      <c r="C5" s="0" t="str">
        <f aca="false">IF(Inputs!B5="","",Inputs!B5)</f>
        <v>HDPE PE100</v>
      </c>
      <c r="D5" s="0" t="n">
        <f aca="false">IF(Inputs!C5="","",Inputs!C5)</f>
        <v>110</v>
      </c>
      <c r="E5" s="0" t="n">
        <f aca="false">IF(Inputs!D5="","",Inputs!D5)</f>
        <v>11</v>
      </c>
      <c r="F5" s="0" t="n">
        <f aca="false">IF(Inputs!E5="",0,Inputs!E5)</f>
        <v>20000</v>
      </c>
      <c r="G5" s="9" t="n">
        <f aca="false">IF(C5="","",ROUNDUP(MAX(INDEX(r_minWall,MATCH(C5,r_famList,0)),IF(C5="CPVC",INDEX(r_cpvcWall,MATCH(D5,r_cpvcOD,0),IF(E5=40,1,2)),IF(C5="PVC-U",E5*D5/(2*r_stressPvc+E5),D5/E5)))*10-0.000000001,0)/10)</f>
        <v>10</v>
      </c>
      <c r="H5" s="9" t="n">
        <f aca="false">IF(C5="","",D5-2*G5)</f>
        <v>90</v>
      </c>
      <c r="I5" s="18" t="n">
        <f aca="false">IF(C5="","",INDEX(r_rho,MATCH(C5,r_famList,0)))</f>
        <v>0.95</v>
      </c>
      <c r="J5" s="12" t="n">
        <f aca="false">IF(C5="","",PI()/4*(D5^2-H5^2))</f>
        <v>3141.59265358979</v>
      </c>
      <c r="K5" s="11" t="n">
        <f aca="false">IF(C5="","",J5*I5/1000)</f>
        <v>2.9845130209103</v>
      </c>
      <c r="L5" s="11" t="n">
        <f aca="false">IF(C5="","",K5*(1+r_yieldLoss))</f>
        <v>3.05912584643306</v>
      </c>
      <c r="M5" s="12" t="n">
        <f aca="false">IF(C5="","",INDEX(r_resin,MATCH(C5,r_famList,0))*(1+INDEX(r_add,MATCH(C5,r_famList,0))))</f>
        <v>111.24</v>
      </c>
      <c r="N5" s="12" t="n">
        <f aca="false">IF(C5="","",L5*M5)</f>
        <v>340.297159157214</v>
      </c>
      <c r="O5" s="12" t="n">
        <f aca="false">IF(C5="","",-(L5-K5)*M5*r_regrind)</f>
        <v>-6.63994456892123</v>
      </c>
      <c r="P5" s="12" t="n">
        <f aca="false">IF(C5="","",(INDEX(r_energy,MATCH(C5,r_famList,0))+INDEX(r_labour,MATCH(C5,r_famList,0))+INDEX(r_deprec,MATCH(C5,r_famList,0))+INDEX(r_other,MATCH(C5,r_famList,0)))*(1+MAX(0,G5-10)*r_thickPct))</f>
        <v>13.5</v>
      </c>
      <c r="Q5" s="12" t="n">
        <f aca="false">IF(C5="","",K5*P5)</f>
        <v>40.2909257822891</v>
      </c>
      <c r="R5" s="12" t="n">
        <f aca="false">IF(C5="","",K5*(r_hydro+r_docs))</f>
        <v>8.35663645854885</v>
      </c>
      <c r="S5" s="12" t="n">
        <f aca="false">IF(C5="","",N5+O5+Q5+R5)</f>
        <v>382.30477682913</v>
      </c>
      <c r="T5" s="16" t="n">
        <f aca="false">IF(C5="","",INDEX(r_margin,MATCH(C5,r_famList,0)))</f>
        <v>0.1</v>
      </c>
      <c r="U5" s="16" t="n">
        <f aca="false">IF(C5="","",r_intRate/12*r_months)</f>
        <v>0.0225</v>
      </c>
      <c r="V5" s="18" t="n">
        <f aca="false">IF(C5="","",IF(D5&lt;=r_lf1max,r_lf1,IF(D5&lt;=r_lf2max,r_lf2,r_lf3)))</f>
        <v>0.6</v>
      </c>
      <c r="W5" s="12" t="n">
        <f aca="false">IF(C5="","",r_loading/(V5*1000)*L5)</f>
        <v>7.13796030834381</v>
      </c>
      <c r="X5" s="12" t="n">
        <f aca="false">IF(C5="","",S5*(1+T5)*(1+U5)+W5)</f>
        <v>437.135258046908</v>
      </c>
      <c r="Y5" s="12" t="n">
        <f aca="false">IF(C5="","",X5/K5)</f>
        <v>146.467867616667</v>
      </c>
      <c r="Z5" s="12" t="n">
        <f aca="false">IF(C5="","",S5*T5)</f>
        <v>38.230477682913</v>
      </c>
      <c r="AA5" s="12" t="n">
        <f aca="false">IF(C5="","",S5*(1+T5)*U5)</f>
        <v>9.46204322652098</v>
      </c>
      <c r="AB5" s="12" t="n">
        <f aca="false">IF(C5="",0,X5*F5)</f>
        <v>8742705.16093816</v>
      </c>
    </row>
    <row r="6" customFormat="false" ht="15" hidden="false" customHeight="false" outlineLevel="0" collapsed="false">
      <c r="A6" s="0" t="n">
        <f aca="false">2</f>
        <v>2</v>
      </c>
      <c r="B6" s="0" t="str">
        <f aca="false">IF(Inputs!A6="","",Inputs!A6)</f>
        <v>HDPE 315 SDR 17</v>
      </c>
      <c r="C6" s="0" t="str">
        <f aca="false">IF(Inputs!B6="","",Inputs!B6)</f>
        <v>HDPE PE100</v>
      </c>
      <c r="D6" s="0" t="n">
        <f aca="false">IF(Inputs!C6="","",Inputs!C6)</f>
        <v>315</v>
      </c>
      <c r="E6" s="0" t="n">
        <f aca="false">IF(Inputs!D6="","",Inputs!D6)</f>
        <v>17</v>
      </c>
      <c r="F6" s="0" t="n">
        <f aca="false">IF(Inputs!E6="",0,Inputs!E6)</f>
        <v>4000</v>
      </c>
      <c r="G6" s="9" t="n">
        <f aca="false">IF(C6="","",ROUNDUP(MAX(INDEX(r_minWall,MATCH(C6,r_famList,0)),IF(C6="CPVC",INDEX(r_cpvcWall,MATCH(D6,r_cpvcOD,0),IF(E6=40,1,2)),IF(C6="PVC-U",E6*D6/(2*r_stressPvc+E6),D6/E6)))*10-0.000000001,0)/10)</f>
        <v>18.6</v>
      </c>
      <c r="H6" s="9" t="n">
        <f aca="false">IF(C6="","",D6-2*G6)</f>
        <v>277.8</v>
      </c>
      <c r="I6" s="18" t="n">
        <f aca="false">IF(C6="","",INDEX(r_rho,MATCH(C6,r_famList,0)))</f>
        <v>0.95</v>
      </c>
      <c r="J6" s="12" t="n">
        <f aca="false">IF(C6="","",PI()/4*(D6^2-H6^2))</f>
        <v>17319.7259629467</v>
      </c>
      <c r="K6" s="11" t="n">
        <f aca="false">IF(C6="","",J6*I6/1000)</f>
        <v>16.4537396647993</v>
      </c>
      <c r="L6" s="11" t="n">
        <f aca="false">IF(C6="","",K6*(1+r_yieldLoss))</f>
        <v>16.8650831564193</v>
      </c>
      <c r="M6" s="12" t="n">
        <f aca="false">IF(C6="","",INDEX(r_resin,MATCH(C6,r_famList,0))*(1+INDEX(r_add,MATCH(C6,r_famList,0))))</f>
        <v>111.24</v>
      </c>
      <c r="N6" s="12" t="n">
        <f aca="false">IF(C6="","",L6*M6)</f>
        <v>1876.07185032008</v>
      </c>
      <c r="O6" s="12" t="n">
        <f aca="false">IF(C6="","",-(L6-K6)*M6*r_regrind)</f>
        <v>-36.6062800062453</v>
      </c>
      <c r="P6" s="12" t="n">
        <f aca="false">IF(C6="","",(INDEX(r_energy,MATCH(C6,r_famList,0))+INDEX(r_labour,MATCH(C6,r_famList,0))+INDEX(r_deprec,MATCH(C6,r_famList,0))+INDEX(r_other,MATCH(C6,r_famList,0)))*(1+MAX(0,G6-10)*r_thickPct))</f>
        <v>15.2415</v>
      </c>
      <c r="Q6" s="12" t="n">
        <f aca="false">IF(C6="","",K6*P6)</f>
        <v>250.779673101039</v>
      </c>
      <c r="R6" s="12" t="n">
        <f aca="false">IF(C6="","",K6*(r_hydro+r_docs))</f>
        <v>46.0704710614381</v>
      </c>
      <c r="S6" s="12" t="n">
        <f aca="false">IF(C6="","",N6+O6+Q6+R6)</f>
        <v>2136.31571447632</v>
      </c>
      <c r="T6" s="16" t="n">
        <f aca="false">IF(C6="","",INDEX(r_margin,MATCH(C6,r_famList,0)))</f>
        <v>0.1</v>
      </c>
      <c r="U6" s="16" t="n">
        <f aca="false">IF(C6="","",r_intRate/12*r_months)</f>
        <v>0.0225</v>
      </c>
      <c r="V6" s="18" t="n">
        <f aca="false">IF(C6="","",IF(D6&lt;=r_lf1max,r_lf1,IF(D6&lt;=r_lf2max,r_lf2,r_lf3)))</f>
        <v>0.4</v>
      </c>
      <c r="W6" s="12" t="n">
        <f aca="false">IF(C6="","",r_loading/(V6*1000)*L6)</f>
        <v>59.0277910474676</v>
      </c>
      <c r="X6" s="12" t="n">
        <f aca="false">IF(C6="","",S6*(1+T6)*(1+U6)+W6)</f>
        <v>2461.8488909047</v>
      </c>
      <c r="Y6" s="12" t="n">
        <f aca="false">IF(C6="","",X6/K6)</f>
        <v>149.622453075</v>
      </c>
      <c r="Z6" s="12" t="n">
        <f aca="false">IF(C6="","",S6*T6)</f>
        <v>213.631571447632</v>
      </c>
      <c r="AA6" s="12" t="n">
        <f aca="false">IF(C6="","",S6*(1+T6)*U6)</f>
        <v>52.8738139332888</v>
      </c>
      <c r="AB6" s="12" t="n">
        <f aca="false">IF(C6="",0,X6*F6)</f>
        <v>9847395.56361882</v>
      </c>
    </row>
    <row r="7" customFormat="false" ht="15" hidden="false" customHeight="false" outlineLevel="0" collapsed="false">
      <c r="A7" s="0" t="n">
        <f aca="false">3</f>
        <v>3</v>
      </c>
      <c r="B7" s="0" t="str">
        <f aca="false">IF(Inputs!A7="","",Inputs!A7)</f>
        <v>PVC-U 110 · 0.6 MPa</v>
      </c>
      <c r="C7" s="0" t="str">
        <f aca="false">IF(Inputs!B7="","",Inputs!B7)</f>
        <v>PVC-U</v>
      </c>
      <c r="D7" s="0" t="n">
        <f aca="false">IF(Inputs!C7="","",Inputs!C7)</f>
        <v>110</v>
      </c>
      <c r="E7" s="0" t="n">
        <f aca="false">IF(Inputs!D7="","",Inputs!D7)</f>
        <v>0.6</v>
      </c>
      <c r="F7" s="0" t="n">
        <f aca="false">IF(Inputs!E7="",0,Inputs!E7)</f>
        <v>15000</v>
      </c>
      <c r="G7" s="9" t="n">
        <f aca="false">IF(C7="","",ROUNDUP(MAX(INDEX(r_minWall,MATCH(C7,r_famList,0)),IF(C7="CPVC",INDEX(r_cpvcWall,MATCH(D7,r_cpvcOD,0),IF(E7=40,1,2)),IF(C7="PVC-U",E7*D7/(2*r_stressPvc+E7),D7/E7)))*10-0.000000001,0)/10)</f>
        <v>3.3</v>
      </c>
      <c r="H7" s="9" t="n">
        <f aca="false">IF(C7="","",D7-2*G7)</f>
        <v>103.4</v>
      </c>
      <c r="I7" s="18" t="n">
        <f aca="false">IF(C7="","",INDEX(r_rho,MATCH(C7,r_famList,0)))</f>
        <v>1.4</v>
      </c>
      <c r="J7" s="12" t="n">
        <f aca="false">IF(C7="","",PI()/4*(D7^2-H7^2))</f>
        <v>1106.1861892555</v>
      </c>
      <c r="K7" s="11" t="n">
        <f aca="false">IF(C7="","",J7*I7/1000)</f>
        <v>1.5486606649577</v>
      </c>
      <c r="L7" s="11" t="n">
        <f aca="false">IF(C7="","",K7*(1+r_yieldLoss))</f>
        <v>1.58737718158164</v>
      </c>
      <c r="M7" s="12" t="n">
        <f aca="false">IF(C7="","",INDEX(r_resin,MATCH(C7,r_famList,0))*(1+INDEX(r_add,MATCH(C7,r_famList,0))))</f>
        <v>91.84</v>
      </c>
      <c r="N7" s="12" t="n">
        <f aca="false">IF(C7="","",L7*M7)</f>
        <v>145.784720356458</v>
      </c>
      <c r="O7" s="12" t="n">
        <f aca="false">IF(C7="","",-(L7-K7)*M7*r_regrind)</f>
        <v>-2.8445799093943</v>
      </c>
      <c r="P7" s="12" t="n">
        <f aca="false">IF(C7="","",(INDEX(r_energy,MATCH(C7,r_famList,0))+INDEX(r_labour,MATCH(C7,r_famList,0))+INDEX(r_deprec,MATCH(C7,r_famList,0))+INDEX(r_other,MATCH(C7,r_famList,0)))*(1+MAX(0,G7-10)*r_thickPct))</f>
        <v>11.8</v>
      </c>
      <c r="Q7" s="12" t="n">
        <f aca="false">IF(C7="","",K7*P7)</f>
        <v>18.2741958465009</v>
      </c>
      <c r="R7" s="12" t="n">
        <f aca="false">IF(C7="","",K7*(r_hydro+r_docs))</f>
        <v>4.33624986188156</v>
      </c>
      <c r="S7" s="12" t="n">
        <f aca="false">IF(C7="","",N7+O7+Q7+R7)</f>
        <v>165.550586155446</v>
      </c>
      <c r="T7" s="16" t="n">
        <f aca="false">IF(C7="","",INDEX(r_margin,MATCH(C7,r_famList,0)))</f>
        <v>0.1</v>
      </c>
      <c r="U7" s="16" t="n">
        <f aca="false">IF(C7="","",r_intRate/12*r_months)</f>
        <v>0.0225</v>
      </c>
      <c r="V7" s="18" t="n">
        <f aca="false">IF(C7="","",IF(D7&lt;=r_lf1max,r_lf1,IF(D7&lt;=r_lf2max,r_lf2,r_lf3)))</f>
        <v>0.6</v>
      </c>
      <c r="W7" s="12" t="n">
        <f aca="false">IF(C7="","",r_loading/(V7*1000)*L7)</f>
        <v>3.70388009035717</v>
      </c>
      <c r="X7" s="12" t="n">
        <f aca="false">IF(C7="","",S7*(1+T7)*(1+U7)+W7)</f>
        <v>189.906901868695</v>
      </c>
      <c r="Y7" s="12" t="n">
        <f aca="false">IF(C7="","",X7/K7)</f>
        <v>122.626541866667</v>
      </c>
      <c r="Z7" s="12" t="n">
        <f aca="false">IF(C7="","",S7*T7)</f>
        <v>16.5550586155446</v>
      </c>
      <c r="AA7" s="12" t="n">
        <f aca="false">IF(C7="","",S7*(1+T7)*U7)</f>
        <v>4.0973770073473</v>
      </c>
      <c r="AB7" s="12" t="n">
        <f aca="false">IF(C7="",0,X7*F7)</f>
        <v>2848603.52803043</v>
      </c>
    </row>
    <row r="8" customFormat="false" ht="15" hidden="false" customHeight="false" outlineLevel="0" collapsed="false">
      <c r="A8" s="0" t="n">
        <f aca="false">4</f>
        <v>4</v>
      </c>
      <c r="B8" s="0" t="str">
        <f aca="false">IF(Inputs!A8="","",Inputs!A8)</f>
        <v>PVC-U 200 · 0.8 MPa</v>
      </c>
      <c r="C8" s="0" t="str">
        <f aca="false">IF(Inputs!B8="","",Inputs!B8)</f>
        <v>PVC-U</v>
      </c>
      <c r="D8" s="0" t="n">
        <f aca="false">IF(Inputs!C8="","",Inputs!C8)</f>
        <v>200</v>
      </c>
      <c r="E8" s="0" t="n">
        <f aca="false">IF(Inputs!D8="","",Inputs!D8)</f>
        <v>0.8</v>
      </c>
      <c r="F8" s="0" t="n">
        <f aca="false">IF(Inputs!E8="",0,Inputs!E8)</f>
        <v>6000</v>
      </c>
      <c r="G8" s="9" t="n">
        <f aca="false">IF(C8="","",ROUNDUP(MAX(INDEX(r_minWall,MATCH(C8,r_famList,0)),IF(C8="CPVC",INDEX(r_cpvcWall,MATCH(D8,r_cpvcOD,0),IF(E8=40,1,2)),IF(C8="PVC-U",E8*D8/(2*r_stressPvc+E8),D8/E8)))*10-0.000000001,0)/10)</f>
        <v>7.7</v>
      </c>
      <c r="H8" s="9" t="n">
        <f aca="false">IF(C8="","",D8-2*G8)</f>
        <v>184.6</v>
      </c>
      <c r="I8" s="18" t="n">
        <f aca="false">IF(C8="","",INDEX(r_rho,MATCH(C8,r_famList,0)))</f>
        <v>1.4</v>
      </c>
      <c r="J8" s="12" t="n">
        <f aca="false">IF(C8="","",PI()/4*(D8^2-H8^2))</f>
        <v>4651.78765809695</v>
      </c>
      <c r="K8" s="11" t="n">
        <f aca="false">IF(C8="","",J8*I8/1000)</f>
        <v>6.51250272133572</v>
      </c>
      <c r="L8" s="11" t="n">
        <f aca="false">IF(C8="","",K8*(1+r_yieldLoss))</f>
        <v>6.67531528936912</v>
      </c>
      <c r="M8" s="12" t="n">
        <f aca="false">IF(C8="","",INDEX(r_resin,MATCH(C8,r_famList,0))*(1+INDEX(r_add,MATCH(C8,r_famList,0))))</f>
        <v>91.84</v>
      </c>
      <c r="N8" s="12" t="n">
        <f aca="false">IF(C8="","",L8*M8)</f>
        <v>613.06095617566</v>
      </c>
      <c r="O8" s="12" t="n">
        <f aca="false">IF(C8="","",-(L8-K8)*M8*r_regrind)</f>
        <v>-11.9621649985494</v>
      </c>
      <c r="P8" s="12" t="n">
        <f aca="false">IF(C8="","",(INDEX(r_energy,MATCH(C8,r_famList,0))+INDEX(r_labour,MATCH(C8,r_famList,0))+INDEX(r_deprec,MATCH(C8,r_famList,0))+INDEX(r_other,MATCH(C8,r_famList,0)))*(1+MAX(0,G8-10)*r_thickPct))</f>
        <v>11.8</v>
      </c>
      <c r="Q8" s="12" t="n">
        <f aca="false">IF(C8="","",K8*P8)</f>
        <v>76.8475321117616</v>
      </c>
      <c r="R8" s="12" t="n">
        <f aca="false">IF(C8="","",K8*(r_hydro+r_docs))</f>
        <v>18.23500761974</v>
      </c>
      <c r="S8" s="12" t="n">
        <f aca="false">IF(C8="","",N8+O8+Q8+R8)</f>
        <v>696.181330908612</v>
      </c>
      <c r="T8" s="16" t="n">
        <f aca="false">IF(C8="","",INDEX(r_margin,MATCH(C8,r_famList,0)))</f>
        <v>0.1</v>
      </c>
      <c r="U8" s="16" t="n">
        <f aca="false">IF(C8="","",r_intRate/12*r_months)</f>
        <v>0.0225</v>
      </c>
      <c r="V8" s="18" t="n">
        <f aca="false">IF(C8="","",IF(D8&lt;=r_lf1max,r_lf1,IF(D8&lt;=r_lf2max,r_lf2,r_lf3)))</f>
        <v>0.4</v>
      </c>
      <c r="W8" s="12" t="n">
        <f aca="false">IF(C8="","",r_loading/(V8*1000)*L8)</f>
        <v>23.3636035127919</v>
      </c>
      <c r="X8" s="12" t="n">
        <f aca="false">IF(C8="","",S8*(1+T8)*(1+U8)+W8)</f>
        <v>806.393555452253</v>
      </c>
      <c r="Y8" s="12" t="n">
        <f aca="false">IF(C8="","",X8/K8)</f>
        <v>123.8223752</v>
      </c>
      <c r="Z8" s="12" t="n">
        <f aca="false">IF(C8="","",S8*T8)</f>
        <v>69.6181330908612</v>
      </c>
      <c r="AA8" s="12" t="n">
        <f aca="false">IF(C8="","",S8*(1+T8)*U8)</f>
        <v>17.2304879399881</v>
      </c>
      <c r="AB8" s="12" t="n">
        <f aca="false">IF(C8="",0,X8*F8)</f>
        <v>4838361.33271352</v>
      </c>
    </row>
    <row r="9" customFormat="false" ht="15" hidden="false" customHeight="false" outlineLevel="0" collapsed="false">
      <c r="A9" s="0" t="n">
        <f aca="false">5</f>
        <v>5</v>
      </c>
      <c r="B9" s="0" t="str">
        <f aca="false">IF(Inputs!A9="","",Inputs!A9)</f>
        <v>PP-R 32 SDR 7.4</v>
      </c>
      <c r="C9" s="0" t="str">
        <f aca="false">IF(Inputs!B9="","",Inputs!B9)</f>
        <v>PP-R</v>
      </c>
      <c r="D9" s="0" t="n">
        <f aca="false">IF(Inputs!C9="","",Inputs!C9)</f>
        <v>32</v>
      </c>
      <c r="E9" s="0" t="n">
        <f aca="false">IF(Inputs!D9="","",Inputs!D9)</f>
        <v>7.4</v>
      </c>
      <c r="F9" s="0" t="n">
        <f aca="false">IF(Inputs!E9="",0,Inputs!E9)</f>
        <v>8000</v>
      </c>
      <c r="G9" s="9" t="n">
        <f aca="false">IF(C9="","",ROUNDUP(MAX(INDEX(r_minWall,MATCH(C9,r_famList,0)),IF(C9="CPVC",INDEX(r_cpvcWall,MATCH(D9,r_cpvcOD,0),IF(E9=40,1,2)),IF(C9="PVC-U",E9*D9/(2*r_stressPvc+E9),D9/E9)))*10-0.000000001,0)/10)</f>
        <v>4.4</v>
      </c>
      <c r="H9" s="9" t="n">
        <f aca="false">IF(C9="","",D9-2*G9)</f>
        <v>23.2</v>
      </c>
      <c r="I9" s="18" t="n">
        <f aca="false">IF(C9="","",INDEX(r_rho,MATCH(C9,r_famList,0)))</f>
        <v>0.9</v>
      </c>
      <c r="J9" s="12" t="n">
        <f aca="false">IF(C9="","",PI()/4*(D9^2-H9^2))</f>
        <v>381.515011851944</v>
      </c>
      <c r="K9" s="11" t="n">
        <f aca="false">IF(C9="","",J9*I9/1000)</f>
        <v>0.34336351066675</v>
      </c>
      <c r="L9" s="11" t="n">
        <f aca="false">IF(C9="","",K9*(1+r_yieldLoss))</f>
        <v>0.351947598433419</v>
      </c>
      <c r="M9" s="12" t="n">
        <f aca="false">IF(C9="","",INDEX(r_resin,MATCH(C9,r_famList,0))*(1+INDEX(r_add,MATCH(C9,r_famList,0))))</f>
        <v>140.4</v>
      </c>
      <c r="N9" s="12" t="n">
        <f aca="false">IF(C9="","",L9*M9)</f>
        <v>49.413442820052</v>
      </c>
      <c r="O9" s="12" t="n">
        <f aca="false">IF(C9="","",-(L9-K9)*M9*r_regrind)</f>
        <v>-0.964164737952234</v>
      </c>
      <c r="P9" s="12" t="n">
        <f aca="false">IF(C9="","",(INDEX(r_energy,MATCH(C9,r_famList,0))+INDEX(r_labour,MATCH(C9,r_famList,0))+INDEX(r_deprec,MATCH(C9,r_famList,0))+INDEX(r_other,MATCH(C9,r_famList,0)))*(1+MAX(0,G9-10)*r_thickPct))</f>
        <v>14.2</v>
      </c>
      <c r="Q9" s="12" t="n">
        <f aca="false">IF(C9="","",K9*P9)</f>
        <v>4.87576185146785</v>
      </c>
      <c r="R9" s="12" t="n">
        <f aca="false">IF(C9="","",K9*(r_hydro+r_docs))</f>
        <v>0.9614178298669</v>
      </c>
      <c r="S9" s="12" t="n">
        <f aca="false">IF(C9="","",N9+O9+Q9+R9)</f>
        <v>54.2864577634345</v>
      </c>
      <c r="T9" s="16" t="n">
        <f aca="false">IF(C9="","",INDEX(r_margin,MATCH(C9,r_famList,0)))</f>
        <v>0.12</v>
      </c>
      <c r="U9" s="16" t="n">
        <f aca="false">IF(C9="","",r_intRate/12*r_months)</f>
        <v>0.0225</v>
      </c>
      <c r="V9" s="18" t="n">
        <f aca="false">IF(C9="","",IF(D9&lt;=r_lf1max,r_lf1,IF(D9&lt;=r_lf2max,r_lf2,r_lf3)))</f>
        <v>0.6</v>
      </c>
      <c r="W9" s="12" t="n">
        <f aca="false">IF(C9="","",r_loading/(V9*1000)*L9)</f>
        <v>0.821211063011311</v>
      </c>
      <c r="X9" s="12" t="n">
        <f aca="false">IF(C9="","",S9*(1+T9)*(1+U9)+W9)</f>
        <v>62.9900624936965</v>
      </c>
      <c r="Y9" s="12" t="n">
        <f aca="false">IF(C9="","",X9/K9)</f>
        <v>183.450077066667</v>
      </c>
      <c r="Z9" s="12" t="n">
        <f aca="false">IF(C9="","",S9*T9)</f>
        <v>6.51437493161214</v>
      </c>
      <c r="AA9" s="12" t="n">
        <f aca="false">IF(C9="","",S9*(1+T9)*U9)</f>
        <v>1.36801873563855</v>
      </c>
      <c r="AB9" s="12" t="n">
        <f aca="false">IF(C9="",0,X9*F9)</f>
        <v>503920.499949572</v>
      </c>
    </row>
    <row r="10" customFormat="false" ht="15" hidden="false" customHeight="false" outlineLevel="0" collapsed="false">
      <c r="A10" s="0" t="n">
        <f aca="false">6</f>
        <v>6</v>
      </c>
      <c r="B10" s="0" t="str">
        <f aca="false">IF(Inputs!A10="","",Inputs!A10)</f>
        <v>CPVC 2" SCH 80</v>
      </c>
      <c r="C10" s="0" t="str">
        <f aca="false">IF(Inputs!B10="","",Inputs!B10)</f>
        <v>CPVC</v>
      </c>
      <c r="D10" s="0" t="n">
        <f aca="false">IF(Inputs!C10="","",Inputs!C10)</f>
        <v>60.33</v>
      </c>
      <c r="E10" s="0" t="n">
        <f aca="false">IF(Inputs!D10="","",Inputs!D10)</f>
        <v>80</v>
      </c>
      <c r="F10" s="0" t="n">
        <f aca="false">IF(Inputs!E10="",0,Inputs!E10)</f>
        <v>3000</v>
      </c>
      <c r="G10" s="9" t="n">
        <f aca="false">IF(C10="","",ROUNDUP(MAX(INDEX(r_minWall,MATCH(C10,r_famList,0)),IF(C10="CPVC",INDEX(r_cpvcWall,MATCH(D10,r_cpvcOD,0),IF(E10=40,1,2)),IF(C10="PVC-U",E10*D10/(2*r_stressPvc+E10),D10/E10)))*10-0.000000001,0)/10)</f>
        <v>5.6</v>
      </c>
      <c r="H10" s="9" t="n">
        <f aca="false">IF(C10="","",D10-2*G10)</f>
        <v>49.13</v>
      </c>
      <c r="I10" s="18" t="n">
        <f aca="false">IF(C10="","",INDEX(r_rho,MATCH(C10,r_famList,0)))</f>
        <v>1.55</v>
      </c>
      <c r="J10" s="12" t="n">
        <f aca="false">IF(C10="","",PI()/4*(D10^2-H10^2))</f>
        <v>962.860449213429</v>
      </c>
      <c r="K10" s="11" t="n">
        <f aca="false">IF(C10="","",J10*I10/1000)</f>
        <v>1.49243369628081</v>
      </c>
      <c r="L10" s="11" t="n">
        <f aca="false">IF(C10="","",K10*(1+r_yieldLoss))</f>
        <v>1.52974453868783</v>
      </c>
      <c r="M10" s="12" t="n">
        <f aca="false">IF(C10="","",INDEX(r_resin,MATCH(C10,r_famList,0))*(1+INDEX(r_add,MATCH(C10,r_famList,0))))</f>
        <v>253.7</v>
      </c>
      <c r="N10" s="12" t="n">
        <f aca="false">IF(C10="","",L10*M10)</f>
        <v>388.096189465104</v>
      </c>
      <c r="O10" s="12" t="n">
        <f aca="false">IF(C10="","",-(L10-K10)*M10*r_regrind)</f>
        <v>-7.57260857492884</v>
      </c>
      <c r="P10" s="12" t="n">
        <f aca="false">IF(C10="","",(INDEX(r_energy,MATCH(C10,r_famList,0))+INDEX(r_labour,MATCH(C10,r_famList,0))+INDEX(r_deprec,MATCH(C10,r_famList,0))+INDEX(r_other,MATCH(C10,r_famList,0)))*(1+MAX(0,G10-10)*r_thickPct))</f>
        <v>17.2</v>
      </c>
      <c r="Q10" s="12" t="n">
        <f aca="false">IF(C10="","",K10*P10)</f>
        <v>25.66985957603</v>
      </c>
      <c r="R10" s="12" t="n">
        <f aca="false">IF(C10="","",K10*(r_hydro+r_docs))</f>
        <v>4.17881434958628</v>
      </c>
      <c r="S10" s="12" t="n">
        <f aca="false">IF(C10="","",N10+O10+Q10+R10)</f>
        <v>410.372254815791</v>
      </c>
      <c r="T10" s="16" t="n">
        <f aca="false">IF(C10="","",INDEX(r_margin,MATCH(C10,r_famList,0)))</f>
        <v>0.14</v>
      </c>
      <c r="U10" s="16" t="n">
        <f aca="false">IF(C10="","",r_intRate/12*r_months)</f>
        <v>0.0225</v>
      </c>
      <c r="V10" s="18" t="n">
        <f aca="false">IF(C10="","",IF(D10&lt;=r_lf1max,r_lf1,IF(D10&lt;=r_lf2max,r_lf2,r_lf3)))</f>
        <v>0.6</v>
      </c>
      <c r="W10" s="12" t="n">
        <f aca="false">IF(C10="","",r_loading/(V10*1000)*L10)</f>
        <v>3.56940392360495</v>
      </c>
      <c r="X10" s="12" t="n">
        <f aca="false">IF(C10="","",S10*(1+T10)*(1+U10)+W10)</f>
        <v>481.919822749632</v>
      </c>
      <c r="Y10" s="12" t="n">
        <f aca="false">IF(C10="","",X10/K10)</f>
        <v>322.908698691667</v>
      </c>
      <c r="Z10" s="12" t="n">
        <f aca="false">IF(C10="","",S10*T10)</f>
        <v>57.4521156742108</v>
      </c>
      <c r="AA10" s="12" t="n">
        <f aca="false">IF(C10="","",S10*(1+T10)*U10)</f>
        <v>10.526048336025</v>
      </c>
      <c r="AB10" s="12" t="n">
        <f aca="false">IF(C10="",0,X10*F10)</f>
        <v>1445759.4682489</v>
      </c>
    </row>
    <row r="11" customFormat="false" ht="15" hidden="false" customHeight="false" outlineLevel="0" collapsed="false">
      <c r="A11" s="0" t="n">
        <f aca="false">7</f>
        <v>7</v>
      </c>
      <c r="B11" s="0" t="str">
        <f aca="false">IF(Inputs!A11="","",Inputs!A11)</f>
        <v/>
      </c>
      <c r="C11" s="0" t="str">
        <f aca="false">IF(Inputs!B11="","",Inputs!B11)</f>
        <v/>
      </c>
      <c r="D11" s="0" t="str">
        <f aca="false">IF(Inputs!C11="","",Inputs!C11)</f>
        <v/>
      </c>
      <c r="E11" s="0" t="str">
        <f aca="false">IF(Inputs!D11="","",Inputs!D11)</f>
        <v/>
      </c>
      <c r="F11" s="0" t="n">
        <f aca="false">IF(Inputs!E11="",0,Inputs!E11)</f>
        <v>0</v>
      </c>
      <c r="G11" s="9" t="str">
        <f aca="false">IF(C11="","",ROUNDUP(MAX(INDEX(r_minWall,MATCH(C11,r_famList,0)),IF(C11="CPVC",INDEX(r_cpvcWall,MATCH(D11,r_cpvcOD,0),IF(E11=40,1,2)),IF(C11="PVC-U",E11*D11/(2*r_stressPvc+E11),D11/E11)))*10-0.000000001,0)/10)</f>
        <v/>
      </c>
      <c r="H11" s="9" t="str">
        <f aca="false">IF(C11="","",D11-2*G11)</f>
        <v/>
      </c>
      <c r="I11" s="18" t="str">
        <f aca="false">IF(C11="","",INDEX(r_rho,MATCH(C11,r_famList,0)))</f>
        <v/>
      </c>
      <c r="J11" s="12" t="str">
        <f aca="false">IF(C11="","",PI()/4*(D11^2-H11^2))</f>
        <v/>
      </c>
      <c r="K11" s="11" t="str">
        <f aca="false">IF(C11="","",J11*I11/1000)</f>
        <v/>
      </c>
      <c r="L11" s="11" t="str">
        <f aca="false">IF(C11="","",K11*(1+r_yieldLoss))</f>
        <v/>
      </c>
      <c r="M11" s="12" t="str">
        <f aca="false">IF(C11="","",INDEX(r_resin,MATCH(C11,r_famList,0))*(1+INDEX(r_add,MATCH(C11,r_famList,0))))</f>
        <v/>
      </c>
      <c r="N11" s="12" t="str">
        <f aca="false">IF(C11="","",L11*M11)</f>
        <v/>
      </c>
      <c r="O11" s="12" t="str">
        <f aca="false">IF(C11="","",-(L11-K11)*M11*r_regrind)</f>
        <v/>
      </c>
      <c r="P11" s="12" t="str">
        <f aca="false">IF(C11="","",(INDEX(r_energy,MATCH(C11,r_famList,0))+INDEX(r_labour,MATCH(C11,r_famList,0))+INDEX(r_deprec,MATCH(C11,r_famList,0))+INDEX(r_other,MATCH(C11,r_famList,0)))*(1+MAX(0,G11-10)*r_thickPct))</f>
        <v/>
      </c>
      <c r="Q11" s="12" t="str">
        <f aca="false">IF(C11="","",K11*P11)</f>
        <v/>
      </c>
      <c r="R11" s="12" t="str">
        <f aca="false">IF(C11="","",K11*(r_hydro+r_docs))</f>
        <v/>
      </c>
      <c r="S11" s="12" t="str">
        <f aca="false">IF(C11="","",N11+O11+Q11+R11)</f>
        <v/>
      </c>
      <c r="T11" s="16" t="str">
        <f aca="false">IF(C11="","",INDEX(r_margin,MATCH(C11,r_famList,0)))</f>
        <v/>
      </c>
      <c r="U11" s="16" t="str">
        <f aca="false">IF(C11="","",r_intRate/12*r_months)</f>
        <v/>
      </c>
      <c r="V11" s="18" t="str">
        <f aca="false">IF(C11="","",IF(D11&lt;=r_lf1max,r_lf1,IF(D11&lt;=r_lf2max,r_lf2,r_lf3)))</f>
        <v/>
      </c>
      <c r="W11" s="12" t="str">
        <f aca="false">IF(C11="","",r_loading/(V11*1000)*L11)</f>
        <v/>
      </c>
      <c r="X11" s="12" t="str">
        <f aca="false">IF(C11="","",S11*(1+T11)*(1+U11)+W11)</f>
        <v/>
      </c>
      <c r="Y11" s="12" t="str">
        <f aca="false">IF(C11="","",X11/K11)</f>
        <v/>
      </c>
      <c r="Z11" s="12" t="str">
        <f aca="false">IF(C11="","",S11*T11)</f>
        <v/>
      </c>
      <c r="AA11" s="12" t="str">
        <f aca="false">IF(C11="","",S11*(1+T11)*U11)</f>
        <v/>
      </c>
      <c r="AB11" s="12" t="n">
        <f aca="false">IF(C11="",0,X11*F11)</f>
        <v>0</v>
      </c>
    </row>
    <row r="12" customFormat="false" ht="15" hidden="false" customHeight="false" outlineLevel="0" collapsed="false">
      <c r="A12" s="0" t="n">
        <f aca="false">8</f>
        <v>8</v>
      </c>
      <c r="B12" s="0" t="str">
        <f aca="false">IF(Inputs!A12="","",Inputs!A12)</f>
        <v/>
      </c>
      <c r="C12" s="0" t="str">
        <f aca="false">IF(Inputs!B12="","",Inputs!B12)</f>
        <v/>
      </c>
      <c r="D12" s="0" t="str">
        <f aca="false">IF(Inputs!C12="","",Inputs!C12)</f>
        <v/>
      </c>
      <c r="E12" s="0" t="str">
        <f aca="false">IF(Inputs!D12="","",Inputs!D12)</f>
        <v/>
      </c>
      <c r="F12" s="0" t="n">
        <f aca="false">IF(Inputs!E12="",0,Inputs!E12)</f>
        <v>0</v>
      </c>
      <c r="G12" s="9" t="str">
        <f aca="false">IF(C12="","",ROUNDUP(MAX(INDEX(r_minWall,MATCH(C12,r_famList,0)),IF(C12="CPVC",INDEX(r_cpvcWall,MATCH(D12,r_cpvcOD,0),IF(E12=40,1,2)),IF(C12="PVC-U",E12*D12/(2*r_stressPvc+E12),D12/E12)))*10-0.000000001,0)/10)</f>
        <v/>
      </c>
      <c r="H12" s="9" t="str">
        <f aca="false">IF(C12="","",D12-2*G12)</f>
        <v/>
      </c>
      <c r="I12" s="18" t="str">
        <f aca="false">IF(C12="","",INDEX(r_rho,MATCH(C12,r_famList,0)))</f>
        <v/>
      </c>
      <c r="J12" s="12" t="str">
        <f aca="false">IF(C12="","",PI()/4*(D12^2-H12^2))</f>
        <v/>
      </c>
      <c r="K12" s="11" t="str">
        <f aca="false">IF(C12="","",J12*I12/1000)</f>
        <v/>
      </c>
      <c r="L12" s="11" t="str">
        <f aca="false">IF(C12="","",K12*(1+r_yieldLoss))</f>
        <v/>
      </c>
      <c r="M12" s="12" t="str">
        <f aca="false">IF(C12="","",INDEX(r_resin,MATCH(C12,r_famList,0))*(1+INDEX(r_add,MATCH(C12,r_famList,0))))</f>
        <v/>
      </c>
      <c r="N12" s="12" t="str">
        <f aca="false">IF(C12="","",L12*M12)</f>
        <v/>
      </c>
      <c r="O12" s="12" t="str">
        <f aca="false">IF(C12="","",-(L12-K12)*M12*r_regrind)</f>
        <v/>
      </c>
      <c r="P12" s="12" t="str">
        <f aca="false">IF(C12="","",(INDEX(r_energy,MATCH(C12,r_famList,0))+INDEX(r_labour,MATCH(C12,r_famList,0))+INDEX(r_deprec,MATCH(C12,r_famList,0))+INDEX(r_other,MATCH(C12,r_famList,0)))*(1+MAX(0,G12-10)*r_thickPct))</f>
        <v/>
      </c>
      <c r="Q12" s="12" t="str">
        <f aca="false">IF(C12="","",K12*P12)</f>
        <v/>
      </c>
      <c r="R12" s="12" t="str">
        <f aca="false">IF(C12="","",K12*(r_hydro+r_docs))</f>
        <v/>
      </c>
      <c r="S12" s="12" t="str">
        <f aca="false">IF(C12="","",N12+O12+Q12+R12)</f>
        <v/>
      </c>
      <c r="T12" s="16" t="str">
        <f aca="false">IF(C12="","",INDEX(r_margin,MATCH(C12,r_famList,0)))</f>
        <v/>
      </c>
      <c r="U12" s="16" t="str">
        <f aca="false">IF(C12="","",r_intRate/12*r_months)</f>
        <v/>
      </c>
      <c r="V12" s="18" t="str">
        <f aca="false">IF(C12="","",IF(D12&lt;=r_lf1max,r_lf1,IF(D12&lt;=r_lf2max,r_lf2,r_lf3)))</f>
        <v/>
      </c>
      <c r="W12" s="12" t="str">
        <f aca="false">IF(C12="","",r_loading/(V12*1000)*L12)</f>
        <v/>
      </c>
      <c r="X12" s="12" t="str">
        <f aca="false">IF(C12="","",S12*(1+T12)*(1+U12)+W12)</f>
        <v/>
      </c>
      <c r="Y12" s="12" t="str">
        <f aca="false">IF(C12="","",X12/K12)</f>
        <v/>
      </c>
      <c r="Z12" s="12" t="str">
        <f aca="false">IF(C12="","",S12*T12)</f>
        <v/>
      </c>
      <c r="AA12" s="12" t="str">
        <f aca="false">IF(C12="","",S12*(1+T12)*U12)</f>
        <v/>
      </c>
      <c r="AB12" s="12" t="n">
        <f aca="false">IF(C12="",0,X12*F12)</f>
        <v>0</v>
      </c>
    </row>
    <row r="13" customFormat="false" ht="15" hidden="false" customHeight="false" outlineLevel="0" collapsed="false">
      <c r="A13" s="0" t="n">
        <f aca="false">9</f>
        <v>9</v>
      </c>
      <c r="B13" s="0" t="str">
        <f aca="false">IF(Inputs!A13="","",Inputs!A13)</f>
        <v/>
      </c>
      <c r="C13" s="0" t="str">
        <f aca="false">IF(Inputs!B13="","",Inputs!B13)</f>
        <v/>
      </c>
      <c r="D13" s="0" t="str">
        <f aca="false">IF(Inputs!C13="","",Inputs!C13)</f>
        <v/>
      </c>
      <c r="E13" s="0" t="str">
        <f aca="false">IF(Inputs!D13="","",Inputs!D13)</f>
        <v/>
      </c>
      <c r="F13" s="0" t="n">
        <f aca="false">IF(Inputs!E13="",0,Inputs!E13)</f>
        <v>0</v>
      </c>
      <c r="G13" s="9" t="str">
        <f aca="false">IF(C13="","",ROUNDUP(MAX(INDEX(r_minWall,MATCH(C13,r_famList,0)),IF(C13="CPVC",INDEX(r_cpvcWall,MATCH(D13,r_cpvcOD,0),IF(E13=40,1,2)),IF(C13="PVC-U",E13*D13/(2*r_stressPvc+E13),D13/E13)))*10-0.000000001,0)/10)</f>
        <v/>
      </c>
      <c r="H13" s="9" t="str">
        <f aca="false">IF(C13="","",D13-2*G13)</f>
        <v/>
      </c>
      <c r="I13" s="18" t="str">
        <f aca="false">IF(C13="","",INDEX(r_rho,MATCH(C13,r_famList,0)))</f>
        <v/>
      </c>
      <c r="J13" s="12" t="str">
        <f aca="false">IF(C13="","",PI()/4*(D13^2-H13^2))</f>
        <v/>
      </c>
      <c r="K13" s="11" t="str">
        <f aca="false">IF(C13="","",J13*I13/1000)</f>
        <v/>
      </c>
      <c r="L13" s="11" t="str">
        <f aca="false">IF(C13="","",K13*(1+r_yieldLoss))</f>
        <v/>
      </c>
      <c r="M13" s="12" t="str">
        <f aca="false">IF(C13="","",INDEX(r_resin,MATCH(C13,r_famList,0))*(1+INDEX(r_add,MATCH(C13,r_famList,0))))</f>
        <v/>
      </c>
      <c r="N13" s="12" t="str">
        <f aca="false">IF(C13="","",L13*M13)</f>
        <v/>
      </c>
      <c r="O13" s="12" t="str">
        <f aca="false">IF(C13="","",-(L13-K13)*M13*r_regrind)</f>
        <v/>
      </c>
      <c r="P13" s="12" t="str">
        <f aca="false">IF(C13="","",(INDEX(r_energy,MATCH(C13,r_famList,0))+INDEX(r_labour,MATCH(C13,r_famList,0))+INDEX(r_deprec,MATCH(C13,r_famList,0))+INDEX(r_other,MATCH(C13,r_famList,0)))*(1+MAX(0,G13-10)*r_thickPct))</f>
        <v/>
      </c>
      <c r="Q13" s="12" t="str">
        <f aca="false">IF(C13="","",K13*P13)</f>
        <v/>
      </c>
      <c r="R13" s="12" t="str">
        <f aca="false">IF(C13="","",K13*(r_hydro+r_docs))</f>
        <v/>
      </c>
      <c r="S13" s="12" t="str">
        <f aca="false">IF(C13="","",N13+O13+Q13+R13)</f>
        <v/>
      </c>
      <c r="T13" s="16" t="str">
        <f aca="false">IF(C13="","",INDEX(r_margin,MATCH(C13,r_famList,0)))</f>
        <v/>
      </c>
      <c r="U13" s="16" t="str">
        <f aca="false">IF(C13="","",r_intRate/12*r_months)</f>
        <v/>
      </c>
      <c r="V13" s="18" t="str">
        <f aca="false">IF(C13="","",IF(D13&lt;=r_lf1max,r_lf1,IF(D13&lt;=r_lf2max,r_lf2,r_lf3)))</f>
        <v/>
      </c>
      <c r="W13" s="12" t="str">
        <f aca="false">IF(C13="","",r_loading/(V13*1000)*L13)</f>
        <v/>
      </c>
      <c r="X13" s="12" t="str">
        <f aca="false">IF(C13="","",S13*(1+T13)*(1+U13)+W13)</f>
        <v/>
      </c>
      <c r="Y13" s="12" t="str">
        <f aca="false">IF(C13="","",X13/K13)</f>
        <v/>
      </c>
      <c r="Z13" s="12" t="str">
        <f aca="false">IF(C13="","",S13*T13)</f>
        <v/>
      </c>
      <c r="AA13" s="12" t="str">
        <f aca="false">IF(C13="","",S13*(1+T13)*U13)</f>
        <v/>
      </c>
      <c r="AB13" s="12" t="n">
        <f aca="false">IF(C13="",0,X13*F13)</f>
        <v>0</v>
      </c>
    </row>
    <row r="14" customFormat="false" ht="15" hidden="false" customHeight="false" outlineLevel="0" collapsed="false">
      <c r="A14" s="0" t="n">
        <f aca="false">10</f>
        <v>10</v>
      </c>
      <c r="B14" s="0" t="str">
        <f aca="false">IF(Inputs!A14="","",Inputs!A14)</f>
        <v/>
      </c>
      <c r="C14" s="0" t="str">
        <f aca="false">IF(Inputs!B14="","",Inputs!B14)</f>
        <v/>
      </c>
      <c r="D14" s="0" t="str">
        <f aca="false">IF(Inputs!C14="","",Inputs!C14)</f>
        <v/>
      </c>
      <c r="E14" s="0" t="str">
        <f aca="false">IF(Inputs!D14="","",Inputs!D14)</f>
        <v/>
      </c>
      <c r="F14" s="0" t="n">
        <f aca="false">IF(Inputs!E14="",0,Inputs!E14)</f>
        <v>0</v>
      </c>
      <c r="G14" s="9" t="str">
        <f aca="false">IF(C14="","",ROUNDUP(MAX(INDEX(r_minWall,MATCH(C14,r_famList,0)),IF(C14="CPVC",INDEX(r_cpvcWall,MATCH(D14,r_cpvcOD,0),IF(E14=40,1,2)),IF(C14="PVC-U",E14*D14/(2*r_stressPvc+E14),D14/E14)))*10-0.000000001,0)/10)</f>
        <v/>
      </c>
      <c r="H14" s="9" t="str">
        <f aca="false">IF(C14="","",D14-2*G14)</f>
        <v/>
      </c>
      <c r="I14" s="18" t="str">
        <f aca="false">IF(C14="","",INDEX(r_rho,MATCH(C14,r_famList,0)))</f>
        <v/>
      </c>
      <c r="J14" s="12" t="str">
        <f aca="false">IF(C14="","",PI()/4*(D14^2-H14^2))</f>
        <v/>
      </c>
      <c r="K14" s="11" t="str">
        <f aca="false">IF(C14="","",J14*I14/1000)</f>
        <v/>
      </c>
      <c r="L14" s="11" t="str">
        <f aca="false">IF(C14="","",K14*(1+r_yieldLoss))</f>
        <v/>
      </c>
      <c r="M14" s="12" t="str">
        <f aca="false">IF(C14="","",INDEX(r_resin,MATCH(C14,r_famList,0))*(1+INDEX(r_add,MATCH(C14,r_famList,0))))</f>
        <v/>
      </c>
      <c r="N14" s="12" t="str">
        <f aca="false">IF(C14="","",L14*M14)</f>
        <v/>
      </c>
      <c r="O14" s="12" t="str">
        <f aca="false">IF(C14="","",-(L14-K14)*M14*r_regrind)</f>
        <v/>
      </c>
      <c r="P14" s="12" t="str">
        <f aca="false">IF(C14="","",(INDEX(r_energy,MATCH(C14,r_famList,0))+INDEX(r_labour,MATCH(C14,r_famList,0))+INDEX(r_deprec,MATCH(C14,r_famList,0))+INDEX(r_other,MATCH(C14,r_famList,0)))*(1+MAX(0,G14-10)*r_thickPct))</f>
        <v/>
      </c>
      <c r="Q14" s="12" t="str">
        <f aca="false">IF(C14="","",K14*P14)</f>
        <v/>
      </c>
      <c r="R14" s="12" t="str">
        <f aca="false">IF(C14="","",K14*(r_hydro+r_docs))</f>
        <v/>
      </c>
      <c r="S14" s="12" t="str">
        <f aca="false">IF(C14="","",N14+O14+Q14+R14)</f>
        <v/>
      </c>
      <c r="T14" s="16" t="str">
        <f aca="false">IF(C14="","",INDEX(r_margin,MATCH(C14,r_famList,0)))</f>
        <v/>
      </c>
      <c r="U14" s="16" t="str">
        <f aca="false">IF(C14="","",r_intRate/12*r_months)</f>
        <v/>
      </c>
      <c r="V14" s="18" t="str">
        <f aca="false">IF(C14="","",IF(D14&lt;=r_lf1max,r_lf1,IF(D14&lt;=r_lf2max,r_lf2,r_lf3)))</f>
        <v/>
      </c>
      <c r="W14" s="12" t="str">
        <f aca="false">IF(C14="","",r_loading/(V14*1000)*L14)</f>
        <v/>
      </c>
      <c r="X14" s="12" t="str">
        <f aca="false">IF(C14="","",S14*(1+T14)*(1+U14)+W14)</f>
        <v/>
      </c>
      <c r="Y14" s="12" t="str">
        <f aca="false">IF(C14="","",X14/K14)</f>
        <v/>
      </c>
      <c r="Z14" s="12" t="str">
        <f aca="false">IF(C14="","",S14*T14)</f>
        <v/>
      </c>
      <c r="AA14" s="12" t="str">
        <f aca="false">IF(C14="","",S14*(1+T14)*U14)</f>
        <v/>
      </c>
      <c r="AB14" s="12" t="n">
        <f aca="false">IF(C14="",0,X14*F14)</f>
        <v>0</v>
      </c>
    </row>
    <row r="15" customFormat="false" ht="15" hidden="false" customHeight="false" outlineLevel="0" collapsed="false">
      <c r="A15" s="0" t="n">
        <f aca="false">11</f>
        <v>11</v>
      </c>
      <c r="B15" s="0" t="str">
        <f aca="false">IF(Inputs!A15="","",Inputs!A15)</f>
        <v/>
      </c>
      <c r="C15" s="0" t="str">
        <f aca="false">IF(Inputs!B15="","",Inputs!B15)</f>
        <v/>
      </c>
      <c r="D15" s="0" t="str">
        <f aca="false">IF(Inputs!C15="","",Inputs!C15)</f>
        <v/>
      </c>
      <c r="E15" s="0" t="str">
        <f aca="false">IF(Inputs!D15="","",Inputs!D15)</f>
        <v/>
      </c>
      <c r="F15" s="0" t="n">
        <f aca="false">IF(Inputs!E15="",0,Inputs!E15)</f>
        <v>0</v>
      </c>
      <c r="G15" s="9" t="str">
        <f aca="false">IF(C15="","",ROUNDUP(MAX(INDEX(r_minWall,MATCH(C15,r_famList,0)),IF(C15="CPVC",INDEX(r_cpvcWall,MATCH(D15,r_cpvcOD,0),IF(E15=40,1,2)),IF(C15="PVC-U",E15*D15/(2*r_stressPvc+E15),D15/E15)))*10-0.000000001,0)/10)</f>
        <v/>
      </c>
      <c r="H15" s="9" t="str">
        <f aca="false">IF(C15="","",D15-2*G15)</f>
        <v/>
      </c>
      <c r="I15" s="18" t="str">
        <f aca="false">IF(C15="","",INDEX(r_rho,MATCH(C15,r_famList,0)))</f>
        <v/>
      </c>
      <c r="J15" s="12" t="str">
        <f aca="false">IF(C15="","",PI()/4*(D15^2-H15^2))</f>
        <v/>
      </c>
      <c r="K15" s="11" t="str">
        <f aca="false">IF(C15="","",J15*I15/1000)</f>
        <v/>
      </c>
      <c r="L15" s="11" t="str">
        <f aca="false">IF(C15="","",K15*(1+r_yieldLoss))</f>
        <v/>
      </c>
      <c r="M15" s="12" t="str">
        <f aca="false">IF(C15="","",INDEX(r_resin,MATCH(C15,r_famList,0))*(1+INDEX(r_add,MATCH(C15,r_famList,0))))</f>
        <v/>
      </c>
      <c r="N15" s="12" t="str">
        <f aca="false">IF(C15="","",L15*M15)</f>
        <v/>
      </c>
      <c r="O15" s="12" t="str">
        <f aca="false">IF(C15="","",-(L15-K15)*M15*r_regrind)</f>
        <v/>
      </c>
      <c r="P15" s="12" t="str">
        <f aca="false">IF(C15="","",(INDEX(r_energy,MATCH(C15,r_famList,0))+INDEX(r_labour,MATCH(C15,r_famList,0))+INDEX(r_deprec,MATCH(C15,r_famList,0))+INDEX(r_other,MATCH(C15,r_famList,0)))*(1+MAX(0,G15-10)*r_thickPct))</f>
        <v/>
      </c>
      <c r="Q15" s="12" t="str">
        <f aca="false">IF(C15="","",K15*P15)</f>
        <v/>
      </c>
      <c r="R15" s="12" t="str">
        <f aca="false">IF(C15="","",K15*(r_hydro+r_docs))</f>
        <v/>
      </c>
      <c r="S15" s="12" t="str">
        <f aca="false">IF(C15="","",N15+O15+Q15+R15)</f>
        <v/>
      </c>
      <c r="T15" s="16" t="str">
        <f aca="false">IF(C15="","",INDEX(r_margin,MATCH(C15,r_famList,0)))</f>
        <v/>
      </c>
      <c r="U15" s="16" t="str">
        <f aca="false">IF(C15="","",r_intRate/12*r_months)</f>
        <v/>
      </c>
      <c r="V15" s="18" t="str">
        <f aca="false">IF(C15="","",IF(D15&lt;=r_lf1max,r_lf1,IF(D15&lt;=r_lf2max,r_lf2,r_lf3)))</f>
        <v/>
      </c>
      <c r="W15" s="12" t="str">
        <f aca="false">IF(C15="","",r_loading/(V15*1000)*L15)</f>
        <v/>
      </c>
      <c r="X15" s="12" t="str">
        <f aca="false">IF(C15="","",S15*(1+T15)*(1+U15)+W15)</f>
        <v/>
      </c>
      <c r="Y15" s="12" t="str">
        <f aca="false">IF(C15="","",X15/K15)</f>
        <v/>
      </c>
      <c r="Z15" s="12" t="str">
        <f aca="false">IF(C15="","",S15*T15)</f>
        <v/>
      </c>
      <c r="AA15" s="12" t="str">
        <f aca="false">IF(C15="","",S15*(1+T15)*U15)</f>
        <v/>
      </c>
      <c r="AB15" s="12" t="n">
        <f aca="false">IF(C15="",0,X15*F15)</f>
        <v>0</v>
      </c>
    </row>
    <row r="16" customFormat="false" ht="15" hidden="false" customHeight="false" outlineLevel="0" collapsed="false">
      <c r="A16" s="0" t="n">
        <f aca="false">12</f>
        <v>12</v>
      </c>
      <c r="B16" s="0" t="str">
        <f aca="false">IF(Inputs!A16="","",Inputs!A16)</f>
        <v/>
      </c>
      <c r="C16" s="0" t="str">
        <f aca="false">IF(Inputs!B16="","",Inputs!B16)</f>
        <v/>
      </c>
      <c r="D16" s="0" t="str">
        <f aca="false">IF(Inputs!C16="","",Inputs!C16)</f>
        <v/>
      </c>
      <c r="E16" s="0" t="str">
        <f aca="false">IF(Inputs!D16="","",Inputs!D16)</f>
        <v/>
      </c>
      <c r="F16" s="0" t="n">
        <f aca="false">IF(Inputs!E16="",0,Inputs!E16)</f>
        <v>0</v>
      </c>
      <c r="G16" s="9" t="str">
        <f aca="false">IF(C16="","",ROUNDUP(MAX(INDEX(r_minWall,MATCH(C16,r_famList,0)),IF(C16="CPVC",INDEX(r_cpvcWall,MATCH(D16,r_cpvcOD,0),IF(E16=40,1,2)),IF(C16="PVC-U",E16*D16/(2*r_stressPvc+E16),D16/E16)))*10-0.000000001,0)/10)</f>
        <v/>
      </c>
      <c r="H16" s="9" t="str">
        <f aca="false">IF(C16="","",D16-2*G16)</f>
        <v/>
      </c>
      <c r="I16" s="18" t="str">
        <f aca="false">IF(C16="","",INDEX(r_rho,MATCH(C16,r_famList,0)))</f>
        <v/>
      </c>
      <c r="J16" s="12" t="str">
        <f aca="false">IF(C16="","",PI()/4*(D16^2-H16^2))</f>
        <v/>
      </c>
      <c r="K16" s="11" t="str">
        <f aca="false">IF(C16="","",J16*I16/1000)</f>
        <v/>
      </c>
      <c r="L16" s="11" t="str">
        <f aca="false">IF(C16="","",K16*(1+r_yieldLoss))</f>
        <v/>
      </c>
      <c r="M16" s="12" t="str">
        <f aca="false">IF(C16="","",INDEX(r_resin,MATCH(C16,r_famList,0))*(1+INDEX(r_add,MATCH(C16,r_famList,0))))</f>
        <v/>
      </c>
      <c r="N16" s="12" t="str">
        <f aca="false">IF(C16="","",L16*M16)</f>
        <v/>
      </c>
      <c r="O16" s="12" t="str">
        <f aca="false">IF(C16="","",-(L16-K16)*M16*r_regrind)</f>
        <v/>
      </c>
      <c r="P16" s="12" t="str">
        <f aca="false">IF(C16="","",(INDEX(r_energy,MATCH(C16,r_famList,0))+INDEX(r_labour,MATCH(C16,r_famList,0))+INDEX(r_deprec,MATCH(C16,r_famList,0))+INDEX(r_other,MATCH(C16,r_famList,0)))*(1+MAX(0,G16-10)*r_thickPct))</f>
        <v/>
      </c>
      <c r="Q16" s="12" t="str">
        <f aca="false">IF(C16="","",K16*P16)</f>
        <v/>
      </c>
      <c r="R16" s="12" t="str">
        <f aca="false">IF(C16="","",K16*(r_hydro+r_docs))</f>
        <v/>
      </c>
      <c r="S16" s="12" t="str">
        <f aca="false">IF(C16="","",N16+O16+Q16+R16)</f>
        <v/>
      </c>
      <c r="T16" s="16" t="str">
        <f aca="false">IF(C16="","",INDEX(r_margin,MATCH(C16,r_famList,0)))</f>
        <v/>
      </c>
      <c r="U16" s="16" t="str">
        <f aca="false">IF(C16="","",r_intRate/12*r_months)</f>
        <v/>
      </c>
      <c r="V16" s="18" t="str">
        <f aca="false">IF(C16="","",IF(D16&lt;=r_lf1max,r_lf1,IF(D16&lt;=r_lf2max,r_lf2,r_lf3)))</f>
        <v/>
      </c>
      <c r="W16" s="12" t="str">
        <f aca="false">IF(C16="","",r_loading/(V16*1000)*L16)</f>
        <v/>
      </c>
      <c r="X16" s="12" t="str">
        <f aca="false">IF(C16="","",S16*(1+T16)*(1+U16)+W16)</f>
        <v/>
      </c>
      <c r="Y16" s="12" t="str">
        <f aca="false">IF(C16="","",X16/K16)</f>
        <v/>
      </c>
      <c r="Z16" s="12" t="str">
        <f aca="false">IF(C16="","",S16*T16)</f>
        <v/>
      </c>
      <c r="AA16" s="12" t="str">
        <f aca="false">IF(C16="","",S16*(1+T16)*U16)</f>
        <v/>
      </c>
      <c r="AB16" s="12" t="n">
        <f aca="false">IF(C16="",0,X16*F16)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10" min="5" style="0" width="12"/>
  </cols>
  <sheetData>
    <row r="1" customFormat="false" ht="18.5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31.5" hidden="false" customHeight="true" outlineLevel="0" collapsed="false">
      <c r="A4" s="5" t="s">
        <v>21</v>
      </c>
      <c r="B4" s="6" t="s">
        <v>85</v>
      </c>
      <c r="C4" s="6" t="s">
        <v>86</v>
      </c>
      <c r="D4" s="6" t="s">
        <v>87</v>
      </c>
      <c r="E4" s="6" t="s">
        <v>88</v>
      </c>
      <c r="F4" s="6" t="s">
        <v>89</v>
      </c>
      <c r="G4" s="6" t="s">
        <v>90</v>
      </c>
      <c r="H4" s="6" t="s">
        <v>91</v>
      </c>
      <c r="I4" s="6" t="s">
        <v>92</v>
      </c>
      <c r="J4" s="6" t="s">
        <v>54</v>
      </c>
    </row>
    <row r="5" customFormat="false" ht="15" hidden="false" customHeight="false" outlineLevel="0" collapsed="false">
      <c r="A5" s="0" t="s">
        <v>26</v>
      </c>
      <c r="B5" s="7" t="n">
        <v>0.95</v>
      </c>
      <c r="C5" s="7" t="n">
        <v>108</v>
      </c>
      <c r="D5" s="19" t="n">
        <v>0.03</v>
      </c>
      <c r="E5" s="7" t="n">
        <v>2</v>
      </c>
      <c r="F5" s="7" t="n">
        <v>3.6</v>
      </c>
      <c r="G5" s="7" t="n">
        <v>3.2</v>
      </c>
      <c r="H5" s="7" t="n">
        <v>4.5</v>
      </c>
      <c r="I5" s="7" t="n">
        <v>2.2</v>
      </c>
      <c r="J5" s="19" t="n">
        <v>0.1</v>
      </c>
    </row>
    <row r="6" customFormat="false" ht="15" hidden="false" customHeight="false" outlineLevel="0" collapsed="false">
      <c r="A6" s="0" t="s">
        <v>29</v>
      </c>
      <c r="B6" s="7" t="n">
        <v>1.4</v>
      </c>
      <c r="C6" s="7" t="n">
        <v>82</v>
      </c>
      <c r="D6" s="19" t="n">
        <v>0.12</v>
      </c>
      <c r="E6" s="7" t="n">
        <v>1.6</v>
      </c>
      <c r="F6" s="7" t="n">
        <v>2.8</v>
      </c>
      <c r="G6" s="7" t="n">
        <v>3</v>
      </c>
      <c r="H6" s="7" t="n">
        <v>4</v>
      </c>
      <c r="I6" s="7" t="n">
        <v>2</v>
      </c>
      <c r="J6" s="19" t="n">
        <v>0.1</v>
      </c>
    </row>
    <row r="7" customFormat="false" ht="15" hidden="false" customHeight="false" outlineLevel="0" collapsed="false">
      <c r="A7" s="0" t="s">
        <v>32</v>
      </c>
      <c r="B7" s="7" t="n">
        <v>0.9</v>
      </c>
      <c r="C7" s="7" t="n">
        <v>135</v>
      </c>
      <c r="D7" s="19" t="n">
        <v>0.04</v>
      </c>
      <c r="E7" s="7" t="n">
        <v>1.9</v>
      </c>
      <c r="F7" s="7" t="n">
        <v>3.4</v>
      </c>
      <c r="G7" s="7" t="n">
        <v>3.4</v>
      </c>
      <c r="H7" s="7" t="n">
        <v>5</v>
      </c>
      <c r="I7" s="7" t="n">
        <v>2.4</v>
      </c>
      <c r="J7" s="19" t="n">
        <v>0.12</v>
      </c>
    </row>
    <row r="8" customFormat="false" ht="15" hidden="false" customHeight="false" outlineLevel="0" collapsed="false">
      <c r="A8" s="0" t="s">
        <v>34</v>
      </c>
      <c r="B8" s="7" t="n">
        <v>1.55</v>
      </c>
      <c r="C8" s="7" t="n">
        <v>215</v>
      </c>
      <c r="D8" s="19" t="n">
        <v>0.18</v>
      </c>
      <c r="E8" s="7" t="n">
        <v>1.5</v>
      </c>
      <c r="F8" s="7" t="n">
        <v>4.2</v>
      </c>
      <c r="G8" s="7" t="n">
        <v>4</v>
      </c>
      <c r="H8" s="7" t="n">
        <v>6</v>
      </c>
      <c r="I8" s="7" t="n">
        <v>3</v>
      </c>
      <c r="J8" s="19" t="n">
        <v>0.14</v>
      </c>
    </row>
    <row r="10" customFormat="false" ht="15" hidden="false" customHeight="false" outlineLevel="0" collapsed="false">
      <c r="A10" s="3" t="s">
        <v>93</v>
      </c>
    </row>
    <row r="11" customFormat="false" ht="15" hidden="false" customHeight="false" outlineLevel="0" collapsed="false">
      <c r="A11" s="0" t="s">
        <v>94</v>
      </c>
      <c r="B11" s="7" t="n">
        <v>10</v>
      </c>
      <c r="C11" s="20" t="s">
        <v>95</v>
      </c>
    </row>
    <row r="12" customFormat="false" ht="15" hidden="false" customHeight="false" outlineLevel="0" collapsed="false">
      <c r="A12" s="0" t="s">
        <v>96</v>
      </c>
      <c r="B12" s="19" t="n">
        <v>0.025</v>
      </c>
      <c r="C12" s="20" t="s">
        <v>97</v>
      </c>
    </row>
    <row r="13" customFormat="false" ht="15" hidden="false" customHeight="false" outlineLevel="0" collapsed="false">
      <c r="A13" s="0" t="s">
        <v>98</v>
      </c>
      <c r="B13" s="21" t="n">
        <v>0.8</v>
      </c>
      <c r="C13" s="20" t="s">
        <v>99</v>
      </c>
    </row>
    <row r="14" customFormat="false" ht="15" hidden="false" customHeight="false" outlineLevel="0" collapsed="false">
      <c r="A14" s="0" t="s">
        <v>100</v>
      </c>
      <c r="B14" s="19" t="n">
        <v>0.015</v>
      </c>
    </row>
    <row r="15" customFormat="false" ht="15" hidden="false" customHeight="false" outlineLevel="0" collapsed="false">
      <c r="A15" s="0" t="s">
        <v>101</v>
      </c>
      <c r="B15" s="7" t="n">
        <v>0.8</v>
      </c>
      <c r="C15" s="20" t="s">
        <v>102</v>
      </c>
    </row>
    <row r="16" customFormat="false" ht="15" hidden="false" customHeight="false" outlineLevel="0" collapsed="false">
      <c r="A16" s="0" t="s">
        <v>103</v>
      </c>
      <c r="B16" s="7" t="n">
        <v>2</v>
      </c>
      <c r="C16" s="20" t="s">
        <v>102</v>
      </c>
    </row>
    <row r="17" customFormat="false" ht="15" hidden="false" customHeight="false" outlineLevel="0" collapsed="false">
      <c r="A17" s="0" t="s">
        <v>104</v>
      </c>
      <c r="B17" s="7" t="n">
        <v>3</v>
      </c>
      <c r="C17" s="20" t="s">
        <v>105</v>
      </c>
    </row>
    <row r="18" customFormat="false" ht="15" hidden="false" customHeight="false" outlineLevel="0" collapsed="false">
      <c r="A18" s="0" t="s">
        <v>106</v>
      </c>
      <c r="B18" s="19" t="n">
        <v>0.09</v>
      </c>
      <c r="C18" s="20" t="s">
        <v>107</v>
      </c>
    </row>
    <row r="19" customFormat="false" ht="15" hidden="false" customHeight="false" outlineLevel="0" collapsed="false">
      <c r="A19" s="3" t="s">
        <v>56</v>
      </c>
    </row>
    <row r="20" customFormat="false" ht="15" hidden="false" customHeight="false" outlineLevel="0" collapsed="false">
      <c r="A20" s="0" t="s">
        <v>108</v>
      </c>
      <c r="B20" s="7" t="n">
        <v>1400</v>
      </c>
      <c r="C20" s="20" t="s">
        <v>109</v>
      </c>
    </row>
    <row r="21" customFormat="false" ht="15" hidden="false" customHeight="false" outlineLevel="0" collapsed="false">
      <c r="A21" s="0" t="s">
        <v>110</v>
      </c>
      <c r="B21" s="7" t="n">
        <v>110</v>
      </c>
      <c r="C21" s="20" t="s">
        <v>111</v>
      </c>
    </row>
    <row r="22" customFormat="false" ht="15" hidden="false" customHeight="false" outlineLevel="0" collapsed="false">
      <c r="A22" s="0" t="s">
        <v>112</v>
      </c>
      <c r="B22" s="7" t="n">
        <v>0.6</v>
      </c>
    </row>
    <row r="23" customFormat="false" ht="15" hidden="false" customHeight="false" outlineLevel="0" collapsed="false">
      <c r="A23" s="0" t="s">
        <v>113</v>
      </c>
      <c r="B23" s="7" t="n">
        <v>315</v>
      </c>
      <c r="C23" s="20" t="s">
        <v>111</v>
      </c>
    </row>
    <row r="24" customFormat="false" ht="15" hidden="false" customHeight="false" outlineLevel="0" collapsed="false">
      <c r="A24" s="0" t="s">
        <v>114</v>
      </c>
      <c r="B24" s="7" t="n">
        <v>0.4</v>
      </c>
    </row>
    <row r="25" customFormat="false" ht="15" hidden="false" customHeight="false" outlineLevel="0" collapsed="false">
      <c r="A25" s="0" t="s">
        <v>115</v>
      </c>
      <c r="B25" s="7" t="n">
        <v>0.25</v>
      </c>
    </row>
    <row r="27" customFormat="false" ht="15" hidden="false" customHeight="false" outlineLevel="0" collapsed="false">
      <c r="A27" s="3" t="s">
        <v>116</v>
      </c>
    </row>
    <row r="28" customFormat="false" ht="31.5" hidden="false" customHeight="true" outlineLevel="0" collapsed="false">
      <c r="A28" s="5" t="s">
        <v>22</v>
      </c>
      <c r="B28" s="6" t="s">
        <v>117</v>
      </c>
      <c r="C28" s="6" t="s">
        <v>118</v>
      </c>
      <c r="D28" s="6" t="s">
        <v>119</v>
      </c>
    </row>
    <row r="29" customFormat="false" ht="15" hidden="false" customHeight="false" outlineLevel="0" collapsed="false">
      <c r="A29" s="7" t="n">
        <v>21.34</v>
      </c>
      <c r="B29" s="20" t="s">
        <v>120</v>
      </c>
      <c r="C29" s="7" t="n">
        <v>2.77</v>
      </c>
      <c r="D29" s="7" t="n">
        <v>3.73</v>
      </c>
    </row>
    <row r="30" customFormat="false" ht="15" hidden="false" customHeight="false" outlineLevel="0" collapsed="false">
      <c r="A30" s="7" t="n">
        <v>26.67</v>
      </c>
      <c r="B30" s="20" t="s">
        <v>121</v>
      </c>
      <c r="C30" s="7" t="n">
        <v>2.87</v>
      </c>
      <c r="D30" s="7" t="n">
        <v>3.91</v>
      </c>
    </row>
    <row r="31" customFormat="false" ht="15" hidden="false" customHeight="false" outlineLevel="0" collapsed="false">
      <c r="A31" s="7" t="n">
        <v>33.4</v>
      </c>
      <c r="B31" s="20" t="s">
        <v>122</v>
      </c>
      <c r="C31" s="7" t="n">
        <v>3.38</v>
      </c>
      <c r="D31" s="7" t="n">
        <v>4.55</v>
      </c>
    </row>
    <row r="32" customFormat="false" ht="15" hidden="false" customHeight="false" outlineLevel="0" collapsed="false">
      <c r="A32" s="7" t="n">
        <v>42.16</v>
      </c>
      <c r="B32" s="20" t="s">
        <v>123</v>
      </c>
      <c r="C32" s="7" t="n">
        <v>3.56</v>
      </c>
      <c r="D32" s="7" t="n">
        <v>4.85</v>
      </c>
    </row>
    <row r="33" customFormat="false" ht="15" hidden="false" customHeight="false" outlineLevel="0" collapsed="false">
      <c r="A33" s="7" t="n">
        <v>48.26</v>
      </c>
      <c r="B33" s="20" t="s">
        <v>124</v>
      </c>
      <c r="C33" s="7" t="n">
        <v>3.68</v>
      </c>
      <c r="D33" s="7" t="n">
        <v>5.08</v>
      </c>
    </row>
    <row r="34" customFormat="false" ht="15" hidden="false" customHeight="false" outlineLevel="0" collapsed="false">
      <c r="A34" s="7" t="n">
        <v>60.33</v>
      </c>
      <c r="B34" s="20" t="s">
        <v>125</v>
      </c>
      <c r="C34" s="7" t="n">
        <v>3.91</v>
      </c>
      <c r="D34" s="7" t="n">
        <v>5.54</v>
      </c>
    </row>
    <row r="35" customFormat="false" ht="15" hidden="false" customHeight="false" outlineLevel="0" collapsed="false">
      <c r="A35" s="7" t="n">
        <v>73.03</v>
      </c>
      <c r="B35" s="20" t="s">
        <v>126</v>
      </c>
      <c r="C35" s="7" t="n">
        <v>5.16</v>
      </c>
      <c r="D35" s="7" t="n">
        <v>7.01</v>
      </c>
    </row>
    <row r="36" customFormat="false" ht="15" hidden="false" customHeight="false" outlineLevel="0" collapsed="false">
      <c r="A36" s="7" t="n">
        <v>88.9</v>
      </c>
      <c r="B36" s="20" t="s">
        <v>127</v>
      </c>
      <c r="C36" s="7" t="n">
        <v>5.49</v>
      </c>
      <c r="D36" s="7" t="n">
        <v>7.62</v>
      </c>
    </row>
    <row r="37" customFormat="false" ht="15" hidden="false" customHeight="false" outlineLevel="0" collapsed="false">
      <c r="A37" s="7" t="n">
        <v>114.3</v>
      </c>
      <c r="B37" s="20" t="s">
        <v>128</v>
      </c>
      <c r="C37" s="7" t="n">
        <v>6.02</v>
      </c>
      <c r="D37" s="7" t="n">
        <v>8.56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18.55" hidden="false" customHeight="false" outlineLevel="0" collapsed="false">
      <c r="A1" s="1" t="s">
        <v>129</v>
      </c>
    </row>
    <row r="4" customFormat="false" ht="31.5" hidden="false" customHeight="true" outlineLevel="0" collapsed="false">
      <c r="A4" s="5" t="s">
        <v>21</v>
      </c>
      <c r="B4" s="6" t="s">
        <v>130</v>
      </c>
      <c r="C4" s="6" t="s">
        <v>131</v>
      </c>
    </row>
    <row r="5" customFormat="false" ht="48" hidden="false" customHeight="true" outlineLevel="0" collapsed="false">
      <c r="A5" s="0" t="s">
        <v>26</v>
      </c>
      <c r="B5" s="0" t="s">
        <v>132</v>
      </c>
      <c r="C5" s="4" t="s">
        <v>133</v>
      </c>
    </row>
    <row r="6" customFormat="false" ht="48" hidden="false" customHeight="true" outlineLevel="0" collapsed="false">
      <c r="A6" s="0" t="s">
        <v>29</v>
      </c>
      <c r="B6" s="0" t="s">
        <v>134</v>
      </c>
      <c r="C6" s="4" t="s">
        <v>135</v>
      </c>
    </row>
    <row r="7" customFormat="false" ht="48" hidden="false" customHeight="true" outlineLevel="0" collapsed="false">
      <c r="A7" s="0" t="s">
        <v>32</v>
      </c>
      <c r="B7" s="0" t="s">
        <v>136</v>
      </c>
      <c r="C7" s="4" t="s">
        <v>137</v>
      </c>
    </row>
    <row r="8" customFormat="false" ht="48" hidden="false" customHeight="true" outlineLevel="0" collapsed="false">
      <c r="A8" s="0" t="s">
        <v>34</v>
      </c>
      <c r="B8" s="0" t="s">
        <v>138</v>
      </c>
      <c r="C8" s="4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2026-10-14T08:36:11Z</dcterms:created>
  <dc:creator>openpyxl</dc:creator>
  <dc:description/>
  <dc:language>en-US</dc:language>
  <cp:lastModifiedBy/>
  <dcterms:modified xsi:type="dcterms:W3CDTF">2026-10-14T08:36:11Z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