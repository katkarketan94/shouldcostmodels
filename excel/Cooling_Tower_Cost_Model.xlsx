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ummary" sheetId="3" state="visible" r:id="rId5"/>
    <sheet name="Thermal" sheetId="4" state="visible" r:id="rId6"/>
    <sheet name="Costing" sheetId="5" state="visible" r:id="rId7"/>
    <sheet name="Rates" sheetId="6" state="visible" r:id="rId8"/>
    <sheet name="Presets" sheetId="7" state="visible" r:id="rId9"/>
  </sheets>
  <definedNames>
    <definedName function="false" hidden="false" name="g_casing" vbProcedure="false">Costing!$B$12</definedName>
    <definedName function="false" hidden="false" name="g_cells" vbProcedure="false">Costing!$B$4</definedName>
    <definedName function="false" hidden="false" name="g_face" vbProcedure="false">Costing!$B$11</definedName>
    <definedName function="false" hidden="false" name="g_fanDia" vbProcedure="false">Costing!$B$9</definedName>
    <definedName function="false" hidden="false" name="g_fill" vbProcedure="false">Costing!$B$13</definedName>
    <definedName function="false" hidden="false" name="g_height" vbProcedure="false">Costing!$B$7</definedName>
    <definedName function="false" hidden="false" name="g_motorKw" vbProcedure="false">Costing!$B$8</definedName>
    <definedName function="false" hidden="false" name="g_perim" vbProcedure="false">Costing!$B$10</definedName>
    <definedName function="false" hidden="false" name="g_planCell" vbProcedure="false">Costing!$B$5</definedName>
    <definedName function="false" hidden="false" name="g_side" vbProcedure="false">Costing!$B$6</definedName>
    <definedName function="false" hidden="false" name="i_approach" vbProcedure="false">Inputs!$B$7</definedName>
    <definedName function="false" hidden="false" name="i_kw" vbProcedure="false">Inputs!$B$5</definedName>
    <definedName function="false" hidden="false" name="i_range" vbProcedure="false">Inputs!$B$6</definedName>
    <definedName function="false" hidden="false" name="i_type" vbProcedure="false">Inputs!$B$9</definedName>
    <definedName function="false" hidden="false" name="i_vfd" vbProcedure="false">Inputs!$B$10</definedName>
    <definedName function="false" hidden="false" name="i_wb" vbProcedure="false">Inputs!$B$8</definedName>
    <definedName function="false" hidden="false" name="o_total" vbProcedure="false">Costing!$E$37</definedName>
    <definedName function="false" hidden="false" name="r_accessories" vbProcedure="false">Rates!$B$63</definedName>
    <definedName function="false" hidden="false" name="r_basinFrp" vbProcedure="false">Rates!$B$39</definedName>
    <definedName function="false" hidden="false" name="r_basinSteel" vbProcedure="false">Rates!$B$43</definedName>
    <definedName function="false" hidden="false" name="r_basinSteelF" vbProcedure="false">Rates!$B$44</definedName>
    <definedName function="false" hidden="false" name="r_bHi" vbProcedure="false">Rates!$C$73:$C$77</definedName>
    <definedName function="false" hidden="false" name="r_bLo" vbProcedure="false">Rates!$B$73:$B$77</definedName>
    <definedName function="false" hidden="false" name="r_cpw" vbProcedure="false">Rates!$B$22</definedName>
    <definedName function="false" hidden="false" name="r_depthMax" vbProcedure="false">Rates!$B$27</definedName>
    <definedName function="false" hidden="false" name="r_depthMin" vbProcedure="false">Rates!$B$26</definedName>
    <definedName function="false" hidden="false" name="r_depthMult" vbProcedure="false">Rates!$B$28</definedName>
    <definedName function="false" hidden="false" name="r_distribution" vbProcedure="false">Rates!$B$33</definedName>
    <definedName function="false" hidden="false" name="r_eliminator" vbProcedure="false">Rates!$B$32</definedName>
    <definedName function="false" hidden="false" name="r_faceAdd" vbProcedure="false">Rates!$B$35</definedName>
    <definedName function="false" hidden="false" name="r_fanBase" vbProcedure="false">Rates!$B$55</definedName>
    <definedName function="false" hidden="false" name="r_fanEff" vbProcedure="false">Rates!$B$53</definedName>
    <definedName function="false" hidden="false" name="r_fanExp" vbProcedure="false">Rates!$B$56</definedName>
    <definedName function="false" hidden="false" name="r_fanProxy" vbProcedure="false">Rates!$B$29</definedName>
    <definedName function="false" hidden="false" name="r_fillList" vbProcedure="false">Rates!$A$14:$A$15</definedName>
    <definedName function="false" hidden="false" name="r_fillRate" vbProcedure="false">Rates!$B$14:$B$15</definedName>
    <definedName function="false" hidden="false" name="r_frpPerM2" vbProcedure="false">Rates!$B$38</definedName>
    <definedName function="false" hidden="false" name="r_gearbox" vbProcedure="false">Rates!$B$58</definedName>
    <definedName function="false" hidden="false" name="r_hBase" vbProcedure="false">Rates!$B$48</definedName>
    <definedName function="false" hidden="false" name="r_hdgKg" vbProcedure="false">Rates!$B$41</definedName>
    <definedName function="false" hidden="false" name="r_hdgRate" vbProcedure="false">Rates!$B$40</definedName>
    <definedName function="false" hidden="false" name="r_hdgRefH" vbProcedure="false">Rates!$B$42</definedName>
    <definedName function="false" hidden="false" name="r_heatF" vbProcedure="false">Rates!$B$23</definedName>
    <definedName function="false" hidden="false" name="r_hFan" vbProcedure="false">Rates!$B$49</definedName>
    <definedName function="false" hidden="false" name="r_hRcc" vbProcedure="false">Rates!$B$50</definedName>
    <definedName function="false" hidden="false" name="r_labour" vbProcedure="false">Rates!$B$65</definedName>
    <definedName function="false" hidden="false" name="r_lgMax" vbProcedure="false">Rates!$B$20</definedName>
    <definedName function="false" hidden="false" name="r_lgMin" vbProcedure="false">Rates!$B$19</definedName>
    <definedName function="false" hidden="false" name="r_lgStep" vbProcedure="false">Rates!$B$21</definedName>
    <definedName function="false" hidden="false" name="r_louvre" vbProcedure="false">Rates!$B$34</definedName>
    <definedName function="false" hidden="false" name="r_makeup" vbProcedure="false">Rates!$B$69</definedName>
    <definedName function="false" hidden="false" name="r_margin" vbProcedure="false">Rates!$B$68</definedName>
    <definedName function="false" hidden="false" name="r_meMax" vbProcedure="false">Rates!$B$25</definedName>
    <definedName function="false" hidden="false" name="r_motor" vbProcedure="false">Rates!$B$59</definedName>
    <definedName function="false" hidden="false" name="r_motorMargin" vbProcedure="false">Rates!$B$57</definedName>
    <definedName function="false" hidden="false" name="r_natRcc" vbProcedure="false">Rates!$B$47</definedName>
    <definedName function="false" hidden="false" name="r_overheads" vbProcedure="false">Rates!$B$67</definedName>
    <definedName function="false" hidden="false" name="r_pressure" vbProcedure="false">Rates!$B$18</definedName>
    <definedName function="false" hidden="false" name="r_rccM3" vbProcedure="false">Rates!$B$46</definedName>
    <definedName function="false" hidden="false" name="r_rccPerM3" vbProcedure="false">Rates!$B$45</definedName>
    <definedName function="false" hidden="false" name="r_rhoAir" vbProcedure="false">Rates!$B$24</definedName>
    <definedName function="false" hidden="false" name="r_tC" vbProcedure="false">Rates!$C$7:$C$11</definedName>
    <definedName function="false" hidden="false" name="r_tCasing" vbProcedure="false">Rates!$G$7:$G$11</definedName>
    <definedName function="false" hidden="false" name="r_tCell" vbProcedure="false">Rates!$H$7:$H$11</definedName>
    <definedName function="false" hidden="false" name="r_tDp" vbProcedure="false">Rates!$F$7:$F$11</definedName>
    <definedName function="false" hidden="false" name="r_tFill" vbProcedure="false">Rates!$B$7:$B$11</definedName>
    <definedName function="false" hidden="false" name="r_tList" vbProcedure="false">Rates!$A$7:$A$11</definedName>
    <definedName function="false" hidden="false" name="r_tLoad" vbProcedure="false">Rates!$E$7:$E$11</definedName>
    <definedName function="false" hidden="false" name="r_tN" vbProcedure="false">Rates!$D$7:$D$11</definedName>
    <definedName function="false" hidden="false" name="r_tNat" vbProcedure="false">Rates!$I$7:$I$11</definedName>
    <definedName function="false" hidden="false" name="r_transport" vbProcedure="false">Rates!$B$66</definedName>
    <definedName function="false" hidden="false" name="r_velocity" vbProcedure="false">Rates!$B$54</definedName>
    <definedName function="false" hidden="false" name="r_vfd" vbProcedure="false">Rates!$B$60</definedName>
    <definedName function="false" hidden="false" name="r_vib" vbProcedure="false">Rates!$B$64</definedName>
    <definedName function="false" hidden="false" name="t_airM3s" vbProcedure="false">Thermal!$B$57</definedName>
    <definedName function="false" hidden="false" name="t_best" vbProcedure="false">Thermal!$B$52</definedName>
    <definedName function="false" hidden="false" name="t_c" vbProcedure="false">Thermal!$B$9</definedName>
    <definedName function="false" hidden="false" name="t_depth" vbProcedure="false">Thermal!$B$56</definedName>
    <definedName function="false" hidden="false" name="t_depthRaw" vbProcedure="false">Thermal!$B$55</definedName>
    <definedName function="false" hidden="false" name="t_fanKw" vbProcedure="false">Thermal!$B$58</definedName>
    <definedName function="false" hidden="false" name="t_fillM3" vbProcedure="false">Thermal!$B$59</definedName>
    <definedName function="false" hidden="false" name="t_flow" vbProcedure="false">Thermal!$B$7</definedName>
    <definedName function="false" hidden="false" name="t_hIn" vbProcedure="false">Thermal!$B$14</definedName>
    <definedName function="false" hidden="false" name="t_lg" vbProcedure="false">Thermal!$B$53</definedName>
    <definedName function="false" hidden="false" name="t_load" vbProcedure="false">Thermal!$B$11</definedName>
    <definedName function="false" hidden="false" name="t_me" vbProcedure="false">Thermal!$B$54</definedName>
    <definedName function="false" hidden="false" name="t_n" vbProcedure="false">Thermal!$B$10</definedName>
    <definedName function="false" hidden="false" name="t_nat" vbProcedure="false">Thermal!$B$12</definedName>
    <definedName function="false" hidden="false" name="t_plan" vbProcedure="false">Thermal!$B$13</definedName>
    <definedName function="false" hidden="false" name="t_row" vbProcedure="false">Thermal!$B$8</definedName>
    <definedName function="false" hidden="false" name="t_status" vbProcedure="false">Thermal!$B$3</definedName>
    <definedName function="false" hidden="false" name="t_tIn" vbProcedure="false">Thermal!$B$6</definedName>
    <definedName function="false" hidden="false" name="t_tOut" vbProcedure="false">Thermal!$B$5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<sst xmlns="http://schemas.openxmlformats.org/spreadsheetml/2006/main" count="343" uniqueCount="247">
  <si>
    <t xml:space="preserve">Cooling tower: should-cost model</t>
  </si>
  <si>
    <t xml:space="preserve">Thermal sizing (Merkel number) and bottom-up costing of a mechanical or natural-draught cooling tower. Not a vendor price list: every rate is an editable assumption.</t>
  </si>
  <si>
    <t xml:space="preserve">Purpose</t>
  </si>
  <si>
    <t xml:space="preserve">Estimate the ex-works price of a cooling tower from heat load, range, approach and design wet-bulb. The thermal duty sets the water flow; the Merkel number demanded by range, approach and wet-bulb sets the fill depth; the liquid-to-air ratio is chosen to give the cheapest fill-plus-fan combination; quantities then follow and are priced.</t>
  </si>
  <si>
    <t xml:space="preserve">How to use</t>
  </si>
  <si>
    <t xml:space="preserve">Edit the yellow cells on Inputs (duty and tower type) and, if you have quotes, on Rates. Everything else is a live formula. Results are on Summary. The L/G scan is on Thermal; the priced build-up is on Costing.</t>
  </si>
  <si>
    <t xml:space="preserve">Sheets</t>
  </si>
  <si>
    <t xml:space="preserve">Inputs: duty and type.  Summary: key results, cost stack, per-TR and per-m3/h figures, benchmark check.  Thermal: psychrometrics, Merkel integral and the L/G scan.  Costing: geometry, quantities, rates and amounts.  Rates: tower-type table, fill rates and every price and constant (named cells r_...).  Presets: five sample towers.</t>
  </si>
  <si>
    <t xml:space="preserve">Method</t>
  </si>
  <si>
    <t xml:space="preserve">Merkel number by the four-point Chebyshev integral of 1/(h_sat - h_air) at 10, 40, 60 and 90% of the range. Fill characteristic KaV/L = c x (L/G)^-n per metre of fill, so depth = Merkel / (c x (L/G)^-n), clamped between the minimum and 2.2 x the maximum depth on Rates. The L/G scan runs from the minimum to the maximum on Rates in steps of 0.05.</t>
  </si>
  <si>
    <t xml:space="preserve">Conventions</t>
  </si>
  <si>
    <t xml:space="preserve">Yellow fill = input.  Blue font = a typed assumption you may change.  Black = formula.  Green fill = key output.  Amounts in Indian rupees, ex-GST, ex-works.</t>
  </si>
  <si>
    <t xml:space="preserve">Reasonableness</t>
  </si>
  <si>
    <t xml:space="preserve">At the default rates: FRP counterflow about Rs 4,700-5,200 per TR, HDG steel about Rs 3,000, RCC power-plant towers about Rs 1,900, small crossflow about Rs 6,500. The fill characteristic constants (c, n) are generic, not a vendor’s fill data: replace them with the manufacturer’s curves before relying on the fill depth.</t>
  </si>
  <si>
    <t xml:space="preserve">Limits</t>
  </si>
  <si>
    <t xml:space="preserve">An approach below 2.8 K is not practical for a mechanical-draught tower and is flagged. Hot-water basin, pumps, piping, civil basin and electrical supply are excluded. Make-up water is shown, not costed.</t>
  </si>
  <si>
    <t xml:space="preserve">Companion</t>
  </si>
  <si>
    <t xml:space="preserve">The same model runs in the Should-Cost dashboards (cooling-towers.html), with a section view, a 3D model and a month selector for steel prices.</t>
  </si>
  <si>
    <t xml:space="preserve">Cooling tower: duty and type</t>
  </si>
  <si>
    <t xml:space="preserve">Tag / tower name</t>
  </si>
  <si>
    <t xml:space="preserve">CT-01 1,000 TR chiller plant (FRP)</t>
  </si>
  <si>
    <t xml:space="preserve">Heat rejected</t>
  </si>
  <si>
    <t xml:space="preserve">kW</t>
  </si>
  <si>
    <t xml:space="preserve">Range (hot water - cold water)</t>
  </si>
  <si>
    <t xml:space="preserve">K</t>
  </si>
  <si>
    <t xml:space="preserve">Approach (cold water - wet-bulb)</t>
  </si>
  <si>
    <t xml:space="preserve">Design wet-bulb</t>
  </si>
  <si>
    <t xml:space="preserve">°C</t>
  </si>
  <si>
    <t xml:space="preserve">Tower type</t>
  </si>
  <si>
    <t xml:space="preserve">Counterflow, induced draught, FRP</t>
  </si>
  <si>
    <t xml:space="preserve">pick from list</t>
  </si>
  <si>
    <t xml:space="preserve">Fan drive</t>
  </si>
  <si>
    <t xml:space="preserve">No</t>
  </si>
  <si>
    <t xml:space="preserve">No = direct on line, Yes = VFD</t>
  </si>
  <si>
    <t xml:space="preserve">Cooling tower: should-cost summary</t>
  </si>
  <si>
    <t xml:space="preserve">Cost group</t>
  </si>
  <si>
    <t xml:space="preserve">Rs</t>
  </si>
  <si>
    <t xml:space="preserve">Share</t>
  </si>
  <si>
    <t xml:space="preserve">Note</t>
  </si>
  <si>
    <t xml:space="preserve">Fill &amp; drift</t>
  </si>
  <si>
    <t xml:space="preserve">Fill pack, eliminators, distribution</t>
  </si>
  <si>
    <t xml:space="preserve">Casing, structure &amp; basin</t>
  </si>
  <si>
    <t xml:space="preserve">Casing or shell, basin, louvres</t>
  </si>
  <si>
    <t xml:space="preserve">Fans &amp; drives</t>
  </si>
  <si>
    <t xml:space="preserve">Fans, gearboxes, motors, VFDs</t>
  </si>
  <si>
    <t xml:space="preserve">Accessories</t>
  </si>
  <si>
    <t xml:space="preserve">Ladders, controls, vibration switches</t>
  </si>
  <si>
    <t xml:space="preserve">Assembly &amp; supply</t>
  </si>
  <si>
    <t xml:space="preserve">Erection and assembly labour, transport</t>
  </si>
  <si>
    <t xml:space="preserve">Overheads</t>
  </si>
  <si>
    <t xml:space="preserve">Margin</t>
  </si>
  <si>
    <t xml:space="preserve">SHOULD-COST, ex-works (Rs)</t>
  </si>
  <si>
    <t xml:space="preserve">Check against Costing sheet</t>
  </si>
  <si>
    <t xml:space="preserve">Key results</t>
  </si>
  <si>
    <t xml:space="preserve">Should-cost (Rs crore)</t>
  </si>
  <si>
    <t xml:space="preserve">Rs per TR</t>
  </si>
  <si>
    <t xml:space="preserve">Rs per m3/h of water</t>
  </si>
  <si>
    <t xml:space="preserve">Heat rejected (TR)</t>
  </si>
  <si>
    <t xml:space="preserve">Water flow (m3/h)</t>
  </si>
  <si>
    <t xml:space="preserve">Hot / cold water (°C)</t>
  </si>
  <si>
    <t xml:space="preserve">L/G ratio chosen</t>
  </si>
  <si>
    <t xml:space="preserve">Merkel number demanded</t>
  </si>
  <si>
    <t xml:space="preserve">Fill depth (m)</t>
  </si>
  <si>
    <t xml:space="preserve">Plan area (m2)</t>
  </si>
  <si>
    <t xml:space="preserve">Cells x cell side (m)</t>
  </si>
  <si>
    <t xml:space="preserve">Height (m)</t>
  </si>
  <si>
    <t xml:space="preserve">Fan shaft power, total (kW)</t>
  </si>
  <si>
    <t xml:space="preserve">Motor per cell (kW)</t>
  </si>
  <si>
    <t xml:space="preserve">Fan diameter (m)</t>
  </si>
  <si>
    <t xml:space="preserve">Make-up water (m3/h)</t>
  </si>
  <si>
    <t xml:space="preserve">Benchmark</t>
  </si>
  <si>
    <t xml:space="preserve">Band for this type, Rs per TR</t>
  </si>
  <si>
    <t xml:space="preserve">This tower against the band</t>
  </si>
  <si>
    <t xml:space="preserve">Approach check</t>
  </si>
  <si>
    <t xml:space="preserve">Thermal sizing</t>
  </si>
  <si>
    <t xml:space="preserve">Duty, psychrometrics, Merkel integral and the L/G scan.</t>
  </si>
  <si>
    <t xml:space="preserve">Status</t>
  </si>
  <si>
    <t xml:space="preserve">Cold water out</t>
  </si>
  <si>
    <t xml:space="preserve">Hot water in</t>
  </si>
  <si>
    <t xml:space="preserve">Water flow m3/h</t>
  </si>
  <si>
    <t xml:space="preserve">Tower type row</t>
  </si>
  <si>
    <t xml:space="preserve">Fill characteristic c</t>
  </si>
  <si>
    <t xml:space="preserve">Fill exponent n</t>
  </si>
  <si>
    <t xml:space="preserve">Plan loading m3/h per m2</t>
  </si>
  <si>
    <t xml:space="preserve">Natural draught?</t>
  </si>
  <si>
    <t xml:space="preserve">Plan area m2</t>
  </si>
  <si>
    <t xml:space="preserve">Air enthalpy at wet-bulb (kJ/kg)</t>
  </si>
  <si>
    <t xml:space="preserve">Chebyshev points</t>
  </si>
  <si>
    <t xml:space="preserve">Point (fraction of range)</t>
  </si>
  <si>
    <t xml:space="preserve">x</t>
  </si>
  <si>
    <t xml:space="preserve">Water temp</t>
  </si>
  <si>
    <t xml:space="preserve">Saturated enthalpy</t>
  </si>
  <si>
    <t xml:space="preserve">Point 1</t>
  </si>
  <si>
    <t xml:space="preserve">Point 2</t>
  </si>
  <si>
    <t xml:space="preserve">Point 3</t>
  </si>
  <si>
    <t xml:space="preserve">Point 4</t>
  </si>
  <si>
    <t xml:space="preserve">L/G scan</t>
  </si>
  <si>
    <t xml:space="preserve">Step</t>
  </si>
  <si>
    <t xml:space="preserve">L/G</t>
  </si>
  <si>
    <t xml:space="preserve">Valid?</t>
  </si>
  <si>
    <t xml:space="preserve">Sum 1/(hs - h)</t>
  </si>
  <si>
    <t xml:space="preserve">Merkel demand</t>
  </si>
  <si>
    <t xml:space="preserve">KaV/L per m</t>
  </si>
  <si>
    <t xml:space="preserve">Fill depth m</t>
  </si>
  <si>
    <t xml:space="preserve">Air kg/s</t>
  </si>
  <si>
    <t xml:space="preserve">Air m3/s</t>
  </si>
  <si>
    <t xml:space="preserve">Fan shaft kW</t>
  </si>
  <si>
    <t xml:space="preserve">Cost proxy Rs</t>
  </si>
  <si>
    <t xml:space="preserve">Fill m3</t>
  </si>
  <si>
    <t xml:space="preserve">Selected L/G</t>
  </si>
  <si>
    <t xml:space="preserve">Best step (first minimum cost)</t>
  </si>
  <si>
    <t xml:space="preserve">Fill depth before clamping m</t>
  </si>
  <si>
    <t xml:space="preserve">Fill depth used m</t>
  </si>
  <si>
    <t xml:space="preserve">Fan shaft kW (total)</t>
  </si>
  <si>
    <t xml:space="preserve">Fill volume m3</t>
  </si>
  <si>
    <t xml:space="preserve">Geometry and priced build-up</t>
  </si>
  <si>
    <t xml:space="preserve">Quantities from the thermal sizing; rates from Rates.</t>
  </si>
  <si>
    <t xml:space="preserve">Number of cells</t>
  </si>
  <si>
    <t xml:space="preserve">Plan area per cell m2</t>
  </si>
  <si>
    <t xml:space="preserve">Cell side m</t>
  </si>
  <si>
    <t xml:space="preserve">Height m</t>
  </si>
  <si>
    <t xml:space="preserve">Motor per cell kW</t>
  </si>
  <si>
    <t xml:space="preserve">Fan diameter m</t>
  </si>
  <si>
    <t xml:space="preserve">Perimeter m (all cells)</t>
  </si>
  <si>
    <t xml:space="preserve">Louvre face m2</t>
  </si>
  <si>
    <t xml:space="preserve">Casing</t>
  </si>
  <si>
    <t xml:space="preserve">Fill</t>
  </si>
  <si>
    <t xml:space="preserve">Item</t>
  </si>
  <si>
    <t xml:space="preserve">Qty</t>
  </si>
  <si>
    <t xml:space="preserve">Unit</t>
  </si>
  <si>
    <t xml:space="preserve">Rate Rs</t>
  </si>
  <si>
    <t xml:space="preserve">Amount Rs</t>
  </si>
  <si>
    <t xml:space="preserve">Group</t>
  </si>
  <si>
    <t xml:space="preserve">Fill, installed</t>
  </si>
  <si>
    <t xml:space="preserve">m3</t>
  </si>
  <si>
    <t xml:space="preserve">Drift eliminators</t>
  </si>
  <si>
    <t xml:space="preserve">m2</t>
  </si>
  <si>
    <t xml:space="preserve">Water distribution headers and nozzles</t>
  </si>
  <si>
    <t xml:space="preserve">FRP casing, panels and framing</t>
  </si>
  <si>
    <t xml:space="preserve">Cold-water basin, FRP</t>
  </si>
  <si>
    <t xml:space="preserve">Hot-dip galvanised structure and casing</t>
  </si>
  <si>
    <t xml:space="preserve">kg</t>
  </si>
  <si>
    <t xml:space="preserve">Steel basin and sheeting</t>
  </si>
  <si>
    <t xml:space="preserve">RCC shell, columns, fan deck and basin</t>
  </si>
  <si>
    <t xml:space="preserve">Air-inlet louvres</t>
  </si>
  <si>
    <t xml:space="preserve">Axial fans (each)</t>
  </si>
  <si>
    <t xml:space="preserve">nos</t>
  </si>
  <si>
    <t xml:space="preserve">Gearbox and drive shaft</t>
  </si>
  <si>
    <t xml:space="preserve">Fan motors, IE3</t>
  </si>
  <si>
    <t xml:space="preserve">VFDs</t>
  </si>
  <si>
    <t xml:space="preserve">Ladders, handrails, level and make-up controls</t>
  </si>
  <si>
    <t xml:space="preserve">cells</t>
  </si>
  <si>
    <t xml:space="preserve">Vibration switches</t>
  </si>
  <si>
    <t xml:space="preserve">Material subtotal</t>
  </si>
  <si>
    <t xml:space="preserve">Erection and assembly labour</t>
  </si>
  <si>
    <t xml:space="preserve">lot</t>
  </si>
  <si>
    <t xml:space="preserve">Transport to site</t>
  </si>
  <si>
    <t xml:space="preserve">Direct cost</t>
  </si>
  <si>
    <t xml:space="preserve">Rates and constants</t>
  </si>
  <si>
    <t xml:space="preserve">Blue = assumption. Each value is a named cell (r_...).</t>
  </si>
  <si>
    <t xml:space="preserve">Tower types</t>
  </si>
  <si>
    <t xml:space="preserve">Type</t>
  </si>
  <si>
    <t xml:space="preserve">c (KaV/L per m)</t>
  </si>
  <si>
    <t xml:space="preserve">n</t>
  </si>
  <si>
    <t xml:space="preserve">Loading m3/h per m2</t>
  </si>
  <si>
    <t xml:space="preserve">Fan dP Pa</t>
  </si>
  <si>
    <t xml:space="preserve">Max cell m3/h</t>
  </si>
  <si>
    <t xml:space="preserve">Natural (1)</t>
  </si>
  <si>
    <t xml:space="preserve">Film PVC</t>
  </si>
  <si>
    <t xml:space="preserve">FRP</t>
  </si>
  <si>
    <t xml:space="preserve">Crossflow, induced draught, FRP</t>
  </si>
  <si>
    <t xml:space="preserve">Splash / low-clog film</t>
  </si>
  <si>
    <t xml:space="preserve">Counterflow, induced draught, RCC</t>
  </si>
  <si>
    <t xml:space="preserve">RCC</t>
  </si>
  <si>
    <t xml:space="preserve">Counterflow, induced draught, HDG steel</t>
  </si>
  <si>
    <t xml:space="preserve">HDG steel</t>
  </si>
  <si>
    <t xml:space="preserve">Natural draught, hyperbolic (RCC)</t>
  </si>
  <si>
    <t xml:space="preserve">Fill rates, installed</t>
  </si>
  <si>
    <t xml:space="preserve">Rs/m3</t>
  </si>
  <si>
    <t xml:space="preserve">Psychrometrics and L/G scan</t>
  </si>
  <si>
    <t xml:space="preserve">Barometric pressure</t>
  </si>
  <si>
    <t xml:space="preserve">kPa</t>
  </si>
  <si>
    <t xml:space="preserve">L/G scan minimum</t>
  </si>
  <si>
    <t xml:space="preserve">L/G scan maximum</t>
  </si>
  <si>
    <t xml:space="preserve">L/G step</t>
  </si>
  <si>
    <t xml:space="preserve">Specific heat of water</t>
  </si>
  <si>
    <t xml:space="preserve">kJ/kg K</t>
  </si>
  <si>
    <t xml:space="preserve">Heat to flow: kW per (m3/h x K)</t>
  </si>
  <si>
    <t xml:space="preserve">Air density at fan</t>
  </si>
  <si>
    <t xml:space="preserve">kg/m3</t>
  </si>
  <si>
    <t xml:space="preserve">Maximum Merkel number considered</t>
  </si>
  <si>
    <t xml:space="preserve">Minimum fill depth</t>
  </si>
  <si>
    <t xml:space="preserve">m</t>
  </si>
  <si>
    <t xml:space="preserve">Maximum fill depth</t>
  </si>
  <si>
    <t xml:space="preserve">Clamp multiple of maximum depth</t>
  </si>
  <si>
    <t xml:space="preserve">Fan cost proxy in the L/G choice</t>
  </si>
  <si>
    <t xml:space="preserve">Rs per shaft kW</t>
  </si>
  <si>
    <t xml:space="preserve">Fill, drift and distribution</t>
  </si>
  <si>
    <t xml:space="preserve">Rs/m2 plan</t>
  </si>
  <si>
    <t xml:space="preserve">Rs/m2 face</t>
  </si>
  <si>
    <t xml:space="preserve">Louvre height beyond fill depth</t>
  </si>
  <si>
    <t xml:space="preserve">Casing, structure and basin</t>
  </si>
  <si>
    <t xml:space="preserve">FRP casing, panels, framing</t>
  </si>
  <si>
    <t xml:space="preserve">Rs/m2</t>
  </si>
  <si>
    <t xml:space="preserve">Hot-dip galvanised steel</t>
  </si>
  <si>
    <t xml:space="preserve">Rs/kg</t>
  </si>
  <si>
    <t xml:space="preserve">Steel per m2 plan at 8 m height</t>
  </si>
  <si>
    <t xml:space="preserve">kg/m2</t>
  </si>
  <si>
    <t xml:space="preserve">Reference height for steel</t>
  </si>
  <si>
    <t xml:space="preserve">kg/m2 plan</t>
  </si>
  <si>
    <t xml:space="preserve">Basin steel price factor</t>
  </si>
  <si>
    <t xml:space="preserve">RCC per m2 plan</t>
  </si>
  <si>
    <t xml:space="preserve">m3/m2</t>
  </si>
  <si>
    <t xml:space="preserve">Natural-draught shell factor</t>
  </si>
  <si>
    <t xml:space="preserve">Height: distribution, plenum and basin</t>
  </si>
  <si>
    <t xml:space="preserve">Height: fan stack (mechanical)</t>
  </si>
  <si>
    <t xml:space="preserve">Height: extra for RCC</t>
  </si>
  <si>
    <t xml:space="preserve">Fans and drives</t>
  </si>
  <si>
    <t xml:space="preserve">Fan efficiency</t>
  </si>
  <si>
    <t xml:space="preserve">Fan face velocity</t>
  </si>
  <si>
    <t xml:space="preserve">m/s</t>
  </si>
  <si>
    <t xml:space="preserve">Fan cost: base</t>
  </si>
  <si>
    <t xml:space="preserve">Fan cost: diameter exponent</t>
  </si>
  <si>
    <t xml:space="preserve">Motor margin on shaft kW</t>
  </si>
  <si>
    <t xml:space="preserve">Rs/kW</t>
  </si>
  <si>
    <t xml:space="preserve">Accessories and cost stack</t>
  </si>
  <si>
    <t xml:space="preserve">Rs/cell</t>
  </si>
  <si>
    <t xml:space="preserve">Vibration switch</t>
  </si>
  <si>
    <t xml:space="preserve">of material</t>
  </si>
  <si>
    <t xml:space="preserve">of direct</t>
  </si>
  <si>
    <t xml:space="preserve">of direct + overheads</t>
  </si>
  <si>
    <t xml:space="preserve">Make-up water factor</t>
  </si>
  <si>
    <t xml:space="preserve">m3/h per (m3/h x K)</t>
  </si>
  <si>
    <t xml:space="preserve">Benchmark bands, Rs per TR</t>
  </si>
  <si>
    <t xml:space="preserve">Low</t>
  </si>
  <si>
    <t xml:space="preserve">High</t>
  </si>
  <si>
    <t xml:space="preserve">Sample towers (copy the values into Inputs)</t>
  </si>
  <si>
    <t xml:space="preserve">Tower</t>
  </si>
  <si>
    <t xml:space="preserve">Range K</t>
  </si>
  <si>
    <t xml:space="preserve">Approach K</t>
  </si>
  <si>
    <t xml:space="preserve">Wet-bulb</t>
  </si>
  <si>
    <t xml:space="preserve">VFD</t>
  </si>
  <si>
    <t xml:space="preserve">CT-02 3,000 TR plant (FRP, VFD)</t>
  </si>
  <si>
    <t xml:space="preserve">Yes</t>
  </si>
  <si>
    <t xml:space="preserve">CT-03 Process, steel (HDG)</t>
  </si>
  <si>
    <t xml:space="preserve">CT-04 Power plant, RCC</t>
  </si>
  <si>
    <t xml:space="preserve">CT-05 Small crossflow (FRP)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</si>
</sst>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TR&quot;"/>
    <numFmt numFmtId="166" formatCode="#,##0"/>
    <numFmt numFmtId="167" formatCode="0.0%"/>
    <numFmt numFmtId="168" formatCode="0.000"/>
    <numFmt numFmtId="169" formatCode="@"/>
    <numFmt numFmtId="170" formatCode="0.00"/>
    <numFmt numFmtId="171" formatCode="0.0"/>
    <numFmt numFmtId="172" formatCode="#,##0.0"/>
    <numFmt numFmtId="173" formatCode="0"/>
    <numFmt numFmtId="174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mbria"/>
      <family val="0"/>
      <charset val="1"/>
    </font>
    <font>
      <i val="true"/>
      <sz val="11"/>
      <color rgb="FF6B748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FBF"/>
      <name val="Cambria"/>
      <family val="0"/>
      <charset val="1"/>
    </font>
    <font>
      <b val="true"/>
      <sz val="11"/>
      <color rgb="FFC0392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rgb="FF6B748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EEF1F5"/>
      </patternFill>
    </fill>
    <fill>
      <patternFill patternType="solid">
        <fgColor rgb="FF1F3A5F"/>
        <bgColor rgb="FF333333"/>
      </patternFill>
    </fill>
    <fill>
      <patternFill patternType="solid">
        <fgColor rgb="FFE3F1E7"/>
        <bgColor rgb="FFEEF1F5"/>
      </patternFill>
    </fill>
    <fill>
      <patternFill patternType="solid">
        <fgColor rgb="FFEEF1F5"/>
        <bgColor rgb="FFE3F1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1E7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2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3.75" hidden="false" customHeight="true" outlineLevel="0" collapsed="false">
      <c r="A4" s="3" t="s">
        <v>2</v>
      </c>
      <c r="B4" s="4" t="s">
        <v>3</v>
      </c>
    </row>
    <row r="5" customFormat="false" ht="63.75" hidden="false" customHeight="true" outlineLevel="0" collapsed="false">
      <c r="A5" s="3" t="s">
        <v>4</v>
      </c>
      <c r="B5" s="4" t="s">
        <v>5</v>
      </c>
    </row>
    <row r="6" customFormat="false" ht="63.75" hidden="false" customHeight="true" outlineLevel="0" collapsed="false">
      <c r="A6" s="3" t="s">
        <v>6</v>
      </c>
      <c r="B6" s="4" t="s">
        <v>7</v>
      </c>
    </row>
    <row r="7" customFormat="false" ht="63.75" hidden="false" customHeight="true" outlineLevel="0" collapsed="false">
      <c r="A7" s="3" t="s">
        <v>8</v>
      </c>
      <c r="B7" s="4" t="s">
        <v>9</v>
      </c>
    </row>
    <row r="8" customFormat="false" ht="63.75" hidden="false" customHeight="true" outlineLevel="0" collapsed="false">
      <c r="A8" s="3" t="s">
        <v>10</v>
      </c>
      <c r="B8" s="4" t="s">
        <v>11</v>
      </c>
    </row>
    <row r="9" customFormat="false" ht="63.75" hidden="false" customHeight="true" outlineLevel="0" collapsed="false">
      <c r="A9" s="3" t="s">
        <v>12</v>
      </c>
      <c r="B9" s="4" t="s">
        <v>13</v>
      </c>
    </row>
    <row r="10" customFormat="false" ht="63.75" hidden="false" customHeight="true" outlineLevel="0" collapsed="false">
      <c r="A10" s="3" t="s">
        <v>14</v>
      </c>
      <c r="B10" s="4" t="s">
        <v>15</v>
      </c>
    </row>
    <row r="11" customFormat="false" ht="63.7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44"/>
  </cols>
  <sheetData>
    <row r="1" customFormat="false" ht="18.55" hidden="false" customHeight="false" outlineLevel="0" collapsed="false">
      <c r="A1" s="1" t="s">
        <v>18</v>
      </c>
    </row>
    <row r="4" customFormat="false" ht="15" hidden="false" customHeight="false" outlineLevel="0" collapsed="false">
      <c r="A4" s="0" t="s">
        <v>19</v>
      </c>
      <c r="B4" s="5" t="s">
        <v>20</v>
      </c>
    </row>
    <row r="5" customFormat="false" ht="15" hidden="false" customHeight="false" outlineLevel="0" collapsed="false">
      <c r="A5" s="0" t="s">
        <v>21</v>
      </c>
      <c r="B5" s="5" t="n">
        <v>3517</v>
      </c>
      <c r="C5" s="6" t="s">
        <v>22</v>
      </c>
      <c r="D5" s="7" t="n">
        <f aca="false">B5/3.517</f>
        <v>1000</v>
      </c>
    </row>
    <row r="6" customFormat="false" ht="15" hidden="false" customHeight="false" outlineLevel="0" collapsed="false">
      <c r="A6" s="0" t="s">
        <v>23</v>
      </c>
      <c r="B6" s="5" t="n">
        <v>5</v>
      </c>
      <c r="C6" s="6" t="s">
        <v>24</v>
      </c>
    </row>
    <row r="7" customFormat="false" ht="15" hidden="false" customHeight="false" outlineLevel="0" collapsed="false">
      <c r="A7" s="0" t="s">
        <v>25</v>
      </c>
      <c r="B7" s="5" t="n">
        <v>4</v>
      </c>
      <c r="C7" s="6" t="s">
        <v>24</v>
      </c>
    </row>
    <row r="8" customFormat="false" ht="15" hidden="false" customHeight="false" outlineLevel="0" collapsed="false">
      <c r="A8" s="0" t="s">
        <v>26</v>
      </c>
      <c r="B8" s="5" t="n">
        <v>28</v>
      </c>
      <c r="C8" s="6" t="s">
        <v>27</v>
      </c>
    </row>
    <row r="9" customFormat="false" ht="15" hidden="false" customHeight="false" outlineLevel="0" collapsed="false">
      <c r="A9" s="0" t="s">
        <v>28</v>
      </c>
      <c r="B9" s="5" t="s">
        <v>29</v>
      </c>
      <c r="D9" s="6" t="s">
        <v>30</v>
      </c>
    </row>
    <row r="10" customFormat="false" ht="15" hidden="false" customHeight="false" outlineLevel="0" collapsed="false">
      <c r="A10" s="0" t="s">
        <v>31</v>
      </c>
      <c r="B10" s="5" t="s">
        <v>32</v>
      </c>
      <c r="D10" s="6" t="s">
        <v>33</v>
      </c>
    </row>
  </sheetData>
  <dataValidations count="2">
    <dataValidation allowBlank="false" errorStyle="stop" operator="between" showDropDown="false" showErrorMessage="false" showInputMessage="false" sqref="B9" type="list">
      <formula1>Rates!$A$7:$A$11</formula1>
      <formula2>0</formula2>
    </dataValidation>
    <dataValidation allowBlank="false" errorStyle="stop" operator="between" showDropDown="false" showErrorMessage="false" showInputMessage="false" sqref="B10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8.55" hidden="false" customHeight="false" outlineLevel="0" collapsed="false">
      <c r="A1" s="1" t="s">
        <v>34</v>
      </c>
    </row>
    <row r="3" customFormat="false" ht="15" hidden="false" customHeight="false" outlineLevel="0" collapsed="false">
      <c r="A3" s="3" t="str">
        <f aca="false">Inputs!B4</f>
        <v>CT-01 1,000 TR chiller plant (FRP)</v>
      </c>
      <c r="C3" s="8" t="str">
        <f aca="false">t_status</f>
        <v>OK</v>
      </c>
    </row>
    <row r="5" customFormat="false" ht="31.5" hidden="false" customHeight="true" outlineLevel="0" collapsed="false">
      <c r="A5" s="9" t="s">
        <v>35</v>
      </c>
      <c r="B5" s="10" t="s">
        <v>36</v>
      </c>
      <c r="C5" s="10" t="s">
        <v>37</v>
      </c>
      <c r="D5" s="10" t="s">
        <v>38</v>
      </c>
    </row>
    <row r="6" customFormat="false" ht="15" hidden="false" customHeight="false" outlineLevel="0" collapsed="false">
      <c r="A6" s="0" t="s">
        <v>39</v>
      </c>
      <c r="B6" s="11" t="n">
        <f aca="false">SUMIF(Costing!F16:F33,"Fill &amp; drift",Costing!E16:E33)</f>
        <v>1667068.7602615</v>
      </c>
      <c r="C6" s="12" t="n">
        <f aca="false">B6/B$13</f>
        <v>0.325700286405942</v>
      </c>
      <c r="D6" s="13" t="s">
        <v>40</v>
      </c>
    </row>
    <row r="7" customFormat="false" ht="15" hidden="false" customHeight="false" outlineLevel="0" collapsed="false">
      <c r="A7" s="0" t="s">
        <v>41</v>
      </c>
      <c r="B7" s="11" t="n">
        <f aca="false">SUMIF(Costing!F16:F33,"Casing, structure &amp; basin",Costing!E16:E33)</f>
        <v>999830.832703334</v>
      </c>
      <c r="C7" s="12" t="n">
        <f aca="false">B7/B$13</f>
        <v>0.195339986167028</v>
      </c>
      <c r="D7" s="13" t="s">
        <v>42</v>
      </c>
    </row>
    <row r="8" customFormat="false" ht="15" hidden="false" customHeight="false" outlineLevel="0" collapsed="false">
      <c r="A8" s="0" t="s">
        <v>43</v>
      </c>
      <c r="B8" s="11" t="n">
        <f aca="false">SUMIF(Costing!F16:F33,"Fans &amp; drives",Costing!E16:E33)</f>
        <v>918235.122328827</v>
      </c>
      <c r="C8" s="12" t="n">
        <f aca="false">B8/B$13</f>
        <v>0.179398384433513</v>
      </c>
      <c r="D8" s="13" t="s">
        <v>44</v>
      </c>
    </row>
    <row r="9" customFormat="false" ht="15" hidden="false" customHeight="false" outlineLevel="0" collapsed="false">
      <c r="A9" s="0" t="s">
        <v>45</v>
      </c>
      <c r="B9" s="11" t="n">
        <f aca="false">SUMIF(Costing!F16:F33,"Accessories",Costing!E16:E33)</f>
        <v>118000</v>
      </c>
      <c r="C9" s="12" t="n">
        <f aca="false">B9/B$13</f>
        <v>0.0230540183536715</v>
      </c>
      <c r="D9" s="13" t="s">
        <v>46</v>
      </c>
    </row>
    <row r="10" customFormat="false" ht="15" hidden="false" customHeight="false" outlineLevel="0" collapsed="false">
      <c r="A10" s="0" t="s">
        <v>47</v>
      </c>
      <c r="B10" s="11" t="n">
        <f aca="false">SUMIF(Costing!F16:F33,"Assembly &amp; supply",Costing!E16:E33)</f>
        <v>685079.922329328</v>
      </c>
      <c r="C10" s="12" t="n">
        <f aca="false">B10/B$13</f>
        <v>0.133846144941629</v>
      </c>
      <c r="D10" s="13" t="s">
        <v>48</v>
      </c>
    </row>
    <row r="11" customFormat="false" ht="15" hidden="false" customHeight="false" outlineLevel="0" collapsed="false">
      <c r="A11" s="0" t="s">
        <v>49</v>
      </c>
      <c r="B11" s="11" t="n">
        <f aca="false">Costing!E35</f>
        <v>351057.171009839</v>
      </c>
      <c r="C11" s="12" t="n">
        <f aca="false">B11/B$13</f>
        <v>0.0685871056241427</v>
      </c>
      <c r="D11" s="13"/>
    </row>
    <row r="12" customFormat="false" ht="15" hidden="false" customHeight="false" outlineLevel="0" collapsed="false">
      <c r="A12" s="0" t="s">
        <v>50</v>
      </c>
      <c r="B12" s="11" t="n">
        <f aca="false">Costing!E36</f>
        <v>379141.744690626</v>
      </c>
      <c r="C12" s="12" t="n">
        <f aca="false">B12/B$13</f>
        <v>0.0740740740740741</v>
      </c>
      <c r="D12" s="13"/>
    </row>
    <row r="13" customFormat="false" ht="15" hidden="false" customHeight="false" outlineLevel="0" collapsed="false">
      <c r="A13" s="3" t="s">
        <v>51</v>
      </c>
      <c r="B13" s="14" t="n">
        <f aca="false">SUM(B6:B12)</f>
        <v>5118413.55332346</v>
      </c>
      <c r="C13" s="12" t="n">
        <f aca="false">B13/B$13</f>
        <v>1</v>
      </c>
    </row>
    <row r="14" customFormat="false" ht="15" hidden="false" customHeight="false" outlineLevel="0" collapsed="false">
      <c r="A14" s="0" t="s">
        <v>52</v>
      </c>
      <c r="B14" s="0" t="str">
        <f aca="false">IF(ABS(B13-Costing!E37)&lt;1,"OK","MISMATCH")</f>
        <v>OK</v>
      </c>
    </row>
    <row r="16" customFormat="false" ht="15" hidden="false" customHeight="false" outlineLevel="0" collapsed="false">
      <c r="A16" s="3" t="s">
        <v>53</v>
      </c>
    </row>
    <row r="17" customFormat="false" ht="15" hidden="false" customHeight="false" outlineLevel="0" collapsed="false">
      <c r="A17" s="0" t="s">
        <v>54</v>
      </c>
      <c r="B17" s="15" t="n">
        <f aca="false">B13/10000000</f>
        <v>0.511841355332346</v>
      </c>
    </row>
    <row r="18" customFormat="false" ht="15" hidden="false" customHeight="false" outlineLevel="0" collapsed="false">
      <c r="A18" s="0" t="s">
        <v>55</v>
      </c>
      <c r="B18" s="11" t="n">
        <f aca="false">B13/(i_kw/3.517)</f>
        <v>5118.41355332346</v>
      </c>
    </row>
    <row r="19" customFormat="false" ht="15" hidden="false" customHeight="false" outlineLevel="0" collapsed="false">
      <c r="A19" s="0" t="s">
        <v>56</v>
      </c>
      <c r="B19" s="11" t="n">
        <f aca="false">B13/t_flow</f>
        <v>8462.77361745121</v>
      </c>
    </row>
    <row r="20" customFormat="false" ht="15" hidden="false" customHeight="false" outlineLevel="0" collapsed="false">
      <c r="A20" s="0" t="s">
        <v>57</v>
      </c>
      <c r="B20" s="11" t="n">
        <f aca="false">i_kw/3.517</f>
        <v>1000</v>
      </c>
    </row>
    <row r="21" customFormat="false" ht="15" hidden="false" customHeight="false" outlineLevel="0" collapsed="false">
      <c r="A21" s="0" t="s">
        <v>58</v>
      </c>
      <c r="B21" s="11" t="n">
        <f aca="false">t_flow</f>
        <v>604.81513327601</v>
      </c>
    </row>
    <row r="22" customFormat="false" ht="15" hidden="false" customHeight="false" outlineLevel="0" collapsed="false">
      <c r="A22" s="0" t="s">
        <v>59</v>
      </c>
      <c r="B22" s="16" t="str">
        <f aca="false">TEXT(t_tIn,"0.0")&amp;" / "&amp;TEXT(t_tOut,"0.0")</f>
        <v>37.0 / 32.0</v>
      </c>
    </row>
    <row r="23" customFormat="false" ht="15" hidden="false" customHeight="false" outlineLevel="0" collapsed="false">
      <c r="A23" s="0" t="s">
        <v>60</v>
      </c>
      <c r="B23" s="17" t="n">
        <f aca="false">t_lg</f>
        <v>1.3</v>
      </c>
    </row>
    <row r="24" customFormat="false" ht="15" hidden="false" customHeight="false" outlineLevel="0" collapsed="false">
      <c r="A24" s="0" t="s">
        <v>61</v>
      </c>
      <c r="B24" s="15" t="n">
        <f aca="false">t_me</f>
        <v>0.92370511497684</v>
      </c>
    </row>
    <row r="25" customFormat="false" ht="15" hidden="false" customHeight="false" outlineLevel="0" collapsed="false">
      <c r="A25" s="0" t="s">
        <v>62</v>
      </c>
      <c r="B25" s="17" t="n">
        <f aca="false">t_depth</f>
        <v>1.03511577657726</v>
      </c>
    </row>
    <row r="26" customFormat="false" ht="15" hidden="false" customHeight="false" outlineLevel="0" collapsed="false">
      <c r="A26" s="0" t="s">
        <v>63</v>
      </c>
      <c r="B26" s="11" t="n">
        <f aca="false">t_plan</f>
        <v>43.2010809482865</v>
      </c>
    </row>
    <row r="27" customFormat="false" ht="15" hidden="false" customHeight="false" outlineLevel="0" collapsed="false">
      <c r="A27" s="0" t="s">
        <v>64</v>
      </c>
      <c r="B27" s="16" t="str">
        <f aca="false">g_cells&amp;" x "&amp;TEXT(g_side,"0.0")&amp;" m"</f>
        <v>1 x 6.6 m</v>
      </c>
    </row>
    <row r="28" customFormat="false" ht="15" hidden="false" customHeight="false" outlineLevel="0" collapsed="false">
      <c r="A28" s="0" t="s">
        <v>65</v>
      </c>
      <c r="B28" s="18" t="n">
        <f aca="false">g_height</f>
        <v>3.93511577657726</v>
      </c>
    </row>
    <row r="29" customFormat="false" ht="15" hidden="false" customHeight="false" outlineLevel="0" collapsed="false">
      <c r="A29" s="0" t="s">
        <v>66</v>
      </c>
      <c r="B29" s="11" t="n">
        <f aca="false">t_fanKw</f>
        <v>27.1880791381671</v>
      </c>
    </row>
    <row r="30" customFormat="false" ht="15" hidden="false" customHeight="false" outlineLevel="0" collapsed="false">
      <c r="A30" s="0" t="s">
        <v>67</v>
      </c>
      <c r="B30" s="18" t="n">
        <f aca="false">g_motorKw</f>
        <v>31.5</v>
      </c>
    </row>
    <row r="31" customFormat="false" ht="15" hidden="false" customHeight="false" outlineLevel="0" collapsed="false">
      <c r="A31" s="0" t="s">
        <v>68</v>
      </c>
      <c r="B31" s="18" t="n">
        <f aca="false">g_fanDia</f>
        <v>4.45787913081415</v>
      </c>
    </row>
    <row r="32" customFormat="false" ht="15" hidden="false" customHeight="false" outlineLevel="0" collapsed="false">
      <c r="A32" s="0" t="s">
        <v>69</v>
      </c>
      <c r="B32" s="18" t="n">
        <f aca="false">t_flow*r_makeup*i_range</f>
        <v>4.62683576956148</v>
      </c>
    </row>
    <row r="34" customFormat="false" ht="15" hidden="false" customHeight="false" outlineLevel="0" collapsed="false">
      <c r="A34" s="3" t="s">
        <v>70</v>
      </c>
    </row>
    <row r="35" customFormat="false" ht="15" hidden="false" customHeight="false" outlineLevel="0" collapsed="false">
      <c r="A35" s="0" t="s">
        <v>71</v>
      </c>
      <c r="B35" s="0" t="str">
        <f aca="false">TEXT(INDEX(r_bLo,t_row),"#,##0")&amp;" - "&amp;TEXT(INDEX(r_bHi,t_row),"#,##0")</f>
        <v>4,200 - 7,000</v>
      </c>
    </row>
    <row r="36" customFormat="false" ht="15" hidden="false" customHeight="false" outlineLevel="0" collapsed="false">
      <c r="A36" s="0" t="s">
        <v>72</v>
      </c>
      <c r="B36" s="0" t="str">
        <f aca="false">IF(B18&lt;INDEX(r_bLo,t_row),"below",IF(B18&gt;INDEX(r_bHi,t_row),"above","inside"))</f>
        <v>inside</v>
      </c>
    </row>
    <row r="37" customFormat="false" ht="15" hidden="false" customHeight="false" outlineLevel="0" collapsed="false">
      <c r="A37" s="0" t="s">
        <v>73</v>
      </c>
      <c r="B37" s="0" t="str">
        <f aca="false">IF(i_approach&lt;3.5,"Approach under 3.5 K: fill depth and cost climb steeply","OK")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0" min="2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8.5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3" customFormat="false" ht="15" hidden="false" customHeight="false" outlineLevel="0" collapsed="false">
      <c r="A3" s="0" t="s">
        <v>76</v>
      </c>
      <c r="B3" s="3" t="str">
        <f aca="false">IF(i_approach&lt;2.8,"Approach below 2.8 K: not practical for a mechanical-draught tower",IF(COUNT(K25:K49)=0,"No feasible L/G ratio for this duty","OK"))</f>
        <v>OK</v>
      </c>
    </row>
    <row r="5" customFormat="false" ht="15" hidden="false" customHeight="false" outlineLevel="0" collapsed="false">
      <c r="A5" s="0" t="s">
        <v>77</v>
      </c>
      <c r="B5" s="17" t="n">
        <f aca="false">i_wb+i_approach</f>
        <v>32</v>
      </c>
    </row>
    <row r="6" customFormat="false" ht="15" hidden="false" customHeight="false" outlineLevel="0" collapsed="false">
      <c r="A6" s="0" t="s">
        <v>78</v>
      </c>
      <c r="B6" s="17" t="n">
        <f aca="false">t_tOut+i_range</f>
        <v>37</v>
      </c>
    </row>
    <row r="7" customFormat="false" ht="15" hidden="false" customHeight="false" outlineLevel="0" collapsed="false">
      <c r="A7" s="0" t="s">
        <v>79</v>
      </c>
      <c r="B7" s="19" t="n">
        <f aca="false">i_kw/(r_heatF*i_range)</f>
        <v>604.81513327601</v>
      </c>
    </row>
    <row r="8" customFormat="false" ht="15" hidden="false" customHeight="false" outlineLevel="0" collapsed="false">
      <c r="A8" s="0" t="s">
        <v>80</v>
      </c>
      <c r="B8" s="20" t="n">
        <f aca="false">MATCH(i_type,r_tList,0)</f>
        <v>1</v>
      </c>
    </row>
    <row r="9" customFormat="false" ht="15" hidden="false" customHeight="false" outlineLevel="0" collapsed="false">
      <c r="A9" s="0" t="s">
        <v>81</v>
      </c>
      <c r="B9" s="15" t="n">
        <f aca="false">INDEX(r_tC,t_row)</f>
        <v>1.05</v>
      </c>
    </row>
    <row r="10" customFormat="false" ht="15" hidden="false" customHeight="false" outlineLevel="0" collapsed="false">
      <c r="A10" s="0" t="s">
        <v>82</v>
      </c>
      <c r="B10" s="15" t="n">
        <f aca="false">INDEX(r_tN,t_row)</f>
        <v>0.62</v>
      </c>
    </row>
    <row r="11" customFormat="false" ht="15" hidden="false" customHeight="false" outlineLevel="0" collapsed="false">
      <c r="A11" s="0" t="s">
        <v>83</v>
      </c>
      <c r="B11" s="18" t="n">
        <f aca="false">INDEX(r_tLoad,t_row)</f>
        <v>14</v>
      </c>
    </row>
    <row r="12" customFormat="false" ht="15" hidden="false" customHeight="false" outlineLevel="0" collapsed="false">
      <c r="A12" s="0" t="s">
        <v>84</v>
      </c>
      <c r="B12" s="20" t="n">
        <f aca="false">INDEX(r_tNat,t_row)</f>
        <v>0</v>
      </c>
    </row>
    <row r="13" customFormat="false" ht="15" hidden="false" customHeight="false" outlineLevel="0" collapsed="false">
      <c r="A13" s="0" t="s">
        <v>85</v>
      </c>
      <c r="B13" s="19" t="n">
        <f aca="false">t_flow/t_load</f>
        <v>43.2010809482865</v>
      </c>
    </row>
    <row r="14" customFormat="false" ht="15" hidden="false" customHeight="false" outlineLevel="0" collapsed="false">
      <c r="A14" s="0" t="s">
        <v>86</v>
      </c>
      <c r="B14" s="15" t="n">
        <f aca="false">1.006*i_wb+0.622*(0.61078*EXP(17.27*i_wb/(i_wb+237.3)))/(r_pressure-0.61078*EXP(17.27*i_wb/(i_wb+237.3)))*(2501+1.86*i_wb)</f>
        <v>89.7024768073474</v>
      </c>
    </row>
    <row r="16" customFormat="false" ht="15" hidden="false" customHeight="false" outlineLevel="0" collapsed="false">
      <c r="A16" s="3" t="s">
        <v>87</v>
      </c>
    </row>
    <row r="17" customFormat="false" ht="31.5" hidden="false" customHeight="true" outlineLevel="0" collapsed="false">
      <c r="A17" s="9" t="s">
        <v>88</v>
      </c>
      <c r="B17" s="10" t="s">
        <v>89</v>
      </c>
      <c r="C17" s="10" t="s">
        <v>90</v>
      </c>
      <c r="D17" s="10" t="s">
        <v>91</v>
      </c>
    </row>
    <row r="18" customFormat="false" ht="15" hidden="false" customHeight="false" outlineLevel="0" collapsed="false">
      <c r="A18" s="0" t="s">
        <v>92</v>
      </c>
      <c r="B18" s="21" t="n">
        <v>0.1</v>
      </c>
      <c r="C18" s="17" t="n">
        <f aca="false">t_tOut+B18*i_range</f>
        <v>32.5</v>
      </c>
      <c r="D18" s="15" t="n">
        <f aca="false">1.006*C18+0.622*(0.61078*EXP(17.27*C18/(C18+237.3)))/(r_pressure-0.61078*EXP(17.27*C18/(C18+237.3)))*(2501+1.86*C18)</f>
        <v>113.494408445103</v>
      </c>
    </row>
    <row r="19" customFormat="false" ht="15" hidden="false" customHeight="false" outlineLevel="0" collapsed="false">
      <c r="A19" s="0" t="s">
        <v>93</v>
      </c>
      <c r="B19" s="21" t="n">
        <v>0.4</v>
      </c>
      <c r="C19" s="17" t="n">
        <f aca="false">t_tOut+B19*i_range</f>
        <v>34</v>
      </c>
      <c r="D19" s="15" t="n">
        <f aca="false">1.006*C19+0.622*(0.61078*EXP(17.27*C19/(C19+237.3)))/(r_pressure-0.61078*EXP(17.27*C19/(C19+237.3)))*(2501+1.86*C19)</f>
        <v>122.570587497597</v>
      </c>
    </row>
    <row r="20" customFormat="false" ht="15" hidden="false" customHeight="false" outlineLevel="0" collapsed="false">
      <c r="A20" s="0" t="s">
        <v>94</v>
      </c>
      <c r="B20" s="21" t="n">
        <v>0.6</v>
      </c>
      <c r="C20" s="17" t="n">
        <f aca="false">t_tOut+B20*i_range</f>
        <v>35</v>
      </c>
      <c r="D20" s="15" t="n">
        <f aca="false">1.006*C20+0.622*(0.61078*EXP(17.27*C20/(C20+237.3)))/(r_pressure-0.61078*EXP(17.27*C20/(C20+237.3)))*(2501+1.86*C20)</f>
        <v>128.981293739441</v>
      </c>
    </row>
    <row r="21" customFormat="false" ht="15" hidden="false" customHeight="false" outlineLevel="0" collapsed="false">
      <c r="A21" s="0" t="s">
        <v>95</v>
      </c>
      <c r="B21" s="21" t="n">
        <v>0.9</v>
      </c>
      <c r="C21" s="17" t="n">
        <f aca="false">t_tOut+B21*i_range</f>
        <v>36.5</v>
      </c>
      <c r="D21" s="15" t="n">
        <f aca="false">1.006*C21+0.622*(0.61078*EXP(17.27*C21/(C21+237.3)))/(r_pressure-0.61078*EXP(17.27*C21/(C21+237.3)))*(2501+1.86*C21)</f>
        <v>139.177657117036</v>
      </c>
    </row>
    <row r="23" customFormat="false" ht="15" hidden="false" customHeight="false" outlineLevel="0" collapsed="false">
      <c r="A23" s="3" t="s">
        <v>96</v>
      </c>
    </row>
    <row r="24" customFormat="false" ht="31.5" hidden="false" customHeight="true" outlineLevel="0" collapsed="false">
      <c r="A24" s="9" t="s">
        <v>97</v>
      </c>
      <c r="B24" s="10" t="s">
        <v>98</v>
      </c>
      <c r="C24" s="10" t="s">
        <v>99</v>
      </c>
      <c r="D24" s="10" t="s">
        <v>100</v>
      </c>
      <c r="E24" s="10" t="s">
        <v>101</v>
      </c>
      <c r="F24" s="10" t="s">
        <v>102</v>
      </c>
      <c r="G24" s="10" t="s">
        <v>103</v>
      </c>
      <c r="H24" s="10" t="s">
        <v>104</v>
      </c>
      <c r="I24" s="10" t="s">
        <v>105</v>
      </c>
      <c r="J24" s="10" t="s">
        <v>106</v>
      </c>
      <c r="K24" s="10" t="s">
        <v>107</v>
      </c>
      <c r="L24" s="10" t="s">
        <v>108</v>
      </c>
    </row>
    <row r="25" customFormat="false" ht="15" hidden="false" customHeight="false" outlineLevel="0" collapsed="false">
      <c r="A25" s="0" t="n">
        <v>0</v>
      </c>
      <c r="B25" s="17" t="n">
        <f aca="false">r_lgMin+r_lgStep*A25</f>
        <v>0.9</v>
      </c>
      <c r="C25" s="6" t="n">
        <f aca="false">IF(B25&lt;=r_lgMax+0.000000001,1,0)</f>
        <v>1</v>
      </c>
      <c r="D25" s="6" t="n">
        <f aca="false">IF($D$18-(t_hIn+$B$18*i_range*r_cpw*B25)&gt;0,1/($D$18-(t_hIn+$B$18*i_range*r_cpw*B25)),1000000000)+IF($D$19-(t_hIn+$B$19*i_range*r_cpw*B25)&gt;0,1/($D$19-(t_hIn+$B$19*i_range*r_cpw*B25)),1000000000)+IF($D$20-(t_hIn+$B$20*i_range*r_cpw*B25)&gt;0,1/($D$20-(t_hIn+$B$20*i_range*r_cpw*B25)),1000000000)+IF($D$21-(t_hIn+$B$21*i_range*r_cpw*B25)&gt;0,1/($D$21-(t_hIn+$B$21*i_range*r_cpw*B25)),1000000000)</f>
        <v>0.151611328811578</v>
      </c>
      <c r="E25" s="15" t="n">
        <f aca="false">i_range*r_cpw/4*D25</f>
        <v>0.793306278006581</v>
      </c>
      <c r="F25" s="15" t="n">
        <f aca="false">t_c*B25^(-t_n)</f>
        <v>1.12087954357377</v>
      </c>
      <c r="G25" s="15" t="n">
        <f aca="false">E25/F25</f>
        <v>0.707753373281514</v>
      </c>
      <c r="H25" s="22" t="n">
        <f aca="false">t_flow*1000/3600/B25</f>
        <v>186.671337430867</v>
      </c>
      <c r="I25" s="22" t="n">
        <f aca="false">H25/r_rhoAir</f>
        <v>162.322902113798</v>
      </c>
      <c r="J25" s="22" t="n">
        <f aca="false">IF(t_nat=1,0,I25*INDEX(r_tDp,t_row)/(r_fanEff*1000))</f>
        <v>39.2716698662414</v>
      </c>
      <c r="K25" s="11" t="n">
        <f aca="false">IF(AND(C25=1,E25&lt;=r_meMax),L25*INDEX(r_fillRate,MATCH(INDEX(r_tFill,t_row),r_fillList,0))+J25*r_fanProxy,"")</f>
        <v>3304147.22586177</v>
      </c>
      <c r="L25" s="22" t="n">
        <f aca="false">t_plan*G25</f>
        <v>30.5757107705575</v>
      </c>
    </row>
    <row r="26" customFormat="false" ht="15" hidden="false" customHeight="false" outlineLevel="0" collapsed="false">
      <c r="A26" s="0" t="n">
        <v>1</v>
      </c>
      <c r="B26" s="17" t="n">
        <f aca="false">r_lgMin+r_lgStep*A26</f>
        <v>0.95</v>
      </c>
      <c r="C26" s="6" t="n">
        <f aca="false">IF(B26&lt;=r_lgMax+0.000000001,1,0)</f>
        <v>1</v>
      </c>
      <c r="D26" s="6" t="n">
        <f aca="false">IF($D$18-(t_hIn+$B$18*i_range*r_cpw*B26)&gt;0,1/($D$18-(t_hIn+$B$18*i_range*r_cpw*B26)),1000000000)+IF($D$19-(t_hIn+$B$19*i_range*r_cpw*B26)&gt;0,1/($D$19-(t_hIn+$B$19*i_range*r_cpw*B26)),1000000000)+IF($D$20-(t_hIn+$B$20*i_range*r_cpw*B26)&gt;0,1/($D$20-(t_hIn+$B$20*i_range*r_cpw*B26)),1000000000)+IF($D$21-(t_hIn+$B$21*i_range*r_cpw*B26)&gt;0,1/($D$21-(t_hIn+$B$21*i_range*r_cpw*B26)),1000000000)</f>
        <v>0.154231321844039</v>
      </c>
      <c r="E26" s="15" t="n">
        <f aca="false">i_range*r_cpw/4*D26</f>
        <v>0.807015391548934</v>
      </c>
      <c r="F26" s="15" t="n">
        <f aca="false">t_c*B26^(-t_n)</f>
        <v>1.08392857073422</v>
      </c>
      <c r="G26" s="15" t="n">
        <f aca="false">E26/F26</f>
        <v>0.744528203553384</v>
      </c>
      <c r="H26" s="22" t="n">
        <f aca="false">t_flow*1000/3600/B26</f>
        <v>176.846530197664</v>
      </c>
      <c r="I26" s="22" t="n">
        <f aca="false">H26/r_rhoAir</f>
        <v>153.779591476229</v>
      </c>
      <c r="J26" s="22" t="n">
        <f aca="false">IF(t_nat=1,0,I26*INDEX(r_tDp,t_row)/(r_fanEff*1000))</f>
        <v>37.2047398732813</v>
      </c>
      <c r="K26" s="11" t="n">
        <f aca="false">IF(AND(C26=1,E26&lt;=r_meMax),L26*INDEX(r_fillRate,MATCH(INDEX(r_tFill,t_row),r_fillList,0))+J26*r_fanProxy,"")</f>
        <v>3229381.51128663</v>
      </c>
      <c r="L26" s="22" t="n">
        <f aca="false">t_plan*G26</f>
        <v>32.164423189992</v>
      </c>
    </row>
    <row r="27" customFormat="false" ht="15" hidden="false" customHeight="false" outlineLevel="0" collapsed="false">
      <c r="A27" s="0" t="n">
        <v>2</v>
      </c>
      <c r="B27" s="17" t="n">
        <f aca="false">r_lgMin+r_lgStep*A27</f>
        <v>1</v>
      </c>
      <c r="C27" s="6" t="n">
        <f aca="false">IF(B27&lt;=r_lgMax+0.000000001,1,0)</f>
        <v>1</v>
      </c>
      <c r="D27" s="6" t="n">
        <f aca="false">IF($D$18-(t_hIn+$B$18*i_range*r_cpw*B27)&gt;0,1/($D$18-(t_hIn+$B$18*i_range*r_cpw*B27)),1000000000)+IF($D$19-(t_hIn+$B$19*i_range*r_cpw*B27)&gt;0,1/($D$19-(t_hIn+$B$19*i_range*r_cpw*B27)),1000000000)+IF($D$20-(t_hIn+$B$20*i_range*r_cpw*B27)&gt;0,1/($D$20-(t_hIn+$B$20*i_range*r_cpw*B27)),1000000000)+IF($D$21-(t_hIn+$B$21*i_range*r_cpw*B27)&gt;0,1/($D$21-(t_hIn+$B$21*i_range*r_cpw*B27)),1000000000)</f>
        <v>0.156971044912699</v>
      </c>
      <c r="E27" s="15" t="n">
        <f aca="false">i_range*r_cpw/4*D27</f>
        <v>0.821350992505695</v>
      </c>
      <c r="F27" s="15" t="n">
        <f aca="false">t_c*B27^(-t_n)</f>
        <v>1.05</v>
      </c>
      <c r="G27" s="15" t="n">
        <f aca="false">E27/F27</f>
        <v>0.782239040481615</v>
      </c>
      <c r="H27" s="22" t="n">
        <f aca="false">t_flow*1000/3600/B27</f>
        <v>168.004203687781</v>
      </c>
      <c r="I27" s="22" t="n">
        <f aca="false">H27/r_rhoAir</f>
        <v>146.090611902418</v>
      </c>
      <c r="J27" s="22" t="n">
        <f aca="false">IF(t_nat=1,0,I27*INDEX(r_tDp,t_row)/(r_fanEff*1000))</f>
        <v>35.3445028796172</v>
      </c>
      <c r="K27" s="11" t="n">
        <f aca="false">IF(AND(C27=1,E27&lt;=r_meMax),L27*INDEX(r_fillRate,MATCH(INDEX(r_tFill,t_row),r_fillList,0))+J27*r_fanProxy,"")</f>
        <v>3168270.90814848</v>
      </c>
      <c r="L27" s="22" t="n">
        <f aca="false">t_plan*G27</f>
        <v>33.7935721087562</v>
      </c>
    </row>
    <row r="28" customFormat="false" ht="15" hidden="false" customHeight="false" outlineLevel="0" collapsed="false">
      <c r="A28" s="0" t="n">
        <v>3</v>
      </c>
      <c r="B28" s="17" t="n">
        <f aca="false">r_lgMin+r_lgStep*A28</f>
        <v>1.05</v>
      </c>
      <c r="C28" s="6" t="n">
        <f aca="false">IF(B28&lt;=r_lgMax+0.000000001,1,0)</f>
        <v>1</v>
      </c>
      <c r="D28" s="6" t="n">
        <f aca="false">IF($D$18-(t_hIn+$B$18*i_range*r_cpw*B28)&gt;0,1/($D$18-(t_hIn+$B$18*i_range*r_cpw*B28)),1000000000)+IF($D$19-(t_hIn+$B$19*i_range*r_cpw*B28)&gt;0,1/($D$19-(t_hIn+$B$19*i_range*r_cpw*B28)),1000000000)+IF($D$20-(t_hIn+$B$20*i_range*r_cpw*B28)&gt;0,1/($D$20-(t_hIn+$B$20*i_range*r_cpw*B28)),1000000000)+IF($D$21-(t_hIn+$B$21*i_range*r_cpw*B28)&gt;0,1/($D$21-(t_hIn+$B$21*i_range*r_cpw*B28)),1000000000)</f>
        <v>0.159839859921931</v>
      </c>
      <c r="E28" s="15" t="n">
        <f aca="false">i_range*r_cpw/4*D28</f>
        <v>0.836362067041505</v>
      </c>
      <c r="F28" s="15" t="n">
        <f aca="false">t_c*B28^(-t_n)</f>
        <v>1.01871320016633</v>
      </c>
      <c r="G28" s="15" t="n">
        <f aca="false">E28/F28</f>
        <v>0.820998556713457</v>
      </c>
      <c r="H28" s="22" t="n">
        <f aca="false">t_flow*1000/3600/B28</f>
        <v>160.004003512172</v>
      </c>
      <c r="I28" s="22" t="n">
        <f aca="false">H28/r_rhoAir</f>
        <v>139.133916097541</v>
      </c>
      <c r="J28" s="22" t="n">
        <f aca="false">IF(t_nat=1,0,I28*INDEX(r_tDp,t_row)/(r_fanEff*1000))</f>
        <v>33.6614313139212</v>
      </c>
      <c r="K28" s="11" t="n">
        <f aca="false">IF(AND(C28=1,E28&lt;=r_meMax),L28*INDEX(r_fillRate,MATCH(INDEX(r_tFill,t_row),r_fillList,0))+J28*r_fanProxy,"")</f>
        <v>3119194.65715241</v>
      </c>
      <c r="L28" s="22" t="n">
        <f aca="false">t_plan*G28</f>
        <v>35.4680251070044</v>
      </c>
    </row>
    <row r="29" customFormat="false" ht="15" hidden="false" customHeight="false" outlineLevel="0" collapsed="false">
      <c r="A29" s="0" t="n">
        <v>4</v>
      </c>
      <c r="B29" s="17" t="n">
        <f aca="false">r_lgMin+r_lgStep*A29</f>
        <v>1.1</v>
      </c>
      <c r="C29" s="6" t="n">
        <f aca="false">IF(B29&lt;=r_lgMax+0.000000001,1,0)</f>
        <v>1</v>
      </c>
      <c r="D29" s="6" t="n">
        <f aca="false">IF($D$18-(t_hIn+$B$18*i_range*r_cpw*B29)&gt;0,1/($D$18-(t_hIn+$B$18*i_range*r_cpw*B29)),1000000000)+IF($D$19-(t_hIn+$B$19*i_range*r_cpw*B29)&gt;0,1/($D$19-(t_hIn+$B$19*i_range*r_cpw*B29)),1000000000)+IF($D$20-(t_hIn+$B$20*i_range*r_cpw*B29)&gt;0,1/($D$20-(t_hIn+$B$20*i_range*r_cpw*B29)),1000000000)+IF($D$21-(t_hIn+$B$21*i_range*r_cpw*B29)&gt;0,1/($D$21-(t_hIn+$B$21*i_range*r_cpw*B29)),1000000000)</f>
        <v>0.162848190533399</v>
      </c>
      <c r="E29" s="15" t="n">
        <f aca="false">i_range*r_cpw/4*D29</f>
        <v>0.85210315696601</v>
      </c>
      <c r="F29" s="15" t="n">
        <f aca="false">t_c*B29^(-t_n)</f>
        <v>0.989750738043635</v>
      </c>
      <c r="G29" s="15" t="n">
        <f aca="false">E29/F29</f>
        <v>0.860927023555746</v>
      </c>
      <c r="H29" s="22" t="n">
        <f aca="false">t_flow*1000/3600/B29</f>
        <v>152.731094261619</v>
      </c>
      <c r="I29" s="22" t="n">
        <f aca="false">H29/r_rhoAir</f>
        <v>132.809647184016</v>
      </c>
      <c r="J29" s="22" t="n">
        <f aca="false">IF(t_nat=1,0,I29*INDEX(r_tDp,t_row)/(r_fanEff*1000))</f>
        <v>32.1313662541975</v>
      </c>
      <c r="K29" s="11" t="n">
        <f aca="false">IF(AND(C29=1,E29&lt;=r_meMax),L29*INDEX(r_fillRate,MATCH(INDEX(r_tFill,t_row),r_fillList,0))+J29*r_fanProxy,"")</f>
        <v>3080864.29434302</v>
      </c>
      <c r="L29" s="22" t="n">
        <f aca="false">t_plan*G29</f>
        <v>37.1929780351991</v>
      </c>
    </row>
    <row r="30" customFormat="false" ht="15" hidden="false" customHeight="false" outlineLevel="0" collapsed="false">
      <c r="A30" s="0" t="n">
        <v>5</v>
      </c>
      <c r="B30" s="17" t="n">
        <f aca="false">r_lgMin+r_lgStep*A30</f>
        <v>1.15</v>
      </c>
      <c r="C30" s="6" t="n">
        <f aca="false">IF(B30&lt;=r_lgMax+0.000000001,1,0)</f>
        <v>1</v>
      </c>
      <c r="D30" s="6" t="n">
        <f aca="false">IF($D$18-(t_hIn+$B$18*i_range*r_cpw*B30)&gt;0,1/($D$18-(t_hIn+$B$18*i_range*r_cpw*B30)),1000000000)+IF($D$19-(t_hIn+$B$19*i_range*r_cpw*B30)&gt;0,1/($D$19-(t_hIn+$B$19*i_range*r_cpw*B30)),1000000000)+IF($D$20-(t_hIn+$B$20*i_range*r_cpw*B30)&gt;0,1/($D$20-(t_hIn+$B$20*i_range*r_cpw*B30)),1000000000)+IF($D$21-(t_hIn+$B$21*i_range*r_cpw*B30)&gt;0,1/($D$21-(t_hIn+$B$21*i_range*r_cpw*B30)),1000000000)</f>
        <v>0.166007683439421</v>
      </c>
      <c r="E30" s="15" t="n">
        <f aca="false">i_range*r_cpw/4*D30</f>
        <v>0.868635203596771</v>
      </c>
      <c r="F30" s="15" t="n">
        <f aca="false">t_c*B30^(-t_n)</f>
        <v>0.962845573262118</v>
      </c>
      <c r="G30" s="15" t="n">
        <f aca="false">E30/F30</f>
        <v>0.902154226719698</v>
      </c>
      <c r="H30" s="22" t="n">
        <f aca="false">t_flow*1000/3600/B30</f>
        <v>146.090611902418</v>
      </c>
      <c r="I30" s="22" t="n">
        <f aca="false">H30/r_rhoAir</f>
        <v>127.035314697755</v>
      </c>
      <c r="J30" s="22" t="n">
        <f aca="false">IF(t_nat=1,0,I30*INDEX(r_tDp,t_row)/(r_fanEff*1000))</f>
        <v>30.734350330102</v>
      </c>
      <c r="K30" s="11" t="n">
        <f aca="false">IF(AND(C30=1,E30&lt;=r_meMax),L30*INDEX(r_fillRate,MATCH(INDEX(r_tFill,t_row),r_fillList,0))+J30*r_fanProxy,"")</f>
        <v>3052256.19087317</v>
      </c>
      <c r="L30" s="22" t="n">
        <f aca="false">t_plan*G30</f>
        <v>38.9740377763564</v>
      </c>
    </row>
    <row r="31" customFormat="false" ht="15" hidden="false" customHeight="false" outlineLevel="0" collapsed="false">
      <c r="A31" s="0" t="n">
        <v>6</v>
      </c>
      <c r="B31" s="17" t="n">
        <f aca="false">r_lgMin+r_lgStep*A31</f>
        <v>1.2</v>
      </c>
      <c r="C31" s="6" t="n">
        <f aca="false">IF(B31&lt;=r_lgMax+0.000000001,1,0)</f>
        <v>1</v>
      </c>
      <c r="D31" s="6" t="n">
        <f aca="false">IF($D$18-(t_hIn+$B$18*i_range*r_cpw*B31)&gt;0,1/($D$18-(t_hIn+$B$18*i_range*r_cpw*B31)),1000000000)+IF($D$19-(t_hIn+$B$19*i_range*r_cpw*B31)&gt;0,1/($D$19-(t_hIn+$B$19*i_range*r_cpw*B31)),1000000000)+IF($D$20-(t_hIn+$B$20*i_range*r_cpw*B31)&gt;0,1/($D$20-(t_hIn+$B$20*i_range*r_cpw*B31)),1000000000)+IF($D$21-(t_hIn+$B$21*i_range*r_cpw*B31)&gt;0,1/($D$21-(t_hIn+$B$21*i_range*r_cpw*B31)),1000000000)</f>
        <v>0.169331400896773</v>
      </c>
      <c r="E31" s="15" t="n">
        <f aca="false">i_range*r_cpw/4*D31</f>
        <v>0.886026555192367</v>
      </c>
      <c r="F31" s="15" t="n">
        <f aca="false">t_c*B31^(-t_n)</f>
        <v>0.937771276829856</v>
      </c>
      <c r="G31" s="15" t="n">
        <f aca="false">E31/F31</f>
        <v>0.9448215967838</v>
      </c>
      <c r="H31" s="22" t="n">
        <f aca="false">t_flow*1000/3600/B31</f>
        <v>140.003503073151</v>
      </c>
      <c r="I31" s="22" t="n">
        <f aca="false">H31/r_rhoAir</f>
        <v>121.742176585348</v>
      </c>
      <c r="J31" s="22" t="n">
        <f aca="false">IF(t_nat=1,0,I31*INDEX(r_tDp,t_row)/(r_fanEff*1000))</f>
        <v>29.453752399681</v>
      </c>
      <c r="K31" s="11" t="n">
        <f aca="false">IF(AND(C31=1,E31&lt;=r_meMax),L31*INDEX(r_fillRate,MATCH(INDEX(r_tFill,t_row),r_fillList,0))+J31*r_fanProxy,"")</f>
        <v>3032561.88679559</v>
      </c>
      <c r="L31" s="22" t="n">
        <f aca="false">t_plan*G31</f>
        <v>40.8173142843462</v>
      </c>
    </row>
    <row r="32" customFormat="false" ht="15" hidden="false" customHeight="false" outlineLevel="0" collapsed="false">
      <c r="A32" s="0" t="n">
        <v>7</v>
      </c>
      <c r="B32" s="17" t="n">
        <f aca="false">r_lgMin+r_lgStep*A32</f>
        <v>1.25</v>
      </c>
      <c r="C32" s="6" t="n">
        <f aca="false">IF(B32&lt;=r_lgMax+0.000000001,1,0)</f>
        <v>1</v>
      </c>
      <c r="D32" s="6" t="n">
        <f aca="false">IF($D$18-(t_hIn+$B$18*i_range*r_cpw*B32)&gt;0,1/($D$18-(t_hIn+$B$18*i_range*r_cpw*B32)),1000000000)+IF($D$19-(t_hIn+$B$19*i_range*r_cpw*B32)&gt;0,1/($D$19-(t_hIn+$B$19*i_range*r_cpw*B32)),1000000000)+IF($D$20-(t_hIn+$B$20*i_range*r_cpw*B32)&gt;0,1/($D$20-(t_hIn+$B$20*i_range*r_cpw*B32)),1000000000)+IF($D$21-(t_hIn+$B$21*i_range*r_cpw*B32)&gt;0,1/($D$21-(t_hIn+$B$21*i_range*r_cpw*B32)),1000000000)</f>
        <v>0.172834052000334</v>
      </c>
      <c r="E32" s="15" t="n">
        <f aca="false">i_range*r_cpw/4*D32</f>
        <v>0.904354177091745</v>
      </c>
      <c r="F32" s="15" t="n">
        <f aca="false">t_c*B32^(-t_n)</f>
        <v>0.914334466254538</v>
      </c>
      <c r="G32" s="15" t="n">
        <f aca="false">E32/F32</f>
        <v>0.989084640762066</v>
      </c>
      <c r="H32" s="22" t="n">
        <f aca="false">t_flow*1000/3600/B32</f>
        <v>134.403362950225</v>
      </c>
      <c r="I32" s="22" t="n">
        <f aca="false">H32/r_rhoAir</f>
        <v>116.872489521934</v>
      </c>
      <c r="J32" s="22" t="n">
        <f aca="false">IF(t_nat=1,0,I32*INDEX(r_tDp,t_row)/(r_fanEff*1000))</f>
        <v>28.2756023036938</v>
      </c>
      <c r="K32" s="11" t="n">
        <f aca="false">IF(AND(C32=1,E32&lt;=r_meMax),L32*INDEX(r_fillRate,MATCH(INDEX(r_tFill,t_row),r_fillList,0))+J32*r_fanProxy,"")</f>
        <v>3021151.43275996</v>
      </c>
      <c r="L32" s="22" t="n">
        <f aca="false">t_plan*G32</f>
        <v>42.7295256302688</v>
      </c>
    </row>
    <row r="33" customFormat="false" ht="15" hidden="false" customHeight="false" outlineLevel="0" collapsed="false">
      <c r="A33" s="0" t="n">
        <v>8</v>
      </c>
      <c r="B33" s="17" t="n">
        <f aca="false">r_lgMin+r_lgStep*A33</f>
        <v>1.3</v>
      </c>
      <c r="C33" s="6" t="n">
        <f aca="false">IF(B33&lt;=r_lgMax+0.000000001,1,0)</f>
        <v>1</v>
      </c>
      <c r="D33" s="6" t="n">
        <f aca="false">IF($D$18-(t_hIn+$B$18*i_range*r_cpw*B33)&gt;0,1/($D$18-(t_hIn+$B$18*i_range*r_cpw*B33)),1000000000)+IF($D$19-(t_hIn+$B$19*i_range*r_cpw*B33)&gt;0,1/($D$19-(t_hIn+$B$19*i_range*r_cpw*B33)),1000000000)+IF($D$20-(t_hIn+$B$20*i_range*r_cpw*B33)&gt;0,1/($D$20-(t_hIn+$B$20*i_range*r_cpw*B33)),1000000000)+IF($D$21-(t_hIn+$B$21*i_range*r_cpw*B33)&gt;0,1/($D$21-(t_hIn+$B$21*i_range*r_cpw*B33)),1000000000)</f>
        <v>0.176532272331933</v>
      </c>
      <c r="E33" s="15" t="n">
        <f aca="false">i_range*r_cpw/4*D33</f>
        <v>0.92370511497684</v>
      </c>
      <c r="F33" s="15" t="n">
        <f aca="false">t_c*B33^(-t_n)</f>
        <v>0.892368888465005</v>
      </c>
      <c r="G33" s="15" t="n">
        <f aca="false">E33/F33</f>
        <v>1.03511577657726</v>
      </c>
      <c r="H33" s="22" t="n">
        <f aca="false">t_flow*1000/3600/B33</f>
        <v>129.234002836754</v>
      </c>
      <c r="I33" s="22" t="n">
        <f aca="false">H33/r_rhoAir</f>
        <v>112.377393771091</v>
      </c>
      <c r="J33" s="22" t="n">
        <f aca="false">IF(t_nat=1,0,I33*INDEX(r_tDp,t_row)/(r_fanEff*1000))</f>
        <v>27.1880791381671</v>
      </c>
      <c r="K33" s="11" t="n">
        <f aca="false">IF(AND(C33=1,E33&lt;=r_meMax),L33*INDEX(r_fillRate,MATCH(INDEX(r_tFill,t_row),r_fillList,0))+J33*r_fanProxy,"")</f>
        <v>3017546.48238767</v>
      </c>
      <c r="L33" s="22" t="n">
        <f aca="false">t_plan*G33</f>
        <v>44.7181204547626</v>
      </c>
    </row>
    <row r="34" customFormat="false" ht="15" hidden="false" customHeight="false" outlineLevel="0" collapsed="false">
      <c r="A34" s="0" t="n">
        <v>9</v>
      </c>
      <c r="B34" s="17" t="n">
        <f aca="false">r_lgMin+r_lgStep*A34</f>
        <v>1.35</v>
      </c>
      <c r="C34" s="6" t="n">
        <f aca="false">IF(B34&lt;=r_lgMax+0.000000001,1,0)</f>
        <v>1</v>
      </c>
      <c r="D34" s="6" t="n">
        <f aca="false">IF($D$18-(t_hIn+$B$18*i_range*r_cpw*B34)&gt;0,1/($D$18-(t_hIn+$B$18*i_range*r_cpw*B34)),1000000000)+IF($D$19-(t_hIn+$B$19*i_range*r_cpw*B34)&gt;0,1/($D$19-(t_hIn+$B$19*i_range*r_cpw*B34)),1000000000)+IF($D$20-(t_hIn+$B$20*i_range*r_cpw*B34)&gt;0,1/($D$20-(t_hIn+$B$20*i_range*r_cpw*B34)),1000000000)+IF($D$21-(t_hIn+$B$21*i_range*r_cpw*B34)&gt;0,1/($D$21-(t_hIn+$B$21*i_range*r_cpw*B34)),1000000000)</f>
        <v>0.180444964510913</v>
      </c>
      <c r="E34" s="15" t="n">
        <f aca="false">i_range*r_cpw/4*D34</f>
        <v>0.944178276803353</v>
      </c>
      <c r="F34" s="15" t="n">
        <f aca="false">t_c*B34^(-t_n)</f>
        <v>0.871730743496311</v>
      </c>
      <c r="G34" s="15" t="n">
        <f aca="false">E34/F34</f>
        <v>1.08310769563601</v>
      </c>
      <c r="H34" s="22" t="n">
        <f aca="false">t_flow*1000/3600/B34</f>
        <v>124.447558287245</v>
      </c>
      <c r="I34" s="22" t="n">
        <f aca="false">H34/r_rhoAir</f>
        <v>108.215268075865</v>
      </c>
      <c r="J34" s="22" t="n">
        <f aca="false">IF(t_nat=1,0,I34*INDEX(r_tDp,t_row)/(r_fanEff*1000))</f>
        <v>26.1811132441609</v>
      </c>
      <c r="K34" s="11" t="n">
        <f aca="false">IF(AND(C34=1,E34&lt;=r_meMax),L34*INDEX(r_fillRate,MATCH(INDEX(r_tFill,t_row),r_fillList,0))+J34*r_fanProxy,"")</f>
        <v>3021400.91493103</v>
      </c>
      <c r="L34" s="22" t="n">
        <f aca="false">t_plan*G34</f>
        <v>46.7914232348832</v>
      </c>
    </row>
    <row r="35" customFormat="false" ht="15" hidden="false" customHeight="false" outlineLevel="0" collapsed="false">
      <c r="A35" s="0" t="n">
        <v>10</v>
      </c>
      <c r="B35" s="17" t="n">
        <f aca="false">r_lgMin+r_lgStep*A35</f>
        <v>1.4</v>
      </c>
      <c r="C35" s="6" t="n">
        <f aca="false">IF(B35&lt;=r_lgMax+0.000000001,1,0)</f>
        <v>1</v>
      </c>
      <c r="D35" s="6" t="n">
        <f aca="false">IF($D$18-(t_hIn+$B$18*i_range*r_cpw*B35)&gt;0,1/($D$18-(t_hIn+$B$18*i_range*r_cpw*B35)),1000000000)+IF($D$19-(t_hIn+$B$19*i_range*r_cpw*B35)&gt;0,1/($D$19-(t_hIn+$B$19*i_range*r_cpw*B35)),1000000000)+IF($D$20-(t_hIn+$B$20*i_range*r_cpw*B35)&gt;0,1/($D$20-(t_hIn+$B$20*i_range*r_cpw*B35)),1000000000)+IF($D$21-(t_hIn+$B$21*i_range*r_cpw*B35)&gt;0,1/($D$21-(t_hIn+$B$21*i_range*r_cpw*B35)),1000000000)</f>
        <v>0.184593716091709</v>
      </c>
      <c r="E35" s="15" t="n">
        <f aca="false">i_range*r_cpw/4*D35</f>
        <v>0.965886619449866</v>
      </c>
      <c r="F35" s="15" t="n">
        <f aca="false">t_c*B35^(-t_n)</f>
        <v>0.852294953476893</v>
      </c>
      <c r="G35" s="15" t="n">
        <f aca="false">E35/F35</f>
        <v>1.13327741236714</v>
      </c>
      <c r="H35" s="22" t="n">
        <f aca="false">t_flow*1000/3600/B35</f>
        <v>120.003002634129</v>
      </c>
      <c r="I35" s="22" t="n">
        <f aca="false">H35/r_rhoAir</f>
        <v>104.350437073156</v>
      </c>
      <c r="J35" s="22" t="n">
        <f aca="false">IF(t_nat=1,0,I35*INDEX(r_tDp,t_row)/(r_fanEff*1000))</f>
        <v>25.2460734854409</v>
      </c>
      <c r="K35" s="11" t="n">
        <f aca="false">IF(AND(C35=1,E35&lt;=r_meMax),L35*INDEX(r_fillRate,MATCH(INDEX(r_tFill,t_row),r_fillList,0))+J35*r_fanProxy,"")</f>
        <v>3032487.49521111</v>
      </c>
      <c r="L35" s="22" t="n">
        <f aca="false">t_plan*G35</f>
        <v>48.9588092285375</v>
      </c>
    </row>
    <row r="36" customFormat="false" ht="15" hidden="false" customHeight="false" outlineLevel="0" collapsed="false">
      <c r="A36" s="0" t="n">
        <v>11</v>
      </c>
      <c r="B36" s="17" t="n">
        <f aca="false">r_lgMin+r_lgStep*A36</f>
        <v>1.45</v>
      </c>
      <c r="C36" s="6" t="n">
        <f aca="false">IF(B36&lt;=r_lgMax+0.000000001,1,0)</f>
        <v>1</v>
      </c>
      <c r="D36" s="6" t="n">
        <f aca="false">IF($D$18-(t_hIn+$B$18*i_range*r_cpw*B36)&gt;0,1/($D$18-(t_hIn+$B$18*i_range*r_cpw*B36)),1000000000)+IF($D$19-(t_hIn+$B$19*i_range*r_cpw*B36)&gt;0,1/($D$19-(t_hIn+$B$19*i_range*r_cpw*B36)),1000000000)+IF($D$20-(t_hIn+$B$20*i_range*r_cpw*B36)&gt;0,1/($D$20-(t_hIn+$B$20*i_range*r_cpw*B36)),1000000000)+IF($D$21-(t_hIn+$B$21*i_range*r_cpw*B36)&gt;0,1/($D$21-(t_hIn+$B$21*i_range*r_cpw*B36)),1000000000)</f>
        <v>0.189003316627199</v>
      </c>
      <c r="E36" s="15" t="n">
        <f aca="false">i_range*r_cpw/4*D36</f>
        <v>0.988959854251816</v>
      </c>
      <c r="F36" s="15" t="n">
        <f aca="false">t_c*B36^(-t_n)</f>
        <v>0.833952159633281</v>
      </c>
      <c r="G36" s="15" t="n">
        <f aca="false">E36/F36</f>
        <v>1.18587120715258</v>
      </c>
      <c r="H36" s="22" t="n">
        <f aca="false">t_flow*1000/3600/B36</f>
        <v>115.864968060538</v>
      </c>
      <c r="I36" s="22" t="n">
        <f aca="false">H36/r_rhoAir</f>
        <v>100.752146139599</v>
      </c>
      <c r="J36" s="22" t="n">
        <f aca="false">IF(t_nat=1,0,I36*INDEX(r_tDp,t_row)/(r_fanEff*1000))</f>
        <v>24.3755192273222</v>
      </c>
      <c r="K36" s="11" t="n">
        <f aca="false">IF(AND(C36=1,E36&lt;=r_meMax),L36*INDEX(r_fillRate,MATCH(INDEX(r_tFill,t_row),r_fillList,0))+J36*r_fanProxy,"")</f>
        <v>3050689.61208699</v>
      </c>
      <c r="L36" s="22" t="n">
        <f aca="false">t_plan*G36</f>
        <v>51.2309180144406</v>
      </c>
    </row>
    <row r="37" customFormat="false" ht="15" hidden="false" customHeight="false" outlineLevel="0" collapsed="false">
      <c r="A37" s="0" t="n">
        <v>12</v>
      </c>
      <c r="B37" s="17" t="n">
        <f aca="false">r_lgMin+r_lgStep*A37</f>
        <v>1.5</v>
      </c>
      <c r="C37" s="6" t="n">
        <f aca="false">IF(B37&lt;=r_lgMax+0.000000001,1,0)</f>
        <v>1</v>
      </c>
      <c r="D37" s="6" t="n">
        <f aca="false">IF($D$18-(t_hIn+$B$18*i_range*r_cpw*B37)&gt;0,1/($D$18-(t_hIn+$B$18*i_range*r_cpw*B37)),1000000000)+IF($D$19-(t_hIn+$B$19*i_range*r_cpw*B37)&gt;0,1/($D$19-(t_hIn+$B$19*i_range*r_cpw*B37)),1000000000)+IF($D$20-(t_hIn+$B$20*i_range*r_cpw*B37)&gt;0,1/($D$20-(t_hIn+$B$20*i_range*r_cpw*B37)),1000000000)+IF($D$21-(t_hIn+$B$21*i_range*r_cpw*B37)&gt;0,1/($D$21-(t_hIn+$B$21*i_range*r_cpw*B37)),1000000000)</f>
        <v>0.19370240317639</v>
      </c>
      <c r="E37" s="15" t="n">
        <f aca="false">i_range*r_cpw/4*D37</f>
        <v>1.01354782462046</v>
      </c>
      <c r="F37" s="15" t="n">
        <f aca="false">t_c*B37^(-t_n)</f>
        <v>0.816606285589584</v>
      </c>
      <c r="G37" s="15" t="n">
        <f aca="false">E37/F37</f>
        <v>1.24117073613839</v>
      </c>
      <c r="H37" s="22" t="n">
        <f aca="false">t_flow*1000/3600/B37</f>
        <v>112.00280245852</v>
      </c>
      <c r="I37" s="22" t="n">
        <f aca="false">H37/r_rhoAir</f>
        <v>97.3937412682786</v>
      </c>
      <c r="J37" s="22" t="n">
        <f aca="false">IF(t_nat=1,0,I37*INDEX(r_tDp,t_row)/(r_fanEff*1000))</f>
        <v>23.5630019197448</v>
      </c>
      <c r="K37" s="11" t="n">
        <f aca="false">IF(AND(C37=1,E37&lt;=r_meMax),L37*INDEX(r_fillRate,MATCH(INDEX(r_tFill,t_row),r_fillList,0))+J37*r_fanProxy,"")</f>
        <v>3075997.55590401</v>
      </c>
      <c r="L37" s="22" t="n">
        <f aca="false">t_plan*G37</f>
        <v>53.6199174425588</v>
      </c>
    </row>
    <row r="38" customFormat="false" ht="15" hidden="false" customHeight="false" outlineLevel="0" collapsed="false">
      <c r="A38" s="0" t="n">
        <v>13</v>
      </c>
      <c r="B38" s="17" t="n">
        <f aca="false">r_lgMin+r_lgStep*A38</f>
        <v>1.55</v>
      </c>
      <c r="C38" s="6" t="n">
        <f aca="false">IF(B38&lt;=r_lgMax+0.000000001,1,0)</f>
        <v>1</v>
      </c>
      <c r="D38" s="6" t="n">
        <f aca="false">IF($D$18-(t_hIn+$B$18*i_range*r_cpw*B38)&gt;0,1/($D$18-(t_hIn+$B$18*i_range*r_cpw*B38)),1000000000)+IF($D$19-(t_hIn+$B$19*i_range*r_cpw*B38)&gt;0,1/($D$19-(t_hIn+$B$19*i_range*r_cpw*B38)),1000000000)+IF($D$20-(t_hIn+$B$20*i_range*r_cpw*B38)&gt;0,1/($D$20-(t_hIn+$B$20*i_range*r_cpw*B38)),1000000000)+IF($D$21-(t_hIn+$B$21*i_range*r_cpw*B38)&gt;0,1/($D$21-(t_hIn+$B$21*i_range*r_cpw*B38)),1000000000)</f>
        <v>0.198724274031102</v>
      </c>
      <c r="E38" s="15" t="n">
        <f aca="false">i_range*r_cpw/4*D38</f>
        <v>1.03982476386774</v>
      </c>
      <c r="F38" s="15" t="n">
        <f aca="false">t_c*B38^(-t_n)</f>
        <v>0.8001725452498</v>
      </c>
      <c r="G38" s="15" t="n">
        <f aca="false">E38/F38</f>
        <v>1.29950067649863</v>
      </c>
      <c r="H38" s="22" t="n">
        <f aca="false">t_flow*1000/3600/B38</f>
        <v>108.389808830826</v>
      </c>
      <c r="I38" s="22" t="n">
        <f aca="false">H38/r_rhoAir</f>
        <v>94.2520076789793</v>
      </c>
      <c r="J38" s="22" t="n">
        <f aca="false">IF(t_nat=1,0,I38*INDEX(r_tDp,t_row)/(r_fanEff*1000))</f>
        <v>22.802905083624</v>
      </c>
      <c r="K38" s="11" t="n">
        <f aca="false">IF(AND(C38=1,E38&lt;=r_meMax),L38*INDEX(r_fillRate,MATCH(INDEX(r_tFill,t_row),r_fillList,0))+J38*r_fanProxy,"")</f>
        <v>3108509.15646832</v>
      </c>
      <c r="L38" s="22" t="n">
        <f aca="false">t_plan*G38</f>
        <v>56.1398339177702</v>
      </c>
    </row>
    <row r="39" customFormat="false" ht="15" hidden="false" customHeight="false" outlineLevel="0" collapsed="false">
      <c r="A39" s="0" t="n">
        <v>14</v>
      </c>
      <c r="B39" s="17" t="n">
        <f aca="false">r_lgMin+r_lgStep*A39</f>
        <v>1.6</v>
      </c>
      <c r="C39" s="6" t="n">
        <f aca="false">IF(B39&lt;=r_lgMax+0.000000001,1,0)</f>
        <v>1</v>
      </c>
      <c r="D39" s="6" t="n">
        <f aca="false">IF($D$18-(t_hIn+$B$18*i_range*r_cpw*B39)&gt;0,1/($D$18-(t_hIn+$B$18*i_range*r_cpw*B39)),1000000000)+IF($D$19-(t_hIn+$B$19*i_range*r_cpw*B39)&gt;0,1/($D$19-(t_hIn+$B$19*i_range*r_cpw*B39)),1000000000)+IF($D$20-(t_hIn+$B$20*i_range*r_cpw*B39)&gt;0,1/($D$20-(t_hIn+$B$20*i_range*r_cpw*B39)),1000000000)+IF($D$21-(t_hIn+$B$21*i_range*r_cpw*B39)&gt;0,1/($D$21-(t_hIn+$B$21*i_range*r_cpw*B39)),1000000000)</f>
        <v>0.204107925420274</v>
      </c>
      <c r="E39" s="15" t="n">
        <f aca="false">i_range*r_cpw/4*D39</f>
        <v>1.06799471976158</v>
      </c>
      <c r="F39" s="15" t="n">
        <f aca="false">t_c*B39^(-t_n)</f>
        <v>0.784575802715788</v>
      </c>
      <c r="G39" s="15" t="n">
        <f aca="false">E39/F39</f>
        <v>1.36123841197339</v>
      </c>
      <c r="H39" s="22" t="n">
        <f aca="false">t_flow*1000/3600/B39</f>
        <v>105.002627304863</v>
      </c>
      <c r="I39" s="22" t="n">
        <f aca="false">H39/r_rhoAir</f>
        <v>91.3066324390112</v>
      </c>
      <c r="J39" s="22" t="n">
        <f aca="false">IF(t_nat=1,0,I39*INDEX(r_tDp,t_row)/(r_fanEff*1000))</f>
        <v>22.0903142997608</v>
      </c>
      <c r="K39" s="11" t="n">
        <f aca="false">IF(AND(C39=1,E39&lt;=r_meMax),L39*INDEX(r_fillRate,MATCH(INDEX(r_tFill,t_row),r_fillList,0))+J39*r_fanProxy,"")</f>
        <v>3148434.9535786</v>
      </c>
      <c r="L39" s="22" t="n">
        <f aca="false">t_plan*G39</f>
        <v>58.8069708255792</v>
      </c>
    </row>
    <row r="40" customFormat="false" ht="15" hidden="false" customHeight="false" outlineLevel="0" collapsed="false">
      <c r="A40" s="0" t="n">
        <v>15</v>
      </c>
      <c r="B40" s="17" t="n">
        <f aca="false">r_lgMin+r_lgStep*A40</f>
        <v>1.65</v>
      </c>
      <c r="C40" s="6" t="n">
        <f aca="false">IF(B40&lt;=r_lgMax+0.000000001,1,0)</f>
        <v>1</v>
      </c>
      <c r="D40" s="6" t="n">
        <f aca="false">IF($D$18-(t_hIn+$B$18*i_range*r_cpw*B40)&gt;0,1/($D$18-(t_hIn+$B$18*i_range*r_cpw*B40)),1000000000)+IF($D$19-(t_hIn+$B$19*i_range*r_cpw*B40)&gt;0,1/($D$19-(t_hIn+$B$19*i_range*r_cpw*B40)),1000000000)+IF($D$20-(t_hIn+$B$20*i_range*r_cpw*B40)&gt;0,1/($D$20-(t_hIn+$B$20*i_range*r_cpw*B40)),1000000000)+IF($D$21-(t_hIn+$B$21*i_range*r_cpw*B40)&gt;0,1/($D$21-(t_hIn+$B$21*i_range*r_cpw*B40)),1000000000)</f>
        <v>0.209899387681098</v>
      </c>
      <c r="E40" s="15" t="n">
        <f aca="false">i_range*r_cpw/4*D40</f>
        <v>1.09829854604134</v>
      </c>
      <c r="F40" s="15" t="n">
        <f aca="false">t_c*B40^(-t_n)</f>
        <v>0.769749213193678</v>
      </c>
      <c r="G40" s="15" t="n">
        <f aca="false">E40/F40</f>
        <v>1.42682646141919</v>
      </c>
      <c r="H40" s="22" t="n">
        <f aca="false">t_flow*1000/3600/B40</f>
        <v>101.820729507746</v>
      </c>
      <c r="I40" s="22" t="n">
        <f aca="false">H40/r_rhoAir</f>
        <v>88.5397647893442</v>
      </c>
      <c r="J40" s="22" t="n">
        <f aca="false">IF(t_nat=1,0,I40*INDEX(r_tDp,t_row)/(r_fanEff*1000))</f>
        <v>21.4209108361317</v>
      </c>
      <c r="K40" s="11" t="n">
        <f aca="false">IF(AND(C40=1,E40&lt;=r_meMax),L40*INDEX(r_fillRate,MATCH(INDEX(r_tFill,t_row),r_fillList,0))+J40*r_fanProxy,"")</f>
        <v>3196108.45939466</v>
      </c>
      <c r="L40" s="22" t="n">
        <f aca="false">t_plan*G40</f>
        <v>61.6404454589276</v>
      </c>
    </row>
    <row r="41" customFormat="false" ht="15" hidden="false" customHeight="false" outlineLevel="0" collapsed="false">
      <c r="A41" s="0" t="n">
        <v>16</v>
      </c>
      <c r="B41" s="17" t="n">
        <f aca="false">r_lgMin+r_lgStep*A41</f>
        <v>1.7</v>
      </c>
      <c r="C41" s="6" t="n">
        <f aca="false">IF(B41&lt;=r_lgMax+0.000000001,1,0)</f>
        <v>1</v>
      </c>
      <c r="D41" s="6" t="n">
        <f aca="false">IF($D$18-(t_hIn+$B$18*i_range*r_cpw*B41)&gt;0,1/($D$18-(t_hIn+$B$18*i_range*r_cpw*B41)),1000000000)+IF($D$19-(t_hIn+$B$19*i_range*r_cpw*B41)&gt;0,1/($D$19-(t_hIn+$B$19*i_range*r_cpw*B41)),1000000000)+IF($D$20-(t_hIn+$B$20*i_range*r_cpw*B41)&gt;0,1/($D$20-(t_hIn+$B$20*i_range*r_cpw*B41)),1000000000)+IF($D$21-(t_hIn+$B$21*i_range*r_cpw*B41)&gt;0,1/($D$21-(t_hIn+$B$21*i_range*r_cpw*B41)),1000000000)</f>
        <v>0.216153469447463</v>
      </c>
      <c r="E41" s="15" t="n">
        <f aca="false">i_range*r_cpw/4*D41</f>
        <v>1.13102302888385</v>
      </c>
      <c r="F41" s="15" t="n">
        <f aca="false">t_c*B41^(-t_n)</f>
        <v>0.755633089858227</v>
      </c>
      <c r="G41" s="15" t="n">
        <f aca="false">E41/F41</f>
        <v>1.49678864526175</v>
      </c>
      <c r="H41" s="22" t="n">
        <f aca="false">t_flow*1000/3600/B41</f>
        <v>98.8260021692827</v>
      </c>
      <c r="I41" s="22" t="n">
        <f aca="false">H41/r_rhoAir</f>
        <v>85.9356540602459</v>
      </c>
      <c r="J41" s="22" t="n">
        <f aca="false">IF(t_nat=1,0,I41*INDEX(r_tDp,t_row)/(r_fanEff*1000))</f>
        <v>20.7908840468337</v>
      </c>
      <c r="K41" s="11" t="n">
        <f aca="false">IF(AND(C41=1,E41&lt;=r_meMax),L41*INDEX(r_fillRate,MATCH(INDEX(r_tFill,t_row),r_fillList,0))+J41*r_fanProxy,"")</f>
        <v>3252002.55302932</v>
      </c>
      <c r="L41" s="22" t="n">
        <f aca="false">t_plan*G41</f>
        <v>64.662887426429</v>
      </c>
    </row>
    <row r="42" customFormat="false" ht="15" hidden="false" customHeight="false" outlineLevel="0" collapsed="false">
      <c r="A42" s="0" t="n">
        <v>17</v>
      </c>
      <c r="B42" s="17" t="n">
        <f aca="false">r_lgMin+r_lgStep*A42</f>
        <v>1.75</v>
      </c>
      <c r="C42" s="6" t="n">
        <f aca="false">IF(B42&lt;=r_lgMax+0.000000001,1,0)</f>
        <v>1</v>
      </c>
      <c r="D42" s="6" t="n">
        <f aca="false">IF($D$18-(t_hIn+$B$18*i_range*r_cpw*B42)&gt;0,1/($D$18-(t_hIn+$B$18*i_range*r_cpw*B42)),1000000000)+IF($D$19-(t_hIn+$B$19*i_range*r_cpw*B42)&gt;0,1/($D$19-(t_hIn+$B$19*i_range*r_cpw*B42)),1000000000)+IF($D$20-(t_hIn+$B$20*i_range*r_cpw*B42)&gt;0,1/($D$20-(t_hIn+$B$20*i_range*r_cpw*B42)),1000000000)+IF($D$21-(t_hIn+$B$21*i_range*r_cpw*B42)&gt;0,1/($D$21-(t_hIn+$B$21*i_range*r_cpw*B42)),1000000000)</f>
        <v>0.222936066607589</v>
      </c>
      <c r="E42" s="15" t="n">
        <f aca="false">i_range*r_cpw/4*D42</f>
        <v>1.16651296852421</v>
      </c>
      <c r="F42" s="15" t="n">
        <f aca="false">t_c*B42^(-t_n)</f>
        <v>0.74217395369403</v>
      </c>
      <c r="G42" s="15" t="n">
        <f aca="false">E42/F42</f>
        <v>1.57175142393251</v>
      </c>
      <c r="H42" s="22" t="n">
        <f aca="false">t_flow*1000/3600/B42</f>
        <v>96.0024021073032</v>
      </c>
      <c r="I42" s="22" t="n">
        <f aca="false">H42/r_rhoAir</f>
        <v>83.4803496585245</v>
      </c>
      <c r="J42" s="22" t="n">
        <f aca="false">IF(t_nat=1,0,I42*INDEX(r_tDp,t_row)/(r_fanEff*1000))</f>
        <v>20.1968587883527</v>
      </c>
      <c r="K42" s="11" t="n">
        <f aca="false">IF(AND(C42=1,E42&lt;=r_meMax),L42*INDEX(r_fillRate,MATCH(INDEX(r_tFill,t_row),r_fillList,0))+J42*r_fanProxy,"")</f>
        <v>3316753.70267384</v>
      </c>
      <c r="L42" s="22" t="n">
        <f aca="false">t_plan*G42</f>
        <v>67.9013604958929</v>
      </c>
    </row>
    <row r="43" customFormat="false" ht="15" hidden="false" customHeight="false" outlineLevel="0" collapsed="false">
      <c r="A43" s="0" t="n">
        <v>18</v>
      </c>
      <c r="B43" s="17" t="n">
        <f aca="false">r_lgMin+r_lgStep*A43</f>
        <v>1.8</v>
      </c>
      <c r="C43" s="6" t="n">
        <f aca="false">IF(B43&lt;=r_lgMax+0.000000001,1,0)</f>
        <v>1</v>
      </c>
      <c r="D43" s="6" t="n">
        <f aca="false">IF($D$18-(t_hIn+$B$18*i_range*r_cpw*B43)&gt;0,1/($D$18-(t_hIn+$B$18*i_range*r_cpw*B43)),1000000000)+IF($D$19-(t_hIn+$B$19*i_range*r_cpw*B43)&gt;0,1/($D$19-(t_hIn+$B$19*i_range*r_cpw*B43)),1000000000)+IF($D$20-(t_hIn+$B$20*i_range*r_cpw*B43)&gt;0,1/($D$20-(t_hIn+$B$20*i_range*r_cpw*B43)),1000000000)+IF($D$21-(t_hIn+$B$21*i_range*r_cpw*B43)&gt;0,1/($D$21-(t_hIn+$B$21*i_range*r_cpw*B43)),1000000000)</f>
        <v>0.230327266763604</v>
      </c>
      <c r="E43" s="15" t="n">
        <f aca="false">i_range*r_cpw/4*D43</f>
        <v>1.20518742334056</v>
      </c>
      <c r="F43" s="15" t="n">
        <f aca="false">t_c*B43^(-t_n)</f>
        <v>0.729323732480601</v>
      </c>
      <c r="G43" s="15" t="n">
        <f aca="false">E43/F43</f>
        <v>1.65247251620544</v>
      </c>
      <c r="H43" s="22" t="n">
        <f aca="false">t_flow*1000/3600/B43</f>
        <v>93.3356687154337</v>
      </c>
      <c r="I43" s="22" t="n">
        <f aca="false">H43/r_rhoAir</f>
        <v>81.1614510568989</v>
      </c>
      <c r="J43" s="22" t="n">
        <f aca="false">IF(t_nat=1,0,I43*INDEX(r_tDp,t_row)/(r_fanEff*1000))</f>
        <v>19.6358349331207</v>
      </c>
      <c r="K43" s="11" t="n">
        <f aca="false">IF(AND(C43=1,E43&lt;=r_meMax),L43*INDEX(r_fillRate,MATCH(INDEX(r_tFill,t_row),r_fillList,0))+J43*r_fanProxy,"")</f>
        <v>3391196.66304694</v>
      </c>
      <c r="L43" s="22" t="n">
        <f aca="false">t_plan*G43</f>
        <v>71.3885989374097</v>
      </c>
    </row>
    <row r="44" customFormat="false" ht="15" hidden="false" customHeight="false" outlineLevel="0" collapsed="false">
      <c r="A44" s="0" t="n">
        <v>19</v>
      </c>
      <c r="B44" s="17" t="n">
        <f aca="false">r_lgMin+r_lgStep*A44</f>
        <v>1.85</v>
      </c>
      <c r="C44" s="6" t="n">
        <f aca="false">IF(B44&lt;=r_lgMax+0.000000001,1,0)</f>
        <v>1</v>
      </c>
      <c r="D44" s="6" t="n">
        <f aca="false">IF($D$18-(t_hIn+$B$18*i_range*r_cpw*B44)&gt;0,1/($D$18-(t_hIn+$B$18*i_range*r_cpw*B44)),1000000000)+IF($D$19-(t_hIn+$B$19*i_range*r_cpw*B44)&gt;0,1/($D$19-(t_hIn+$B$19*i_range*r_cpw*B44)),1000000000)+IF($D$20-(t_hIn+$B$20*i_range*r_cpw*B44)&gt;0,1/($D$20-(t_hIn+$B$20*i_range*r_cpw*B44)),1000000000)+IF($D$21-(t_hIn+$B$21*i_range*r_cpw*B44)&gt;0,1/($D$21-(t_hIn+$B$21*i_range*r_cpw*B44)),1000000000)</f>
        <v>0.238425596096748</v>
      </c>
      <c r="E44" s="15" t="n">
        <f aca="false">i_range*r_cpw/4*D44</f>
        <v>1.24756193157623</v>
      </c>
      <c r="F44" s="15" t="n">
        <f aca="false">t_c*B44^(-t_n)</f>
        <v>0.717039082093676</v>
      </c>
      <c r="G44" s="15" t="n">
        <f aca="false">E44/F44</f>
        <v>1.7398799629352</v>
      </c>
      <c r="H44" s="22" t="n">
        <f aca="false">t_flow*1000/3600/B44</f>
        <v>90.813083074476</v>
      </c>
      <c r="I44" s="22" t="n">
        <f aca="false">H44/r_rhoAir</f>
        <v>78.9678983256313</v>
      </c>
      <c r="J44" s="22" t="n">
        <f aca="false">IF(t_nat=1,0,I44*INDEX(r_tDp,t_row)/(r_fanEff*1000))</f>
        <v>19.105136691685</v>
      </c>
      <c r="K44" s="11" t="n">
        <f aca="false">IF(AND(C44=1,E44&lt;=r_meMax),L44*INDEX(r_fillRate,MATCH(INDEX(r_tFill,t_row),r_fillList,0))+J44*r_fanProxy,"")</f>
        <v>3476413.75019212</v>
      </c>
      <c r="L44" s="22" t="n">
        <f aca="false">t_plan*G44</f>
        <v>75.1646951190651</v>
      </c>
    </row>
    <row r="45" customFormat="false" ht="15" hidden="false" customHeight="false" outlineLevel="0" collapsed="false">
      <c r="A45" s="0" t="n">
        <v>20</v>
      </c>
      <c r="B45" s="17" t="n">
        <f aca="false">r_lgMin+r_lgStep*A45</f>
        <v>1.9</v>
      </c>
      <c r="C45" s="6" t="n">
        <f aca="false">IF(B45&lt;=r_lgMax+0.000000001,1,0)</f>
        <v>1</v>
      </c>
      <c r="D45" s="6" t="n">
        <f aca="false">IF($D$18-(t_hIn+$B$18*i_range*r_cpw*B45)&gt;0,1/($D$18-(t_hIn+$B$18*i_range*r_cpw*B45)),1000000000)+IF($D$19-(t_hIn+$B$19*i_range*r_cpw*B45)&gt;0,1/($D$19-(t_hIn+$B$19*i_range*r_cpw*B45)),1000000000)+IF($D$20-(t_hIn+$B$20*i_range*r_cpw*B45)&gt;0,1/($D$20-(t_hIn+$B$20*i_range*r_cpw*B45)),1000000000)+IF($D$21-(t_hIn+$B$21*i_range*r_cpw*B45)&gt;0,1/($D$21-(t_hIn+$B$21*i_range*r_cpw*B45)),1000000000)</f>
        <v>0.247353942647996</v>
      </c>
      <c r="E45" s="15" t="n">
        <f aca="false">i_range*r_cpw/4*D45</f>
        <v>1.29427950490564</v>
      </c>
      <c r="F45" s="15" t="n">
        <f aca="false">t_c*B45^(-t_n)</f>
        <v>0.705280808702895</v>
      </c>
      <c r="G45" s="15" t="n">
        <f aca="false">E45/F45</f>
        <v>1.83512650413101</v>
      </c>
      <c r="H45" s="22" t="n">
        <f aca="false">t_flow*1000/3600/B45</f>
        <v>88.4232650988319</v>
      </c>
      <c r="I45" s="22" t="n">
        <f aca="false">H45/r_rhoAir</f>
        <v>76.8897957381147</v>
      </c>
      <c r="J45" s="22" t="n">
        <f aca="false">IF(t_nat=1,0,I45*INDEX(r_tDp,t_row)/(r_fanEff*1000))</f>
        <v>18.6023699366407</v>
      </c>
      <c r="K45" s="11" t="n">
        <f aca="false">IF(AND(C45=1,E45&lt;=r_meMax),L45*INDEX(r_fillRate,MATCH(INDEX(r_tFill,t_row),r_fillList,0))+J45*r_fanProxy,"")</f>
        <v>3573805.10451304</v>
      </c>
      <c r="L45" s="22" t="n">
        <f aca="false">t_plan*G45</f>
        <v>79.2794486553099</v>
      </c>
    </row>
    <row r="46" customFormat="false" ht="15" hidden="false" customHeight="false" outlineLevel="0" collapsed="false">
      <c r="A46" s="0" t="n">
        <v>21</v>
      </c>
      <c r="B46" s="17" t="n">
        <f aca="false">r_lgMin+r_lgStep*A46</f>
        <v>1.95</v>
      </c>
      <c r="C46" s="6" t="n">
        <f aca="false">IF(B46&lt;=r_lgMax+0.000000001,1,0)</f>
        <v>1</v>
      </c>
      <c r="D46" s="6" t="n">
        <f aca="false">IF($D$18-(t_hIn+$B$18*i_range*r_cpw*B46)&gt;0,1/($D$18-(t_hIn+$B$18*i_range*r_cpw*B46)),1000000000)+IF($D$19-(t_hIn+$B$19*i_range*r_cpw*B46)&gt;0,1/($D$19-(t_hIn+$B$19*i_range*r_cpw*B46)),1000000000)+IF($D$20-(t_hIn+$B$20*i_range*r_cpw*B46)&gt;0,1/($D$20-(t_hIn+$B$20*i_range*r_cpw*B46)),1000000000)+IF($D$21-(t_hIn+$B$21*i_range*r_cpw*B46)&gt;0,1/($D$21-(t_hIn+$B$21*i_range*r_cpw*B46)),1000000000)</f>
        <v>0.257268000036133</v>
      </c>
      <c r="E46" s="15" t="n">
        <f aca="false">i_range*r_cpw/4*D46</f>
        <v>1.34615481018906</v>
      </c>
      <c r="F46" s="15" t="n">
        <f aca="false">t_c*B46^(-t_n)</f>
        <v>0.694013374652489</v>
      </c>
      <c r="G46" s="15" t="n">
        <f aca="false">E46/F46</f>
        <v>1.93966695650948</v>
      </c>
      <c r="H46" s="22" t="n">
        <f aca="false">t_flow*1000/3600/B46</f>
        <v>86.1560018911696</v>
      </c>
      <c r="I46" s="22" t="n">
        <f aca="false">H46/r_rhoAir</f>
        <v>74.9182625140605</v>
      </c>
      <c r="J46" s="22" t="n">
        <f aca="false">IF(t_nat=1,0,I46*INDEX(r_tDp,t_row)/(r_fanEff*1000))</f>
        <v>18.1253860921114</v>
      </c>
      <c r="K46" s="11" t="n">
        <f aca="false">IF(AND(C46=1,E46&lt;=r_meMax),L46*INDEX(r_fillRate,MATCH(INDEX(r_tFill,t_row),r_fillList,0))+J46*r_fanProxy,"")</f>
        <v>3685190.15075404</v>
      </c>
      <c r="L46" s="22" t="n">
        <f aca="false">t_plan*G46</f>
        <v>83.7957092008823</v>
      </c>
    </row>
    <row r="47" customFormat="false" ht="15" hidden="false" customHeight="false" outlineLevel="0" collapsed="false">
      <c r="A47" s="0" t="n">
        <v>22</v>
      </c>
      <c r="B47" s="17" t="n">
        <f aca="false">r_lgMin+r_lgStep*A47</f>
        <v>2</v>
      </c>
      <c r="C47" s="6" t="n">
        <f aca="false">IF(B47&lt;=r_lgMax+0.000000001,1,0)</f>
        <v>1</v>
      </c>
      <c r="D47" s="6" t="n">
        <f aca="false">IF($D$18-(t_hIn+$B$18*i_range*r_cpw*B47)&gt;0,1/($D$18-(t_hIn+$B$18*i_range*r_cpw*B47)),1000000000)+IF($D$19-(t_hIn+$B$19*i_range*r_cpw*B47)&gt;0,1/($D$19-(t_hIn+$B$19*i_range*r_cpw*B47)),1000000000)+IF($D$20-(t_hIn+$B$20*i_range*r_cpw*B47)&gt;0,1/($D$20-(t_hIn+$B$20*i_range*r_cpw*B47)),1000000000)+IF($D$21-(t_hIn+$B$21*i_range*r_cpw*B47)&gt;0,1/($D$21-(t_hIn+$B$21*i_range*r_cpw*B47)),1000000000)</f>
        <v>0.268368605912031</v>
      </c>
      <c r="E47" s="15" t="n">
        <f aca="false">i_range*r_cpw/4*D47</f>
        <v>1.4042387304347</v>
      </c>
      <c r="F47" s="15" t="n">
        <f aca="false">t_c*B47^(-t_n)</f>
        <v>0.683204474107015</v>
      </c>
      <c r="G47" s="15" t="n">
        <f aca="false">E47/F47</f>
        <v>2.05537109848427</v>
      </c>
      <c r="H47" s="22" t="n">
        <f aca="false">t_flow*1000/3600/B47</f>
        <v>84.0021018438903</v>
      </c>
      <c r="I47" s="22" t="n">
        <f aca="false">H47/r_rhoAir</f>
        <v>73.045305951209</v>
      </c>
      <c r="J47" s="22" t="n">
        <f aca="false">IF(t_nat=1,0,I47*INDEX(r_tDp,t_row)/(r_fanEff*1000))</f>
        <v>17.6722514398086</v>
      </c>
      <c r="K47" s="11" t="n">
        <f aca="false">IF(AND(C47=1,E47&lt;=r_meMax),L47*INDEX(r_fillRate,MATCH(INDEX(r_tFill,t_row),r_fillList,0))+J47*r_fanProxy,"")</f>
        <v>3812956.93572452</v>
      </c>
      <c r="L47" s="22" t="n">
        <f aca="false">t_plan*G47</f>
        <v>88.7942532043873</v>
      </c>
    </row>
    <row r="48" customFormat="false" ht="15" hidden="false" customHeight="false" outlineLevel="0" collapsed="false">
      <c r="A48" s="0" t="n">
        <v>23</v>
      </c>
      <c r="B48" s="17" t="n">
        <f aca="false">r_lgMin+r_lgStep*A48</f>
        <v>2.05</v>
      </c>
      <c r="C48" s="6" t="n">
        <f aca="false">IF(B48&lt;=r_lgMax+0.000000001,1,0)</f>
        <v>1</v>
      </c>
      <c r="D48" s="6" t="n">
        <f aca="false">IF($D$18-(t_hIn+$B$18*i_range*r_cpw*B48)&gt;0,1/($D$18-(t_hIn+$B$18*i_range*r_cpw*B48)),1000000000)+IF($D$19-(t_hIn+$B$19*i_range*r_cpw*B48)&gt;0,1/($D$19-(t_hIn+$B$19*i_range*r_cpw*B48)),1000000000)+IF($D$20-(t_hIn+$B$20*i_range*r_cpw*B48)&gt;0,1/($D$20-(t_hIn+$B$20*i_range*r_cpw*B48)),1000000000)+IF($D$21-(t_hIn+$B$21*i_range*r_cpw*B48)&gt;0,1/($D$21-(t_hIn+$B$21*i_range*r_cpw*B48)),1000000000)</f>
        <v>0.280920289829888</v>
      </c>
      <c r="E48" s="15" t="n">
        <f aca="false">i_range*r_cpw/4*D48</f>
        <v>1.46991541653489</v>
      </c>
      <c r="F48" s="15" t="n">
        <f aca="false">t_c*B48^(-t_n)</f>
        <v>0.672824667143406</v>
      </c>
      <c r="G48" s="15" t="n">
        <f aca="false">E48/F48</f>
        <v>2.18469311295567</v>
      </c>
      <c r="H48" s="22" t="n">
        <f aca="false">t_flow*1000/3600/B48</f>
        <v>81.9532700916003</v>
      </c>
      <c r="I48" s="22" t="n">
        <f aca="false">H48/r_rhoAir</f>
        <v>71.2637131231307</v>
      </c>
      <c r="J48" s="22" t="n">
        <f aca="false">IF(t_nat=1,0,I48*INDEX(r_tDp,t_row)/(r_fanEff*1000))</f>
        <v>17.2412209168865</v>
      </c>
      <c r="K48" s="11" t="n">
        <f aca="false">IF(AND(C48=1,E48&lt;=r_meMax),L48*INDEX(r_fillRate,MATCH(INDEX(r_tFill,t_row),r_fillList,0))+J48*r_fanProxy,"")</f>
        <v>3960287.479632</v>
      </c>
      <c r="L48" s="22" t="n">
        <f aca="false">t_plan*G48</f>
        <v>94.3811040199616</v>
      </c>
    </row>
    <row r="49" customFormat="false" ht="15" hidden="false" customHeight="false" outlineLevel="0" collapsed="false">
      <c r="A49" s="0" t="n">
        <v>24</v>
      </c>
      <c r="B49" s="17" t="n">
        <f aca="false">r_lgMin+r_lgStep*A49</f>
        <v>2.1</v>
      </c>
      <c r="C49" s="6" t="n">
        <f aca="false">IF(B49&lt;=r_lgMax+0.000000001,1,0)</f>
        <v>1</v>
      </c>
      <c r="D49" s="6" t="n">
        <f aca="false">IF($D$18-(t_hIn+$B$18*i_range*r_cpw*B49)&gt;0,1/($D$18-(t_hIn+$B$18*i_range*r_cpw*B49)),1000000000)+IF($D$19-(t_hIn+$B$19*i_range*r_cpw*B49)&gt;0,1/($D$19-(t_hIn+$B$19*i_range*r_cpw*B49)),1000000000)+IF($D$20-(t_hIn+$B$20*i_range*r_cpw*B49)&gt;0,1/($D$20-(t_hIn+$B$20*i_range*r_cpw*B49)),1000000000)+IF($D$21-(t_hIn+$B$21*i_range*r_cpw*B49)&gt;0,1/($D$21-(t_hIn+$B$21*i_range*r_cpw*B49)),1000000000)</f>
        <v>0.295280083166353</v>
      </c>
      <c r="E49" s="15" t="n">
        <f aca="false">i_range*r_cpw/4*D49</f>
        <v>1.54505303516794</v>
      </c>
      <c r="F49" s="15" t="n">
        <f aca="false">t_c*B49^(-t_n)</f>
        <v>0.662847063033822</v>
      </c>
      <c r="G49" s="15" t="n">
        <f aca="false">E49/F49</f>
        <v>2.3309344211262</v>
      </c>
      <c r="H49" s="22" t="n">
        <f aca="false">t_flow*1000/3600/B49</f>
        <v>80.002001756086</v>
      </c>
      <c r="I49" s="22" t="n">
        <f aca="false">H49/r_rhoAir</f>
        <v>69.5669580487705</v>
      </c>
      <c r="J49" s="22" t="n">
        <f aca="false">IF(t_nat=1,0,I49*INDEX(r_tDp,t_row)/(r_fanEff*1000))</f>
        <v>16.8307156569606</v>
      </c>
      <c r="K49" s="11" t="n">
        <f aca="false">IF(AND(C49=1,E49&lt;=r_meMax),L49*INDEX(r_fillRate,MATCH(INDEX(r_tFill,t_row),r_fillList,0))+J49*r_fanProxy,"")</f>
        <v>4131508.42439646</v>
      </c>
      <c r="L49" s="22" t="n">
        <f aca="false">t_plan*G49</f>
        <v>100.69888661222</v>
      </c>
    </row>
    <row r="51" customFormat="false" ht="15" hidden="false" customHeight="false" outlineLevel="0" collapsed="false">
      <c r="A51" s="3" t="s">
        <v>109</v>
      </c>
    </row>
    <row r="52" customFormat="false" ht="15" hidden="false" customHeight="false" outlineLevel="0" collapsed="false">
      <c r="A52" s="0" t="s">
        <v>110</v>
      </c>
      <c r="B52" s="20" t="n">
        <f aca="false">MATCH(MIN(K25:K49),K25:K49,0)</f>
        <v>9</v>
      </c>
    </row>
    <row r="53" customFormat="false" ht="15" hidden="false" customHeight="false" outlineLevel="0" collapsed="false">
      <c r="A53" s="0" t="s">
        <v>98</v>
      </c>
      <c r="B53" s="17" t="n">
        <f aca="false">INDEX(B25:B49,t_best)</f>
        <v>1.3</v>
      </c>
    </row>
    <row r="54" customFormat="false" ht="15" hidden="false" customHeight="false" outlineLevel="0" collapsed="false">
      <c r="A54" s="0" t="s">
        <v>101</v>
      </c>
      <c r="B54" s="15" t="n">
        <f aca="false">INDEX(E25:E49,t_best)</f>
        <v>0.92370511497684</v>
      </c>
    </row>
    <row r="55" customFormat="false" ht="15" hidden="false" customHeight="false" outlineLevel="0" collapsed="false">
      <c r="A55" s="0" t="s">
        <v>111</v>
      </c>
      <c r="B55" s="15" t="n">
        <f aca="false">INDEX(G25:G49,t_best)</f>
        <v>1.03511577657726</v>
      </c>
    </row>
    <row r="56" customFormat="false" ht="15" hidden="false" customHeight="false" outlineLevel="0" collapsed="false">
      <c r="A56" s="0" t="s">
        <v>112</v>
      </c>
      <c r="B56" s="15" t="n">
        <f aca="false">MIN(MAX(t_depthRaw,r_depthMin),r_depthMax*r_depthMult)</f>
        <v>1.03511577657726</v>
      </c>
    </row>
    <row r="57" customFormat="false" ht="15" hidden="false" customHeight="false" outlineLevel="0" collapsed="false">
      <c r="A57" s="0" t="s">
        <v>105</v>
      </c>
      <c r="B57" s="19" t="n">
        <f aca="false">INDEX(I25:I49,t_best)</f>
        <v>112.377393771091</v>
      </c>
    </row>
    <row r="58" customFormat="false" ht="15" hidden="false" customHeight="false" outlineLevel="0" collapsed="false">
      <c r="A58" s="0" t="s">
        <v>113</v>
      </c>
      <c r="B58" s="19" t="n">
        <f aca="false">INDEX(J25:J49,t_best)</f>
        <v>27.1880791381671</v>
      </c>
    </row>
    <row r="59" customFormat="false" ht="15" hidden="false" customHeight="false" outlineLevel="0" collapsed="false">
      <c r="A59" s="0" t="s">
        <v>114</v>
      </c>
      <c r="B59" s="19" t="n">
        <f aca="false">t_plan*t_depth</f>
        <v>44.7181204547626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8.5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0" t="s">
        <v>117</v>
      </c>
      <c r="B4" s="20" t="n">
        <f aca="false">MAX(1,ROUNDUP(t_flow/INDEX(r_tCell,t_row),0))</f>
        <v>1</v>
      </c>
    </row>
    <row r="5" customFormat="false" ht="15" hidden="false" customHeight="false" outlineLevel="0" collapsed="false">
      <c r="A5" s="0" t="s">
        <v>118</v>
      </c>
      <c r="B5" s="17" t="n">
        <f aca="false">t_plan/g_cells</f>
        <v>43.2010809482865</v>
      </c>
    </row>
    <row r="6" customFormat="false" ht="15" hidden="false" customHeight="false" outlineLevel="0" collapsed="false">
      <c r="A6" s="0" t="s">
        <v>119</v>
      </c>
      <c r="B6" s="17" t="n">
        <f aca="false">SQRT(g_planCell)</f>
        <v>6.57275292006983</v>
      </c>
    </row>
    <row r="7" customFormat="false" ht="15" hidden="false" customHeight="false" outlineLevel="0" collapsed="false">
      <c r="A7" s="0" t="s">
        <v>120</v>
      </c>
      <c r="B7" s="17" t="n">
        <f aca="false">t_depth+r_hBase+IF(t_nat=1,0,r_hFan)+IF(INDEX(r_tCasing,t_row)="RCC",r_hRcc,0)</f>
        <v>3.93511577657726</v>
      </c>
    </row>
    <row r="8" customFormat="false" ht="15" hidden="false" customHeight="false" outlineLevel="0" collapsed="false">
      <c r="A8" s="0" t="s">
        <v>121</v>
      </c>
      <c r="B8" s="18" t="n">
        <f aca="false">IF(t_nat=1,0,ROUNDUP(t_fanKw*r_motorMargin/g_cells*2,0)/2)</f>
        <v>31.5</v>
      </c>
    </row>
    <row r="9" customFormat="false" ht="15" hidden="false" customHeight="false" outlineLevel="0" collapsed="false">
      <c r="A9" s="0" t="s">
        <v>122</v>
      </c>
      <c r="B9" s="17" t="n">
        <f aca="false">IF(t_nat=1,0,SQRT(4*(t_airM3s/g_cells)/(PI()*r_velocity)))</f>
        <v>4.45787913081415</v>
      </c>
    </row>
    <row r="10" customFormat="false" ht="15" hidden="false" customHeight="false" outlineLevel="0" collapsed="false">
      <c r="A10" s="0" t="s">
        <v>123</v>
      </c>
      <c r="B10" s="19" t="n">
        <f aca="false">4*g_side*g_cells</f>
        <v>26.2910116802793</v>
      </c>
    </row>
    <row r="11" customFormat="false" ht="15" hidden="false" customHeight="false" outlineLevel="0" collapsed="false">
      <c r="A11" s="0" t="s">
        <v>124</v>
      </c>
      <c r="B11" s="19" t="n">
        <f aca="false">g_perim*(t_depth+r_faceAdd)</f>
        <v>42.9888479806017</v>
      </c>
    </row>
    <row r="12" customFormat="false" ht="15" hidden="false" customHeight="false" outlineLevel="0" collapsed="false">
      <c r="A12" s="0" t="s">
        <v>125</v>
      </c>
      <c r="B12" s="16" t="str">
        <f aca="false">INDEX(r_tCasing,t_row)</f>
        <v>FRP</v>
      </c>
    </row>
    <row r="13" customFormat="false" ht="15" hidden="false" customHeight="false" outlineLevel="0" collapsed="false">
      <c r="A13" s="0" t="s">
        <v>126</v>
      </c>
      <c r="B13" s="16" t="str">
        <f aca="false">INDEX(r_tFill,t_row)</f>
        <v>Film PVC</v>
      </c>
    </row>
    <row r="15" customFormat="false" ht="31.5" hidden="false" customHeight="true" outlineLevel="0" collapsed="false">
      <c r="A15" s="9" t="s">
        <v>127</v>
      </c>
      <c r="B15" s="10" t="s">
        <v>128</v>
      </c>
      <c r="C15" s="10" t="s">
        <v>129</v>
      </c>
      <c r="D15" s="10" t="s">
        <v>130</v>
      </c>
      <c r="E15" s="10" t="s">
        <v>131</v>
      </c>
      <c r="F15" s="10" t="s">
        <v>132</v>
      </c>
    </row>
    <row r="16" customFormat="false" ht="15" hidden="false" customHeight="false" outlineLevel="0" collapsed="false">
      <c r="A16" s="0" t="s">
        <v>133</v>
      </c>
      <c r="B16" s="22" t="n">
        <f aca="false">t_fillM3</f>
        <v>44.7181204547626</v>
      </c>
      <c r="C16" s="6" t="s">
        <v>134</v>
      </c>
      <c r="D16" s="11" t="n">
        <f aca="false">INDEX(r_fillRate,MATCH(g_fill,r_fillList,0))</f>
        <v>31000</v>
      </c>
      <c r="E16" s="11" t="n">
        <f aca="false">B16*D16</f>
        <v>1386261.73409764</v>
      </c>
      <c r="F16" s="13" t="s">
        <v>39</v>
      </c>
    </row>
    <row r="17" customFormat="false" ht="15" hidden="false" customHeight="false" outlineLevel="0" collapsed="false">
      <c r="A17" s="0" t="s">
        <v>135</v>
      </c>
      <c r="B17" s="22" t="n">
        <f aca="false">t_plan</f>
        <v>43.2010809482865</v>
      </c>
      <c r="C17" s="6" t="s">
        <v>136</v>
      </c>
      <c r="D17" s="11" t="n">
        <f aca="false">r_eliminator</f>
        <v>2300</v>
      </c>
      <c r="E17" s="11" t="n">
        <f aca="false">B17*D17</f>
        <v>99362.4861810589</v>
      </c>
      <c r="F17" s="13" t="s">
        <v>39</v>
      </c>
    </row>
    <row r="18" customFormat="false" ht="15" hidden="false" customHeight="false" outlineLevel="0" collapsed="false">
      <c r="A18" s="0" t="s">
        <v>137</v>
      </c>
      <c r="B18" s="22" t="n">
        <f aca="false">t_plan</f>
        <v>43.2010809482865</v>
      </c>
      <c r="C18" s="6" t="s">
        <v>136</v>
      </c>
      <c r="D18" s="11" t="n">
        <f aca="false">r_distribution</f>
        <v>4200</v>
      </c>
      <c r="E18" s="11" t="n">
        <f aca="false">B18*D18</f>
        <v>181444.539982803</v>
      </c>
      <c r="F18" s="13" t="s">
        <v>39</v>
      </c>
    </row>
    <row r="19" customFormat="false" ht="15" hidden="false" customHeight="false" outlineLevel="0" collapsed="false">
      <c r="A19" s="0" t="s">
        <v>138</v>
      </c>
      <c r="B19" s="22" t="n">
        <f aca="false">IF(g_casing="FRP",g_perim*g_height+t_plan,0)</f>
        <v>146.659255793531</v>
      </c>
      <c r="C19" s="6" t="s">
        <v>136</v>
      </c>
      <c r="D19" s="11" t="n">
        <f aca="false">r_frpPerM2</f>
        <v>5200</v>
      </c>
      <c r="E19" s="11" t="n">
        <f aca="false">B19*D19</f>
        <v>762628.130126359</v>
      </c>
      <c r="F19" s="13" t="s">
        <v>41</v>
      </c>
    </row>
    <row r="20" customFormat="false" ht="15" hidden="false" customHeight="false" outlineLevel="0" collapsed="false">
      <c r="A20" s="0" t="s">
        <v>139</v>
      </c>
      <c r="B20" s="22" t="n">
        <f aca="false">IF(g_casing="FRP",t_plan,0)</f>
        <v>43.2010809482865</v>
      </c>
      <c r="C20" s="6" t="s">
        <v>136</v>
      </c>
      <c r="D20" s="11" t="n">
        <f aca="false">r_basinFrp</f>
        <v>3600</v>
      </c>
      <c r="E20" s="11" t="n">
        <f aca="false">B20*D20</f>
        <v>155523.891413831</v>
      </c>
      <c r="F20" s="13" t="s">
        <v>41</v>
      </c>
    </row>
    <row r="21" customFormat="false" ht="15" hidden="false" customHeight="false" outlineLevel="0" collapsed="false">
      <c r="A21" s="0" t="s">
        <v>140</v>
      </c>
      <c r="B21" s="22" t="n">
        <f aca="false">IF(g_casing="HDG steel",t_plan*r_hdgKg*(g_height/r_hdgRefH),0)</f>
        <v>0</v>
      </c>
      <c r="C21" s="6" t="s">
        <v>141</v>
      </c>
      <c r="D21" s="11" t="n">
        <f aca="false">r_hdgRate</f>
        <v>108</v>
      </c>
      <c r="E21" s="11" t="n">
        <f aca="false">B21*D21</f>
        <v>0</v>
      </c>
      <c r="F21" s="13" t="s">
        <v>41</v>
      </c>
    </row>
    <row r="22" customFormat="false" ht="15" hidden="false" customHeight="false" outlineLevel="0" collapsed="false">
      <c r="A22" s="0" t="s">
        <v>142</v>
      </c>
      <c r="B22" s="22" t="n">
        <f aca="false">IF(g_casing="HDG steel",t_plan*r_basinSteel,0)</f>
        <v>0</v>
      </c>
      <c r="C22" s="6" t="s">
        <v>141</v>
      </c>
      <c r="D22" s="11" t="n">
        <f aca="false">r_hdgRate*r_basinSteelF</f>
        <v>97.2</v>
      </c>
      <c r="E22" s="11" t="n">
        <f aca="false">B22*D22</f>
        <v>0</v>
      </c>
      <c r="F22" s="13" t="s">
        <v>41</v>
      </c>
    </row>
    <row r="23" customFormat="false" ht="15" hidden="false" customHeight="false" outlineLevel="0" collapsed="false">
      <c r="A23" s="0" t="s">
        <v>143</v>
      </c>
      <c r="B23" s="22" t="n">
        <f aca="false">IF(g_casing="RCC",t_plan*r_rccM3*IF(t_nat=1,r_natRcc,1),0)</f>
        <v>0</v>
      </c>
      <c r="C23" s="6" t="s">
        <v>134</v>
      </c>
      <c r="D23" s="11" t="n">
        <f aca="false">r_rccPerM3</f>
        <v>9800</v>
      </c>
      <c r="E23" s="11" t="n">
        <f aca="false">B23*D23</f>
        <v>0</v>
      </c>
      <c r="F23" s="13" t="s">
        <v>41</v>
      </c>
    </row>
    <row r="24" customFormat="false" ht="15" hidden="false" customHeight="false" outlineLevel="0" collapsed="false">
      <c r="A24" s="0" t="s">
        <v>144</v>
      </c>
      <c r="B24" s="22" t="n">
        <f aca="false">g_face</f>
        <v>42.9888479806017</v>
      </c>
      <c r="C24" s="6" t="s">
        <v>136</v>
      </c>
      <c r="D24" s="11" t="n">
        <f aca="false">r_louvre</f>
        <v>1900</v>
      </c>
      <c r="E24" s="11" t="n">
        <f aca="false">B24*D24</f>
        <v>81678.8111631433</v>
      </c>
      <c r="F24" s="13" t="s">
        <v>41</v>
      </c>
    </row>
    <row r="25" customFormat="false" ht="15" hidden="false" customHeight="false" outlineLevel="0" collapsed="false">
      <c r="A25" s="0" t="s">
        <v>145</v>
      </c>
      <c r="B25" s="22" t="n">
        <f aca="false">IF(t_nat=1,0,g_cells)</f>
        <v>1</v>
      </c>
      <c r="C25" s="6" t="s">
        <v>146</v>
      </c>
      <c r="D25" s="11" t="n">
        <f aca="false">r_fanBase*g_fanDia^r_fanExp</f>
        <v>618985.122328827</v>
      </c>
      <c r="E25" s="11" t="n">
        <f aca="false">B25*D25</f>
        <v>618985.122328827</v>
      </c>
      <c r="F25" s="13" t="s">
        <v>43</v>
      </c>
    </row>
    <row r="26" customFormat="false" ht="15" hidden="false" customHeight="false" outlineLevel="0" collapsed="false">
      <c r="A26" s="0" t="s">
        <v>147</v>
      </c>
      <c r="B26" s="22" t="n">
        <f aca="false">g_motorKw*g_cells</f>
        <v>31.5</v>
      </c>
      <c r="C26" s="6" t="s">
        <v>22</v>
      </c>
      <c r="D26" s="11" t="n">
        <f aca="false">r_gearbox</f>
        <v>5200</v>
      </c>
      <c r="E26" s="11" t="n">
        <f aca="false">B26*D26</f>
        <v>163800</v>
      </c>
      <c r="F26" s="13" t="s">
        <v>43</v>
      </c>
    </row>
    <row r="27" customFormat="false" ht="15" hidden="false" customHeight="false" outlineLevel="0" collapsed="false">
      <c r="A27" s="0" t="s">
        <v>148</v>
      </c>
      <c r="B27" s="22" t="n">
        <f aca="false">g_motorKw*g_cells</f>
        <v>31.5</v>
      </c>
      <c r="C27" s="6" t="s">
        <v>22</v>
      </c>
      <c r="D27" s="11" t="n">
        <f aca="false">r_motor</f>
        <v>4300</v>
      </c>
      <c r="E27" s="11" t="n">
        <f aca="false">B27*D27</f>
        <v>135450</v>
      </c>
      <c r="F27" s="13" t="s">
        <v>43</v>
      </c>
    </row>
    <row r="28" customFormat="false" ht="15" hidden="false" customHeight="false" outlineLevel="0" collapsed="false">
      <c r="A28" s="0" t="s">
        <v>149</v>
      </c>
      <c r="B28" s="22" t="n">
        <f aca="false">IF(i_vfd="Yes",g_motorKw*g_cells,0)</f>
        <v>0</v>
      </c>
      <c r="C28" s="6" t="s">
        <v>22</v>
      </c>
      <c r="D28" s="11" t="n">
        <f aca="false">r_vfd</f>
        <v>7500</v>
      </c>
      <c r="E28" s="11" t="n">
        <f aca="false">B28*D28</f>
        <v>0</v>
      </c>
      <c r="F28" s="13" t="s">
        <v>43</v>
      </c>
    </row>
    <row r="29" customFormat="false" ht="15" hidden="false" customHeight="false" outlineLevel="0" collapsed="false">
      <c r="A29" s="0" t="s">
        <v>150</v>
      </c>
      <c r="B29" s="22" t="n">
        <f aca="false">g_cells</f>
        <v>1</v>
      </c>
      <c r="C29" s="6" t="s">
        <v>151</v>
      </c>
      <c r="D29" s="11" t="n">
        <f aca="false">r_accessories</f>
        <v>90000</v>
      </c>
      <c r="E29" s="11" t="n">
        <f aca="false">B29*D29</f>
        <v>90000</v>
      </c>
      <c r="F29" s="13" t="s">
        <v>45</v>
      </c>
    </row>
    <row r="30" customFormat="false" ht="15" hidden="false" customHeight="false" outlineLevel="0" collapsed="false">
      <c r="A30" s="0" t="s">
        <v>152</v>
      </c>
      <c r="B30" s="22" t="n">
        <f aca="false">g_cells</f>
        <v>1</v>
      </c>
      <c r="C30" s="6" t="s">
        <v>146</v>
      </c>
      <c r="D30" s="11" t="n">
        <f aca="false">r_vib</f>
        <v>28000</v>
      </c>
      <c r="E30" s="11" t="n">
        <f aca="false">B30*D30</f>
        <v>28000</v>
      </c>
      <c r="F30" s="13" t="s">
        <v>45</v>
      </c>
    </row>
    <row r="31" customFormat="false" ht="15" hidden="false" customHeight="false" outlineLevel="0" collapsed="false">
      <c r="A31" s="3" t="s">
        <v>153</v>
      </c>
      <c r="E31" s="11" t="n">
        <f aca="false">SUM(E16:E30)</f>
        <v>3703134.71529366</v>
      </c>
    </row>
    <row r="32" customFormat="false" ht="15" hidden="false" customHeight="false" outlineLevel="0" collapsed="false">
      <c r="A32" s="0" t="s">
        <v>154</v>
      </c>
      <c r="B32" s="0" t="n">
        <v>1</v>
      </c>
      <c r="C32" s="0" t="s">
        <v>155</v>
      </c>
      <c r="D32" s="11" t="n">
        <f aca="false">E31*r_labour</f>
        <v>592501.554446986</v>
      </c>
      <c r="E32" s="11" t="n">
        <f aca="false">B32*D32</f>
        <v>592501.554446986</v>
      </c>
      <c r="F32" s="13" t="s">
        <v>47</v>
      </c>
    </row>
    <row r="33" customFormat="false" ht="15" hidden="false" customHeight="false" outlineLevel="0" collapsed="false">
      <c r="A33" s="0" t="s">
        <v>156</v>
      </c>
      <c r="B33" s="0" t="n">
        <v>1</v>
      </c>
      <c r="C33" s="0" t="s">
        <v>155</v>
      </c>
      <c r="D33" s="11" t="n">
        <f aca="false">E31*r_transport</f>
        <v>92578.3678823416</v>
      </c>
      <c r="E33" s="11" t="n">
        <f aca="false">B33*D33</f>
        <v>92578.3678823416</v>
      </c>
      <c r="F33" s="13" t="s">
        <v>47</v>
      </c>
    </row>
    <row r="34" customFormat="false" ht="15" hidden="false" customHeight="false" outlineLevel="0" collapsed="false">
      <c r="A34" s="3" t="s">
        <v>157</v>
      </c>
      <c r="E34" s="11" t="n">
        <f aca="false">E31+E32+E33</f>
        <v>4388214.63762299</v>
      </c>
    </row>
    <row r="35" customFormat="false" ht="15" hidden="false" customHeight="false" outlineLevel="0" collapsed="false">
      <c r="A35" s="0" t="s">
        <v>49</v>
      </c>
      <c r="E35" s="11" t="n">
        <f aca="false">E34*r_overheads</f>
        <v>351057.171009839</v>
      </c>
    </row>
    <row r="36" customFormat="false" ht="15" hidden="false" customHeight="false" outlineLevel="0" collapsed="false">
      <c r="A36" s="0" t="s">
        <v>50</v>
      </c>
      <c r="E36" s="11" t="n">
        <f aca="false">(E34+E35)*r_margin</f>
        <v>379141.744690626</v>
      </c>
    </row>
    <row r="37" customFormat="false" ht="15" hidden="false" customHeight="false" outlineLevel="0" collapsed="false">
      <c r="A37" s="3" t="s">
        <v>51</v>
      </c>
      <c r="E37" s="14" t="n">
        <f aca="false">E34+E35+E36</f>
        <v>5118413.55332346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8.5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5" customFormat="false" ht="15" hidden="false" customHeight="false" outlineLevel="0" collapsed="false">
      <c r="A5" s="23" t="s">
        <v>160</v>
      </c>
      <c r="B5" s="24"/>
      <c r="C5" s="24"/>
      <c r="D5" s="24"/>
      <c r="E5" s="24"/>
      <c r="F5" s="24"/>
      <c r="G5" s="24"/>
      <c r="H5" s="24"/>
      <c r="I5" s="24"/>
    </row>
    <row r="6" customFormat="false" ht="31.5" hidden="false" customHeight="true" outlineLevel="0" collapsed="false">
      <c r="A6" s="9" t="s">
        <v>161</v>
      </c>
      <c r="B6" s="10" t="s">
        <v>126</v>
      </c>
      <c r="C6" s="10" t="s">
        <v>162</v>
      </c>
      <c r="D6" s="10" t="s">
        <v>163</v>
      </c>
      <c r="E6" s="10" t="s">
        <v>164</v>
      </c>
      <c r="F6" s="10" t="s">
        <v>165</v>
      </c>
      <c r="G6" s="10" t="s">
        <v>125</v>
      </c>
      <c r="H6" s="10" t="s">
        <v>166</v>
      </c>
      <c r="I6" s="10" t="s">
        <v>167</v>
      </c>
    </row>
    <row r="7" customFormat="false" ht="15" hidden="false" customHeight="false" outlineLevel="0" collapsed="false">
      <c r="A7" s="5" t="s">
        <v>29</v>
      </c>
      <c r="B7" s="5" t="s">
        <v>168</v>
      </c>
      <c r="C7" s="5" t="n">
        <v>1.05</v>
      </c>
      <c r="D7" s="5" t="n">
        <v>0.62</v>
      </c>
      <c r="E7" s="5" t="n">
        <v>14</v>
      </c>
      <c r="F7" s="5" t="n">
        <v>150</v>
      </c>
      <c r="G7" s="5" t="s">
        <v>169</v>
      </c>
      <c r="H7" s="5" t="n">
        <v>700</v>
      </c>
      <c r="I7" s="5" t="n">
        <v>0</v>
      </c>
    </row>
    <row r="8" customFormat="false" ht="15" hidden="false" customHeight="false" outlineLevel="0" collapsed="false">
      <c r="A8" s="5" t="s">
        <v>170</v>
      </c>
      <c r="B8" s="5" t="s">
        <v>171</v>
      </c>
      <c r="C8" s="5" t="n">
        <v>0.8</v>
      </c>
      <c r="D8" s="5" t="n">
        <v>0.58</v>
      </c>
      <c r="E8" s="5" t="n">
        <v>12</v>
      </c>
      <c r="F8" s="5" t="n">
        <v>110</v>
      </c>
      <c r="G8" s="5" t="s">
        <v>169</v>
      </c>
      <c r="H8" s="5" t="n">
        <v>600</v>
      </c>
      <c r="I8" s="5" t="n">
        <v>0</v>
      </c>
    </row>
    <row r="9" customFormat="false" ht="15" hidden="false" customHeight="false" outlineLevel="0" collapsed="false">
      <c r="A9" s="5" t="s">
        <v>172</v>
      </c>
      <c r="B9" s="5" t="s">
        <v>168</v>
      </c>
      <c r="C9" s="5" t="n">
        <v>1.05</v>
      </c>
      <c r="D9" s="5" t="n">
        <v>0.62</v>
      </c>
      <c r="E9" s="5" t="n">
        <v>14</v>
      </c>
      <c r="F9" s="5" t="n">
        <v>150</v>
      </c>
      <c r="G9" s="5" t="s">
        <v>173</v>
      </c>
      <c r="H9" s="5" t="n">
        <v>3500</v>
      </c>
      <c r="I9" s="5" t="n">
        <v>0</v>
      </c>
    </row>
    <row r="10" customFormat="false" ht="15" hidden="false" customHeight="false" outlineLevel="0" collapsed="false">
      <c r="A10" s="5" t="s">
        <v>174</v>
      </c>
      <c r="B10" s="5" t="s">
        <v>168</v>
      </c>
      <c r="C10" s="5" t="n">
        <v>1.05</v>
      </c>
      <c r="D10" s="5" t="n">
        <v>0.62</v>
      </c>
      <c r="E10" s="5" t="n">
        <v>14</v>
      </c>
      <c r="F10" s="5" t="n">
        <v>150</v>
      </c>
      <c r="G10" s="5" t="s">
        <v>175</v>
      </c>
      <c r="H10" s="5" t="n">
        <v>1200</v>
      </c>
      <c r="I10" s="5" t="n">
        <v>0</v>
      </c>
    </row>
    <row r="11" customFormat="false" ht="15" hidden="false" customHeight="false" outlineLevel="0" collapsed="false">
      <c r="A11" s="5" t="s">
        <v>176</v>
      </c>
      <c r="B11" s="5" t="s">
        <v>168</v>
      </c>
      <c r="C11" s="5" t="n">
        <v>1</v>
      </c>
      <c r="D11" s="5" t="n">
        <v>0.6</v>
      </c>
      <c r="E11" s="5" t="n">
        <v>10</v>
      </c>
      <c r="F11" s="5" t="n">
        <v>0</v>
      </c>
      <c r="G11" s="5" t="s">
        <v>173</v>
      </c>
      <c r="H11" s="5" t="n">
        <v>60000</v>
      </c>
      <c r="I11" s="5" t="n">
        <v>1</v>
      </c>
    </row>
    <row r="13" customFormat="false" ht="15" hidden="false" customHeight="false" outlineLevel="0" collapsed="false">
      <c r="A13" s="23" t="s">
        <v>177</v>
      </c>
      <c r="B13" s="24"/>
      <c r="C13" s="24"/>
      <c r="D13" s="24"/>
      <c r="E13" s="24"/>
      <c r="F13" s="24"/>
      <c r="G13" s="24"/>
      <c r="H13" s="24"/>
      <c r="I13" s="24"/>
    </row>
    <row r="14" customFormat="false" ht="15" hidden="false" customHeight="false" outlineLevel="0" collapsed="false">
      <c r="A14" s="0" t="s">
        <v>168</v>
      </c>
      <c r="B14" s="25" t="n">
        <v>31000</v>
      </c>
      <c r="C14" s="6" t="s">
        <v>178</v>
      </c>
    </row>
    <row r="15" customFormat="false" ht="15" hidden="false" customHeight="false" outlineLevel="0" collapsed="false">
      <c r="A15" s="0" t="s">
        <v>171</v>
      </c>
      <c r="B15" s="25" t="n">
        <v>17000</v>
      </c>
      <c r="C15" s="6" t="s">
        <v>178</v>
      </c>
    </row>
    <row r="17" customFormat="false" ht="15" hidden="false" customHeight="false" outlineLevel="0" collapsed="false">
      <c r="A17" s="23" t="s">
        <v>179</v>
      </c>
      <c r="B17" s="24"/>
      <c r="C17" s="24"/>
      <c r="D17" s="24"/>
      <c r="E17" s="24"/>
      <c r="F17" s="24"/>
      <c r="G17" s="24"/>
      <c r="H17" s="24"/>
      <c r="I17" s="24"/>
    </row>
    <row r="18" customFormat="false" ht="15" hidden="false" customHeight="false" outlineLevel="0" collapsed="false">
      <c r="A18" s="0" t="s">
        <v>180</v>
      </c>
      <c r="B18" s="5" t="n">
        <v>101.325</v>
      </c>
      <c r="C18" s="6" t="s">
        <v>181</v>
      </c>
    </row>
    <row r="19" customFormat="false" ht="15" hidden="false" customHeight="false" outlineLevel="0" collapsed="false">
      <c r="A19" s="0" t="s">
        <v>182</v>
      </c>
      <c r="B19" s="5" t="n">
        <v>0.9</v>
      </c>
    </row>
    <row r="20" customFormat="false" ht="15" hidden="false" customHeight="false" outlineLevel="0" collapsed="false">
      <c r="A20" s="0" t="s">
        <v>183</v>
      </c>
      <c r="B20" s="5" t="n">
        <v>2.1</v>
      </c>
    </row>
    <row r="21" customFormat="false" ht="15" hidden="false" customHeight="false" outlineLevel="0" collapsed="false">
      <c r="A21" s="0" t="s">
        <v>184</v>
      </c>
      <c r="B21" s="5" t="n">
        <v>0.05</v>
      </c>
    </row>
    <row r="22" customFormat="false" ht="15" hidden="false" customHeight="false" outlineLevel="0" collapsed="false">
      <c r="A22" s="0" t="s">
        <v>185</v>
      </c>
      <c r="B22" s="5" t="n">
        <v>4.186</v>
      </c>
      <c r="C22" s="6" t="s">
        <v>186</v>
      </c>
    </row>
    <row r="23" customFormat="false" ht="15" hidden="false" customHeight="false" outlineLevel="0" collapsed="false">
      <c r="A23" s="0" t="s">
        <v>187</v>
      </c>
      <c r="B23" s="5" t="n">
        <v>1.163</v>
      </c>
    </row>
    <row r="24" customFormat="false" ht="15" hidden="false" customHeight="false" outlineLevel="0" collapsed="false">
      <c r="A24" s="0" t="s">
        <v>188</v>
      </c>
      <c r="B24" s="5" t="n">
        <v>1.15</v>
      </c>
      <c r="C24" s="6" t="s">
        <v>189</v>
      </c>
    </row>
    <row r="25" customFormat="false" ht="15" hidden="false" customHeight="false" outlineLevel="0" collapsed="false">
      <c r="A25" s="0" t="s">
        <v>190</v>
      </c>
      <c r="B25" s="5" t="n">
        <v>25</v>
      </c>
    </row>
    <row r="26" customFormat="false" ht="15" hidden="false" customHeight="false" outlineLevel="0" collapsed="false">
      <c r="A26" s="0" t="s">
        <v>191</v>
      </c>
      <c r="B26" s="5" t="n">
        <v>0.9</v>
      </c>
      <c r="C26" s="6" t="s">
        <v>192</v>
      </c>
    </row>
    <row r="27" customFormat="false" ht="15" hidden="false" customHeight="false" outlineLevel="0" collapsed="false">
      <c r="A27" s="0" t="s">
        <v>193</v>
      </c>
      <c r="B27" s="5" t="n">
        <v>1.8</v>
      </c>
      <c r="C27" s="6" t="s">
        <v>192</v>
      </c>
    </row>
    <row r="28" customFormat="false" ht="15" hidden="false" customHeight="false" outlineLevel="0" collapsed="false">
      <c r="A28" s="0" t="s">
        <v>194</v>
      </c>
      <c r="B28" s="5" t="n">
        <v>2.2</v>
      </c>
      <c r="C28" s="6" t="s">
        <v>89</v>
      </c>
    </row>
    <row r="29" customFormat="false" ht="15" hidden="false" customHeight="false" outlineLevel="0" collapsed="false">
      <c r="A29" s="0" t="s">
        <v>195</v>
      </c>
      <c r="B29" s="5" t="n">
        <v>60000</v>
      </c>
      <c r="C29" s="6" t="s">
        <v>196</v>
      </c>
    </row>
    <row r="31" customFormat="false" ht="15" hidden="false" customHeight="false" outlineLevel="0" collapsed="false">
      <c r="A31" s="23" t="s">
        <v>197</v>
      </c>
      <c r="B31" s="24"/>
      <c r="C31" s="24"/>
      <c r="D31" s="24"/>
      <c r="E31" s="24"/>
      <c r="F31" s="24"/>
      <c r="G31" s="24"/>
      <c r="H31" s="24"/>
      <c r="I31" s="24"/>
    </row>
    <row r="32" customFormat="false" ht="15" hidden="false" customHeight="false" outlineLevel="0" collapsed="false">
      <c r="A32" s="0" t="s">
        <v>135</v>
      </c>
      <c r="B32" s="5" t="n">
        <v>2300</v>
      </c>
      <c r="C32" s="6" t="s">
        <v>198</v>
      </c>
    </row>
    <row r="33" customFormat="false" ht="15" hidden="false" customHeight="false" outlineLevel="0" collapsed="false">
      <c r="A33" s="0" t="s">
        <v>137</v>
      </c>
      <c r="B33" s="5" t="n">
        <v>4200</v>
      </c>
      <c r="C33" s="6" t="s">
        <v>198</v>
      </c>
    </row>
    <row r="34" customFormat="false" ht="15" hidden="false" customHeight="false" outlineLevel="0" collapsed="false">
      <c r="A34" s="0" t="s">
        <v>144</v>
      </c>
      <c r="B34" s="5" t="n">
        <v>1900</v>
      </c>
      <c r="C34" s="6" t="s">
        <v>199</v>
      </c>
    </row>
    <row r="35" customFormat="false" ht="15" hidden="false" customHeight="false" outlineLevel="0" collapsed="false">
      <c r="A35" s="0" t="s">
        <v>200</v>
      </c>
      <c r="B35" s="5" t="n">
        <v>0.6</v>
      </c>
      <c r="C35" s="6" t="s">
        <v>192</v>
      </c>
    </row>
    <row r="37" customFormat="false" ht="15" hidden="false" customHeight="false" outlineLevel="0" collapsed="false">
      <c r="A37" s="23" t="s">
        <v>201</v>
      </c>
      <c r="B37" s="24"/>
      <c r="C37" s="24"/>
      <c r="D37" s="24"/>
      <c r="E37" s="24"/>
      <c r="F37" s="24"/>
      <c r="G37" s="24"/>
      <c r="H37" s="24"/>
      <c r="I37" s="24"/>
    </row>
    <row r="38" customFormat="false" ht="15" hidden="false" customHeight="false" outlineLevel="0" collapsed="false">
      <c r="A38" s="0" t="s">
        <v>202</v>
      </c>
      <c r="B38" s="5" t="n">
        <v>5200</v>
      </c>
      <c r="C38" s="6" t="s">
        <v>203</v>
      </c>
    </row>
    <row r="39" customFormat="false" ht="15" hidden="false" customHeight="false" outlineLevel="0" collapsed="false">
      <c r="A39" s="0" t="s">
        <v>139</v>
      </c>
      <c r="B39" s="5" t="n">
        <v>3600</v>
      </c>
      <c r="C39" s="6" t="s">
        <v>198</v>
      </c>
    </row>
    <row r="40" customFormat="false" ht="15" hidden="false" customHeight="false" outlineLevel="0" collapsed="false">
      <c r="A40" s="0" t="s">
        <v>204</v>
      </c>
      <c r="B40" s="5" t="n">
        <v>108</v>
      </c>
      <c r="C40" s="6" t="s">
        <v>205</v>
      </c>
    </row>
    <row r="41" customFormat="false" ht="15" hidden="false" customHeight="false" outlineLevel="0" collapsed="false">
      <c r="A41" s="0" t="s">
        <v>206</v>
      </c>
      <c r="B41" s="5" t="n">
        <v>85</v>
      </c>
      <c r="C41" s="6" t="s">
        <v>207</v>
      </c>
    </row>
    <row r="42" customFormat="false" ht="15" hidden="false" customHeight="false" outlineLevel="0" collapsed="false">
      <c r="A42" s="0" t="s">
        <v>208</v>
      </c>
      <c r="B42" s="5" t="n">
        <v>8</v>
      </c>
      <c r="C42" s="6" t="s">
        <v>192</v>
      </c>
    </row>
    <row r="43" customFormat="false" ht="15" hidden="false" customHeight="false" outlineLevel="0" collapsed="false">
      <c r="A43" s="0" t="s">
        <v>142</v>
      </c>
      <c r="B43" s="5" t="n">
        <v>70</v>
      </c>
      <c r="C43" s="6" t="s">
        <v>209</v>
      </c>
    </row>
    <row r="44" customFormat="false" ht="15" hidden="false" customHeight="false" outlineLevel="0" collapsed="false">
      <c r="A44" s="0" t="s">
        <v>210</v>
      </c>
      <c r="B44" s="5" t="n">
        <v>0.9</v>
      </c>
      <c r="C44" s="6" t="s">
        <v>89</v>
      </c>
    </row>
    <row r="45" customFormat="false" ht="15" hidden="false" customHeight="false" outlineLevel="0" collapsed="false">
      <c r="A45" s="0" t="s">
        <v>173</v>
      </c>
      <c r="B45" s="5" t="n">
        <v>9800</v>
      </c>
      <c r="C45" s="6" t="s">
        <v>178</v>
      </c>
    </row>
    <row r="46" customFormat="false" ht="15" hidden="false" customHeight="false" outlineLevel="0" collapsed="false">
      <c r="A46" s="0" t="s">
        <v>211</v>
      </c>
      <c r="B46" s="5" t="n">
        <v>0.55</v>
      </c>
      <c r="C46" s="6" t="s">
        <v>212</v>
      </c>
    </row>
    <row r="47" customFormat="false" ht="15" hidden="false" customHeight="false" outlineLevel="0" collapsed="false">
      <c r="A47" s="0" t="s">
        <v>213</v>
      </c>
      <c r="B47" s="5" t="n">
        <v>3.2</v>
      </c>
      <c r="C47" s="6" t="s">
        <v>89</v>
      </c>
    </row>
    <row r="48" customFormat="false" ht="15" hidden="false" customHeight="false" outlineLevel="0" collapsed="false">
      <c r="A48" s="0" t="s">
        <v>214</v>
      </c>
      <c r="B48" s="5" t="n">
        <v>2.1</v>
      </c>
      <c r="C48" s="6" t="s">
        <v>192</v>
      </c>
    </row>
    <row r="49" customFormat="false" ht="15" hidden="false" customHeight="false" outlineLevel="0" collapsed="false">
      <c r="A49" s="0" t="s">
        <v>215</v>
      </c>
      <c r="B49" s="5" t="n">
        <v>0.8</v>
      </c>
      <c r="C49" s="6" t="s">
        <v>192</v>
      </c>
    </row>
    <row r="50" customFormat="false" ht="15" hidden="false" customHeight="false" outlineLevel="0" collapsed="false">
      <c r="A50" s="0" t="s">
        <v>216</v>
      </c>
      <c r="B50" s="5" t="n">
        <v>1</v>
      </c>
      <c r="C50" s="6" t="s">
        <v>192</v>
      </c>
    </row>
    <row r="52" customFormat="false" ht="15" hidden="false" customHeight="false" outlineLevel="0" collapsed="false">
      <c r="A52" s="23" t="s">
        <v>217</v>
      </c>
      <c r="B52" s="24"/>
      <c r="C52" s="24"/>
      <c r="D52" s="24"/>
      <c r="E52" s="24"/>
      <c r="F52" s="24"/>
      <c r="G52" s="24"/>
      <c r="H52" s="24"/>
      <c r="I52" s="24"/>
    </row>
    <row r="53" customFormat="false" ht="15" hidden="false" customHeight="false" outlineLevel="0" collapsed="false">
      <c r="A53" s="0" t="s">
        <v>218</v>
      </c>
      <c r="B53" s="5" t="n">
        <v>0.62</v>
      </c>
    </row>
    <row r="54" customFormat="false" ht="15" hidden="false" customHeight="false" outlineLevel="0" collapsed="false">
      <c r="A54" s="0" t="s">
        <v>219</v>
      </c>
      <c r="B54" s="5" t="n">
        <v>7.2</v>
      </c>
      <c r="C54" s="6" t="s">
        <v>220</v>
      </c>
    </row>
    <row r="55" customFormat="false" ht="15" hidden="false" customHeight="false" outlineLevel="0" collapsed="false">
      <c r="A55" s="0" t="s">
        <v>221</v>
      </c>
      <c r="B55" s="5" t="n">
        <v>42000</v>
      </c>
      <c r="C55" s="6" t="s">
        <v>36</v>
      </c>
    </row>
    <row r="56" customFormat="false" ht="15" hidden="false" customHeight="false" outlineLevel="0" collapsed="false">
      <c r="A56" s="0" t="s">
        <v>222</v>
      </c>
      <c r="B56" s="5" t="n">
        <v>1.8</v>
      </c>
    </row>
    <row r="57" customFormat="false" ht="15" hidden="false" customHeight="false" outlineLevel="0" collapsed="false">
      <c r="A57" s="0" t="s">
        <v>223</v>
      </c>
      <c r="B57" s="5" t="n">
        <v>1.15</v>
      </c>
      <c r="C57" s="6" t="s">
        <v>89</v>
      </c>
    </row>
    <row r="58" customFormat="false" ht="15" hidden="false" customHeight="false" outlineLevel="0" collapsed="false">
      <c r="A58" s="0" t="s">
        <v>147</v>
      </c>
      <c r="B58" s="5" t="n">
        <v>5200</v>
      </c>
      <c r="C58" s="6" t="s">
        <v>224</v>
      </c>
    </row>
    <row r="59" customFormat="false" ht="15" hidden="false" customHeight="false" outlineLevel="0" collapsed="false">
      <c r="A59" s="0" t="s">
        <v>148</v>
      </c>
      <c r="B59" s="5" t="n">
        <v>4300</v>
      </c>
      <c r="C59" s="6" t="s">
        <v>224</v>
      </c>
    </row>
    <row r="60" customFormat="false" ht="15" hidden="false" customHeight="false" outlineLevel="0" collapsed="false">
      <c r="A60" s="0" t="s">
        <v>149</v>
      </c>
      <c r="B60" s="5" t="n">
        <v>7500</v>
      </c>
      <c r="C60" s="6" t="s">
        <v>224</v>
      </c>
    </row>
    <row r="62" customFormat="false" ht="15" hidden="false" customHeight="false" outlineLevel="0" collapsed="false">
      <c r="A62" s="23" t="s">
        <v>225</v>
      </c>
      <c r="B62" s="24"/>
      <c r="C62" s="24"/>
      <c r="D62" s="24"/>
      <c r="E62" s="24"/>
      <c r="F62" s="24"/>
      <c r="G62" s="24"/>
      <c r="H62" s="24"/>
      <c r="I62" s="24"/>
    </row>
    <row r="63" customFormat="false" ht="15" hidden="false" customHeight="false" outlineLevel="0" collapsed="false">
      <c r="A63" s="0" t="s">
        <v>150</v>
      </c>
      <c r="B63" s="5" t="n">
        <v>90000</v>
      </c>
      <c r="C63" s="6" t="s">
        <v>226</v>
      </c>
    </row>
    <row r="64" customFormat="false" ht="15" hidden="false" customHeight="false" outlineLevel="0" collapsed="false">
      <c r="A64" s="0" t="s">
        <v>227</v>
      </c>
      <c r="B64" s="5" t="n">
        <v>28000</v>
      </c>
      <c r="C64" s="6" t="s">
        <v>226</v>
      </c>
    </row>
    <row r="65" customFormat="false" ht="15" hidden="false" customHeight="false" outlineLevel="0" collapsed="false">
      <c r="A65" s="0" t="s">
        <v>154</v>
      </c>
      <c r="B65" s="26" t="n">
        <v>0.16</v>
      </c>
      <c r="C65" s="6" t="s">
        <v>228</v>
      </c>
    </row>
    <row r="66" customFormat="false" ht="15" hidden="false" customHeight="false" outlineLevel="0" collapsed="false">
      <c r="A66" s="0" t="s">
        <v>156</v>
      </c>
      <c r="B66" s="26" t="n">
        <v>0.025</v>
      </c>
      <c r="C66" s="6" t="s">
        <v>228</v>
      </c>
    </row>
    <row r="67" customFormat="false" ht="15" hidden="false" customHeight="false" outlineLevel="0" collapsed="false">
      <c r="A67" s="0" t="s">
        <v>49</v>
      </c>
      <c r="B67" s="26" t="n">
        <v>0.08</v>
      </c>
      <c r="C67" s="6" t="s">
        <v>229</v>
      </c>
    </row>
    <row r="68" customFormat="false" ht="15" hidden="false" customHeight="false" outlineLevel="0" collapsed="false">
      <c r="A68" s="0" t="s">
        <v>50</v>
      </c>
      <c r="B68" s="26" t="n">
        <v>0.08</v>
      </c>
      <c r="C68" s="6" t="s">
        <v>230</v>
      </c>
    </row>
    <row r="69" customFormat="false" ht="15" hidden="false" customHeight="false" outlineLevel="0" collapsed="false">
      <c r="A69" s="0" t="s">
        <v>231</v>
      </c>
      <c r="B69" s="5" t="n">
        <v>0.00153</v>
      </c>
      <c r="C69" s="6" t="s">
        <v>232</v>
      </c>
    </row>
    <row r="71" customFormat="false" ht="15" hidden="false" customHeight="false" outlineLevel="0" collapsed="false">
      <c r="A71" s="23" t="s">
        <v>233</v>
      </c>
      <c r="B71" s="24"/>
      <c r="C71" s="24"/>
      <c r="D71" s="24"/>
      <c r="E71" s="24"/>
      <c r="F71" s="24"/>
      <c r="G71" s="24"/>
      <c r="H71" s="24"/>
      <c r="I71" s="24"/>
    </row>
    <row r="72" customFormat="false" ht="31.5" hidden="false" customHeight="true" outlineLevel="0" collapsed="false">
      <c r="A72" s="9" t="s">
        <v>161</v>
      </c>
      <c r="B72" s="10" t="s">
        <v>234</v>
      </c>
      <c r="C72" s="10" t="s">
        <v>235</v>
      </c>
    </row>
    <row r="73" customFormat="false" ht="15" hidden="false" customHeight="false" outlineLevel="0" collapsed="false">
      <c r="A73" s="0" t="s">
        <v>29</v>
      </c>
      <c r="B73" s="25" t="n">
        <v>4200</v>
      </c>
      <c r="C73" s="25" t="n">
        <v>7000</v>
      </c>
    </row>
    <row r="74" customFormat="false" ht="15" hidden="false" customHeight="false" outlineLevel="0" collapsed="false">
      <c r="A74" s="0" t="s">
        <v>170</v>
      </c>
      <c r="B74" s="25" t="n">
        <v>4500</v>
      </c>
      <c r="C74" s="25" t="n">
        <v>7500</v>
      </c>
    </row>
    <row r="75" customFormat="false" ht="15" hidden="false" customHeight="false" outlineLevel="0" collapsed="false">
      <c r="A75" s="0" t="s">
        <v>172</v>
      </c>
      <c r="B75" s="25" t="n">
        <v>1500</v>
      </c>
      <c r="C75" s="25" t="n">
        <v>2800</v>
      </c>
    </row>
    <row r="76" customFormat="false" ht="15" hidden="false" customHeight="false" outlineLevel="0" collapsed="false">
      <c r="A76" s="0" t="s">
        <v>174</v>
      </c>
      <c r="B76" s="25" t="n">
        <v>2400</v>
      </c>
      <c r="C76" s="25" t="n">
        <v>4200</v>
      </c>
    </row>
    <row r="77" customFormat="false" ht="15" hidden="false" customHeight="false" outlineLevel="0" collapsed="false">
      <c r="A77" s="0" t="s">
        <v>176</v>
      </c>
      <c r="B77" s="25" t="n">
        <v>1200</v>
      </c>
      <c r="C77" s="25" t="n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40"/>
    <col collapsed="false" customWidth="true" hidden="false" outlineLevel="0" max="7" min="7" style="0" width="8"/>
  </cols>
  <sheetData>
    <row r="1" customFormat="false" ht="18.55" hidden="false" customHeight="false" outlineLevel="0" collapsed="false">
      <c r="A1" s="1" t="s">
        <v>236</v>
      </c>
    </row>
    <row r="4" customFormat="false" ht="31.5" hidden="false" customHeight="true" outlineLevel="0" collapsed="false">
      <c r="A4" s="9" t="s">
        <v>237</v>
      </c>
      <c r="B4" s="10" t="s">
        <v>22</v>
      </c>
      <c r="C4" s="10" t="s">
        <v>238</v>
      </c>
      <c r="D4" s="10" t="s">
        <v>239</v>
      </c>
      <c r="E4" s="10" t="s">
        <v>240</v>
      </c>
      <c r="F4" s="10" t="s">
        <v>161</v>
      </c>
      <c r="G4" s="10" t="s">
        <v>241</v>
      </c>
    </row>
    <row r="5" customFormat="false" ht="15" hidden="false" customHeight="false" outlineLevel="0" collapsed="false">
      <c r="A5" s="0" t="s">
        <v>20</v>
      </c>
      <c r="B5" s="0" t="n">
        <v>3517</v>
      </c>
      <c r="C5" s="0" t="n">
        <v>5</v>
      </c>
      <c r="D5" s="0" t="n">
        <v>4</v>
      </c>
      <c r="E5" s="0" t="n">
        <v>28</v>
      </c>
      <c r="F5" s="0" t="s">
        <v>29</v>
      </c>
      <c r="G5" s="0" t="s">
        <v>32</v>
      </c>
    </row>
    <row r="6" customFormat="false" ht="15" hidden="false" customHeight="false" outlineLevel="0" collapsed="false">
      <c r="A6" s="0" t="s">
        <v>242</v>
      </c>
      <c r="B6" s="0" t="n">
        <v>10551</v>
      </c>
      <c r="C6" s="0" t="n">
        <v>5</v>
      </c>
      <c r="D6" s="0" t="n">
        <v>4</v>
      </c>
      <c r="E6" s="0" t="n">
        <v>28</v>
      </c>
      <c r="F6" s="0" t="s">
        <v>29</v>
      </c>
      <c r="G6" s="0" t="s">
        <v>243</v>
      </c>
    </row>
    <row r="7" customFormat="false" ht="15" hidden="false" customHeight="false" outlineLevel="0" collapsed="false">
      <c r="A7" s="0" t="s">
        <v>244</v>
      </c>
      <c r="B7" s="0" t="n">
        <v>6000</v>
      </c>
      <c r="C7" s="0" t="n">
        <v>8</v>
      </c>
      <c r="D7" s="0" t="n">
        <v>5</v>
      </c>
      <c r="E7" s="0" t="n">
        <v>27</v>
      </c>
      <c r="F7" s="0" t="s">
        <v>174</v>
      </c>
      <c r="G7" s="0" t="s">
        <v>32</v>
      </c>
    </row>
    <row r="8" customFormat="false" ht="15" hidden="false" customHeight="false" outlineLevel="0" collapsed="false">
      <c r="A8" s="0" t="s">
        <v>245</v>
      </c>
      <c r="B8" s="0" t="n">
        <v>60000</v>
      </c>
      <c r="C8" s="0" t="n">
        <v>10</v>
      </c>
      <c r="D8" s="0" t="n">
        <v>7</v>
      </c>
      <c r="E8" s="0" t="n">
        <v>28</v>
      </c>
      <c r="F8" s="0" t="s">
        <v>172</v>
      </c>
      <c r="G8" s="0" t="s">
        <v>32</v>
      </c>
    </row>
    <row r="9" customFormat="false" ht="15" hidden="false" customHeight="false" outlineLevel="0" collapsed="false">
      <c r="A9" s="0" t="s">
        <v>246</v>
      </c>
      <c r="B9" s="0" t="n">
        <v>800</v>
      </c>
      <c r="C9" s="0" t="n">
        <v>5</v>
      </c>
      <c r="D9" s="0" t="n">
        <v>4.5</v>
      </c>
      <c r="E9" s="0" t="n">
        <v>28</v>
      </c>
      <c r="F9" s="0" t="s">
        <v>170</v>
      </c>
      <c r="G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2026-10-13T13:26:30Z</dcterms:created>
  <dc:creator>openpyxl</dc:creator>
  <dc:description/>
  <dc:language>en-US</dc:language>
  <cp:lastModifiedBy/>
  <dcterms:modified xsi:type="dcterms:W3CDTF">2026-10-13T13:26:30Z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