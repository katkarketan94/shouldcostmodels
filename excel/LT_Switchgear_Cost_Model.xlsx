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ummary" sheetId="3" state="visible" r:id="rId5"/>
    <sheet name="Bay Costing" sheetId="4" state="visible" r:id="rId6"/>
    <sheet name="Rates" sheetId="5" state="visible" r:id="rId7"/>
    <sheet name="Presets" sheetId="6" state="visible" r:id="rId8"/>
  </sheets>
  <definedNames>
    <definedName function="false" hidden="false" name="c_mult" vbProcedure="false">'Bay Costing'!$E$3</definedName>
    <definedName function="false" hidden="false" name="i_arc" vbProcedure="false">Inputs!$B$9</definedName>
    <definedName function="false" hidden="false" name="i_busA" vbProcedure="false">Inputs!$B$6</definedName>
    <definedName function="false" hidden="false" name="i_busMat" vbProcedure="false">Inputs!$B$11</definedName>
    <definedName function="false" hidden="false" name="i_first" vbProcedure="false">Inputs!$B$15</definedName>
    <definedName function="false" hidden="false" name="i_form" vbProcedure="false">Inputs!$B$10</definedName>
    <definedName function="false" hidden="false" name="i_ip" vbProcedure="false">Inputs!$B$8</definedName>
    <definedName function="false" hidden="false" name="i_kA" vbProcedure="false">Inputs!$B$7</definedName>
    <definedName function="false" hidden="false" name="i_kv" vbProcedure="false">Inputs!$B$5</definedName>
    <definedName function="false" hidden="false" name="o_total" vbProcedure="false">Summary!$B$15</definedName>
    <definedName function="false" hidden="false" name="r_acbAmpExp" vbProcedure="false">Rates!$B$12</definedName>
    <definedName function="false" hidden="false" name="r_acbAux" vbProcedure="false">Rates!$B$35</definedName>
    <definedName function="false" hidden="false" name="r_acbBase" vbProcedure="false">Rates!$B$11</definedName>
    <definedName function="false" hidden="false" name="r_acbKaExp" vbProcedure="false">Rates!$B$13</definedName>
    <definedName function="false" hidden="false" name="r_acbKgBase" vbProcedure="false">Rates!$B$39</definedName>
    <definedName function="false" hidden="false" name="r_acbKgPerA" vbProcedure="false">Rates!$B$40</definedName>
    <definedName function="false" hidden="false" name="r_acbPoles4" vbProcedure="false">Rates!$B$14</definedName>
    <definedName function="false" hidden="false" name="r_alA" vbProcedure="false">Rates!$B$51</definedName>
    <definedName function="false" hidden="false" name="r_aluminium" vbProcedure="false">Rates!$B$7</definedName>
    <definedName function="false" hidden="false" name="r_ammeterSet" vbProcedure="false">Rates!$B$31</definedName>
    <definedName function="false" hidden="false" name="r_apfcBase" vbProcedure="false">Rates!$B$24</definedName>
    <definedName function="false" hidden="false" name="r_apfcCtl" vbProcedure="false">Rates!$B$36</definedName>
    <definedName function="false" hidden="false" name="r_apfcKgBase" vbProcedure="false">Rates!$B$46</definedName>
    <definedName function="false" hidden="false" name="r_apfcKgPerKvar" vbProcedure="false">Rates!$B$47</definedName>
    <definedName function="false" hidden="false" name="r_apfcPerKvar" vbProcedure="false">Rates!$B$25</definedName>
    <definedName function="false" hidden="false" name="r_arcBoard" vbProcedure="false">Rates!$B$61</definedName>
    <definedName function="false" hidden="false" name="r_arcMult" vbProcedure="false">Rates!$B$71</definedName>
    <definedName function="false" hidden="false" name="r_assembly" vbProcedure="false">Rates!$B$77</definedName>
    <definedName function="false" hidden="false" name="r_assemblyF4b" vbProcedure="false">Rates!$B$62</definedName>
    <definedName function="false" hidden="false" name="r_bayW" vbProcedure="false">Rates!$B$53</definedName>
    <definedName function="false" hidden="false" name="r_busFab" vbProcedure="false">Rates!$B$54</definedName>
    <definedName function="false" hidden="false" name="r_copper" vbProcedure="false">Rates!$B$6</definedName>
    <definedName function="false" hidden="false" name="r_crca" vbProcedure="false">Rates!$B$8</definedName>
    <definedName function="false" hidden="false" name="r_ctLt" vbProcedure="false">Rates!$B$28</definedName>
    <definedName function="false" hidden="false" name="r_cuA" vbProcedure="false">Rates!$B$50</definedName>
    <definedName function="false" hidden="false" name="r_dolBase" vbProcedure="false">Rates!$B$18</definedName>
    <definedName function="false" hidden="false" name="r_dolPerKw" vbProcedure="false">Rates!$B$19</definedName>
    <definedName function="false" hidden="false" name="r_formList" vbProcedure="false">Rates!$A$68:$A$70</definedName>
    <definedName function="false" hidden="false" name="r_formMult" vbProcedure="false">Rates!$B$68:$B$70</definedName>
    <definedName function="false" hidden="false" name="r_gasket" vbProcedure="false">Rates!$B$75</definedName>
    <definedName function="false" hidden="false" name="r_hdwr" vbProcedure="false">Rates!$B$76</definedName>
    <definedName function="false" hidden="false" name="r_ipList" vbProcedure="false">Rates!$A$65:$A$67</definedName>
    <definedName function="false" hidden="false" name="r_ipMult" vbProcedure="false">Rates!$B$65:$B$67</definedName>
    <definedName function="false" hidden="false" name="r_kwExp" vbProcedure="false">Rates!$B$20</definedName>
    <definedName function="false" hidden="false" name="r_labelEarth" vbProcedure="false">Rates!$B$80</definedName>
    <definedName function="false" hidden="false" name="r_lamps" vbProcedure="false">Rates!$B$32</definedName>
    <definedName function="false" hidden="false" name="r_margin" vbProcedure="false">Rates!$B$84</definedName>
    <definedName function="false" hidden="false" name="r_mccbAmpExp" vbProcedure="false">Rates!$B$16</definedName>
    <definedName function="false" hidden="false" name="r_mccbAux" vbProcedure="false">Rates!$B$34</definedName>
    <definedName function="false" hidden="false" name="r_mccbBase" vbProcedure="false">Rates!$B$15</definedName>
    <definedName function="false" hidden="false" name="r_mccbKaExp" vbProcedure="false">Rates!$B$17</definedName>
    <definedName function="false" hidden="false" name="r_mccbKgBase" vbProcedure="false">Rates!$B$41</definedName>
    <definedName function="false" hidden="false" name="r_mccbKgPerA" vbProcedure="false">Rates!$B$42</definedName>
    <definedName function="false" hidden="false" name="r_mccbPerCol" vbProcedure="false">Rates!$B$58</definedName>
    <definedName function="false" hidden="false" name="r_mccbWiringF" vbProcedure="false">Rates!$B$60</definedName>
    <definedName function="false" hidden="false" name="r_mccKgBase" vbProcedure="false">Rates!$B$43</definedName>
    <definedName function="false" hidden="false" name="r_mccKgPerKw" vbProcedure="false">Rates!$B$44</definedName>
    <definedName function="false" hidden="false" name="r_mccPerCol" vbProcedure="false">Rates!$B$57</definedName>
    <definedName function="false" hidden="false" name="r_mfm" vbProcedure="false">Rates!$B$30</definedName>
    <definedName function="false" hidden="false" name="r_overheads" vbProcedure="false">Rates!$B$83</definedName>
    <definedName function="false" hidden="false" name="r_packing" vbProcedure="false">Rates!$B$81</definedName>
    <definedName function="false" hidden="false" name="r_powder" vbProcedure="false">Rates!$B$74</definedName>
    <definedName function="false" hidden="false" name="r_relayLt" vbProcedure="false">Rates!$B$29</definedName>
    <definedName function="false" hidden="false" name="r_sdFactor" vbProcedure="false">Rates!$B$21</definedName>
    <definedName function="false" hidden="false" name="r_selector" vbProcedure="false">Rates!$B$33</definedName>
    <definedName function="false" hidden="false" name="r_sleeve" vbProcedure="false">Rates!$B$55</definedName>
    <definedName function="false" hidden="false" name="r_sleeve4b" vbProcedure="false">Rates!$B$56</definedName>
    <definedName function="false" hidden="false" name="r_testBay" vbProcedure="false">Rates!$B$78</definedName>
    <definedName function="false" hidden="false" name="r_transport" vbProcedure="false">Rates!$B$82</definedName>
    <definedName function="false" hidden="false" name="r_typeTest" vbProcedure="false">Rates!$B$79</definedName>
    <definedName function="false" hidden="false" name="r_vertFrac" vbProcedure="false">Rates!$B$52</definedName>
    <definedName function="false" hidden="false" name="r_vfdBase" vbProcedure="false">Rates!$B$22</definedName>
    <definedName function="false" hidden="false" name="r_vfdExp" vbProcedure="false">Rates!$B$23</definedName>
    <definedName function="false" hidden="false" name="r_vfdKgF" vbProcedure="false">Rates!$B$45</definedName>
    <definedName function="false" hidden="false" name="r_wiring" vbProcedure="false">Rates!$B$59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<sst xmlns="http://schemas.openxmlformats.org/spreadsheetml/2006/main" count="297" uniqueCount="215">
  <si>
    <t xml:space="preserve">LT switchgear board: should-cost model</t>
  </si>
  <si>
    <t xml:space="preserve">Bottom-up cost of a switchboard from its bay schedule. Not a vendor price list: every rate is an editable assumption.</t>
  </si>
  <si>
    <t xml:space="preserve">Purpose</t>
  </si>
  <si>
    <t xml:space="preserve">Estimate the ex-works price of a 415 V LT board (PCC / MCC / APFC) from the schedule of bays. Each bay is costed from its sheet steel, switching device, instrument transformers, protection, wiring and test; the board adds the main busbar, labour, test, packing, overheads and margin.</t>
  </si>
  <si>
    <t xml:space="preserve">How to use</t>
  </si>
  <si>
    <t xml:space="preserve">Edit the yellow cells on Inputs (board rating and the bay schedule) and, if you have quotes, on Rates. Everything else is a live formula. Results are on Summary; the per-bay build-up is on Bay Costing.</t>
  </si>
  <si>
    <t xml:space="preserve">Sheets</t>
  </si>
  <si>
    <t xml:space="preserve">Inputs: board specification and bay schedule.  Rates: every price, constant and multiplier (named cells, prefix r_).  Bay Costing: cost per bay type and board-level items.  Summary: cost stack, per-bay and per-ampere figures.  Presets: three sample boards to copy into Inputs.</t>
  </si>
  <si>
    <t xml:space="preserve">Conventions</t>
  </si>
  <si>
    <t xml:space="preserve">Yellow fill = input.  Blue font = a typed assumption you may change.  Black = formula.  Green fill = key output.  All amounts are Indian rupees, ex-GST, ex-works.</t>
  </si>
  <si>
    <t xml:space="preserve">Basis of the numbers</t>
  </si>
  <si>
    <t xml:space="preserve">Device prices scale with rating from an assumed base price: ACB = 2.1 lakh x (A/1000)^0.9 x (kA/50)^0.3 (x1.25 for 4-pole); MCCB = 80 x A^1.05 x (kA/36)^0.35; starters, VFDs and APFC banks scale with kW / kVAr. Steel, copper and aluminium follow commodity prices you type into Rates.</t>
  </si>
  <si>
    <t xml:space="preserve">Reasonableness</t>
  </si>
  <si>
    <t xml:space="preserve">About Rs 1-4 lakh per LT bay at the default rates (an MCC starter module Rs 0.5-1.5 lakh, an ACB bay Rs 5-12 lakh). These are market ranges, not quotations. Calibrate Rates with two or three recent offers before relying on a figure.</t>
  </si>
  <si>
    <t xml:space="preserve">Limits</t>
  </si>
  <si>
    <t xml:space="preserve">Single board per workbook (copy the file for another). Busbar sized by current density only (no short-circuit or temperature-rise check). No GST, freight to site, erection or civil work. Fault levels above 65 kA need manufacturer confirmation.</t>
  </si>
  <si>
    <t xml:space="preserve">Companion</t>
  </si>
  <si>
    <t xml:space="preserve">The same model runs interactively in the Should-Cost dashboards (switchgear.html), with a 3D view and a month selector for the commodity prices.</t>
  </si>
  <si>
    <t xml:space="preserve">LT board: specification and bay schedule</t>
  </si>
  <si>
    <t xml:space="preserve">Tag / board name</t>
  </si>
  <si>
    <t xml:space="preserve">LT-01 PCC 3200 A, 2 incomers + coupler</t>
  </si>
  <si>
    <t xml:space="preserve">System voltage</t>
  </si>
  <si>
    <t xml:space="preserve">kV (fixed)</t>
  </si>
  <si>
    <t xml:space="preserve">Busbar rating</t>
  </si>
  <si>
    <t xml:space="preserve">A</t>
  </si>
  <si>
    <t xml:space="preserve">Fault level (1 s)</t>
  </si>
  <si>
    <t xml:space="preserve">kA</t>
  </si>
  <si>
    <t xml:space="preserve">Degree of protection</t>
  </si>
  <si>
    <t xml:space="preserve">IP54</t>
  </si>
  <si>
    <t xml:space="preserve">Arc-fault protection (IAC)</t>
  </si>
  <si>
    <t xml:space="preserve">No</t>
  </si>
  <si>
    <t xml:space="preserve">Separation form</t>
  </si>
  <si>
    <t xml:space="preserve">Form 4b</t>
  </si>
  <si>
    <t xml:space="preserve">Busbar material</t>
  </si>
  <si>
    <t xml:space="preserve">Aluminium</t>
  </si>
  <si>
    <t xml:space="preserve">Bay schedule</t>
  </si>
  <si>
    <t xml:space="preserve">Bay type</t>
  </si>
  <si>
    <t xml:space="preserve">Quantity</t>
  </si>
  <si>
    <t xml:space="preserve">Size</t>
  </si>
  <si>
    <t xml:space="preserve">Unit</t>
  </si>
  <si>
    <t xml:space="preserve">ACB incomer</t>
  </si>
  <si>
    <t xml:space="preserve">ACB bus coupler</t>
  </si>
  <si>
    <t xml:space="preserve">ACB outgoing feeder</t>
  </si>
  <si>
    <t xml:space="preserve">MCCB feeder (each)</t>
  </si>
  <si>
    <t xml:space="preserve">MCC starter, DOL</t>
  </si>
  <si>
    <t xml:space="preserve">kW</t>
  </si>
  <si>
    <t xml:space="preserve">MCC starter, star-delta</t>
  </si>
  <si>
    <t xml:space="preserve">MCC starter, VFD</t>
  </si>
  <si>
    <t xml:space="preserve">APFC bank</t>
  </si>
  <si>
    <t xml:space="preserve">kVAr</t>
  </si>
  <si>
    <t xml:space="preserve">Size: rated current (A) for breakers and feeders, motor kW for starters, kVAr for APFC banks. Quantity 0 removes a bay type.</t>
  </si>
  <si>
    <t xml:space="preserve">LT board: should-cost summary</t>
  </si>
  <si>
    <t xml:space="preserve">Cost group</t>
  </si>
  <si>
    <t xml:space="preserve">Rs</t>
  </si>
  <si>
    <t xml:space="preserve">Share</t>
  </si>
  <si>
    <t xml:space="preserve">Note</t>
  </si>
  <si>
    <t xml:space="preserve">Enclosure &amp; structure</t>
  </si>
  <si>
    <t xml:space="preserve">Sheet steel, pre-treatment, powder coat, doors</t>
  </si>
  <si>
    <t xml:space="preserve">Busbars &amp; insulation</t>
  </si>
  <si>
    <t xml:space="preserve">Main (and vertical) busbar, sleeving</t>
  </si>
  <si>
    <t xml:space="preserve">Switching devices</t>
  </si>
  <si>
    <t xml:space="preserve">ACBs, MCCBs, starters, VFDs, APFC</t>
  </si>
  <si>
    <t xml:space="preserve">Protection &amp; metering</t>
  </si>
  <si>
    <t xml:space="preserve">CTs, VTs, relays, meters</t>
  </si>
  <si>
    <t xml:space="preserve">Wiring &amp; auxiliaries</t>
  </si>
  <si>
    <t xml:space="preserve">Control wiring, interlocks, lamps, selectors</t>
  </si>
  <si>
    <t xml:space="preserve">Assembly, test, packing &amp; transport</t>
  </si>
  <si>
    <t xml:space="preserve">Labour, routine and type tests, packing</t>
  </si>
  <si>
    <t xml:space="preserve">Direct cost</t>
  </si>
  <si>
    <t xml:space="preserve">Overheads</t>
  </si>
  <si>
    <t xml:space="preserve">Margin</t>
  </si>
  <si>
    <t xml:space="preserve">SHOULD-COST, ex-works (Rs)</t>
  </si>
  <si>
    <t xml:space="preserve">Should-cost (Rs crore)</t>
  </si>
  <si>
    <t xml:space="preserve">Number of bays (units)</t>
  </si>
  <si>
    <t xml:space="preserve">Cost per bay (Rs)</t>
  </si>
  <si>
    <t xml:space="preserve">Cost per ampere of busbar (Rs/A)</t>
  </si>
  <si>
    <t xml:space="preserve">Sheet steel (kg)</t>
  </si>
  <si>
    <t xml:space="preserve">Busbar mass (kg)</t>
  </si>
  <si>
    <t xml:space="preserve">Checks</t>
  </si>
  <si>
    <t xml:space="preserve">Largest bay rating within the busbar rating?</t>
  </si>
  <si>
    <t xml:space="preserve">Fault level within the usual range?</t>
  </si>
  <si>
    <t xml:space="preserve">Cost per bay and board-level items</t>
  </si>
  <si>
    <t xml:space="preserve">Rows follow the bay schedule on Inputs. Rs per bay unless stated.</t>
  </si>
  <si>
    <t xml:space="preserve">Enclosure multiplier (IP x form x arc)</t>
  </si>
  <si>
    <t xml:space="preserve">Qty</t>
  </si>
  <si>
    <t xml:space="preserve">Steel kg / bay</t>
  </si>
  <si>
    <t xml:space="preserve">Sheet steel</t>
  </si>
  <si>
    <t xml:space="preserve">Powder coat</t>
  </si>
  <si>
    <t xml:space="preserve">Gaskets, doors</t>
  </si>
  <si>
    <t xml:space="preserve">Device</t>
  </si>
  <si>
    <t xml:space="preserve">Aux + wiring</t>
  </si>
  <si>
    <t xml:space="preserve">Total per bay</t>
  </si>
  <si>
    <t xml:space="preserve">Total (qty x)</t>
  </si>
  <si>
    <t xml:space="preserve">Columns</t>
  </si>
  <si>
    <t xml:space="preserve">Board-level items</t>
  </si>
  <si>
    <t xml:space="preserve">Item</t>
  </si>
  <si>
    <t xml:space="preserve">Rate Rs</t>
  </si>
  <si>
    <t xml:space="preserve">Amount Rs</t>
  </si>
  <si>
    <t xml:space="preserve">Group</t>
  </si>
  <si>
    <t xml:space="preserve">Main busbar (per busbar material)</t>
  </si>
  <si>
    <t xml:space="preserve">kg</t>
  </si>
  <si>
    <t xml:space="preserve">Vertical busbars, MCC sections</t>
  </si>
  <si>
    <t xml:space="preserve">Busbar sleeving, supports and barriers</t>
  </si>
  <si>
    <t xml:space="preserve">m</t>
  </si>
  <si>
    <t xml:space="preserve">Arc-flash relay and sensors</t>
  </si>
  <si>
    <t xml:space="preserve">set</t>
  </si>
  <si>
    <t xml:space="preserve">Earth bar, nameplates, end covers</t>
  </si>
  <si>
    <t xml:space="preserve">column</t>
  </si>
  <si>
    <t xml:space="preserve">Assembly, fabrication and wiring labour</t>
  </si>
  <si>
    <t xml:space="preserve">Assembly &amp; test</t>
  </si>
  <si>
    <t xml:space="preserve">Routine tests, FAT and inspection</t>
  </si>
  <si>
    <t xml:space="preserve">bay</t>
  </si>
  <si>
    <t xml:space="preserve">Type-test and certification allowance</t>
  </si>
  <si>
    <t xml:space="preserve">lot</t>
  </si>
  <si>
    <t xml:space="preserve">Packing and transport</t>
  </si>
  <si>
    <t xml:space="preserve">Helper figures</t>
  </si>
  <si>
    <t xml:space="preserve">Columns / panels</t>
  </si>
  <si>
    <t xml:space="preserve">Board length m (columns x width)</t>
  </si>
  <si>
    <t xml:space="preserve">Busbar run length m (board + 1.2 m risers per column)</t>
  </si>
  <si>
    <t xml:space="preserve">Busbar section mm2 per phase</t>
  </si>
  <si>
    <t xml:space="preserve">Sheet steel total kg</t>
  </si>
  <si>
    <t xml:space="preserve">Rates and constants</t>
  </si>
  <si>
    <t xml:space="preserve">Blue = assumption. Replace with quotes. Each value is a named cell (r_...), so formulas stay readable.</t>
  </si>
  <si>
    <t xml:space="preserve">Commodity rates</t>
  </si>
  <si>
    <t xml:space="preserve">Copper (busbar)</t>
  </si>
  <si>
    <t xml:space="preserve">Rs/kg</t>
  </si>
  <si>
    <t xml:space="preserve">Commodity file / LME x USDINR</t>
  </si>
  <si>
    <t xml:space="preserve">Aluminium (busbar)</t>
  </si>
  <si>
    <t xml:space="preserve">CRCA sheet</t>
  </si>
  <si>
    <t xml:space="preserve">ACB base price at 1,000 A, 50 kA, 3-pole</t>
  </si>
  <si>
    <t xml:space="preserve">ACB rating exponent</t>
  </si>
  <si>
    <t xml:space="preserve">ACB fault-level exponent (kA/50)</t>
  </si>
  <si>
    <t xml:space="preserve">Factor for 4-pole (incomers, couplers)</t>
  </si>
  <si>
    <t xml:space="preserve">x</t>
  </si>
  <si>
    <t xml:space="preserve">MCCB price = base x A^exp x (kA/36)^exp</t>
  </si>
  <si>
    <t xml:space="preserve">MCCB rating exponent</t>
  </si>
  <si>
    <t xml:space="preserve">MCCB fault-level exponent</t>
  </si>
  <si>
    <t xml:space="preserve">DOL starter base (MPCB, contactor, overload)</t>
  </si>
  <si>
    <t xml:space="preserve">DOL starter per kW^exp</t>
  </si>
  <si>
    <t xml:space="preserve">Starter kW exponent</t>
  </si>
  <si>
    <t xml:space="preserve">Star-delta factor</t>
  </si>
  <si>
    <t xml:space="preserve">VFD = base x kW^exp</t>
  </si>
  <si>
    <t xml:space="preserve">VFD kW exponent</t>
  </si>
  <si>
    <t xml:space="preserve">APFC bank base (controller, switching)</t>
  </si>
  <si>
    <t xml:space="preserve">APFC capacitors and reactors per kVAr</t>
  </si>
  <si>
    <t xml:space="preserve">Rs/kVAr</t>
  </si>
  <si>
    <t xml:space="preserve">Protection, metering and accessories</t>
  </si>
  <si>
    <t xml:space="preserve">CT (each)</t>
  </si>
  <si>
    <t xml:space="preserve">Microprocessor release / relay element</t>
  </si>
  <si>
    <t xml:space="preserve">Multi-function meter</t>
  </si>
  <si>
    <t xml:space="preserve">Ammeter / voltmeter set</t>
  </si>
  <si>
    <t xml:space="preserve">Indicating lamp</t>
  </si>
  <si>
    <t xml:space="preserve">Selector switch</t>
  </si>
  <si>
    <t xml:space="preserve">MCCB shunt trip / aux</t>
  </si>
  <si>
    <t xml:space="preserve">ACB shunt trip, closing coil, interlocks</t>
  </si>
  <si>
    <t xml:space="preserve">APFC controller, CTs and metering</t>
  </si>
  <si>
    <t xml:space="preserve">Sheet steel per bay (kg)</t>
  </si>
  <si>
    <t xml:space="preserve">ACB bay: base</t>
  </si>
  <si>
    <t xml:space="preserve">ACB bay: per ampere</t>
  </si>
  <si>
    <t xml:space="preserve">kg/A</t>
  </si>
  <si>
    <t xml:space="preserve">MCCB feeder: base</t>
  </si>
  <si>
    <t xml:space="preserve">MCCB feeder: per ampere</t>
  </si>
  <si>
    <t xml:space="preserve">MCC module: base</t>
  </si>
  <si>
    <t xml:space="preserve">MCC module: per kW^0.8</t>
  </si>
  <si>
    <t xml:space="preserve">VFD module factor</t>
  </si>
  <si>
    <t xml:space="preserve">APFC bay: base</t>
  </si>
  <si>
    <t xml:space="preserve">APFC bay: per kVAr</t>
  </si>
  <si>
    <t xml:space="preserve">Busbar</t>
  </si>
  <si>
    <t xml:space="preserve">Copper busbar section</t>
  </si>
  <si>
    <t xml:space="preserve">mm2/A</t>
  </si>
  <si>
    <t xml:space="preserve">Aluminium busbar section</t>
  </si>
  <si>
    <t xml:space="preserve">MCC vertical busbar fraction of main</t>
  </si>
  <si>
    <t xml:space="preserve">Column width</t>
  </si>
  <si>
    <t xml:space="preserve">Busbar fabrication, plating</t>
  </si>
  <si>
    <t xml:space="preserve">Sleeving, supports, barriers</t>
  </si>
  <si>
    <t xml:space="preserve">Rs/m per phase</t>
  </si>
  <si>
    <t xml:space="preserve">Form 4b sleeving factor</t>
  </si>
  <si>
    <t xml:space="preserve">MCC modules per column</t>
  </si>
  <si>
    <t xml:space="preserve">nos</t>
  </si>
  <si>
    <t xml:space="preserve">MCCB feeders per column</t>
  </si>
  <si>
    <t xml:space="preserve">Control wiring and terminals</t>
  </si>
  <si>
    <t xml:space="preserve">Rs/bay</t>
  </si>
  <si>
    <t xml:space="preserve">MCCB feeder wiring factor</t>
  </si>
  <si>
    <t xml:space="preserve">Arc-flash relay and sensors (LT = 50%)</t>
  </si>
  <si>
    <t xml:space="preserve">Form 4b assembly factor</t>
  </si>
  <si>
    <t xml:space="preserve">Enclosure multipliers</t>
  </si>
  <si>
    <t xml:space="preserve">IP42</t>
  </si>
  <si>
    <t xml:space="preserve">IP55</t>
  </si>
  <si>
    <t xml:space="preserve">Form 2b</t>
  </si>
  <si>
    <t xml:space="preserve">Form 3b</t>
  </si>
  <si>
    <t xml:space="preserve">Arc-proof (internal arc classified) enclosure</t>
  </si>
  <si>
    <t xml:space="preserve">Shop floor, test and cost stack</t>
  </si>
  <si>
    <t xml:space="preserve">Pre-treatment and powder coating</t>
  </si>
  <si>
    <t xml:space="preserve">Rs/kg steel</t>
  </si>
  <si>
    <t xml:space="preserve">Gaskets, doors, hardware</t>
  </si>
  <si>
    <t xml:space="preserve">Hardware as share of sheet price</t>
  </si>
  <si>
    <t xml:space="preserve">of material</t>
  </si>
  <si>
    <t xml:space="preserve">Rs/column</t>
  </si>
  <si>
    <t xml:space="preserve">Packing</t>
  </si>
  <si>
    <t xml:space="preserve">of ex-works</t>
  </si>
  <si>
    <t xml:space="preserve">Transport to site</t>
  </si>
  <si>
    <t xml:space="preserve">of direct</t>
  </si>
  <si>
    <t xml:space="preserve">of direct + overheads</t>
  </si>
  <si>
    <t xml:space="preserve">Sample boards (copy the values into Inputs)</t>
  </si>
  <si>
    <t xml:space="preserve">Board</t>
  </si>
  <si>
    <t xml:space="preserve">kV</t>
  </si>
  <si>
    <t xml:space="preserve">Busbar A</t>
  </si>
  <si>
    <t xml:space="preserve">aci=2@3200; acc=1@3200; acf=4@800; mcf=12@250; dol=0; sd=0; vfd=0; pf=0</t>
  </si>
  <si>
    <t xml:space="preserve">IP54, Form 4b, Aluminium busbar</t>
  </si>
  <si>
    <t xml:space="preserve">LT-02 MCC, 40 starters</t>
  </si>
  <si>
    <t xml:space="preserve">aci=1@1000; acc=0; acf=0; mcf=4@125; dol=28@11; sd=6@55; vfd=6@30; pf=0</t>
  </si>
  <si>
    <t xml:space="preserve">IP54, Form 3b, Copper busbar</t>
  </si>
  <si>
    <t xml:space="preserve">LT-03 APFC panel 600 kVAr</t>
  </si>
  <si>
    <t xml:space="preserve">aci=1@1000; acc=0; acf=0; mcf=0; dol=0; sd=0; vfd=0; pf=3@200</t>
  </si>
  <si>
    <t xml:space="preserve">IP42, Form 2b, Aluminium busbar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</si>
</sst>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0"/>
    <numFmt numFmtId="168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mbria"/>
      <family val="0"/>
      <charset val="1"/>
    </font>
    <font>
      <i val="true"/>
      <sz val="11"/>
      <color rgb="FF6B748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FB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rgb="FF6B748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EEF1F5"/>
      </patternFill>
    </fill>
    <fill>
      <patternFill patternType="solid">
        <fgColor rgb="FF1F3A5F"/>
        <bgColor rgb="FF333333"/>
      </patternFill>
    </fill>
    <fill>
      <patternFill patternType="solid">
        <fgColor rgb="FFE3F1E7"/>
        <bgColor rgb="FFEEF1F5"/>
      </patternFill>
    </fill>
    <fill>
      <patternFill patternType="solid">
        <fgColor rgb="FFEEF1F5"/>
        <bgColor rgb="FFE3F1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1E7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2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1.5" hidden="false" customHeight="true" outlineLevel="0" collapsed="false">
      <c r="A4" s="3" t="s">
        <v>2</v>
      </c>
      <c r="B4" s="4" t="s">
        <v>3</v>
      </c>
    </row>
    <row r="5" customFormat="false" ht="61.5" hidden="false" customHeight="true" outlineLevel="0" collapsed="false">
      <c r="A5" s="3" t="s">
        <v>4</v>
      </c>
      <c r="B5" s="4" t="s">
        <v>5</v>
      </c>
    </row>
    <row r="6" customFormat="false" ht="61.5" hidden="false" customHeight="true" outlineLevel="0" collapsed="false">
      <c r="A6" s="3" t="s">
        <v>6</v>
      </c>
      <c r="B6" s="4" t="s">
        <v>7</v>
      </c>
    </row>
    <row r="7" customFormat="false" ht="61.5" hidden="false" customHeight="true" outlineLevel="0" collapsed="false">
      <c r="A7" s="3" t="s">
        <v>8</v>
      </c>
      <c r="B7" s="4" t="s">
        <v>9</v>
      </c>
    </row>
    <row r="8" customFormat="false" ht="61.5" hidden="false" customHeight="true" outlineLevel="0" collapsed="false">
      <c r="A8" s="3" t="s">
        <v>10</v>
      </c>
      <c r="B8" s="4" t="s">
        <v>11</v>
      </c>
    </row>
    <row r="9" customFormat="false" ht="61.5" hidden="false" customHeight="true" outlineLevel="0" collapsed="false">
      <c r="A9" s="3" t="s">
        <v>12</v>
      </c>
      <c r="B9" s="4" t="s">
        <v>13</v>
      </c>
    </row>
    <row r="10" customFormat="false" ht="61.5" hidden="false" customHeight="true" outlineLevel="0" collapsed="false">
      <c r="A10" s="3" t="s">
        <v>14</v>
      </c>
      <c r="B10" s="4" t="s">
        <v>15</v>
      </c>
    </row>
    <row r="11" customFormat="false" ht="61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1" t="s">
        <v>18</v>
      </c>
    </row>
    <row r="4" customFormat="false" ht="15" hidden="false" customHeight="false" outlineLevel="0" collapsed="false">
      <c r="A4" s="0" t="s">
        <v>19</v>
      </c>
      <c r="B4" s="5" t="s">
        <v>20</v>
      </c>
    </row>
    <row r="5" customFormat="false" ht="15" hidden="false" customHeight="false" outlineLevel="0" collapsed="false">
      <c r="A5" s="0" t="s">
        <v>21</v>
      </c>
      <c r="B5" s="6" t="n">
        <v>0.415</v>
      </c>
      <c r="C5" s="7" t="s">
        <v>22</v>
      </c>
    </row>
    <row r="6" customFormat="false" ht="15" hidden="false" customHeight="false" outlineLevel="0" collapsed="false">
      <c r="A6" s="0" t="s">
        <v>23</v>
      </c>
      <c r="B6" s="5" t="n">
        <v>3200</v>
      </c>
      <c r="C6" s="7" t="s">
        <v>24</v>
      </c>
    </row>
    <row r="7" customFormat="false" ht="15" hidden="false" customHeight="false" outlineLevel="0" collapsed="false">
      <c r="A7" s="0" t="s">
        <v>25</v>
      </c>
      <c r="B7" s="5" t="n">
        <v>50</v>
      </c>
      <c r="C7" s="7" t="s">
        <v>26</v>
      </c>
    </row>
    <row r="8" customFormat="false" ht="15" hidden="false" customHeight="false" outlineLevel="0" collapsed="false">
      <c r="A8" s="0" t="s">
        <v>27</v>
      </c>
      <c r="B8" s="5" t="s">
        <v>28</v>
      </c>
    </row>
    <row r="9" customFormat="false" ht="15" hidden="false" customHeight="false" outlineLevel="0" collapsed="false">
      <c r="A9" s="0" t="s">
        <v>29</v>
      </c>
      <c r="B9" s="5" t="s">
        <v>30</v>
      </c>
    </row>
    <row r="10" customFormat="false" ht="15" hidden="false" customHeight="false" outlineLevel="0" collapsed="false">
      <c r="A10" s="0" t="s">
        <v>31</v>
      </c>
      <c r="B10" s="5" t="s">
        <v>32</v>
      </c>
    </row>
    <row r="11" customFormat="false" ht="15" hidden="false" customHeight="false" outlineLevel="0" collapsed="false">
      <c r="A11" s="0" t="s">
        <v>33</v>
      </c>
      <c r="B11" s="5" t="s">
        <v>34</v>
      </c>
    </row>
    <row r="13" customFormat="false" ht="15" hidden="false" customHeight="false" outlineLevel="0" collapsed="false">
      <c r="A13" s="3" t="s">
        <v>35</v>
      </c>
    </row>
    <row r="14" customFormat="false" ht="31.5" hidden="false" customHeight="true" outlineLevel="0" collapsed="false">
      <c r="A14" s="8" t="s">
        <v>36</v>
      </c>
      <c r="B14" s="9" t="s">
        <v>37</v>
      </c>
      <c r="C14" s="9" t="s">
        <v>38</v>
      </c>
      <c r="D14" s="9" t="s">
        <v>39</v>
      </c>
    </row>
    <row r="15" customFormat="false" ht="15" hidden="false" customHeight="false" outlineLevel="0" collapsed="false">
      <c r="A15" s="0" t="s">
        <v>40</v>
      </c>
      <c r="B15" s="5" t="n">
        <v>2</v>
      </c>
      <c r="C15" s="5" t="n">
        <v>3200</v>
      </c>
      <c r="D15" s="7" t="s">
        <v>24</v>
      </c>
    </row>
    <row r="16" customFormat="false" ht="15" hidden="false" customHeight="false" outlineLevel="0" collapsed="false">
      <c r="A16" s="0" t="s">
        <v>41</v>
      </c>
      <c r="B16" s="5" t="n">
        <v>1</v>
      </c>
      <c r="C16" s="5" t="n">
        <v>3200</v>
      </c>
      <c r="D16" s="7" t="s">
        <v>24</v>
      </c>
    </row>
    <row r="17" customFormat="false" ht="15" hidden="false" customHeight="false" outlineLevel="0" collapsed="false">
      <c r="A17" s="0" t="s">
        <v>42</v>
      </c>
      <c r="B17" s="5" t="n">
        <v>4</v>
      </c>
      <c r="C17" s="5" t="n">
        <v>800</v>
      </c>
      <c r="D17" s="7" t="s">
        <v>24</v>
      </c>
    </row>
    <row r="18" customFormat="false" ht="15" hidden="false" customHeight="false" outlineLevel="0" collapsed="false">
      <c r="A18" s="0" t="s">
        <v>43</v>
      </c>
      <c r="B18" s="5" t="n">
        <v>12</v>
      </c>
      <c r="C18" s="5" t="n">
        <v>250</v>
      </c>
      <c r="D18" s="7" t="s">
        <v>24</v>
      </c>
    </row>
    <row r="19" customFormat="false" ht="15" hidden="false" customHeight="false" outlineLevel="0" collapsed="false">
      <c r="A19" s="0" t="s">
        <v>44</v>
      </c>
      <c r="B19" s="5" t="n">
        <v>0</v>
      </c>
      <c r="C19" s="5" t="n">
        <v>15</v>
      </c>
      <c r="D19" s="7" t="s">
        <v>45</v>
      </c>
    </row>
    <row r="20" customFormat="false" ht="15" hidden="false" customHeight="false" outlineLevel="0" collapsed="false">
      <c r="A20" s="0" t="s">
        <v>46</v>
      </c>
      <c r="B20" s="5" t="n">
        <v>0</v>
      </c>
      <c r="C20" s="5" t="n">
        <v>55</v>
      </c>
      <c r="D20" s="7" t="s">
        <v>45</v>
      </c>
    </row>
    <row r="21" customFormat="false" ht="15" hidden="false" customHeight="false" outlineLevel="0" collapsed="false">
      <c r="A21" s="0" t="s">
        <v>47</v>
      </c>
      <c r="B21" s="5" t="n">
        <v>0</v>
      </c>
      <c r="C21" s="5" t="n">
        <v>30</v>
      </c>
      <c r="D21" s="7" t="s">
        <v>45</v>
      </c>
    </row>
    <row r="22" customFormat="false" ht="15" hidden="false" customHeight="false" outlineLevel="0" collapsed="false">
      <c r="A22" s="0" t="s">
        <v>48</v>
      </c>
      <c r="B22" s="5" t="n">
        <v>0</v>
      </c>
      <c r="C22" s="5" t="n">
        <v>200</v>
      </c>
      <c r="D22" s="7" t="s">
        <v>49</v>
      </c>
    </row>
    <row r="24" customFormat="false" ht="15" hidden="false" customHeight="false" outlineLevel="0" collapsed="false">
      <c r="A24" s="2" t="s">
        <v>50</v>
      </c>
    </row>
  </sheetData>
  <dataValidations count="4">
    <dataValidation allowBlank="false" errorStyle="stop" operator="between" showDropDown="false" showErrorMessage="false" showInputMessage="false" sqref="B8" type="list">
      <formula1>"IP42,IP54,IP55"</formula1>
      <formula2>0</formula2>
    </dataValidation>
    <dataValidation allowBlank="false" errorStyle="stop" operator="between" showDropDown="false" showErrorMessage="false" showInputMessage="false" sqref="B9" type="list">
      <formula1>"Yes,No"</formula1>
      <formula2>0</formula2>
    </dataValidation>
    <dataValidation allowBlank="false" errorStyle="stop" operator="between" showDropDown="false" showErrorMessage="false" showInputMessage="false" sqref="B10" type="list">
      <formula1>"Form 2b,Form 3b,Form 4b"</formula1>
      <formula2>0</formula2>
    </dataValidation>
    <dataValidation allowBlank="false" errorStyle="stop" operator="between" showDropDown="false" showErrorMessage="false" showInputMessage="false" sqref="B11" type="list">
      <formula1>"Aluminium,Copper"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8.55" hidden="false" customHeight="false" outlineLevel="0" collapsed="false">
      <c r="A1" s="1" t="s">
        <v>51</v>
      </c>
    </row>
    <row r="3" customFormat="false" ht="15" hidden="false" customHeight="false" outlineLevel="0" collapsed="false">
      <c r="A3" s="3" t="str">
        <f aca="false">Inputs!B4</f>
        <v>LT-01 PCC 3200 A, 2 incomers + coupler</v>
      </c>
    </row>
    <row r="5" customFormat="false" ht="31.5" hidden="false" customHeight="true" outlineLevel="0" collapsed="false">
      <c r="A5" s="8" t="s">
        <v>52</v>
      </c>
      <c r="B5" s="9" t="s">
        <v>53</v>
      </c>
      <c r="C5" s="9" t="s">
        <v>54</v>
      </c>
      <c r="D5" s="9" t="s">
        <v>55</v>
      </c>
    </row>
    <row r="6" customFormat="false" ht="15" hidden="false" customHeight="false" outlineLevel="0" collapsed="false">
      <c r="A6" s="0" t="s">
        <v>56</v>
      </c>
      <c r="B6" s="10" t="n">
        <f aca="false">SUMPRODUCT('Bay Costing'!B5:B12,'Bay Costing'!E5:E12+'Bay Costing'!F5:F12+'Bay Costing'!G5:G12)</f>
        <v>313760.07168</v>
      </c>
      <c r="C6" s="11" t="n">
        <f aca="false">B6/B$15</f>
        <v>0.0480396622510408</v>
      </c>
      <c r="D6" s="12" t="s">
        <v>57</v>
      </c>
    </row>
    <row r="7" customFormat="false" ht="15" hidden="false" customHeight="false" outlineLevel="0" collapsed="false">
      <c r="A7" s="0" t="s">
        <v>58</v>
      </c>
      <c r="B7" s="10" t="n">
        <f aca="false">SUMIF('Bay Costing'!J16:J24,"Busbars &amp; insulation",'Bay Costing'!I16:I24)</f>
        <v>408256</v>
      </c>
      <c r="C7" s="11" t="n">
        <f aca="false">B7/B$15</f>
        <v>0.0625078909720656</v>
      </c>
      <c r="D7" s="12" t="s">
        <v>59</v>
      </c>
    </row>
    <row r="8" customFormat="false" ht="15" hidden="false" customHeight="false" outlineLevel="0" collapsed="false">
      <c r="A8" s="0" t="s">
        <v>60</v>
      </c>
      <c r="B8" s="10" t="n">
        <f aca="false">SUMPRODUCT('Bay Costing'!B5:B12,'Bay Costing'!H5:H12)</f>
        <v>3285302.0326748</v>
      </c>
      <c r="C8" s="11" t="n">
        <f aca="false">B8/B$15</f>
        <v>0.503011103985592</v>
      </c>
      <c r="D8" s="12" t="s">
        <v>61</v>
      </c>
    </row>
    <row r="9" customFormat="false" ht="15" hidden="false" customHeight="false" outlineLevel="0" collapsed="false">
      <c r="A9" s="0" t="s">
        <v>62</v>
      </c>
      <c r="B9" s="10" t="n">
        <f aca="false">SUMPRODUCT('Bay Costing'!B5:B12,'Bay Costing'!I5:I12)</f>
        <v>576100</v>
      </c>
      <c r="C9" s="11" t="n">
        <f aca="false">B9/B$15</f>
        <v>0.0882064096767886</v>
      </c>
      <c r="D9" s="12" t="s">
        <v>63</v>
      </c>
    </row>
    <row r="10" customFormat="false" ht="15" hidden="false" customHeight="false" outlineLevel="0" collapsed="false">
      <c r="A10" s="0" t="s">
        <v>64</v>
      </c>
      <c r="B10" s="10" t="n">
        <f aca="false">SUMPRODUCT('Bay Costing'!B5:B12,'Bay Costing'!J5:J12)+SUMIF('Bay Costing'!J16:J24,"Wiring &amp; auxiliaries",'Bay Costing'!I16:I24)</f>
        <v>266500</v>
      </c>
      <c r="C10" s="11" t="n">
        <f aca="false">B10/B$15</f>
        <v>0.0408036941136333</v>
      </c>
      <c r="D10" s="12" t="s">
        <v>65</v>
      </c>
    </row>
    <row r="11" customFormat="false" ht="15" hidden="false" customHeight="false" outlineLevel="0" collapsed="false">
      <c r="A11" s="0" t="s">
        <v>66</v>
      </c>
      <c r="B11" s="10" t="n">
        <f aca="false">SUMIF('Bay Costing'!J16:J24,"Assembly &amp; test",'Bay Costing'!I16:I24)</f>
        <v>597347.442532981</v>
      </c>
      <c r="C11" s="11" t="n">
        <f aca="false">B11/B$15</f>
        <v>0.0914595959650166</v>
      </c>
      <c r="D11" s="12" t="s">
        <v>67</v>
      </c>
    </row>
    <row r="12" customFormat="false" ht="15" hidden="false" customHeight="false" outlineLevel="0" collapsed="false">
      <c r="A12" s="3" t="s">
        <v>68</v>
      </c>
      <c r="B12" s="13" t="n">
        <f aca="false">SUM(B6:B11)</f>
        <v>5447265.54688778</v>
      </c>
      <c r="C12" s="11" t="n">
        <f aca="false">B12/B$15</f>
        <v>0.834028356964137</v>
      </c>
    </row>
    <row r="13" customFormat="false" ht="15" hidden="false" customHeight="false" outlineLevel="0" collapsed="false">
      <c r="A13" s="0" t="s">
        <v>69</v>
      </c>
      <c r="B13" s="10" t="n">
        <f aca="false">B12*r_overheads</f>
        <v>490253.8992199</v>
      </c>
      <c r="C13" s="11" t="n">
        <f aca="false">B13/B$15</f>
        <v>0.0750625521267723</v>
      </c>
    </row>
    <row r="14" customFormat="false" ht="15" hidden="false" customHeight="false" outlineLevel="0" collapsed="false">
      <c r="A14" s="0" t="s">
        <v>70</v>
      </c>
      <c r="B14" s="10" t="n">
        <f aca="false">(B12+B13)*r_margin</f>
        <v>593751.944610768</v>
      </c>
      <c r="C14" s="11" t="n">
        <f aca="false">B14/B$15</f>
        <v>0.0909090909090909</v>
      </c>
    </row>
    <row r="15" customFormat="false" ht="15" hidden="false" customHeight="false" outlineLevel="0" collapsed="false">
      <c r="A15" s="3" t="s">
        <v>71</v>
      </c>
      <c r="B15" s="14" t="n">
        <f aca="false">B12+B13+B14</f>
        <v>6531271.39071845</v>
      </c>
      <c r="C15" s="11" t="n">
        <f aca="false">B15/B$15</f>
        <v>1</v>
      </c>
    </row>
    <row r="16" customFormat="false" ht="15" hidden="false" customHeight="false" outlineLevel="0" collapsed="false">
      <c r="A16" s="0" t="s">
        <v>72</v>
      </c>
      <c r="B16" s="15" t="n">
        <f aca="false">B15/10000000</f>
        <v>0.653127139071845</v>
      </c>
    </row>
    <row r="17" customFormat="false" ht="15" hidden="false" customHeight="false" outlineLevel="0" collapsed="false">
      <c r="A17" s="0" t="s">
        <v>73</v>
      </c>
      <c r="B17" s="16" t="n">
        <f aca="false">'Bay Costing'!B30</f>
        <v>19</v>
      </c>
    </row>
    <row r="18" customFormat="false" ht="15" hidden="false" customHeight="false" outlineLevel="0" collapsed="false">
      <c r="A18" s="0" t="s">
        <v>74</v>
      </c>
      <c r="B18" s="10" t="n">
        <f aca="false">B15/B17</f>
        <v>343751.125827287</v>
      </c>
    </row>
    <row r="19" customFormat="false" ht="15" hidden="false" customHeight="false" outlineLevel="0" collapsed="false">
      <c r="A19" s="0" t="s">
        <v>75</v>
      </c>
      <c r="B19" s="10" t="n">
        <f aca="false">B15/Inputs!B6</f>
        <v>2041.02230959952</v>
      </c>
    </row>
    <row r="20" customFormat="false" ht="15" hidden="false" customHeight="false" outlineLevel="0" collapsed="false">
      <c r="A20" s="0" t="s">
        <v>76</v>
      </c>
      <c r="B20" s="10" t="n">
        <f aca="false">'Bay Costing'!B35</f>
        <v>3120.128</v>
      </c>
    </row>
    <row r="21" customFormat="false" ht="15" hidden="false" customHeight="false" outlineLevel="0" collapsed="false">
      <c r="A21" s="0" t="s">
        <v>77</v>
      </c>
      <c r="B21" s="10" t="n">
        <f aca="false">'Bay Costing'!B16+'Bay Costing'!B17</f>
        <v>864</v>
      </c>
    </row>
    <row r="23" customFormat="false" ht="15" hidden="false" customHeight="false" outlineLevel="0" collapsed="false">
      <c r="A23" s="3" t="s">
        <v>78</v>
      </c>
    </row>
    <row r="24" customFormat="false" ht="15" hidden="false" customHeight="false" outlineLevel="0" collapsed="false">
      <c r="A24" s="0" t="s">
        <v>79</v>
      </c>
      <c r="B24" s="0" t="str">
        <f aca="false">IF(MAX(Inputs!C15*(Inputs!B15&gt;0),Inputs!C16*(Inputs!B16&gt;0),Inputs!C17*(Inputs!B17&gt;0),Inputs!C18*(Inputs!B18&gt;0))&lt;=Inputs!B6,"OK","CHECK: a bay exceeds the busbar")</f>
        <v>OK</v>
      </c>
    </row>
    <row r="25" customFormat="false" ht="15" hidden="false" customHeight="false" outlineLevel="0" collapsed="false">
      <c r="A25" s="0" t="s">
        <v>80</v>
      </c>
      <c r="B25" s="0" t="str">
        <f aca="false">IF(Inputs!B7&lt;=65,"OK","CHECK: confirm with manufacturer")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9" min="5" style="0" width="13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3" min="13" style="0" width="10"/>
  </cols>
  <sheetData>
    <row r="1" customFormat="false" ht="18.5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0" t="s">
        <v>83</v>
      </c>
      <c r="E3" s="15" t="n">
        <f aca="false">INDEX(r_ipMult,MATCH(i_ip,r_ipList,0))*INDEX(r_formMult,MATCH(i_form,r_formList,0))*IF(i_arc="Yes",r_arcMult,1)</f>
        <v>1.408</v>
      </c>
    </row>
    <row r="4" customFormat="false" ht="31.5" hidden="false" customHeight="true" outlineLevel="0" collapsed="false">
      <c r="A4" s="8" t="s">
        <v>36</v>
      </c>
      <c r="B4" s="9" t="s">
        <v>84</v>
      </c>
      <c r="C4" s="9" t="s">
        <v>38</v>
      </c>
      <c r="D4" s="9" t="s">
        <v>85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62</v>
      </c>
      <c r="J4" s="9" t="s">
        <v>90</v>
      </c>
      <c r="K4" s="9" t="s">
        <v>91</v>
      </c>
      <c r="L4" s="9" t="s">
        <v>92</v>
      </c>
      <c r="M4" s="17" t="s">
        <v>93</v>
      </c>
    </row>
    <row r="5" customFormat="false" ht="15" hidden="false" customHeight="false" outlineLevel="0" collapsed="false">
      <c r="A5" s="0" t="s">
        <v>40</v>
      </c>
      <c r="B5" s="10" t="n">
        <f aca="false">Inputs!B15</f>
        <v>2</v>
      </c>
      <c r="C5" s="10" t="n">
        <f aca="false">Inputs!C15</f>
        <v>3200</v>
      </c>
      <c r="D5" s="10" t="n">
        <f aca="false">(r_acbKgBase+r_acbKgPerA*C5)*c_mult</f>
        <v>450.56</v>
      </c>
      <c r="E5" s="10" t="n">
        <f aca="false">D5*r_crca</f>
        <v>34242.56</v>
      </c>
      <c r="F5" s="10" t="n">
        <f aca="false">D5*r_powder</f>
        <v>6307.84</v>
      </c>
      <c r="G5" s="10" t="n">
        <f aca="false">D5*(r_gasket+r_hdwr*r_crca)</f>
        <v>4757.9136</v>
      </c>
      <c r="H5" s="10" t="n">
        <f aca="false">r_acbBase*(C5/1000)^r_acbAmpExp*(i_kA/50)^r_acbKaExp*r_acbPoles4</f>
        <v>747763.544377687</v>
      </c>
      <c r="I5" s="10" t="n">
        <f aca="false">r_ctLt*4+r_relayLt*3+r_mfm+r_ammeterSet</f>
        <v>60700</v>
      </c>
      <c r="J5" s="10" t="n">
        <f aca="false">r_acbAux+r_lamps*3+r_selector*2+r_wiring</f>
        <v>28300</v>
      </c>
      <c r="K5" s="10" t="n">
        <f aca="false">SUM(E5:J5)</f>
        <v>882071.857977687</v>
      </c>
      <c r="L5" s="10" t="n">
        <f aca="false">B5*K5</f>
        <v>1764143.71595537</v>
      </c>
      <c r="M5" s="10" t="n">
        <f aca="false">B5</f>
        <v>2</v>
      </c>
    </row>
    <row r="6" customFormat="false" ht="15" hidden="false" customHeight="false" outlineLevel="0" collapsed="false">
      <c r="A6" s="0" t="s">
        <v>41</v>
      </c>
      <c r="B6" s="10" t="n">
        <f aca="false">Inputs!B16</f>
        <v>1</v>
      </c>
      <c r="C6" s="10" t="n">
        <f aca="false">Inputs!C16</f>
        <v>3200</v>
      </c>
      <c r="D6" s="10" t="n">
        <f aca="false">(r_acbKgBase+r_acbKgPerA*C6)*c_mult</f>
        <v>450.56</v>
      </c>
      <c r="E6" s="10" t="n">
        <f aca="false">D6*r_crca</f>
        <v>34242.56</v>
      </c>
      <c r="F6" s="10" t="n">
        <f aca="false">D6*r_powder</f>
        <v>6307.84</v>
      </c>
      <c r="G6" s="10" t="n">
        <f aca="false">D6*(r_gasket+r_hdwr*r_crca)</f>
        <v>4757.9136</v>
      </c>
      <c r="H6" s="10" t="n">
        <f aca="false">r_acbBase*(C6/1000)^r_acbAmpExp*(i_kA/50)^r_acbKaExp*r_acbPoles4</f>
        <v>747763.544377687</v>
      </c>
      <c r="I6" s="10" t="n">
        <f aca="false">r_ctLt*4+r_relayLt*3+r_mfm+r_ammeterSet</f>
        <v>60700</v>
      </c>
      <c r="J6" s="10" t="n">
        <f aca="false">r_acbAux+r_lamps*3+r_selector*2+r_wiring</f>
        <v>28300</v>
      </c>
      <c r="K6" s="10" t="n">
        <f aca="false">SUM(E6:J6)</f>
        <v>882071.857977687</v>
      </c>
      <c r="L6" s="10" t="n">
        <f aca="false">B6*K6</f>
        <v>882071.857977687</v>
      </c>
      <c r="M6" s="10" t="n">
        <f aca="false">B6</f>
        <v>1</v>
      </c>
    </row>
    <row r="7" customFormat="false" ht="15" hidden="false" customHeight="false" outlineLevel="0" collapsed="false">
      <c r="A7" s="0" t="s">
        <v>42</v>
      </c>
      <c r="B7" s="10" t="n">
        <f aca="false">Inputs!B17</f>
        <v>4</v>
      </c>
      <c r="C7" s="10" t="n">
        <f aca="false">Inputs!C17</f>
        <v>800</v>
      </c>
      <c r="D7" s="10" t="n">
        <f aca="false">(r_acbKgBase+r_acbKgPerA*C7)*c_mult</f>
        <v>281.6</v>
      </c>
      <c r="E7" s="10" t="n">
        <f aca="false">D7*r_crca</f>
        <v>21401.6</v>
      </c>
      <c r="F7" s="10" t="n">
        <f aca="false">D7*r_powder</f>
        <v>3942.4</v>
      </c>
      <c r="G7" s="10" t="n">
        <f aca="false">D7*(r_gasket+r_hdwr*r_crca)</f>
        <v>2973.696</v>
      </c>
      <c r="H7" s="10" t="n">
        <f aca="false">r_acbBase*(C7/1000)^r_acbAmpExp*(i_kA/50)^r_acbKaExp*1</f>
        <v>171790.95067068</v>
      </c>
      <c r="I7" s="10" t="n">
        <f aca="false">r_ctLt*4+r_relayLt*3+r_mfm+r_ammeterSet</f>
        <v>60700</v>
      </c>
      <c r="J7" s="10" t="n">
        <f aca="false">r_acbAux+r_lamps*3+r_selector*2+r_wiring</f>
        <v>28300</v>
      </c>
      <c r="K7" s="10" t="n">
        <f aca="false">SUM(E7:J7)</f>
        <v>289108.64667068</v>
      </c>
      <c r="L7" s="10" t="n">
        <f aca="false">B7*K7</f>
        <v>1156434.58668272</v>
      </c>
      <c r="M7" s="10" t="n">
        <f aca="false">B7</f>
        <v>4</v>
      </c>
    </row>
    <row r="8" customFormat="false" ht="15" hidden="false" customHeight="false" outlineLevel="0" collapsed="false">
      <c r="A8" s="0" t="s">
        <v>43</v>
      </c>
      <c r="B8" s="10" t="n">
        <f aca="false">Inputs!B18</f>
        <v>12</v>
      </c>
      <c r="C8" s="10" t="n">
        <f aca="false">Inputs!C18</f>
        <v>250</v>
      </c>
      <c r="D8" s="10" t="n">
        <f aca="false">(r_mccbKgBase+r_mccbKgPerA*C8)*c_mult</f>
        <v>53.504</v>
      </c>
      <c r="E8" s="10" t="n">
        <f aca="false">D8*r_crca</f>
        <v>4066.304</v>
      </c>
      <c r="F8" s="10" t="n">
        <f aca="false">D8*r_powder</f>
        <v>749.056</v>
      </c>
      <c r="G8" s="10" t="n">
        <f aca="false">D8*(r_gasket+r_hdwr*r_crca)</f>
        <v>565.00224</v>
      </c>
      <c r="H8" s="10" t="n">
        <f aca="false">r_mccbBase*C8^r_mccbAmpExp*(i_kA/36)^r_mccbKaExp</f>
        <v>29570.6330715847</v>
      </c>
      <c r="I8" s="10" t="n">
        <f aca="false">r_ctLt+r_mccbAux+r_lamps</f>
        <v>12600</v>
      </c>
      <c r="J8" s="10" t="n">
        <f aca="false">r_wiring*r_mccbWiringF</f>
        <v>1950</v>
      </c>
      <c r="K8" s="10" t="n">
        <f aca="false">SUM(E8:J8)</f>
        <v>49500.9953115847</v>
      </c>
      <c r="L8" s="10" t="n">
        <f aca="false">B8*K8</f>
        <v>594011.943739017</v>
      </c>
      <c r="M8" s="10" t="n">
        <f aca="false">B8/r_mccbPerCol</f>
        <v>3</v>
      </c>
    </row>
    <row r="9" customFormat="false" ht="15" hidden="false" customHeight="false" outlineLevel="0" collapsed="false">
      <c r="A9" s="0" t="s">
        <v>44</v>
      </c>
      <c r="B9" s="10" t="n">
        <f aca="false">Inputs!B19</f>
        <v>0</v>
      </c>
      <c r="C9" s="10" t="n">
        <f aca="false">Inputs!C19</f>
        <v>15</v>
      </c>
      <c r="D9" s="10" t="n">
        <f aca="false">(r_mccKgBase+r_mccKgPerKw*C9^0.8)*c_mult*1</f>
        <v>41.1647059399829</v>
      </c>
      <c r="E9" s="10" t="n">
        <f aca="false">D9*r_crca</f>
        <v>3128.5176514387</v>
      </c>
      <c r="F9" s="10" t="n">
        <f aca="false">D9*r_powder</f>
        <v>576.30588315976</v>
      </c>
      <c r="G9" s="10" t="n">
        <f aca="false">D9*(r_gasket+r_hdwr*r_crca)</f>
        <v>434.699294726219</v>
      </c>
      <c r="H9" s="10" t="n">
        <f aca="false">(r_dolBase+r_dolPerKw*C9^r_kwExp)*1</f>
        <v>12146.3894667831</v>
      </c>
      <c r="I9" s="10" t="n">
        <f aca="false">r_ctLt+r_relayLt+r_lamps*3+r_selector*2</f>
        <v>22100</v>
      </c>
      <c r="J9" s="10" t="n">
        <f aca="false">r_wiring</f>
        <v>6500</v>
      </c>
      <c r="K9" s="10" t="n">
        <f aca="false">SUM(E9:J9)</f>
        <v>44885.9122961077</v>
      </c>
      <c r="L9" s="10" t="n">
        <f aca="false">B9*K9</f>
        <v>0</v>
      </c>
      <c r="M9" s="10" t="n">
        <f aca="false">B9/r_mccPerCol</f>
        <v>0</v>
      </c>
    </row>
    <row r="10" customFormat="false" ht="15" hidden="false" customHeight="false" outlineLevel="0" collapsed="false">
      <c r="A10" s="0" t="s">
        <v>46</v>
      </c>
      <c r="B10" s="10" t="n">
        <f aca="false">Inputs!B20</f>
        <v>0</v>
      </c>
      <c r="C10" s="10" t="n">
        <f aca="false">Inputs!C20</f>
        <v>55</v>
      </c>
      <c r="D10" s="10" t="n">
        <f aca="false">(r_mccKgBase+r_mccKgPerKw*C10^0.8)*c_mult*1</f>
        <v>54.6390235395188</v>
      </c>
      <c r="E10" s="10" t="n">
        <f aca="false">D10*r_crca</f>
        <v>4152.56578900343</v>
      </c>
      <c r="F10" s="10" t="n">
        <f aca="false">D10*r_powder</f>
        <v>764.946329553263</v>
      </c>
      <c r="G10" s="10" t="n">
        <f aca="false">D10*(r_gasket+r_hdwr*r_crca)</f>
        <v>576.988088577318</v>
      </c>
      <c r="H10" s="10" t="n">
        <f aca="false">(r_dolBase+r_dolPerKw*C10^r_kwExp)*r_sdFactor</f>
        <v>42215.1356410114</v>
      </c>
      <c r="I10" s="10" t="n">
        <f aca="false">r_ctLt+r_relayLt+r_lamps*3+r_selector*2</f>
        <v>22100</v>
      </c>
      <c r="J10" s="10" t="n">
        <f aca="false">r_wiring</f>
        <v>6500</v>
      </c>
      <c r="K10" s="10" t="n">
        <f aca="false">SUM(E10:J10)</f>
        <v>76309.6358481455</v>
      </c>
      <c r="L10" s="10" t="n">
        <f aca="false">B10*K10</f>
        <v>0</v>
      </c>
      <c r="M10" s="10" t="n">
        <f aca="false">B10/r_mccPerCol</f>
        <v>0</v>
      </c>
    </row>
    <row r="11" customFormat="false" ht="15" hidden="false" customHeight="false" outlineLevel="0" collapsed="false">
      <c r="A11" s="0" t="s">
        <v>47</v>
      </c>
      <c r="B11" s="10" t="n">
        <f aca="false">Inputs!B21</f>
        <v>0</v>
      </c>
      <c r="C11" s="10" t="n">
        <f aca="false">Inputs!C21</f>
        <v>30</v>
      </c>
      <c r="D11" s="10" t="n">
        <f aca="false">(r_mccKgBase+r_mccKgPerKw*C11^0.8)*c_mult*r_vfdKgF</f>
        <v>62.9486459344857</v>
      </c>
      <c r="E11" s="10" t="n">
        <f aca="false">D11*r_crca</f>
        <v>4784.09709102091</v>
      </c>
      <c r="F11" s="10" t="n">
        <f aca="false">D11*r_powder</f>
        <v>881.281043082799</v>
      </c>
      <c r="G11" s="10" t="n">
        <f aca="false">D11*(r_gasket+r_hdwr*r_crca)</f>
        <v>664.737701068169</v>
      </c>
      <c r="H11" s="10" t="n">
        <f aca="false">r_vfdBase*C11^r_vfdExp</f>
        <v>167143.575756999</v>
      </c>
      <c r="I11" s="10" t="n">
        <f aca="false">r_ctLt+r_relayLt+r_lamps*3+r_selector*2</f>
        <v>22100</v>
      </c>
      <c r="J11" s="10" t="n">
        <f aca="false">r_wiring</f>
        <v>6500</v>
      </c>
      <c r="K11" s="10" t="n">
        <f aca="false">SUM(E11:J11)</f>
        <v>202073.691592171</v>
      </c>
      <c r="L11" s="10" t="n">
        <f aca="false">B11*K11</f>
        <v>0</v>
      </c>
      <c r="M11" s="10" t="n">
        <f aca="false">B11/r_mccPerCol</f>
        <v>0</v>
      </c>
    </row>
    <row r="12" customFormat="false" ht="15" hidden="false" customHeight="false" outlineLevel="0" collapsed="false">
      <c r="A12" s="0" t="s">
        <v>48</v>
      </c>
      <c r="B12" s="10" t="n">
        <f aca="false">Inputs!B22</f>
        <v>0</v>
      </c>
      <c r="C12" s="10" t="n">
        <f aca="false">Inputs!C22</f>
        <v>200</v>
      </c>
      <c r="D12" s="10" t="n">
        <f aca="false">(r_apfcKgBase+r_apfcKgPerKvar*C12)*c_mult</f>
        <v>295.68</v>
      </c>
      <c r="E12" s="10" t="n">
        <f aca="false">D12*r_crca</f>
        <v>22471.68</v>
      </c>
      <c r="F12" s="10" t="n">
        <f aca="false">D12*r_powder</f>
        <v>4139.52</v>
      </c>
      <c r="G12" s="10" t="n">
        <f aca="false">D12*(r_gasket+r_hdwr*r_crca)</f>
        <v>3122.3808</v>
      </c>
      <c r="H12" s="10" t="n">
        <f aca="false">r_apfcBase+r_apfcPerKvar*C12</f>
        <v>192000</v>
      </c>
      <c r="I12" s="10" t="n">
        <f aca="false">r_apfcCtl</f>
        <v>28000</v>
      </c>
      <c r="J12" s="10" t="n">
        <f aca="false">r_wiring</f>
        <v>6500</v>
      </c>
      <c r="K12" s="10" t="n">
        <f aca="false">SUM(E12:J12)</f>
        <v>256233.5808</v>
      </c>
      <c r="L12" s="10" t="n">
        <f aca="false">B12*K12</f>
        <v>0</v>
      </c>
      <c r="M12" s="10" t="n">
        <f aca="false">B12</f>
        <v>0</v>
      </c>
    </row>
    <row r="14" customFormat="false" ht="15" hidden="false" customHeight="false" outlineLevel="0" collapsed="false">
      <c r="A14" s="3" t="s">
        <v>94</v>
      </c>
    </row>
    <row r="15" customFormat="false" ht="31.5" hidden="false" customHeight="true" outlineLevel="0" collapsed="false">
      <c r="A15" s="8" t="s">
        <v>95</v>
      </c>
      <c r="B15" s="9" t="s">
        <v>84</v>
      </c>
      <c r="C15" s="9" t="s">
        <v>39</v>
      </c>
      <c r="D15" s="9"/>
      <c r="E15" s="9" t="s">
        <v>96</v>
      </c>
      <c r="F15" s="9"/>
      <c r="G15" s="9"/>
      <c r="H15" s="9"/>
      <c r="I15" s="9" t="s">
        <v>97</v>
      </c>
      <c r="J15" s="18" t="s">
        <v>98</v>
      </c>
    </row>
    <row r="16" customFormat="false" ht="15" hidden="false" customHeight="false" outlineLevel="0" collapsed="false">
      <c r="A16" s="0" t="s">
        <v>99</v>
      </c>
      <c r="B16" s="16" t="n">
        <f aca="false">4*B34*B33*IF(i_busMat="Copper",8.9,2.7)/1000</f>
        <v>864</v>
      </c>
      <c r="C16" s="7" t="s">
        <v>100</v>
      </c>
      <c r="E16" s="10" t="n">
        <f aca="false">IF(i_busMat="Copper",r_copper,r_aluminium)+r_busFab</f>
        <v>444</v>
      </c>
      <c r="I16" s="10" t="n">
        <f aca="false">B16*E16</f>
        <v>383616</v>
      </c>
      <c r="J16" s="12" t="s">
        <v>58</v>
      </c>
    </row>
    <row r="17" customFormat="false" ht="15" hidden="false" customHeight="false" outlineLevel="0" collapsed="false">
      <c r="A17" s="0" t="s">
        <v>101</v>
      </c>
      <c r="B17" s="16" t="n">
        <f aca="false">IF((B9+B10+B11)&gt;0,4*B34*r_vertFrac*2.2*ROUNDUP((B9+B10+B11)/r_mccPerCol,0)*IF(i_busMat="Copper",8.9,2.7)/1000,0)</f>
        <v>0</v>
      </c>
      <c r="C17" s="7" t="s">
        <v>100</v>
      </c>
      <c r="E17" s="10" t="n">
        <f aca="false">IF(i_busMat="Copper",r_copper,r_aluminium)+r_busFab</f>
        <v>444</v>
      </c>
      <c r="I17" s="10" t="n">
        <f aca="false">B17*E17</f>
        <v>0</v>
      </c>
      <c r="J17" s="12" t="s">
        <v>58</v>
      </c>
    </row>
    <row r="18" customFormat="false" ht="15" hidden="false" customHeight="false" outlineLevel="0" collapsed="false">
      <c r="A18" s="0" t="s">
        <v>102</v>
      </c>
      <c r="B18" s="16" t="n">
        <f aca="false">B33*4</f>
        <v>80</v>
      </c>
      <c r="C18" s="7" t="s">
        <v>103</v>
      </c>
      <c r="E18" s="10" t="n">
        <f aca="false">r_sleeve*IF(i_form="Form 4b",r_sleeve4b,1)</f>
        <v>308</v>
      </c>
      <c r="I18" s="10" t="n">
        <f aca="false">B18*E18</f>
        <v>24640</v>
      </c>
      <c r="J18" s="12" t="s">
        <v>58</v>
      </c>
    </row>
    <row r="19" customFormat="false" ht="15" hidden="false" customHeight="false" outlineLevel="0" collapsed="false">
      <c r="A19" s="0" t="s">
        <v>104</v>
      </c>
      <c r="B19" s="16" t="n">
        <f aca="false">IF(i_arc="Yes",1,0)</f>
        <v>0</v>
      </c>
      <c r="C19" s="7" t="s">
        <v>105</v>
      </c>
      <c r="E19" s="10" t="n">
        <f aca="false">r_arcBoard*0.5</f>
        <v>42500</v>
      </c>
      <c r="I19" s="10" t="n">
        <f aca="false">B19*E19</f>
        <v>0</v>
      </c>
      <c r="J19" s="12" t="s">
        <v>64</v>
      </c>
    </row>
    <row r="20" customFormat="false" ht="15" hidden="false" customHeight="false" outlineLevel="0" collapsed="false">
      <c r="A20" s="0" t="s">
        <v>106</v>
      </c>
      <c r="B20" s="16" t="n">
        <f aca="false">ROUNDUP(B31,0)</f>
        <v>10</v>
      </c>
      <c r="C20" s="7" t="s">
        <v>107</v>
      </c>
      <c r="E20" s="10" t="n">
        <f aca="false">r_labelEarth</f>
        <v>4500</v>
      </c>
      <c r="I20" s="10" t="n">
        <f aca="false">B20*E20</f>
        <v>45000</v>
      </c>
      <c r="J20" s="12" t="s">
        <v>64</v>
      </c>
    </row>
    <row r="21" customFormat="false" ht="15" hidden="false" customHeight="false" outlineLevel="0" collapsed="false">
      <c r="A21" s="0" t="s">
        <v>108</v>
      </c>
      <c r="B21" s="16" t="n">
        <f aca="false">B35</f>
        <v>3120.128</v>
      </c>
      <c r="C21" s="7" t="s">
        <v>100</v>
      </c>
      <c r="E21" s="10" t="n">
        <f aca="false">r_assembly*IF(i_form="Form 4b",r_assemblyF4b,1)</f>
        <v>45.6</v>
      </c>
      <c r="I21" s="10" t="n">
        <f aca="false">B21*E21</f>
        <v>142277.8368</v>
      </c>
      <c r="J21" s="12" t="s">
        <v>109</v>
      </c>
    </row>
    <row r="22" customFormat="false" ht="15" hidden="false" customHeight="false" outlineLevel="0" collapsed="false">
      <c r="A22" s="0" t="s">
        <v>110</v>
      </c>
      <c r="B22" s="16" t="n">
        <f aca="false">B30</f>
        <v>19</v>
      </c>
      <c r="C22" s="7" t="s">
        <v>111</v>
      </c>
      <c r="E22" s="10" t="n">
        <f aca="false">r_testBay</f>
        <v>6500</v>
      </c>
      <c r="I22" s="10" t="n">
        <f aca="false">B22*E22</f>
        <v>123500</v>
      </c>
      <c r="J22" s="12" t="s">
        <v>109</v>
      </c>
    </row>
    <row r="23" customFormat="false" ht="15" hidden="false" customHeight="false" outlineLevel="0" collapsed="false">
      <c r="A23" s="0" t="s">
        <v>112</v>
      </c>
      <c r="B23" s="16" t="n">
        <f aca="false">1</f>
        <v>1</v>
      </c>
      <c r="C23" s="7" t="s">
        <v>113</v>
      </c>
      <c r="E23" s="10" t="n">
        <f aca="false">(SUM(L5:L12)+I16+I17+I18+I19+I20)*r_typeTest</f>
        <v>96998.362087096</v>
      </c>
      <c r="I23" s="10" t="n">
        <f aca="false">B23*E23</f>
        <v>96998.362087096</v>
      </c>
      <c r="J23" s="12" t="s">
        <v>109</v>
      </c>
    </row>
    <row r="24" customFormat="false" ht="15" hidden="false" customHeight="false" outlineLevel="0" collapsed="false">
      <c r="A24" s="0" t="s">
        <v>114</v>
      </c>
      <c r="B24" s="16" t="n">
        <f aca="false">1</f>
        <v>1</v>
      </c>
      <c r="C24" s="7" t="s">
        <v>113</v>
      </c>
      <c r="E24" s="10" t="n">
        <f aca="false">(SUM(L5:L12)+SUM(I16:I23))*(r_packing+r_transport)</f>
        <v>234571.243645885</v>
      </c>
      <c r="I24" s="10" t="n">
        <f aca="false">B24*E24</f>
        <v>234571.243645885</v>
      </c>
      <c r="J24" s="12" t="s">
        <v>109</v>
      </c>
    </row>
    <row r="29" customFormat="false" ht="15" hidden="false" customHeight="false" outlineLevel="0" collapsed="false">
      <c r="A29" s="3" t="s">
        <v>115</v>
      </c>
    </row>
    <row r="30" customFormat="false" ht="15" hidden="false" customHeight="false" outlineLevel="0" collapsed="false">
      <c r="A30" s="0" t="s">
        <v>73</v>
      </c>
      <c r="B30" s="16" t="n">
        <f aca="false">SUM(B5:B12)</f>
        <v>19</v>
      </c>
    </row>
    <row r="31" customFormat="false" ht="15" hidden="false" customHeight="false" outlineLevel="0" collapsed="false">
      <c r="A31" s="0" t="s">
        <v>116</v>
      </c>
      <c r="B31" s="16" t="n">
        <f aca="false">SUM(M5:M12)</f>
        <v>10</v>
      </c>
    </row>
    <row r="32" customFormat="false" ht="15" hidden="false" customHeight="false" outlineLevel="0" collapsed="false">
      <c r="A32" s="0" t="s">
        <v>117</v>
      </c>
      <c r="B32" s="16" t="n">
        <f aca="false">B31*r_bayW</f>
        <v>8</v>
      </c>
    </row>
    <row r="33" customFormat="false" ht="15" hidden="false" customHeight="false" outlineLevel="0" collapsed="false">
      <c r="A33" s="0" t="s">
        <v>118</v>
      </c>
      <c r="B33" s="16" t="n">
        <f aca="false">B32+1.2*ROUNDUP(B31,0)</f>
        <v>20</v>
      </c>
    </row>
    <row r="34" customFormat="false" ht="15" hidden="false" customHeight="false" outlineLevel="0" collapsed="false">
      <c r="A34" s="0" t="s">
        <v>119</v>
      </c>
      <c r="B34" s="16" t="n">
        <f aca="false">i_busA*IF(i_busMat="Copper",r_cuA,r_alA)</f>
        <v>4000</v>
      </c>
    </row>
    <row r="35" customFormat="false" ht="15" hidden="false" customHeight="false" outlineLevel="0" collapsed="false">
      <c r="A35" s="0" t="s">
        <v>120</v>
      </c>
      <c r="B35" s="16" t="n">
        <f aca="false">SUMPRODUCT(B5:B12,D5:D12)</f>
        <v>3120.128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8.5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5" customFormat="false" ht="15" hidden="false" customHeight="false" outlineLevel="0" collapsed="false">
      <c r="A5" s="19" t="s">
        <v>123</v>
      </c>
      <c r="B5" s="20"/>
      <c r="C5" s="20"/>
      <c r="D5" s="20"/>
    </row>
    <row r="6" customFormat="false" ht="15" hidden="false" customHeight="false" outlineLevel="0" collapsed="false">
      <c r="A6" s="0" t="s">
        <v>124</v>
      </c>
      <c r="B6" s="5" t="n">
        <v>1400</v>
      </c>
      <c r="C6" s="7" t="s">
        <v>125</v>
      </c>
      <c r="D6" s="12" t="s">
        <v>126</v>
      </c>
    </row>
    <row r="7" customFormat="false" ht="15" hidden="false" customHeight="false" outlineLevel="0" collapsed="false">
      <c r="A7" s="0" t="s">
        <v>127</v>
      </c>
      <c r="B7" s="5" t="n">
        <v>349</v>
      </c>
      <c r="C7" s="7" t="s">
        <v>125</v>
      </c>
      <c r="D7" s="12"/>
    </row>
    <row r="8" customFormat="false" ht="15" hidden="false" customHeight="false" outlineLevel="0" collapsed="false">
      <c r="A8" s="0" t="s">
        <v>128</v>
      </c>
      <c r="B8" s="5" t="n">
        <v>76</v>
      </c>
      <c r="C8" s="7" t="s">
        <v>125</v>
      </c>
      <c r="D8" s="12"/>
    </row>
    <row r="10" customFormat="false" ht="15" hidden="false" customHeight="false" outlineLevel="0" collapsed="false">
      <c r="A10" s="19" t="s">
        <v>60</v>
      </c>
      <c r="B10" s="20"/>
      <c r="C10" s="20"/>
      <c r="D10" s="20"/>
    </row>
    <row r="11" customFormat="false" ht="15" hidden="false" customHeight="false" outlineLevel="0" collapsed="false">
      <c r="A11" s="0" t="s">
        <v>129</v>
      </c>
      <c r="B11" s="5" t="n">
        <v>210000</v>
      </c>
      <c r="C11" s="7" t="s">
        <v>53</v>
      </c>
      <c r="D11" s="12"/>
    </row>
    <row r="12" customFormat="false" ht="15" hidden="false" customHeight="false" outlineLevel="0" collapsed="false">
      <c r="A12" s="0" t="s">
        <v>130</v>
      </c>
      <c r="B12" s="5" t="n">
        <v>0.9</v>
      </c>
      <c r="D12" s="12"/>
    </row>
    <row r="13" customFormat="false" ht="15" hidden="false" customHeight="false" outlineLevel="0" collapsed="false">
      <c r="A13" s="0" t="s">
        <v>131</v>
      </c>
      <c r="B13" s="5" t="n">
        <v>0.3</v>
      </c>
      <c r="D13" s="12"/>
    </row>
    <row r="14" customFormat="false" ht="15" hidden="false" customHeight="false" outlineLevel="0" collapsed="false">
      <c r="A14" s="0" t="s">
        <v>132</v>
      </c>
      <c r="B14" s="5" t="n">
        <v>1.25</v>
      </c>
      <c r="C14" s="7" t="s">
        <v>133</v>
      </c>
      <c r="D14" s="12"/>
    </row>
    <row r="15" customFormat="false" ht="15" hidden="false" customHeight="false" outlineLevel="0" collapsed="false">
      <c r="A15" s="0" t="s">
        <v>134</v>
      </c>
      <c r="B15" s="5" t="n">
        <v>80</v>
      </c>
      <c r="C15" s="7" t="s">
        <v>53</v>
      </c>
      <c r="D15" s="12"/>
    </row>
    <row r="16" customFormat="false" ht="15" hidden="false" customHeight="false" outlineLevel="0" collapsed="false">
      <c r="A16" s="0" t="s">
        <v>135</v>
      </c>
      <c r="B16" s="5" t="n">
        <v>1.05</v>
      </c>
      <c r="D16" s="12"/>
    </row>
    <row r="17" customFormat="false" ht="15" hidden="false" customHeight="false" outlineLevel="0" collapsed="false">
      <c r="A17" s="0" t="s">
        <v>136</v>
      </c>
      <c r="B17" s="5" t="n">
        <v>0.35</v>
      </c>
      <c r="D17" s="12"/>
    </row>
    <row r="18" customFormat="false" ht="15" hidden="false" customHeight="false" outlineLevel="0" collapsed="false">
      <c r="A18" s="0" t="s">
        <v>137</v>
      </c>
      <c r="B18" s="5" t="n">
        <v>3000</v>
      </c>
      <c r="C18" s="7" t="s">
        <v>53</v>
      </c>
      <c r="D18" s="12"/>
    </row>
    <row r="19" customFormat="false" ht="15" hidden="false" customHeight="false" outlineLevel="0" collapsed="false">
      <c r="A19" s="0" t="s">
        <v>138</v>
      </c>
      <c r="B19" s="5" t="n">
        <v>1200</v>
      </c>
      <c r="C19" s="7" t="s">
        <v>53</v>
      </c>
      <c r="D19" s="12"/>
    </row>
    <row r="20" customFormat="false" ht="15" hidden="false" customHeight="false" outlineLevel="0" collapsed="false">
      <c r="A20" s="0" t="s">
        <v>139</v>
      </c>
      <c r="B20" s="5" t="n">
        <v>0.75</v>
      </c>
      <c r="D20" s="12"/>
    </row>
    <row r="21" customFormat="false" ht="15" hidden="false" customHeight="false" outlineLevel="0" collapsed="false">
      <c r="A21" s="0" t="s">
        <v>140</v>
      </c>
      <c r="B21" s="5" t="n">
        <v>1.55</v>
      </c>
      <c r="C21" s="7" t="s">
        <v>133</v>
      </c>
      <c r="D21" s="12"/>
    </row>
    <row r="22" customFormat="false" ht="15" hidden="false" customHeight="false" outlineLevel="0" collapsed="false">
      <c r="A22" s="0" t="s">
        <v>141</v>
      </c>
      <c r="B22" s="5" t="n">
        <v>11000</v>
      </c>
      <c r="C22" s="7" t="s">
        <v>53</v>
      </c>
      <c r="D22" s="12"/>
    </row>
    <row r="23" customFormat="false" ht="15" hidden="false" customHeight="false" outlineLevel="0" collapsed="false">
      <c r="A23" s="0" t="s">
        <v>142</v>
      </c>
      <c r="B23" s="5" t="n">
        <v>0.8</v>
      </c>
      <c r="D23" s="12"/>
    </row>
    <row r="24" customFormat="false" ht="15" hidden="false" customHeight="false" outlineLevel="0" collapsed="false">
      <c r="A24" s="0" t="s">
        <v>143</v>
      </c>
      <c r="B24" s="5" t="n">
        <v>62000</v>
      </c>
      <c r="C24" s="7" t="s">
        <v>53</v>
      </c>
      <c r="D24" s="12"/>
    </row>
    <row r="25" customFormat="false" ht="15" hidden="false" customHeight="false" outlineLevel="0" collapsed="false">
      <c r="A25" s="0" t="s">
        <v>144</v>
      </c>
      <c r="B25" s="5" t="n">
        <v>650</v>
      </c>
      <c r="C25" s="7" t="s">
        <v>145</v>
      </c>
      <c r="D25" s="12"/>
    </row>
    <row r="27" customFormat="false" ht="15" hidden="false" customHeight="false" outlineLevel="0" collapsed="false">
      <c r="A27" s="19" t="s">
        <v>146</v>
      </c>
      <c r="B27" s="20"/>
      <c r="C27" s="20"/>
      <c r="D27" s="20"/>
    </row>
    <row r="28" customFormat="false" ht="15" hidden="false" customHeight="false" outlineLevel="0" collapsed="false">
      <c r="A28" s="0" t="s">
        <v>147</v>
      </c>
      <c r="B28" s="5" t="n">
        <v>4800</v>
      </c>
      <c r="C28" s="7" t="s">
        <v>53</v>
      </c>
      <c r="D28" s="12"/>
    </row>
    <row r="29" customFormat="false" ht="15" hidden="false" customHeight="false" outlineLevel="0" collapsed="false">
      <c r="A29" s="0" t="s">
        <v>148</v>
      </c>
      <c r="B29" s="5" t="n">
        <v>9500</v>
      </c>
      <c r="C29" s="7" t="s">
        <v>53</v>
      </c>
      <c r="D29" s="12"/>
    </row>
    <row r="30" customFormat="false" ht="15" hidden="false" customHeight="false" outlineLevel="0" collapsed="false">
      <c r="A30" s="0" t="s">
        <v>149</v>
      </c>
      <c r="B30" s="5" t="n">
        <v>7500</v>
      </c>
      <c r="C30" s="7" t="s">
        <v>53</v>
      </c>
      <c r="D30" s="12"/>
    </row>
    <row r="31" customFormat="false" ht="15" hidden="false" customHeight="false" outlineLevel="0" collapsed="false">
      <c r="A31" s="0" t="s">
        <v>150</v>
      </c>
      <c r="B31" s="5" t="n">
        <v>5500</v>
      </c>
      <c r="C31" s="7" t="s">
        <v>53</v>
      </c>
      <c r="D31" s="12"/>
    </row>
    <row r="32" customFormat="false" ht="15" hidden="false" customHeight="false" outlineLevel="0" collapsed="false">
      <c r="A32" s="0" t="s">
        <v>151</v>
      </c>
      <c r="B32" s="5" t="n">
        <v>1800</v>
      </c>
      <c r="C32" s="7" t="s">
        <v>53</v>
      </c>
      <c r="D32" s="12"/>
    </row>
    <row r="33" customFormat="false" ht="15" hidden="false" customHeight="false" outlineLevel="0" collapsed="false">
      <c r="A33" s="0" t="s">
        <v>152</v>
      </c>
      <c r="B33" s="5" t="n">
        <v>1200</v>
      </c>
      <c r="C33" s="7" t="s">
        <v>53</v>
      </c>
      <c r="D33" s="12"/>
    </row>
    <row r="34" customFormat="false" ht="15" hidden="false" customHeight="false" outlineLevel="0" collapsed="false">
      <c r="A34" s="0" t="s">
        <v>153</v>
      </c>
      <c r="B34" s="5" t="n">
        <v>6000</v>
      </c>
      <c r="C34" s="7" t="s">
        <v>53</v>
      </c>
      <c r="D34" s="12"/>
    </row>
    <row r="35" customFormat="false" ht="15" hidden="false" customHeight="false" outlineLevel="0" collapsed="false">
      <c r="A35" s="0" t="s">
        <v>154</v>
      </c>
      <c r="B35" s="5" t="n">
        <v>14000</v>
      </c>
      <c r="C35" s="7" t="s">
        <v>53</v>
      </c>
      <c r="D35" s="12"/>
    </row>
    <row r="36" customFormat="false" ht="15" hidden="false" customHeight="false" outlineLevel="0" collapsed="false">
      <c r="A36" s="0" t="s">
        <v>155</v>
      </c>
      <c r="B36" s="5" t="n">
        <v>28000</v>
      </c>
      <c r="C36" s="7" t="s">
        <v>53</v>
      </c>
      <c r="D36" s="12"/>
    </row>
    <row r="38" customFormat="false" ht="15" hidden="false" customHeight="false" outlineLevel="0" collapsed="false">
      <c r="A38" s="19" t="s">
        <v>156</v>
      </c>
      <c r="B38" s="20"/>
      <c r="C38" s="20"/>
      <c r="D38" s="20"/>
    </row>
    <row r="39" customFormat="false" ht="15" hidden="false" customHeight="false" outlineLevel="0" collapsed="false">
      <c r="A39" s="0" t="s">
        <v>157</v>
      </c>
      <c r="B39" s="5" t="n">
        <v>160</v>
      </c>
      <c r="C39" s="7" t="s">
        <v>100</v>
      </c>
      <c r="D39" s="12"/>
    </row>
    <row r="40" customFormat="false" ht="15" hidden="false" customHeight="false" outlineLevel="0" collapsed="false">
      <c r="A40" s="0" t="s">
        <v>158</v>
      </c>
      <c r="B40" s="5" t="n">
        <v>0.05</v>
      </c>
      <c r="C40" s="7" t="s">
        <v>159</v>
      </c>
      <c r="D40" s="12"/>
    </row>
    <row r="41" customFormat="false" ht="15" hidden="false" customHeight="false" outlineLevel="0" collapsed="false">
      <c r="A41" s="0" t="s">
        <v>160</v>
      </c>
      <c r="B41" s="5" t="n">
        <v>28</v>
      </c>
      <c r="C41" s="7" t="s">
        <v>100</v>
      </c>
      <c r="D41" s="12"/>
    </row>
    <row r="42" customFormat="false" ht="15" hidden="false" customHeight="false" outlineLevel="0" collapsed="false">
      <c r="A42" s="0" t="s">
        <v>161</v>
      </c>
      <c r="B42" s="5" t="n">
        <v>0.04</v>
      </c>
      <c r="C42" s="7" t="s">
        <v>159</v>
      </c>
      <c r="D42" s="12"/>
    </row>
    <row r="43" customFormat="false" ht="15" hidden="false" customHeight="false" outlineLevel="0" collapsed="false">
      <c r="A43" s="0" t="s">
        <v>162</v>
      </c>
      <c r="B43" s="5" t="n">
        <v>24</v>
      </c>
      <c r="C43" s="7" t="s">
        <v>100</v>
      </c>
      <c r="D43" s="12"/>
    </row>
    <row r="44" customFormat="false" ht="15" hidden="false" customHeight="false" outlineLevel="0" collapsed="false">
      <c r="A44" s="0" t="s">
        <v>163</v>
      </c>
      <c r="B44" s="5" t="n">
        <v>0.6</v>
      </c>
      <c r="C44" s="7" t="s">
        <v>100</v>
      </c>
      <c r="D44" s="12"/>
    </row>
    <row r="45" customFormat="false" ht="15" hidden="false" customHeight="false" outlineLevel="0" collapsed="false">
      <c r="A45" s="0" t="s">
        <v>164</v>
      </c>
      <c r="B45" s="5" t="n">
        <v>1.35</v>
      </c>
      <c r="C45" s="7" t="s">
        <v>133</v>
      </c>
      <c r="D45" s="12"/>
    </row>
    <row r="46" customFormat="false" ht="15" hidden="false" customHeight="false" outlineLevel="0" collapsed="false">
      <c r="A46" s="0" t="s">
        <v>165</v>
      </c>
      <c r="B46" s="5" t="n">
        <v>120</v>
      </c>
      <c r="C46" s="7" t="s">
        <v>100</v>
      </c>
      <c r="D46" s="12"/>
    </row>
    <row r="47" customFormat="false" ht="15" hidden="false" customHeight="false" outlineLevel="0" collapsed="false">
      <c r="A47" s="0" t="s">
        <v>166</v>
      </c>
      <c r="B47" s="5" t="n">
        <v>0.45</v>
      </c>
      <c r="C47" s="7" t="s">
        <v>100</v>
      </c>
      <c r="D47" s="12"/>
    </row>
    <row r="49" customFormat="false" ht="15" hidden="false" customHeight="false" outlineLevel="0" collapsed="false">
      <c r="A49" s="19" t="s">
        <v>167</v>
      </c>
      <c r="B49" s="20"/>
      <c r="C49" s="20"/>
      <c r="D49" s="20"/>
    </row>
    <row r="50" customFormat="false" ht="15" hidden="false" customHeight="false" outlineLevel="0" collapsed="false">
      <c r="A50" s="0" t="s">
        <v>168</v>
      </c>
      <c r="B50" s="5" t="n">
        <v>0.8</v>
      </c>
      <c r="C50" s="7" t="s">
        <v>169</v>
      </c>
      <c r="D50" s="12"/>
    </row>
    <row r="51" customFormat="false" ht="15" hidden="false" customHeight="false" outlineLevel="0" collapsed="false">
      <c r="A51" s="0" t="s">
        <v>170</v>
      </c>
      <c r="B51" s="5" t="n">
        <v>1.25</v>
      </c>
      <c r="C51" s="7" t="s">
        <v>169</v>
      </c>
      <c r="D51" s="12"/>
    </row>
    <row r="52" customFormat="false" ht="15" hidden="false" customHeight="false" outlineLevel="0" collapsed="false">
      <c r="A52" s="0" t="s">
        <v>171</v>
      </c>
      <c r="B52" s="5" t="n">
        <v>0.5</v>
      </c>
      <c r="D52" s="12"/>
    </row>
    <row r="53" customFormat="false" ht="15" hidden="false" customHeight="false" outlineLevel="0" collapsed="false">
      <c r="A53" s="0" t="s">
        <v>172</v>
      </c>
      <c r="B53" s="5" t="n">
        <v>0.8</v>
      </c>
      <c r="C53" s="7" t="s">
        <v>103</v>
      </c>
      <c r="D53" s="12"/>
    </row>
    <row r="54" customFormat="false" ht="15" hidden="false" customHeight="false" outlineLevel="0" collapsed="false">
      <c r="A54" s="0" t="s">
        <v>173</v>
      </c>
      <c r="B54" s="5" t="n">
        <v>95</v>
      </c>
      <c r="C54" s="7" t="s">
        <v>125</v>
      </c>
      <c r="D54" s="12"/>
    </row>
    <row r="55" customFormat="false" ht="15" hidden="false" customHeight="false" outlineLevel="0" collapsed="false">
      <c r="A55" s="0" t="s">
        <v>174</v>
      </c>
      <c r="B55" s="5" t="n">
        <v>220</v>
      </c>
      <c r="C55" s="7" t="s">
        <v>175</v>
      </c>
      <c r="D55" s="12"/>
    </row>
    <row r="56" customFormat="false" ht="15" hidden="false" customHeight="false" outlineLevel="0" collapsed="false">
      <c r="A56" s="0" t="s">
        <v>176</v>
      </c>
      <c r="B56" s="5" t="n">
        <v>1.4</v>
      </c>
      <c r="C56" s="7" t="s">
        <v>133</v>
      </c>
      <c r="D56" s="12"/>
    </row>
    <row r="57" customFormat="false" ht="15" hidden="false" customHeight="false" outlineLevel="0" collapsed="false">
      <c r="A57" s="0" t="s">
        <v>177</v>
      </c>
      <c r="B57" s="5" t="n">
        <v>8</v>
      </c>
      <c r="C57" s="7" t="s">
        <v>178</v>
      </c>
      <c r="D57" s="12"/>
    </row>
    <row r="58" customFormat="false" ht="15" hidden="false" customHeight="false" outlineLevel="0" collapsed="false">
      <c r="A58" s="0" t="s">
        <v>179</v>
      </c>
      <c r="B58" s="5" t="n">
        <v>4</v>
      </c>
      <c r="C58" s="7" t="s">
        <v>178</v>
      </c>
      <c r="D58" s="12"/>
    </row>
    <row r="59" customFormat="false" ht="15" hidden="false" customHeight="false" outlineLevel="0" collapsed="false">
      <c r="A59" s="0" t="s">
        <v>180</v>
      </c>
      <c r="B59" s="5" t="n">
        <v>6500</v>
      </c>
      <c r="C59" s="7" t="s">
        <v>181</v>
      </c>
      <c r="D59" s="12"/>
    </row>
    <row r="60" customFormat="false" ht="15" hidden="false" customHeight="false" outlineLevel="0" collapsed="false">
      <c r="A60" s="0" t="s">
        <v>182</v>
      </c>
      <c r="B60" s="5" t="n">
        <v>0.3</v>
      </c>
      <c r="C60" s="7" t="s">
        <v>133</v>
      </c>
      <c r="D60" s="12"/>
    </row>
    <row r="61" customFormat="false" ht="15" hidden="false" customHeight="false" outlineLevel="0" collapsed="false">
      <c r="A61" s="0" t="s">
        <v>183</v>
      </c>
      <c r="B61" s="5" t="n">
        <v>85000</v>
      </c>
      <c r="C61" s="7" t="s">
        <v>53</v>
      </c>
      <c r="D61" s="12"/>
    </row>
    <row r="62" customFormat="false" ht="15" hidden="false" customHeight="false" outlineLevel="0" collapsed="false">
      <c r="A62" s="0" t="s">
        <v>184</v>
      </c>
      <c r="B62" s="5" t="n">
        <v>1.2</v>
      </c>
      <c r="C62" s="7" t="s">
        <v>133</v>
      </c>
      <c r="D62" s="12"/>
    </row>
    <row r="64" customFormat="false" ht="15" hidden="false" customHeight="false" outlineLevel="0" collapsed="false">
      <c r="A64" s="19" t="s">
        <v>185</v>
      </c>
      <c r="B64" s="20"/>
      <c r="C64" s="20"/>
      <c r="D64" s="20"/>
    </row>
    <row r="65" customFormat="false" ht="15" hidden="false" customHeight="false" outlineLevel="0" collapsed="false">
      <c r="A65" s="0" t="s">
        <v>186</v>
      </c>
      <c r="B65" s="5" t="n">
        <v>1</v>
      </c>
    </row>
    <row r="66" customFormat="false" ht="15" hidden="false" customHeight="false" outlineLevel="0" collapsed="false">
      <c r="A66" s="0" t="s">
        <v>28</v>
      </c>
      <c r="B66" s="5" t="n">
        <v>1.1</v>
      </c>
    </row>
    <row r="67" customFormat="false" ht="15" hidden="false" customHeight="false" outlineLevel="0" collapsed="false">
      <c r="A67" s="0" t="s">
        <v>187</v>
      </c>
      <c r="B67" s="5" t="n">
        <v>1.14</v>
      </c>
    </row>
    <row r="68" customFormat="false" ht="15" hidden="false" customHeight="false" outlineLevel="0" collapsed="false">
      <c r="A68" s="0" t="s">
        <v>188</v>
      </c>
      <c r="B68" s="5" t="n">
        <v>1</v>
      </c>
    </row>
    <row r="69" customFormat="false" ht="15" hidden="false" customHeight="false" outlineLevel="0" collapsed="false">
      <c r="A69" s="0" t="s">
        <v>189</v>
      </c>
      <c r="B69" s="5" t="n">
        <v>1.12</v>
      </c>
    </row>
    <row r="70" customFormat="false" ht="15" hidden="false" customHeight="false" outlineLevel="0" collapsed="false">
      <c r="A70" s="0" t="s">
        <v>32</v>
      </c>
      <c r="B70" s="5" t="n">
        <v>1.28</v>
      </c>
    </row>
    <row r="71" customFormat="false" ht="15" hidden="false" customHeight="false" outlineLevel="0" collapsed="false">
      <c r="A71" s="0" t="s">
        <v>190</v>
      </c>
      <c r="B71" s="5" t="n">
        <v>1.2</v>
      </c>
      <c r="C71" s="7" t="s">
        <v>133</v>
      </c>
      <c r="D71" s="12"/>
    </row>
    <row r="73" customFormat="false" ht="15" hidden="false" customHeight="false" outlineLevel="0" collapsed="false">
      <c r="A73" s="19" t="s">
        <v>191</v>
      </c>
      <c r="B73" s="20"/>
      <c r="C73" s="20"/>
      <c r="D73" s="20"/>
    </row>
    <row r="74" customFormat="false" ht="15" hidden="false" customHeight="false" outlineLevel="0" collapsed="false">
      <c r="A74" s="0" t="s">
        <v>192</v>
      </c>
      <c r="B74" s="5" t="n">
        <v>14</v>
      </c>
      <c r="C74" s="7" t="s">
        <v>193</v>
      </c>
      <c r="D74" s="12"/>
    </row>
    <row r="75" customFormat="false" ht="15" hidden="false" customHeight="false" outlineLevel="0" collapsed="false">
      <c r="A75" s="0" t="s">
        <v>194</v>
      </c>
      <c r="B75" s="5" t="n">
        <v>6</v>
      </c>
      <c r="C75" s="7" t="s">
        <v>193</v>
      </c>
      <c r="D75" s="12"/>
    </row>
    <row r="76" customFormat="false" ht="15" hidden="false" customHeight="false" outlineLevel="0" collapsed="false">
      <c r="A76" s="0" t="s">
        <v>195</v>
      </c>
      <c r="B76" s="5" t="n">
        <v>0.06</v>
      </c>
      <c r="C76" s="7" t="s">
        <v>133</v>
      </c>
      <c r="D76" s="12"/>
    </row>
    <row r="77" customFormat="false" ht="15" hidden="false" customHeight="false" outlineLevel="0" collapsed="false">
      <c r="A77" s="0" t="s">
        <v>108</v>
      </c>
      <c r="B77" s="5" t="n">
        <v>38</v>
      </c>
      <c r="C77" s="7" t="s">
        <v>193</v>
      </c>
      <c r="D77" s="12"/>
    </row>
    <row r="78" customFormat="false" ht="15" hidden="false" customHeight="false" outlineLevel="0" collapsed="false">
      <c r="A78" s="0" t="s">
        <v>110</v>
      </c>
      <c r="B78" s="5" t="n">
        <v>6500</v>
      </c>
      <c r="C78" s="7" t="s">
        <v>181</v>
      </c>
      <c r="D78" s="12"/>
    </row>
    <row r="79" customFormat="false" ht="15" hidden="false" customHeight="false" outlineLevel="0" collapsed="false">
      <c r="A79" s="0" t="s">
        <v>112</v>
      </c>
      <c r="B79" s="21" t="n">
        <v>0.02</v>
      </c>
      <c r="C79" s="7" t="s">
        <v>196</v>
      </c>
      <c r="D79" s="12"/>
    </row>
    <row r="80" customFormat="false" ht="15" hidden="false" customHeight="false" outlineLevel="0" collapsed="false">
      <c r="A80" s="0" t="s">
        <v>106</v>
      </c>
      <c r="B80" s="5" t="n">
        <v>4500</v>
      </c>
      <c r="C80" s="7" t="s">
        <v>197</v>
      </c>
      <c r="D80" s="12"/>
    </row>
    <row r="81" customFormat="false" ht="15" hidden="false" customHeight="false" outlineLevel="0" collapsed="false">
      <c r="A81" s="0" t="s">
        <v>198</v>
      </c>
      <c r="B81" s="21" t="n">
        <v>0.025</v>
      </c>
      <c r="C81" s="7" t="s">
        <v>199</v>
      </c>
      <c r="D81" s="12"/>
    </row>
    <row r="82" customFormat="false" ht="15" hidden="false" customHeight="false" outlineLevel="0" collapsed="false">
      <c r="A82" s="0" t="s">
        <v>200</v>
      </c>
      <c r="B82" s="21" t="n">
        <v>0.02</v>
      </c>
      <c r="C82" s="7" t="s">
        <v>199</v>
      </c>
      <c r="D82" s="12"/>
    </row>
    <row r="83" customFormat="false" ht="15" hidden="false" customHeight="false" outlineLevel="0" collapsed="false">
      <c r="A83" s="0" t="s">
        <v>69</v>
      </c>
      <c r="B83" s="21" t="n">
        <v>0.09</v>
      </c>
      <c r="C83" s="7" t="s">
        <v>201</v>
      </c>
      <c r="D83" s="12"/>
    </row>
    <row r="84" customFormat="false" ht="15" hidden="false" customHeight="false" outlineLevel="0" collapsed="false">
      <c r="A84" s="0" t="s">
        <v>70</v>
      </c>
      <c r="B84" s="21" t="n">
        <v>0.1</v>
      </c>
      <c r="C84" s="7" t="s">
        <v>202</v>
      </c>
      <c r="D8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8.55" hidden="false" customHeight="false" outlineLevel="0" collapsed="false">
      <c r="A1" s="1" t="s">
        <v>203</v>
      </c>
    </row>
    <row r="4" customFormat="false" ht="31.5" hidden="false" customHeight="true" outlineLevel="0" collapsed="false">
      <c r="A4" s="8" t="s">
        <v>204</v>
      </c>
      <c r="B4" s="9" t="s">
        <v>205</v>
      </c>
      <c r="C4" s="9" t="s">
        <v>206</v>
      </c>
      <c r="D4" s="9" t="s">
        <v>26</v>
      </c>
      <c r="E4" s="9"/>
      <c r="F4" s="9"/>
      <c r="G4" s="9"/>
    </row>
    <row r="5" customFormat="false" ht="43.5" hidden="false" customHeight="true" outlineLevel="0" collapsed="false">
      <c r="A5" s="0" t="s">
        <v>20</v>
      </c>
      <c r="B5" s="0" t="n">
        <v>0.415</v>
      </c>
      <c r="C5" s="0" t="n">
        <v>3200</v>
      </c>
      <c r="D5" s="0" t="n">
        <v>50</v>
      </c>
      <c r="E5" s="22" t="s">
        <v>207</v>
      </c>
      <c r="F5" s="22"/>
      <c r="G5" s="12" t="s">
        <v>208</v>
      </c>
    </row>
    <row r="6" customFormat="false" ht="43.5" hidden="false" customHeight="true" outlineLevel="0" collapsed="false">
      <c r="A6" s="0" t="s">
        <v>209</v>
      </c>
      <c r="B6" s="0" t="n">
        <v>0.415</v>
      </c>
      <c r="C6" s="0" t="n">
        <v>1000</v>
      </c>
      <c r="D6" s="0" t="n">
        <v>50</v>
      </c>
      <c r="E6" s="22" t="s">
        <v>210</v>
      </c>
      <c r="F6" s="22"/>
      <c r="G6" s="12" t="s">
        <v>211</v>
      </c>
    </row>
    <row r="7" customFormat="false" ht="43.5" hidden="false" customHeight="true" outlineLevel="0" collapsed="false">
      <c r="A7" s="0" t="s">
        <v>212</v>
      </c>
      <c r="B7" s="0" t="n">
        <v>0.415</v>
      </c>
      <c r="C7" s="0" t="n">
        <v>1000</v>
      </c>
      <c r="D7" s="0" t="n">
        <v>36</v>
      </c>
      <c r="E7" s="22" t="s">
        <v>213</v>
      </c>
      <c r="F7" s="22"/>
      <c r="G7" s="12" t="s">
        <v>214</v>
      </c>
    </row>
  </sheetData>
  <mergeCells count="3">
    <mergeCell ref="E5:F5"/>
    <mergeCell ref="E6:F6"/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2026-10-13T12:55:52Z</dcterms:created>
  <dc:creator>openpyxl</dc:creator>
  <dc:description/>
  <dc:language>en-US</dc:language>
  <cp:lastModifiedBy/>
  <dcterms:modified xsi:type="dcterms:W3CDTF">2026-10-13T12:55:52Z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