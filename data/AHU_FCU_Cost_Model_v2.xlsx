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tsmgrp.sharepoint.com/sites/Tplbusinesstransformation/Shared Documents/General/Tata Projects/9A Working Files/03. Cost Models/"/>
    </mc:Choice>
  </mc:AlternateContent>
  <xr:revisionPtr revIDLastSave="68" documentId="11_6B2EBEE5F1E25DC0039416314F6E0A935E51B951" xr6:coauthVersionLast="47" xr6:coauthVersionMax="47" xr10:uidLastSave="{FD78D0D9-0205-4174-BE07-3564B76A2E5D}"/>
  <bookViews>
    <workbookView xWindow="-120" yWindow="-120" windowWidth="20730" windowHeight="11040" tabRatio="997" activeTab="1" xr2:uid="{00000000-000D-0000-FFFF-FFFF00000000}"/>
  </bookViews>
  <sheets>
    <sheet name="Figure" sheetId="5" r:id="rId1"/>
    <sheet name="AHU Batch Calculator" sheetId="1" r:id="rId2"/>
    <sheet name="FCU Batch Calculator" sheetId="2" state="hidden" r:id="rId3"/>
    <sheet name="Assumptions &amp; Ref" sheetId="3" r:id="rId4"/>
    <sheet name="Read Me" sheetId="4" state="hidden" r:id="rId5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J9" i="1" l="1"/>
  <c r="AK9" i="1" s="1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V33" i="2"/>
  <c r="U33" i="2"/>
  <c r="T33" i="2"/>
  <c r="S33" i="2"/>
  <c r="R33" i="2"/>
  <c r="Q33" i="2"/>
  <c r="P33" i="2"/>
  <c r="O33" i="2"/>
  <c r="N33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V32" i="2"/>
  <c r="U32" i="2"/>
  <c r="T32" i="2"/>
  <c r="S32" i="2"/>
  <c r="R32" i="2"/>
  <c r="Q32" i="2"/>
  <c r="P32" i="2"/>
  <c r="O32" i="2"/>
  <c r="N32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V31" i="2"/>
  <c r="U31" i="2"/>
  <c r="T31" i="2"/>
  <c r="S31" i="2"/>
  <c r="R31" i="2"/>
  <c r="Q31" i="2"/>
  <c r="P31" i="2"/>
  <c r="O31" i="2"/>
  <c r="N31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V30" i="2"/>
  <c r="U30" i="2"/>
  <c r="T30" i="2"/>
  <c r="S30" i="2"/>
  <c r="R30" i="2"/>
  <c r="Q30" i="2"/>
  <c r="P30" i="2"/>
  <c r="O30" i="2"/>
  <c r="N30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V29" i="2"/>
  <c r="U29" i="2"/>
  <c r="T29" i="2"/>
  <c r="S29" i="2"/>
  <c r="R29" i="2"/>
  <c r="Q29" i="2"/>
  <c r="P29" i="2"/>
  <c r="O29" i="2"/>
  <c r="N29" i="2"/>
  <c r="BM28" i="2"/>
  <c r="BL28" i="2"/>
  <c r="BK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V28" i="2"/>
  <c r="U28" i="2"/>
  <c r="T28" i="2"/>
  <c r="S28" i="2"/>
  <c r="R28" i="2"/>
  <c r="Q28" i="2"/>
  <c r="P28" i="2"/>
  <c r="O28" i="2"/>
  <c r="N28" i="2"/>
  <c r="BM27" i="2"/>
  <c r="BL27" i="2"/>
  <c r="BK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V27" i="2"/>
  <c r="U27" i="2"/>
  <c r="T27" i="2"/>
  <c r="S27" i="2"/>
  <c r="R27" i="2"/>
  <c r="Q27" i="2"/>
  <c r="P27" i="2"/>
  <c r="O27" i="2"/>
  <c r="N27" i="2"/>
  <c r="BM26" i="2"/>
  <c r="BL26" i="2"/>
  <c r="BK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V26" i="2"/>
  <c r="U26" i="2"/>
  <c r="T26" i="2"/>
  <c r="S26" i="2"/>
  <c r="R26" i="2"/>
  <c r="Q26" i="2"/>
  <c r="P26" i="2"/>
  <c r="O26" i="2"/>
  <c r="N26" i="2"/>
  <c r="BM25" i="2"/>
  <c r="BL25" i="2"/>
  <c r="BK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V25" i="2"/>
  <c r="U25" i="2"/>
  <c r="T25" i="2"/>
  <c r="S25" i="2"/>
  <c r="R25" i="2"/>
  <c r="Q25" i="2"/>
  <c r="P25" i="2"/>
  <c r="O25" i="2"/>
  <c r="N25" i="2"/>
  <c r="BM24" i="2"/>
  <c r="BL24" i="2"/>
  <c r="BK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V24" i="2"/>
  <c r="U24" i="2"/>
  <c r="T24" i="2"/>
  <c r="S24" i="2"/>
  <c r="R24" i="2"/>
  <c r="Q24" i="2"/>
  <c r="P24" i="2"/>
  <c r="O24" i="2"/>
  <c r="N24" i="2"/>
  <c r="BM23" i="2"/>
  <c r="BL23" i="2"/>
  <c r="BK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V23" i="2"/>
  <c r="U23" i="2"/>
  <c r="T23" i="2"/>
  <c r="S23" i="2"/>
  <c r="R23" i="2"/>
  <c r="Q23" i="2"/>
  <c r="P23" i="2"/>
  <c r="O23" i="2"/>
  <c r="N23" i="2"/>
  <c r="BM22" i="2"/>
  <c r="BL22" i="2"/>
  <c r="BK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V22" i="2"/>
  <c r="U22" i="2"/>
  <c r="T22" i="2"/>
  <c r="S22" i="2"/>
  <c r="R22" i="2"/>
  <c r="Q22" i="2"/>
  <c r="P22" i="2"/>
  <c r="O22" i="2"/>
  <c r="N22" i="2"/>
  <c r="BM21" i="2"/>
  <c r="BL21" i="2"/>
  <c r="BK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V21" i="2"/>
  <c r="U21" i="2"/>
  <c r="T21" i="2"/>
  <c r="S21" i="2"/>
  <c r="R21" i="2"/>
  <c r="Q21" i="2"/>
  <c r="P21" i="2"/>
  <c r="O21" i="2"/>
  <c r="N21" i="2"/>
  <c r="BM20" i="2"/>
  <c r="BL20" i="2"/>
  <c r="BK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V20" i="2"/>
  <c r="U20" i="2"/>
  <c r="T20" i="2"/>
  <c r="S20" i="2"/>
  <c r="R20" i="2"/>
  <c r="Q20" i="2"/>
  <c r="P20" i="2"/>
  <c r="O20" i="2"/>
  <c r="N20" i="2"/>
  <c r="BM19" i="2"/>
  <c r="BL19" i="2"/>
  <c r="BK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V19" i="2"/>
  <c r="U19" i="2"/>
  <c r="T19" i="2"/>
  <c r="S19" i="2"/>
  <c r="R19" i="2"/>
  <c r="Q19" i="2"/>
  <c r="P19" i="2"/>
  <c r="O19" i="2"/>
  <c r="N19" i="2"/>
  <c r="BM18" i="2"/>
  <c r="BL18" i="2"/>
  <c r="BK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V18" i="2"/>
  <c r="U18" i="2"/>
  <c r="T18" i="2"/>
  <c r="S18" i="2"/>
  <c r="R18" i="2"/>
  <c r="Q18" i="2"/>
  <c r="P18" i="2"/>
  <c r="O18" i="2"/>
  <c r="N18" i="2"/>
  <c r="BM17" i="2"/>
  <c r="BL17" i="2"/>
  <c r="BK17" i="2"/>
  <c r="BI17" i="2"/>
  <c r="BH17" i="2"/>
  <c r="BG17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V17" i="2"/>
  <c r="U17" i="2"/>
  <c r="T17" i="2"/>
  <c r="S17" i="2"/>
  <c r="R17" i="2"/>
  <c r="Q17" i="2"/>
  <c r="P17" i="2"/>
  <c r="O17" i="2"/>
  <c r="N17" i="2"/>
  <c r="BM16" i="2"/>
  <c r="BL16" i="2"/>
  <c r="BK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V16" i="2"/>
  <c r="U16" i="2"/>
  <c r="T16" i="2"/>
  <c r="S16" i="2"/>
  <c r="R16" i="2"/>
  <c r="Q16" i="2"/>
  <c r="P16" i="2"/>
  <c r="O16" i="2"/>
  <c r="N16" i="2"/>
  <c r="BM15" i="2"/>
  <c r="BL15" i="2"/>
  <c r="BK15" i="2"/>
  <c r="BI15" i="2"/>
  <c r="BH15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V15" i="2"/>
  <c r="U15" i="2"/>
  <c r="T15" i="2"/>
  <c r="S15" i="2"/>
  <c r="R15" i="2"/>
  <c r="Q15" i="2"/>
  <c r="P15" i="2"/>
  <c r="O15" i="2"/>
  <c r="N15" i="2"/>
  <c r="AX14" i="2"/>
  <c r="AY14" i="2" s="1"/>
  <c r="AU14" i="2"/>
  <c r="AR14" i="2"/>
  <c r="AJ14" i="2"/>
  <c r="AI14" i="2"/>
  <c r="AG14" i="2"/>
  <c r="AF14" i="2"/>
  <c r="AD14" i="2"/>
  <c r="X14" i="2"/>
  <c r="Y14" i="2" s="1"/>
  <c r="AX13" i="2"/>
  <c r="AY13" i="2" s="1"/>
  <c r="AU13" i="2"/>
  <c r="AR13" i="2"/>
  <c r="AJ13" i="2"/>
  <c r="AI13" i="2"/>
  <c r="AG13" i="2"/>
  <c r="AF13" i="2"/>
  <c r="AD13" i="2"/>
  <c r="Y13" i="2"/>
  <c r="X13" i="2"/>
  <c r="AX12" i="2"/>
  <c r="AY12" i="2" s="1"/>
  <c r="AU12" i="2"/>
  <c r="AR12" i="2"/>
  <c r="AJ12" i="2"/>
  <c r="AI12" i="2"/>
  <c r="AG12" i="2"/>
  <c r="AF12" i="2"/>
  <c r="AD12" i="2"/>
  <c r="X12" i="2"/>
  <c r="Y12" i="2" s="1"/>
  <c r="AX11" i="2"/>
  <c r="AY11" i="2" s="1"/>
  <c r="AU11" i="2"/>
  <c r="AR11" i="2"/>
  <c r="AJ11" i="2"/>
  <c r="AI11" i="2"/>
  <c r="AG11" i="2"/>
  <c r="AF11" i="2"/>
  <c r="AD11" i="2"/>
  <c r="X11" i="2"/>
  <c r="Y11" i="2" s="1"/>
  <c r="AX10" i="2"/>
  <c r="AY10" i="2" s="1"/>
  <c r="AU10" i="2"/>
  <c r="AR10" i="2"/>
  <c r="AJ10" i="2"/>
  <c r="AI10" i="2"/>
  <c r="AG10" i="2"/>
  <c r="AF10" i="2"/>
  <c r="AD10" i="2"/>
  <c r="Y10" i="2"/>
  <c r="X10" i="2"/>
  <c r="AY9" i="2"/>
  <c r="AX9" i="2"/>
  <c r="AU9" i="2"/>
  <c r="AR9" i="2"/>
  <c r="AJ9" i="2"/>
  <c r="AI9" i="2"/>
  <c r="AG9" i="2"/>
  <c r="AF9" i="2"/>
  <c r="AD9" i="2"/>
  <c r="X9" i="2"/>
  <c r="Y9" i="2" s="1"/>
  <c r="CJ28" i="1"/>
  <c r="CI28" i="1"/>
  <c r="CH28" i="1"/>
  <c r="CF28" i="1"/>
  <c r="CE28" i="1"/>
  <c r="CD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H28" i="1"/>
  <c r="AG28" i="1"/>
  <c r="AF28" i="1"/>
  <c r="AE28" i="1"/>
  <c r="AD28" i="1"/>
  <c r="AC28" i="1"/>
  <c r="AB28" i="1"/>
  <c r="AA28" i="1"/>
  <c r="Z28" i="1"/>
  <c r="Y28" i="1"/>
  <c r="CJ27" i="1"/>
  <c r="CI27" i="1"/>
  <c r="CH27" i="1"/>
  <c r="CF27" i="1"/>
  <c r="CE27" i="1"/>
  <c r="CD27" i="1"/>
  <c r="CC27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H27" i="1"/>
  <c r="AG27" i="1"/>
  <c r="AF27" i="1"/>
  <c r="AE27" i="1"/>
  <c r="AD27" i="1"/>
  <c r="AC27" i="1"/>
  <c r="AB27" i="1"/>
  <c r="AA27" i="1"/>
  <c r="Z27" i="1"/>
  <c r="Y27" i="1"/>
  <c r="CJ26" i="1"/>
  <c r="CI26" i="1"/>
  <c r="CH26" i="1"/>
  <c r="CF26" i="1"/>
  <c r="CE26" i="1"/>
  <c r="CD26" i="1"/>
  <c r="CC26" i="1"/>
  <c r="CB26" i="1"/>
  <c r="CA26" i="1"/>
  <c r="BZ26" i="1"/>
  <c r="BY26" i="1"/>
  <c r="BX26" i="1"/>
  <c r="BW26" i="1"/>
  <c r="BV26" i="1"/>
  <c r="BU26" i="1"/>
  <c r="BT26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H26" i="1"/>
  <c r="AG26" i="1"/>
  <c r="AF26" i="1"/>
  <c r="AE26" i="1"/>
  <c r="AD26" i="1"/>
  <c r="AC26" i="1"/>
  <c r="AB26" i="1"/>
  <c r="AA26" i="1"/>
  <c r="Z26" i="1"/>
  <c r="Y26" i="1"/>
  <c r="CJ25" i="1"/>
  <c r="CI25" i="1"/>
  <c r="CH25" i="1"/>
  <c r="CF25" i="1"/>
  <c r="CE25" i="1"/>
  <c r="CD25" i="1"/>
  <c r="CC25" i="1"/>
  <c r="CB25" i="1"/>
  <c r="CA25" i="1"/>
  <c r="BZ25" i="1"/>
  <c r="BY25" i="1"/>
  <c r="BX25" i="1"/>
  <c r="BW25" i="1"/>
  <c r="BV25" i="1"/>
  <c r="BU25" i="1"/>
  <c r="BT25" i="1"/>
  <c r="BS25" i="1"/>
  <c r="BR25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H25" i="1"/>
  <c r="AG25" i="1"/>
  <c r="AF25" i="1"/>
  <c r="AE25" i="1"/>
  <c r="AD25" i="1"/>
  <c r="AC25" i="1"/>
  <c r="AB25" i="1"/>
  <c r="AA25" i="1"/>
  <c r="Z25" i="1"/>
  <c r="Y25" i="1"/>
  <c r="CJ24" i="1"/>
  <c r="CI24" i="1"/>
  <c r="CH24" i="1"/>
  <c r="CF24" i="1"/>
  <c r="CE24" i="1"/>
  <c r="CD24" i="1"/>
  <c r="CC24" i="1"/>
  <c r="CB24" i="1"/>
  <c r="CA24" i="1"/>
  <c r="BZ24" i="1"/>
  <c r="BY24" i="1"/>
  <c r="BX24" i="1"/>
  <c r="BW24" i="1"/>
  <c r="BV24" i="1"/>
  <c r="BU24" i="1"/>
  <c r="BT24" i="1"/>
  <c r="BS24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H24" i="1"/>
  <c r="AG24" i="1"/>
  <c r="AF24" i="1"/>
  <c r="AE24" i="1"/>
  <c r="AD24" i="1"/>
  <c r="AC24" i="1"/>
  <c r="AB24" i="1"/>
  <c r="AA24" i="1"/>
  <c r="Z24" i="1"/>
  <c r="Y24" i="1"/>
  <c r="CJ23" i="1"/>
  <c r="CI23" i="1"/>
  <c r="CH23" i="1"/>
  <c r="CF23" i="1"/>
  <c r="CE23" i="1"/>
  <c r="CD23" i="1"/>
  <c r="CC23" i="1"/>
  <c r="CB23" i="1"/>
  <c r="CA23" i="1"/>
  <c r="BZ23" i="1"/>
  <c r="BY23" i="1"/>
  <c r="BX23" i="1"/>
  <c r="BW23" i="1"/>
  <c r="BV23" i="1"/>
  <c r="BU23" i="1"/>
  <c r="BT23" i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H23" i="1"/>
  <c r="AG23" i="1"/>
  <c r="AF23" i="1"/>
  <c r="AE23" i="1"/>
  <c r="AD23" i="1"/>
  <c r="AC23" i="1"/>
  <c r="AB23" i="1"/>
  <c r="AA23" i="1"/>
  <c r="Z23" i="1"/>
  <c r="Y23" i="1"/>
  <c r="CJ22" i="1"/>
  <c r="CI22" i="1"/>
  <c r="CH22" i="1"/>
  <c r="CF22" i="1"/>
  <c r="CE22" i="1"/>
  <c r="CD22" i="1"/>
  <c r="CC22" i="1"/>
  <c r="CB22" i="1"/>
  <c r="CA22" i="1"/>
  <c r="BZ22" i="1"/>
  <c r="BY22" i="1"/>
  <c r="BX22" i="1"/>
  <c r="BW22" i="1"/>
  <c r="BV22" i="1"/>
  <c r="BU22" i="1"/>
  <c r="BT22" i="1"/>
  <c r="BS22" i="1"/>
  <c r="BR22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H22" i="1"/>
  <c r="AG22" i="1"/>
  <c r="AF22" i="1"/>
  <c r="AE22" i="1"/>
  <c r="AD22" i="1"/>
  <c r="AC22" i="1"/>
  <c r="AB22" i="1"/>
  <c r="AA22" i="1"/>
  <c r="Z22" i="1"/>
  <c r="Y22" i="1"/>
  <c r="CJ21" i="1"/>
  <c r="CI21" i="1"/>
  <c r="CH21" i="1"/>
  <c r="CF21" i="1"/>
  <c r="CE21" i="1"/>
  <c r="CD21" i="1"/>
  <c r="CC21" i="1"/>
  <c r="CB21" i="1"/>
  <c r="CA21" i="1"/>
  <c r="BZ21" i="1"/>
  <c r="BY21" i="1"/>
  <c r="BX21" i="1"/>
  <c r="BW21" i="1"/>
  <c r="BV21" i="1"/>
  <c r="BU21" i="1"/>
  <c r="BT21" i="1"/>
  <c r="BS21" i="1"/>
  <c r="BR21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H21" i="1"/>
  <c r="AG21" i="1"/>
  <c r="AF21" i="1"/>
  <c r="AE21" i="1"/>
  <c r="AD21" i="1"/>
  <c r="AC21" i="1"/>
  <c r="AB21" i="1"/>
  <c r="AA21" i="1"/>
  <c r="Z21" i="1"/>
  <c r="Y21" i="1"/>
  <c r="CJ20" i="1"/>
  <c r="CI20" i="1"/>
  <c r="CH20" i="1"/>
  <c r="CF20" i="1"/>
  <c r="CE20" i="1"/>
  <c r="CD20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H20" i="1"/>
  <c r="AG20" i="1"/>
  <c r="AF20" i="1"/>
  <c r="AE20" i="1"/>
  <c r="AD20" i="1"/>
  <c r="AC20" i="1"/>
  <c r="AB20" i="1"/>
  <c r="AA20" i="1"/>
  <c r="Z20" i="1"/>
  <c r="Y20" i="1"/>
  <c r="CJ19" i="1"/>
  <c r="CI19" i="1"/>
  <c r="CH19" i="1"/>
  <c r="CF19" i="1"/>
  <c r="CE19" i="1"/>
  <c r="CD19" i="1"/>
  <c r="CC19" i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H19" i="1"/>
  <c r="AG19" i="1"/>
  <c r="AF19" i="1"/>
  <c r="AE19" i="1"/>
  <c r="AD19" i="1"/>
  <c r="AC19" i="1"/>
  <c r="AB19" i="1"/>
  <c r="AA19" i="1"/>
  <c r="Z19" i="1"/>
  <c r="Y19" i="1"/>
  <c r="CJ18" i="1"/>
  <c r="CI18" i="1"/>
  <c r="CH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H18" i="1"/>
  <c r="AG18" i="1"/>
  <c r="AF18" i="1"/>
  <c r="AE18" i="1"/>
  <c r="AD18" i="1"/>
  <c r="AC18" i="1"/>
  <c r="AB18" i="1"/>
  <c r="AA18" i="1"/>
  <c r="Z18" i="1"/>
  <c r="Y18" i="1"/>
  <c r="CJ17" i="1"/>
  <c r="CI17" i="1"/>
  <c r="CH17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H17" i="1"/>
  <c r="AG17" i="1"/>
  <c r="AF17" i="1"/>
  <c r="AE17" i="1"/>
  <c r="AD17" i="1"/>
  <c r="AC17" i="1"/>
  <c r="AB17" i="1"/>
  <c r="AA17" i="1"/>
  <c r="Z17" i="1"/>
  <c r="Y17" i="1"/>
  <c r="CJ16" i="1"/>
  <c r="CI16" i="1"/>
  <c r="CH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H16" i="1"/>
  <c r="AG16" i="1"/>
  <c r="AF16" i="1"/>
  <c r="AE16" i="1"/>
  <c r="AD16" i="1"/>
  <c r="AC16" i="1"/>
  <c r="AB16" i="1"/>
  <c r="AA16" i="1"/>
  <c r="Z16" i="1"/>
  <c r="Y16" i="1"/>
  <c r="CJ15" i="1"/>
  <c r="CI15" i="1"/>
  <c r="CH15" i="1"/>
  <c r="CF15" i="1"/>
  <c r="CE15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H15" i="1"/>
  <c r="AG15" i="1"/>
  <c r="AF15" i="1"/>
  <c r="AE15" i="1"/>
  <c r="AD15" i="1"/>
  <c r="AC15" i="1"/>
  <c r="AB15" i="1"/>
  <c r="AA15" i="1"/>
  <c r="Z15" i="1"/>
  <c r="Y15" i="1"/>
  <c r="BO14" i="1"/>
  <c r="BP14" i="1" s="1"/>
  <c r="BL14" i="1"/>
  <c r="BI14" i="1"/>
  <c r="AX14" i="1"/>
  <c r="AW14" i="1"/>
  <c r="AU14" i="1"/>
  <c r="AT14" i="1"/>
  <c r="AS14" i="1"/>
  <c r="AQ14" i="1"/>
  <c r="AP14" i="1"/>
  <c r="AJ14" i="1"/>
  <c r="AK14" i="1" s="1"/>
  <c r="BO13" i="1"/>
  <c r="BP13" i="1" s="1"/>
  <c r="BL13" i="1"/>
  <c r="BI13" i="1"/>
  <c r="AX13" i="1"/>
  <c r="AW13" i="1"/>
  <c r="AU13" i="1"/>
  <c r="AT13" i="1"/>
  <c r="AS13" i="1"/>
  <c r="AP13" i="1"/>
  <c r="AQ13" i="1" s="1"/>
  <c r="AJ13" i="1"/>
  <c r="AK13" i="1" s="1"/>
  <c r="AL13" i="1" s="1"/>
  <c r="BT12" i="1"/>
  <c r="BO12" i="1"/>
  <c r="BP12" i="1" s="1"/>
  <c r="BL12" i="1"/>
  <c r="BI12" i="1"/>
  <c r="AX12" i="1"/>
  <c r="AW12" i="1"/>
  <c r="AU12" i="1"/>
  <c r="AT12" i="1"/>
  <c r="AS12" i="1"/>
  <c r="AP12" i="1"/>
  <c r="AQ12" i="1" s="1"/>
  <c r="AJ12" i="1"/>
  <c r="AK12" i="1" s="1"/>
  <c r="BO11" i="1"/>
  <c r="BP11" i="1" s="1"/>
  <c r="BL11" i="1"/>
  <c r="BI11" i="1"/>
  <c r="AX11" i="1"/>
  <c r="AW11" i="1"/>
  <c r="AU11" i="1"/>
  <c r="AT11" i="1"/>
  <c r="AS11" i="1"/>
  <c r="AP11" i="1"/>
  <c r="AQ11" i="1" s="1"/>
  <c r="AJ11" i="1"/>
  <c r="AK11" i="1" s="1"/>
  <c r="BO10" i="1"/>
  <c r="BP10" i="1" s="1"/>
  <c r="BL10" i="1"/>
  <c r="BI10" i="1"/>
  <c r="AX10" i="1"/>
  <c r="AW10" i="1"/>
  <c r="AU10" i="1"/>
  <c r="AT10" i="1"/>
  <c r="AS10" i="1"/>
  <c r="AP10" i="1"/>
  <c r="AQ10" i="1" s="1"/>
  <c r="AJ10" i="1"/>
  <c r="AK10" i="1" s="1"/>
  <c r="AL10" i="1" s="1"/>
  <c r="BO9" i="1"/>
  <c r="BP9" i="1" s="1"/>
  <c r="BL9" i="1"/>
  <c r="BI9" i="1"/>
  <c r="AX9" i="1"/>
  <c r="AW9" i="1"/>
  <c r="AU9" i="1"/>
  <c r="AT9" i="1"/>
  <c r="AS9" i="1"/>
  <c r="AP9" i="1"/>
  <c r="AQ9" i="1" s="1"/>
  <c r="AZ10" i="2" l="1"/>
  <c r="BQ11" i="1"/>
  <c r="BR11" i="1" s="1"/>
  <c r="BT11" i="1" s="1"/>
  <c r="BQ13" i="1"/>
  <c r="BR13" i="1" s="1"/>
  <c r="BS13" i="1" s="1"/>
  <c r="AL9" i="1"/>
  <c r="BE9" i="1" s="1"/>
  <c r="BQ9" i="1"/>
  <c r="BR9" i="1" s="1"/>
  <c r="V10" i="2"/>
  <c r="BA10" i="2"/>
  <c r="BE10" i="2" s="1"/>
  <c r="AZ9" i="2"/>
  <c r="Z9" i="2"/>
  <c r="Z14" i="2"/>
  <c r="AZ14" i="2"/>
  <c r="AZ13" i="2"/>
  <c r="AZ12" i="2"/>
  <c r="Z12" i="2"/>
  <c r="BQ12" i="1"/>
  <c r="BR12" i="1" s="1"/>
  <c r="AL12" i="1"/>
  <c r="AL14" i="1"/>
  <c r="BQ14" i="1"/>
  <c r="BR14" i="1" s="1"/>
  <c r="BE10" i="1"/>
  <c r="BK10" i="1" s="1"/>
  <c r="BD10" i="1"/>
  <c r="AM10" i="1"/>
  <c r="BD13" i="1"/>
  <c r="AM13" i="1"/>
  <c r="BE13" i="1"/>
  <c r="BK13" i="1" s="1"/>
  <c r="AZ11" i="2"/>
  <c r="AL11" i="1"/>
  <c r="Z10" i="2"/>
  <c r="Z11" i="2"/>
  <c r="BQ10" i="1"/>
  <c r="BR10" i="1" s="1"/>
  <c r="Z13" i="2"/>
  <c r="AG13" i="1" l="1"/>
  <c r="AG11" i="1"/>
  <c r="BT13" i="1"/>
  <c r="BS11" i="1"/>
  <c r="AN12" i="2"/>
  <c r="AT12" i="2" s="1"/>
  <c r="AM12" i="2"/>
  <c r="AA12" i="2"/>
  <c r="BF10" i="1"/>
  <c r="BG10" i="1" s="1"/>
  <c r="BH10" i="1" s="1"/>
  <c r="BJ10" i="1" s="1"/>
  <c r="BM10" i="1"/>
  <c r="BN10" i="1" s="1"/>
  <c r="AD10" i="1" s="1"/>
  <c r="AN13" i="2"/>
  <c r="AT13" i="2" s="1"/>
  <c r="AM13" i="2"/>
  <c r="AA13" i="2"/>
  <c r="BU10" i="1"/>
  <c r="BV10" i="1" s="1"/>
  <c r="AO10" i="1"/>
  <c r="AN10" i="1"/>
  <c r="BW10" i="1"/>
  <c r="BX10" i="1" s="1"/>
  <c r="AM14" i="2"/>
  <c r="AA14" i="2"/>
  <c r="AN14" i="2"/>
  <c r="AT14" i="2" s="1"/>
  <c r="BM13" i="1"/>
  <c r="BN13" i="1" s="1"/>
  <c r="AD13" i="1" s="1"/>
  <c r="BF13" i="1"/>
  <c r="BG13" i="1" s="1"/>
  <c r="BH13" i="1" s="1"/>
  <c r="BJ13" i="1" s="1"/>
  <c r="BT14" i="1"/>
  <c r="BS14" i="1"/>
  <c r="AG14" i="1"/>
  <c r="AN9" i="2"/>
  <c r="AT9" i="2" s="1"/>
  <c r="AM9" i="2"/>
  <c r="AA9" i="2"/>
  <c r="BT10" i="1"/>
  <c r="BS10" i="1"/>
  <c r="AG10" i="1"/>
  <c r="V14" i="2"/>
  <c r="BA14" i="2"/>
  <c r="BE14" i="2" s="1"/>
  <c r="AN11" i="2"/>
  <c r="AT11" i="2" s="1"/>
  <c r="AM11" i="2"/>
  <c r="AA11" i="2"/>
  <c r="AN10" i="2"/>
  <c r="AT10" i="2" s="1"/>
  <c r="AM10" i="2"/>
  <c r="AA10" i="2"/>
  <c r="BE11" i="1"/>
  <c r="BK11" i="1" s="1"/>
  <c r="BD11" i="1"/>
  <c r="AM11" i="1"/>
  <c r="AM14" i="1"/>
  <c r="BE14" i="1"/>
  <c r="BK14" i="1" s="1"/>
  <c r="BD14" i="1"/>
  <c r="V9" i="2"/>
  <c r="BA9" i="2"/>
  <c r="BE9" i="2" s="1"/>
  <c r="BA11" i="2"/>
  <c r="BE11" i="2" s="1"/>
  <c r="V11" i="2"/>
  <c r="BE12" i="1"/>
  <c r="BK12" i="1" s="1"/>
  <c r="BD12" i="1"/>
  <c r="AM12" i="1"/>
  <c r="BA12" i="2"/>
  <c r="BE12" i="2" s="1"/>
  <c r="V12" i="2"/>
  <c r="AG12" i="1"/>
  <c r="BS12" i="1"/>
  <c r="BA13" i="2"/>
  <c r="BE13" i="2" s="1"/>
  <c r="V13" i="2"/>
  <c r="AO13" i="1"/>
  <c r="AN13" i="1"/>
  <c r="BW13" i="1"/>
  <c r="BX13" i="1" s="1"/>
  <c r="BU13" i="1"/>
  <c r="BV13" i="1" s="1"/>
  <c r="BT9" i="1"/>
  <c r="BS9" i="1"/>
  <c r="AG9" i="1"/>
  <c r="AM9" i="1"/>
  <c r="BK9" i="1"/>
  <c r="BD9" i="1"/>
  <c r="CB13" i="1" l="1"/>
  <c r="AO12" i="1"/>
  <c r="AN12" i="1"/>
  <c r="BW12" i="1"/>
  <c r="BX12" i="1" s="1"/>
  <c r="BU12" i="1"/>
  <c r="BV12" i="1" s="1"/>
  <c r="CB12" i="1" s="1"/>
  <c r="AC9" i="2"/>
  <c r="AB9" i="2"/>
  <c r="AO10" i="2"/>
  <c r="AP10" i="2" s="1"/>
  <c r="AQ10" i="2" s="1"/>
  <c r="AS10" i="2" s="1"/>
  <c r="AV10" i="2"/>
  <c r="AW10" i="2" s="1"/>
  <c r="S10" i="2" s="1"/>
  <c r="AO13" i="2"/>
  <c r="AP13" i="2" s="1"/>
  <c r="AQ13" i="2" s="1"/>
  <c r="AS13" i="2" s="1"/>
  <c r="AV13" i="2"/>
  <c r="AC11" i="2"/>
  <c r="AB11" i="2"/>
  <c r="AC13" i="1"/>
  <c r="AO11" i="2"/>
  <c r="AP11" i="2" s="1"/>
  <c r="AQ11" i="2" s="1"/>
  <c r="AS11" i="2" s="1"/>
  <c r="AV11" i="2"/>
  <c r="BF9" i="1"/>
  <c r="BM9" i="1"/>
  <c r="BN9" i="1" s="1"/>
  <c r="AD9" i="1" s="1"/>
  <c r="BM14" i="1"/>
  <c r="BN14" i="1" s="1"/>
  <c r="AD14" i="1" s="1"/>
  <c r="BF14" i="1"/>
  <c r="BG14" i="1" s="1"/>
  <c r="BH14" i="1" s="1"/>
  <c r="BJ14" i="1" s="1"/>
  <c r="AC13" i="2"/>
  <c r="AB13" i="2"/>
  <c r="AW11" i="2"/>
  <c r="S11" i="2" s="1"/>
  <c r="AW13" i="2"/>
  <c r="S13" i="2" s="1"/>
  <c r="AN9" i="1"/>
  <c r="BW9" i="1"/>
  <c r="BX9" i="1" s="1"/>
  <c r="BU9" i="1"/>
  <c r="BV9" i="1" s="1"/>
  <c r="AO9" i="1"/>
  <c r="AO14" i="1"/>
  <c r="AN14" i="1"/>
  <c r="BW14" i="1"/>
  <c r="BX14" i="1" s="1"/>
  <c r="BU14" i="1"/>
  <c r="BV14" i="1" s="1"/>
  <c r="CB14" i="1" s="1"/>
  <c r="AC14" i="2"/>
  <c r="AB14" i="2"/>
  <c r="AC10" i="1"/>
  <c r="AO11" i="1"/>
  <c r="AN11" i="1"/>
  <c r="BW11" i="1"/>
  <c r="BX11" i="1" s="1"/>
  <c r="BU11" i="1"/>
  <c r="BV11" i="1" s="1"/>
  <c r="CB10" i="1"/>
  <c r="AV14" i="2"/>
  <c r="AW14" i="2" s="1"/>
  <c r="S14" i="2" s="1"/>
  <c r="AO14" i="2"/>
  <c r="AP14" i="2" s="1"/>
  <c r="AQ14" i="2" s="1"/>
  <c r="AS14" i="2" s="1"/>
  <c r="AC12" i="2"/>
  <c r="AB12" i="2"/>
  <c r="AR13" i="1"/>
  <c r="BY13" i="1"/>
  <c r="BZ13" i="1" s="1"/>
  <c r="BA13" i="1"/>
  <c r="BB13" i="1" s="1"/>
  <c r="BC13" i="1" s="1"/>
  <c r="AH13" i="1"/>
  <c r="BF11" i="1"/>
  <c r="BG11" i="1" s="1"/>
  <c r="BH11" i="1" s="1"/>
  <c r="BJ11" i="1" s="1"/>
  <c r="BM11" i="1"/>
  <c r="BN11" i="1" s="1"/>
  <c r="AD11" i="1" s="1"/>
  <c r="AO12" i="2"/>
  <c r="AP12" i="2" s="1"/>
  <c r="AQ12" i="2" s="1"/>
  <c r="AS12" i="2" s="1"/>
  <c r="AV12" i="2"/>
  <c r="AW12" i="2" s="1"/>
  <c r="S12" i="2" s="1"/>
  <c r="BF12" i="1"/>
  <c r="BG12" i="1" s="1"/>
  <c r="BH12" i="1" s="1"/>
  <c r="BJ12" i="1" s="1"/>
  <c r="BM12" i="1"/>
  <c r="BN12" i="1" s="1"/>
  <c r="AD12" i="1" s="1"/>
  <c r="AC10" i="2"/>
  <c r="AB10" i="2"/>
  <c r="AV9" i="2"/>
  <c r="AW9" i="2" s="1"/>
  <c r="S9" i="2" s="1"/>
  <c r="AO9" i="2"/>
  <c r="AP9" i="2" s="1"/>
  <c r="AQ9" i="2" s="1"/>
  <c r="AS9" i="2" s="1"/>
  <c r="AH10" i="1"/>
  <c r="AR10" i="1"/>
  <c r="BY10" i="1"/>
  <c r="BZ10" i="1" s="1"/>
  <c r="BA10" i="1"/>
  <c r="BB10" i="1" s="1"/>
  <c r="BC10" i="1" s="1"/>
  <c r="BG9" i="1" l="1"/>
  <c r="BH9" i="1" s="1"/>
  <c r="BJ9" i="1" s="1"/>
  <c r="AC9" i="1" s="1"/>
  <c r="CB11" i="1"/>
  <c r="CB9" i="1"/>
  <c r="R13" i="2"/>
  <c r="R10" i="2"/>
  <c r="R11" i="2"/>
  <c r="AE9" i="2"/>
  <c r="BB9" i="2"/>
  <c r="BC9" i="2" s="1"/>
  <c r="AE11" i="2"/>
  <c r="BB11" i="2"/>
  <c r="BC11" i="2" s="1"/>
  <c r="AE13" i="2"/>
  <c r="BB13" i="2"/>
  <c r="BC13" i="2" s="1"/>
  <c r="AE10" i="2"/>
  <c r="BB10" i="2"/>
  <c r="BC10" i="2" s="1"/>
  <c r="AY13" i="1"/>
  <c r="AZ13" i="1" s="1"/>
  <c r="AF13" i="1" s="1"/>
  <c r="AV13" i="1"/>
  <c r="AR12" i="1"/>
  <c r="BY12" i="1"/>
  <c r="BZ12" i="1" s="1"/>
  <c r="BA12" i="1"/>
  <c r="BB12" i="1" s="1"/>
  <c r="BC12" i="1" s="1"/>
  <c r="AH12" i="1"/>
  <c r="R12" i="2"/>
  <c r="BY14" i="1"/>
  <c r="BZ14" i="1" s="1"/>
  <c r="BA14" i="1"/>
  <c r="BB14" i="1" s="1"/>
  <c r="BC14" i="1" s="1"/>
  <c r="AH14" i="1"/>
  <c r="AR14" i="1"/>
  <c r="AV10" i="1"/>
  <c r="AY10" i="1"/>
  <c r="AZ10" i="1" s="1"/>
  <c r="AF10" i="1" s="1"/>
  <c r="AC11" i="1"/>
  <c r="AH11" i="1"/>
  <c r="AR11" i="1"/>
  <c r="BY11" i="1"/>
  <c r="BZ11" i="1" s="1"/>
  <c r="BA11" i="1"/>
  <c r="BB11" i="1" s="1"/>
  <c r="BC11" i="1" s="1"/>
  <c r="R9" i="2"/>
  <c r="AE12" i="2"/>
  <c r="BB12" i="2"/>
  <c r="BC12" i="2" s="1"/>
  <c r="AC14" i="1"/>
  <c r="AH9" i="1"/>
  <c r="AR9" i="1"/>
  <c r="BY9" i="1"/>
  <c r="BZ9" i="1" s="1"/>
  <c r="BA9" i="1"/>
  <c r="BB9" i="1" s="1"/>
  <c r="BC9" i="1" s="1"/>
  <c r="AC12" i="1"/>
  <c r="R14" i="2"/>
  <c r="AE14" i="2"/>
  <c r="BB14" i="2"/>
  <c r="BC14" i="2" s="1"/>
  <c r="AK13" i="2" l="1"/>
  <c r="AL13" i="2" s="1"/>
  <c r="U13" i="2" s="1"/>
  <c r="AH13" i="2"/>
  <c r="AK11" i="2"/>
  <c r="AL11" i="2" s="1"/>
  <c r="U11" i="2" s="1"/>
  <c r="AH11" i="2"/>
  <c r="AK14" i="2"/>
  <c r="AL14" i="2" s="1"/>
  <c r="U14" i="2" s="1"/>
  <c r="AH14" i="2"/>
  <c r="AV11" i="1"/>
  <c r="AY11" i="1"/>
  <c r="AZ11" i="1" s="1"/>
  <c r="AF11" i="1" s="1"/>
  <c r="AK9" i="2"/>
  <c r="AL9" i="2" s="1"/>
  <c r="U9" i="2" s="1"/>
  <c r="AH9" i="2"/>
  <c r="AY9" i="1"/>
  <c r="AZ9" i="1" s="1"/>
  <c r="AF9" i="1" s="1"/>
  <c r="AV9" i="1"/>
  <c r="AY12" i="1"/>
  <c r="AZ12" i="1" s="1"/>
  <c r="AF12" i="1" s="1"/>
  <c r="AV12" i="1"/>
  <c r="CC10" i="1"/>
  <c r="CI10" i="1" s="1"/>
  <c r="AE10" i="1"/>
  <c r="CA10" i="1"/>
  <c r="AB10" i="1"/>
  <c r="AH10" i="2"/>
  <c r="AK10" i="2"/>
  <c r="AL10" i="2" s="1"/>
  <c r="U10" i="2" s="1"/>
  <c r="AK12" i="2"/>
  <c r="AL12" i="2" s="1"/>
  <c r="U12" i="2" s="1"/>
  <c r="AH12" i="2"/>
  <c r="AE13" i="1"/>
  <c r="CC13" i="1"/>
  <c r="CI13" i="1" s="1"/>
  <c r="CA13" i="1"/>
  <c r="AB13" i="1"/>
  <c r="AY14" i="1"/>
  <c r="AZ14" i="1" s="1"/>
  <c r="AF14" i="1" s="1"/>
  <c r="AV14" i="1"/>
  <c r="T11" i="2" l="1"/>
  <c r="BF11" i="2"/>
  <c r="BL11" i="2" s="1"/>
  <c r="BD11" i="2"/>
  <c r="Q11" i="2"/>
  <c r="CC9" i="1"/>
  <c r="CI9" i="1" s="1"/>
  <c r="AE9" i="1"/>
  <c r="CA9" i="1"/>
  <c r="AB9" i="1"/>
  <c r="CC11" i="1"/>
  <c r="CI11" i="1" s="1"/>
  <c r="AE11" i="1"/>
  <c r="CA11" i="1"/>
  <c r="AB11" i="1"/>
  <c r="BF9" i="2"/>
  <c r="BL9" i="2" s="1"/>
  <c r="T9" i="2"/>
  <c r="Q9" i="2"/>
  <c r="BD9" i="2"/>
  <c r="BF14" i="2"/>
  <c r="BL14" i="2" s="1"/>
  <c r="T14" i="2"/>
  <c r="Q14" i="2"/>
  <c r="BD14" i="2"/>
  <c r="CC14" i="1"/>
  <c r="CI14" i="1" s="1"/>
  <c r="AE14" i="1"/>
  <c r="AB14" i="1"/>
  <c r="CA14" i="1"/>
  <c r="CC12" i="1"/>
  <c r="CI12" i="1" s="1"/>
  <c r="AE12" i="1"/>
  <c r="CA12" i="1"/>
  <c r="AB12" i="1"/>
  <c r="BF13" i="2"/>
  <c r="BL13" i="2" s="1"/>
  <c r="T13" i="2"/>
  <c r="BD13" i="2"/>
  <c r="Q13" i="2"/>
  <c r="BF12" i="2"/>
  <c r="BL12" i="2" s="1"/>
  <c r="T12" i="2"/>
  <c r="BD12" i="2"/>
  <c r="Q12" i="2"/>
  <c r="BF10" i="2"/>
  <c r="BL10" i="2" s="1"/>
  <c r="T10" i="2"/>
  <c r="Q10" i="2"/>
  <c r="BD10" i="2"/>
  <c r="CH10" i="1"/>
  <c r="CD10" i="1"/>
  <c r="CE10" i="1" s="1"/>
  <c r="CH13" i="1"/>
  <c r="CD13" i="1"/>
  <c r="CD11" i="1" l="1"/>
  <c r="CH11" i="1"/>
  <c r="CH9" i="1"/>
  <c r="CD9" i="1"/>
  <c r="BK12" i="2"/>
  <c r="BG12" i="2"/>
  <c r="BH12" i="2" s="1"/>
  <c r="BK14" i="2"/>
  <c r="BG14" i="2"/>
  <c r="BK13" i="2"/>
  <c r="BG13" i="2"/>
  <c r="BH13" i="2" s="1"/>
  <c r="BH9" i="2"/>
  <c r="BI9" i="2" s="1"/>
  <c r="BG9" i="2"/>
  <c r="BK9" i="2"/>
  <c r="CE13" i="1"/>
  <c r="CJ13" i="1" s="1"/>
  <c r="CJ10" i="1"/>
  <c r="BK11" i="2"/>
  <c r="BG11" i="2"/>
  <c r="BH11" i="2" s="1"/>
  <c r="CF10" i="1"/>
  <c r="BG10" i="2"/>
  <c r="BK10" i="2"/>
  <c r="CD12" i="1"/>
  <c r="CE12" i="1" s="1"/>
  <c r="CF12" i="1" s="1"/>
  <c r="CH12" i="1"/>
  <c r="CH14" i="1"/>
  <c r="CD14" i="1"/>
  <c r="BI12" i="2" l="1"/>
  <c r="CF13" i="1"/>
  <c r="AA13" i="1" s="1"/>
  <c r="AA12" i="1"/>
  <c r="Y12" i="1"/>
  <c r="Z12" i="1" s="1"/>
  <c r="P9" i="2"/>
  <c r="O9" i="2"/>
  <c r="N9" i="2"/>
  <c r="P12" i="2"/>
  <c r="O12" i="2"/>
  <c r="N12" i="2"/>
  <c r="Y10" i="1"/>
  <c r="Z10" i="1" s="1"/>
  <c r="AA10" i="1"/>
  <c r="BM13" i="2"/>
  <c r="BM11" i="2"/>
  <c r="CE14" i="1"/>
  <c r="CJ14" i="1" s="1"/>
  <c r="CE9" i="1"/>
  <c r="CJ9" i="1" s="1"/>
  <c r="CF14" i="1"/>
  <c r="BI13" i="2"/>
  <c r="BI11" i="2"/>
  <c r="BH14" i="2"/>
  <c r="BM14" i="2" s="1"/>
  <c r="BI14" i="2"/>
  <c r="CJ12" i="1"/>
  <c r="CE11" i="1"/>
  <c r="CJ11" i="1" s="1"/>
  <c r="BH10" i="2"/>
  <c r="BM10" i="2" s="1"/>
  <c r="BM9" i="2"/>
  <c r="BM12" i="2"/>
  <c r="Y13" i="1" l="1"/>
  <c r="Z13" i="1" s="1"/>
  <c r="CF11" i="1"/>
  <c r="Y11" i="1" s="1"/>
  <c r="Z11" i="1" s="1"/>
  <c r="P11" i="2"/>
  <c r="O11" i="2"/>
  <c r="N11" i="2"/>
  <c r="AA14" i="1"/>
  <c r="Y14" i="1"/>
  <c r="Z14" i="1" s="1"/>
  <c r="CF9" i="1"/>
  <c r="P13" i="2"/>
  <c r="O13" i="2"/>
  <c r="N13" i="2"/>
  <c r="N14" i="2"/>
  <c r="P14" i="2"/>
  <c r="O14" i="2"/>
  <c r="BI10" i="2"/>
  <c r="AA11" i="1" l="1"/>
  <c r="AA9" i="1"/>
  <c r="Y9" i="1"/>
  <c r="Z9" i="1" s="1"/>
  <c r="P10" i="2"/>
  <c r="O10" i="2"/>
  <c r="N10" i="2"/>
</calcChain>
</file>

<file path=xl/sharedStrings.xml><?xml version="1.0" encoding="utf-8"?>
<sst xmlns="http://schemas.openxmlformats.org/spreadsheetml/2006/main" count="488" uniqueCount="293">
  <si>
    <t>AHU — BATCH SHOULD-COST CALCULATOR</t>
  </si>
  <si>
    <t>One row per AHU. Airflow (CFM) drives coil face area, which drives casing size, which drives sheet, insulation, coil and fan cost.</t>
  </si>
  <si>
    <t>Refresh prices:</t>
  </si>
  <si>
    <t>https://www.lme.com/metals/non-ferrous/lme-copper</t>
  </si>
  <si>
    <t>https://steel.gov.in/monthly-summery</t>
  </si>
  <si>
    <t>MATERIAL MASTER</t>
  </si>
  <si>
    <t>Copper tube</t>
  </si>
  <si>
    <t>Aluminium fin</t>
  </si>
  <si>
    <t>GI sheet</t>
  </si>
  <si>
    <t>Pre-coated GI</t>
  </si>
  <si>
    <t>SS 304</t>
  </si>
  <si>
    <t>PUF</t>
  </si>
  <si>
    <t>Rockwool</t>
  </si>
  <si>
    <t>Density (kg/m³)</t>
  </si>
  <si>
    <t>Copper tube ₹750-950/kg and aluminium sheet ₹200-275/kg per Apr-2026 market listings. PUF and rockwool rates are unsourced placeholders.</t>
  </si>
  <si>
    <t>Price (Rs/kg)</t>
  </si>
  <si>
    <t>AHU tag / label</t>
  </si>
  <si>
    <t>Airflow
CFM</t>
  </si>
  <si>
    <t>Cooling
duty TR</t>
  </si>
  <si>
    <t>Heating
duty kW</t>
  </si>
  <si>
    <t>ESP
Pa</t>
  </si>
  <si>
    <t>Casing</t>
  </si>
  <si>
    <t>Panel
thk mm</t>
  </si>
  <si>
    <t>Casing
material</t>
  </si>
  <si>
    <t>Insulation</t>
  </si>
  <si>
    <t>Insul thk
mm</t>
  </si>
  <si>
    <t>Fan type</t>
  </si>
  <si>
    <t>VFD</t>
  </si>
  <si>
    <t>Coil
rows</t>
  </si>
  <si>
    <t>FPI</t>
  </si>
  <si>
    <t>Tube
material</t>
  </si>
  <si>
    <t>Fin
material</t>
  </si>
  <si>
    <t>Filter config</t>
  </si>
  <si>
    <t>Mounting</t>
  </si>
  <si>
    <t>Fresh air</t>
  </si>
  <si>
    <t>Mixing
box</t>
  </si>
  <si>
    <t>Heating
coil</t>
  </si>
  <si>
    <t>Humidi-
fier</t>
  </si>
  <si>
    <t>TOTAL COST
Rs</t>
  </si>
  <si>
    <t>Rs per
CFM</t>
  </si>
  <si>
    <t>Rs per
TR</t>
  </si>
  <si>
    <t>Total wt
kg</t>
  </si>
  <si>
    <t>Copper
kg</t>
  </si>
  <si>
    <t>Aluminium
kg</t>
  </si>
  <si>
    <t>Sheet
kg</t>
  </si>
  <si>
    <t>Insulation
kg</t>
  </si>
  <si>
    <t>Motor
kW</t>
  </si>
  <si>
    <t>Size WxHxL
m</t>
  </si>
  <si>
    <t>CMH</t>
  </si>
  <si>
    <t>m3/s</t>
  </si>
  <si>
    <t>face area</t>
  </si>
  <si>
    <t>cross-sec</t>
  </si>
  <si>
    <t>W m</t>
  </si>
  <si>
    <t>H m</t>
  </si>
  <si>
    <t>filter L</t>
  </si>
  <si>
    <t>total L</t>
  </si>
  <si>
    <t>surface m2</t>
  </si>
  <si>
    <t>n skins</t>
  </si>
  <si>
    <t>sheet dens</t>
  </si>
  <si>
    <t>sheet px</t>
  </si>
  <si>
    <t>SHEET kg</t>
  </si>
  <si>
    <t>ins dens</t>
  </si>
  <si>
    <t>ins px</t>
  </si>
  <si>
    <t>ins vol</t>
  </si>
  <si>
    <t>INSUL kg</t>
  </si>
  <si>
    <t>frame m</t>
  </si>
  <si>
    <t>frame kg</t>
  </si>
  <si>
    <t>frame Rs</t>
  </si>
  <si>
    <t>Hf m</t>
  </si>
  <si>
    <t>Lf m</t>
  </si>
  <si>
    <t>tubes/row</t>
  </si>
  <si>
    <t>tubes tot</t>
  </si>
  <si>
    <t>tube len</t>
  </si>
  <si>
    <t>tube kg/m</t>
  </si>
  <si>
    <t>COPPER kg</t>
  </si>
  <si>
    <t>n fins</t>
  </si>
  <si>
    <t>coil depth</t>
  </si>
  <si>
    <t>fin area</t>
  </si>
  <si>
    <t>ALU kg</t>
  </si>
  <si>
    <t>ISP Pa</t>
  </si>
  <si>
    <t>TSP Pa</t>
  </si>
  <si>
    <t>fan kW</t>
  </si>
  <si>
    <t>MOTOR kW</t>
  </si>
  <si>
    <t>fan Rs</t>
  </si>
  <si>
    <t>vfd Rs</t>
  </si>
  <si>
    <t>filter m2</t>
  </si>
  <si>
    <t>filter Rs</t>
  </si>
  <si>
    <t>damper m2</t>
  </si>
  <si>
    <t>damper Rs</t>
  </si>
  <si>
    <t>pan kg</t>
  </si>
  <si>
    <t>pan Rs</t>
  </si>
  <si>
    <t>A material</t>
  </si>
  <si>
    <t>B boughtout</t>
  </si>
  <si>
    <t>C conversion</t>
  </si>
  <si>
    <t>D overhead</t>
  </si>
  <si>
    <t>E margin</t>
  </si>
  <si>
    <t>TOTAL</t>
  </si>
  <si>
    <t>Material
Rs (A)</t>
  </si>
  <si>
    <t>Labour+Conv.
Rs (B+C)</t>
  </si>
  <si>
    <t>OH+Margin
Rs (D+E)</t>
  </si>
  <si>
    <t>AHU-01 Office floor</t>
  </si>
  <si>
    <t>Double skin</t>
  </si>
  <si>
    <t>Plug fan</t>
  </si>
  <si>
    <t>Y</t>
  </si>
  <si>
    <t>Pre+Fine</t>
  </si>
  <si>
    <t>Floor mounted</t>
  </si>
  <si>
    <t>Mixed (return+fresh)</t>
  </si>
  <si>
    <t>N</t>
  </si>
  <si>
    <t>AHU-02 Lobby</t>
  </si>
  <si>
    <t>Ceiling suspended</t>
  </si>
  <si>
    <t>AHU-03 Cleanroom</t>
  </si>
  <si>
    <t>Pre+Fine+HEPA</t>
  </si>
  <si>
    <t>100% fresh air</t>
  </si>
  <si>
    <t>AHU-04 Basement CSU</t>
  </si>
  <si>
    <t>Single skin</t>
  </si>
  <si>
    <t>Belt-driven</t>
  </si>
  <si>
    <t>Pre only</t>
  </si>
  <si>
    <t>Return air</t>
  </si>
  <si>
    <t>AHU-05 Treated fresh air</t>
  </si>
  <si>
    <t>Rooftop</t>
  </si>
  <si>
    <t>AHU-06 Auditorium</t>
  </si>
  <si>
    <t>FCU — BATCH SHOULD-COST CALCULATOR</t>
  </si>
  <si>
    <t>One row per FCU. Same material-weight basis as the AHU tab: copper tube, aluminium fin, sheet metal and insulation derived from airflow and coil geometry.</t>
  </si>
  <si>
    <t>This tab holds its own editable copy, so AHU and FCU can be priced independently if needed.</t>
  </si>
  <si>
    <t>FCU tag / label</t>
  </si>
  <si>
    <t>Capacity
TR</t>
  </si>
  <si>
    <t>Type</t>
  </si>
  <si>
    <t>ESP Pa
(ducted)</t>
  </si>
  <si>
    <t>Blower
W</t>
  </si>
  <si>
    <t>L m</t>
  </si>
  <si>
    <t>BLOWER W</t>
  </si>
  <si>
    <t>blower Rs</t>
  </si>
  <si>
    <t>FCU-01 Guest room</t>
  </si>
  <si>
    <t>Ceiling concealed</t>
  </si>
  <si>
    <t>FCU-02 Guest room</t>
  </si>
  <si>
    <t>FCU-03 Corridor cassette</t>
  </si>
  <si>
    <t>Cassette</t>
  </si>
  <si>
    <t>FCU-04 Meeting room ducted</t>
  </si>
  <si>
    <t>Ducted</t>
  </si>
  <si>
    <t>FCU-05 Lobby floor standing</t>
  </si>
  <si>
    <t>Floor standing</t>
  </si>
  <si>
    <t>FCU-06 Ducted high ESP</t>
  </si>
  <si>
    <t>AHU &amp; FCU COST MODEL — ASSUMPTIONS &amp; REFERENCE</t>
  </si>
  <si>
    <t>Blue = editable. Material densities and prices are edited on each calculator tab. Everything else lives here.</t>
  </si>
  <si>
    <t>1.  AIR-SIDE SIZING</t>
  </si>
  <si>
    <t>Item</t>
  </si>
  <si>
    <t>Value</t>
  </si>
  <si>
    <t>Unit</t>
  </si>
  <si>
    <t>Basis / note</t>
  </si>
  <si>
    <t>AHU coil face velocity</t>
  </si>
  <si>
    <t>m/s</t>
  </si>
  <si>
    <t>Standard 2.0-2.75; above 2.75 risks moisture carry-over</t>
  </si>
  <si>
    <t>FCU coil face velocity</t>
  </si>
  <si>
    <t>Coil face area / casing cross-section</t>
  </si>
  <si>
    <t>-</t>
  </si>
  <si>
    <t>Coil does not fill the full section</t>
  </si>
  <si>
    <t>Casing width : height</t>
  </si>
  <si>
    <t>Used to split cross-section into W and H</t>
  </si>
  <si>
    <t>CFM to CMH conversion</t>
  </si>
  <si>
    <t>1 CFM = 1.699 m³/h</t>
  </si>
  <si>
    <t>2.  AHU SECTION LENGTHS</t>
  </si>
  <si>
    <t>Mixing box</t>
  </si>
  <si>
    <t>m</t>
  </si>
  <si>
    <t>Pre-filter section</t>
  </si>
  <si>
    <t>Fine filter section</t>
  </si>
  <si>
    <t>HEPA filter section</t>
  </si>
  <si>
    <t>Cooling coil section (base)</t>
  </si>
  <si>
    <t>Cooling coil adder per row</t>
  </si>
  <si>
    <t>Heating coil section</t>
  </si>
  <si>
    <t>Fan section</t>
  </si>
  <si>
    <t>Humidifier section</t>
  </si>
  <si>
    <t>3.  COIL GEOMETRY</t>
  </si>
  <si>
    <t>AHU</t>
  </si>
  <si>
    <t>FCU</t>
  </si>
  <si>
    <t>Note</t>
  </si>
  <si>
    <t>Tube outer diameter (mm)</t>
  </si>
  <si>
    <t>AHU 1/2", FCU 3/8"</t>
  </si>
  <si>
    <t>Tube wall thickness (mm)</t>
  </si>
  <si>
    <t>Tube vertical pitch (mm)</t>
  </si>
  <si>
    <t>Staggered layout</t>
  </si>
  <si>
    <t>Row pitch / depth per row (mm)</t>
  </si>
  <si>
    <t>Equilateral staggered</t>
  </si>
  <si>
    <t>Return bend &amp; header allowance</t>
  </si>
  <si>
    <t>% added to straight tube length</t>
  </si>
  <si>
    <t>Fin thickness (mm)</t>
  </si>
  <si>
    <t>Fin area lost to tube holes</t>
  </si>
  <si>
    <t>% of gross fin area</t>
  </si>
  <si>
    <t>4.  STATIC PRESSURE &amp; FAN</t>
  </si>
  <si>
    <t>Internal static — casing &amp; plenum</t>
  </si>
  <si>
    <t>Pa</t>
  </si>
  <si>
    <t>Pressure drop per coil row</t>
  </si>
  <si>
    <t>Pressure drop — pre-filter</t>
  </si>
  <si>
    <t>Pressure drop — fine filter</t>
  </si>
  <si>
    <t>Pressure drop — HEPA</t>
  </si>
  <si>
    <t>Fan efficiency — plug fan</t>
  </si>
  <si>
    <t>Fan efficiency — belt driven</t>
  </si>
  <si>
    <t>Belt losses included</t>
  </si>
  <si>
    <t>Motor efficiency</t>
  </si>
  <si>
    <t>IE3 class</t>
  </si>
  <si>
    <t>5.  STANDARD MOTOR SIZES  (next size up is selected)</t>
  </si>
  <si>
    <t>kW. Extend the list at the bottom if larger motors are needed.</t>
  </si>
  <si>
    <t>6.  BOUGHT-OUT RATES</t>
  </si>
  <si>
    <t>Plug fan + motor</t>
  </si>
  <si>
    <t>Rs/kW</t>
  </si>
  <si>
    <t>Indicative — replace with vendor quotes</t>
  </si>
  <si>
    <t>Belt-driven fan + motor + drive</t>
  </si>
  <si>
    <t>Pre-filter (washable, 10 micron)</t>
  </si>
  <si>
    <t>Rs/m²</t>
  </si>
  <si>
    <t>Fine filter (F7 / 5 micron)</t>
  </si>
  <si>
    <t>HEPA filter (H14)</t>
  </si>
  <si>
    <t>Damper (opposed blade, motorised-ready)</t>
  </si>
  <si>
    <t>FCU blower + motor — fixed cost per unit</t>
  </si>
  <si>
    <t>Rs</t>
  </si>
  <si>
    <t>Housing, wheel, mounting</t>
  </si>
  <si>
    <t>FCU blower + motor — variable</t>
  </si>
  <si>
    <t>Rs/W</t>
  </si>
  <si>
    <t>Per watt of input power. Two-part rate: a flat Rs/W over-prices larger ducted units.</t>
  </si>
  <si>
    <t>7.  FABRICATION &amp; FINISHING</t>
  </si>
  <si>
    <t>Sheet metal scrap allowance</t>
  </si>
  <si>
    <t>% of wt</t>
  </si>
  <si>
    <t>Cutting and bending offcuts</t>
  </si>
  <si>
    <t>Frame / profile weight</t>
  </si>
  <si>
    <t>kg/m</t>
  </si>
  <si>
    <t>Extruded aluminium or GI profile</t>
  </si>
  <si>
    <t>Frame / profile rate</t>
  </si>
  <si>
    <t>Rs/kg</t>
  </si>
  <si>
    <t>Conversion — AHU (labour &amp; assembly)</t>
  </si>
  <si>
    <t>On fabricated sheet + frame weight</t>
  </si>
  <si>
    <t>Conversion — FCU (labour &amp; assembly)</t>
  </si>
  <si>
    <t>Coil manufacture (expansion, brazing, test)</t>
  </si>
  <si>
    <t>On copper + aluminium weight</t>
  </si>
  <si>
    <t>Drain pan thickness</t>
  </si>
  <si>
    <t>mm</t>
  </si>
  <si>
    <t>Stainless steel</t>
  </si>
  <si>
    <t>8.  COST STACK</t>
  </si>
  <si>
    <t>Overheads</t>
  </si>
  <si>
    <t>% of A+B+C</t>
  </si>
  <si>
    <t>Margin</t>
  </si>
  <si>
    <t>% of A+B+C+D</t>
  </si>
  <si>
    <t>9.  FCU CASING LENGTH BY TYPE</t>
  </si>
  <si>
    <t>Length m</t>
  </si>
  <si>
    <t>ESP applies</t>
  </si>
  <si>
    <t>10.  FCU AIR-SIDE</t>
  </si>
  <si>
    <t>FCU internal static — casing &amp; plenum</t>
  </si>
  <si>
    <t>FCU pressure drop per coil row</t>
  </si>
  <si>
    <t>FCU filter pressure drop</t>
  </si>
  <si>
    <t>Washable synthetic filter</t>
  </si>
  <si>
    <t>FCU blower + motor combined efficiency</t>
  </si>
  <si>
    <t>Small direct-drive centrifugal blowers</t>
  </si>
  <si>
    <t>AHU &amp; FCU — BATCH SHOULD-COST MODEL</t>
  </si>
  <si>
    <t>Material-weight based should-cost, natively in CFM. Airflow drives coil face area, which drives casing size, which drives every material weight.</t>
  </si>
  <si>
    <t>THE TABS</t>
  </si>
  <si>
    <t>•  AHU Batch Calculator — one row per air handling unit, airflow entered directly in CFM. Material master and prices sit at the top of the sheet.</t>
  </si>
  <si>
    <t>•  FCU Batch Calculator — one row per fan coil unit, already CFM-native. Same engine, its own price copy.</t>
  </si>
  <si>
    <t>•  Assumptions &amp; Ref — air-side sizing, section lengths, coil geometry, static pressure, motor sizes, bought-out rates, fabrication rates and the cost stack.</t>
  </si>
  <si>
    <t>•  Read Me — this sheet.</t>
  </si>
  <si>
    <t>COST BREAKDOWN — MATERIAL / LABOUR+CONVERSION / OVERHEAD+MARGIN</t>
  </si>
  <si>
    <t>Three green columns at the end of each row split the total exactly as agreed with the client: Material (A), Labour+Conversion (B fan/filter/damper bought-outs plus C fabrication and coil-manufacture labour), and Overhead+Margin (D+E). The three always sum to the total — useful for negotiating with vendors on cost components rather than a single lump number.</t>
  </si>
  <si>
    <t>HOW THE SIZING CASCADE WORKS</t>
  </si>
  <si>
    <t>1.  Airflow in CFM converts once to m³/s, then divided by design face velocity gives coil face area. That divided by the coil fill factor gives casing cross-section, split into width and height by the aspect ratio.</t>
  </si>
  <si>
    <t>2.  Casing length is the sum of the sections switched on — mixing box, filter stages, cooling coil (base plus a per-row adder), heating coil, fan section, humidifier. Each length is editable.</t>
  </si>
  <si>
    <t>3.  Sheet weight = surface x skins x panel thickness x density, plus scrap. Insulation weight = surface x thickness x density.</t>
  </si>
  <si>
    <t>4.  Coil copper and aluminium follow from tube pitch, rows, FPI and coil depth, converted to weight via tube OD/wall thickness and fin thickness.</t>
  </si>
  <si>
    <t>5.  Fan power = airflow x total static (ESP + internal + per-row + per-filter-stage) / (fan efficiency x motor efficiency), then the next standard motor size up is selected.</t>
  </si>
  <si>
    <t>WHERE THE MODEL LANDS AGAINST BENCHMARK</t>
  </si>
  <si>
    <t>The seeded cases run Rs 23.5 to 84.7 per CFM. Five of six sit in a Rs 43-58/CFM band — squarely against Anuj's benchmark of Rs 40-50/CFM. The cleanroom case (SS 304, HEPA, 8 rows) is a genuinely heavier spec and prices higher; the stripped single-skin GI basement unit prices lower. Both are correct outcomes, not errors.</t>
  </si>
  <si>
    <t>PRICES AND RATES — READ BEFORE QUOTING</t>
  </si>
  <si>
    <t>Copper tube at Rs 880/kg and aluminium fin at Rs 260/kg reflect current market listings. Every bought-out rate — fan, VFD, filters, dampers, blower — and the PUF/rockwool rates are indicative placeholders, not vendor quotes. Confirming these against 2-3 actual vendor quotes is the highest-value next step, since bought-outs are close to half of total cost on most rows.</t>
  </si>
  <si>
    <t>MODELLING CHOICES WORTH KNOWING</t>
  </si>
  <si>
    <t>•  Coil face area is sized on face velocity, not a thermal calculation. Cooling duty (TR) is reported for cost-per-TR but does not independently size rows or FPI — an inconsistent duty/geometry combination will not be flagged.</t>
  </si>
  <si>
    <t>•  Casing width and height come from a single aspect ratio, not a manufacturer's standard module sizes.</t>
  </si>
  <si>
    <t>•  The FCU blower uses a two-part rate (fixed + per watt) so larger ducted units aren't over-priced by a flat Rs/W.</t>
  </si>
  <si>
    <t>•  Ductwork, piping, controls, BMS integration, freight and site work are outside the boundary — this is a factory-gate equipment cost.</t>
  </si>
  <si>
    <t>Yellow = your input.   Green = result.   Grey = intermediate working.</t>
  </si>
  <si>
    <t>Direct fan</t>
  </si>
  <si>
    <t>EC</t>
  </si>
  <si>
    <t>Plug</t>
  </si>
  <si>
    <t>Belt driven fan</t>
  </si>
  <si>
    <t>Inlet damper</t>
  </si>
  <si>
    <t>Outlet damper</t>
  </si>
  <si>
    <t>Sensor</t>
  </si>
  <si>
    <t>Humidity</t>
  </si>
  <si>
    <t>Temperature</t>
  </si>
  <si>
    <t>Auto</t>
  </si>
  <si>
    <t>Manual</t>
  </si>
  <si>
    <t>Filter</t>
  </si>
  <si>
    <t>BMS</t>
  </si>
  <si>
    <t>Smart Panel</t>
  </si>
  <si>
    <t>EC fan</t>
  </si>
  <si>
    <t>Add</t>
  </si>
  <si>
    <t>VTS - Own Motor</t>
  </si>
  <si>
    <t>Bharat bijlee motor costs</t>
  </si>
  <si>
    <t>Tranches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</si>
</sst>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###"/>
    <numFmt numFmtId="165" formatCode="#,##0.0"/>
    <numFmt numFmtId="166" formatCode="0.0000"/>
    <numFmt numFmtId="167" formatCode="0.####"/>
    <numFmt numFmtId="168" formatCode="0.0%"/>
  </numFmts>
  <fonts count="19" x14ac:knownFonts="1">
    <font>
      <sz val="11"/>
      <color theme="1"/>
      <name val="Calibri"/>
      <family val="2"/>
      <charset val="1"/>
    </font>
    <font>
      <b/>
      <sz val="13"/>
      <color rgb="FF1F3864"/>
      <name val="Arial"/>
      <family val="2"/>
    </font>
    <font>
      <i/>
      <sz val="8"/>
      <color rgb="FF808080"/>
      <name val="Arial"/>
      <family val="2"/>
    </font>
    <font>
      <b/>
      <sz val="9"/>
      <color rgb="FF1F3864"/>
      <name val="Arial"/>
      <family val="2"/>
    </font>
    <font>
      <u/>
      <sz val="9"/>
      <color rgb="FF0563C1"/>
      <name val="Arial"/>
      <family val="2"/>
    </font>
    <font>
      <sz val="9"/>
      <color rgb="FF375623"/>
      <name val="Arial"/>
      <family val="2"/>
    </font>
    <font>
      <sz val="10"/>
      <color rgb="FF0000FF"/>
      <name val="Arial"/>
      <family val="2"/>
    </font>
    <font>
      <b/>
      <sz val="9"/>
      <color rgb="FFFFFFFF"/>
      <name val="Arial"/>
      <family val="2"/>
    </font>
    <font>
      <sz val="8"/>
      <color rgb="FFFFFFFF"/>
      <name val="Arial"/>
      <family val="2"/>
    </font>
    <font>
      <b/>
      <sz val="8"/>
      <color rgb="FFFFFFFF"/>
      <name val="Arial"/>
      <family val="2"/>
    </font>
    <font>
      <b/>
      <sz val="10"/>
      <color rgb="FF00610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0"/>
      <color rgb="FF1F3864"/>
      <name val="Arial"/>
      <family val="2"/>
    </font>
    <font>
      <sz val="9"/>
      <name val="Arial"/>
      <family val="2"/>
    </font>
    <font>
      <i/>
      <sz val="8"/>
      <color rgb="FFC00000"/>
      <name val="Arial"/>
      <family val="2"/>
    </font>
    <font>
      <i/>
      <sz val="9"/>
      <color rgb="FF595959"/>
      <name val="Arial"/>
      <family val="2"/>
    </font>
    <font>
      <b/>
      <sz val="11"/>
      <color rgb="FFFFFFFF"/>
      <name val="Arial"/>
      <family val="2"/>
    </font>
    <font>
      <sz val="10"/>
      <color rgb="FFC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EDEDED"/>
        <bgColor rgb="FFE2EFDA"/>
      </patternFill>
    </fill>
    <fill>
      <patternFill patternType="solid">
        <fgColor rgb="FFFFF2CC"/>
        <bgColor rgb="FFEDEDED"/>
      </patternFill>
    </fill>
    <fill>
      <patternFill patternType="solid">
        <fgColor rgb="FF1F3864"/>
        <bgColor rgb="FF333399"/>
      </patternFill>
    </fill>
    <fill>
      <patternFill patternType="solid">
        <fgColor rgb="FF375623"/>
        <bgColor rgb="FF595959"/>
      </patternFill>
    </fill>
    <fill>
      <patternFill patternType="solid">
        <fgColor rgb="FF808080"/>
        <bgColor rgb="FF969696"/>
      </patternFill>
    </fill>
    <fill>
      <patternFill patternType="solid">
        <fgColor rgb="FFBDD7EE"/>
        <bgColor rgb="FFD0D0D0"/>
      </patternFill>
    </fill>
    <fill>
      <patternFill patternType="solid">
        <fgColor rgb="FFE2EFDA"/>
        <bgColor rgb="FFEDEDED"/>
      </patternFill>
    </fill>
    <fill>
      <patternFill patternType="solid">
        <fgColor rgb="FFD9E1F2"/>
        <bgColor rgb="FFE2EFDA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3" fontId="6" fillId="3" borderId="1" xfId="0" applyNumberFormat="1" applyFont="1" applyFill="1" applyBorder="1" applyAlignment="1">
      <alignment horizontal="center" vertical="center"/>
    </xf>
    <xf numFmtId="4" fontId="6" fillId="3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3" fontId="10" fillId="7" borderId="1" xfId="0" applyNumberFormat="1" applyFont="1" applyFill="1" applyBorder="1" applyAlignment="1">
      <alignment horizontal="center" vertical="center"/>
    </xf>
    <xf numFmtId="4" fontId="11" fillId="8" borderId="1" xfId="0" applyNumberFormat="1" applyFont="1" applyFill="1" applyBorder="1" applyAlignment="1">
      <alignment horizontal="center" vertical="center"/>
    </xf>
    <xf numFmtId="3" fontId="11" fillId="8" borderId="1" xfId="0" applyNumberFormat="1" applyFont="1" applyFill="1" applyBorder="1" applyAlignment="1">
      <alignment horizontal="center" vertical="center"/>
    </xf>
    <xf numFmtId="164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3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4" fontId="11" fillId="0" borderId="1" xfId="0" applyNumberFormat="1" applyFont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0" fontId="12" fillId="4" borderId="0" xfId="0" applyFont="1" applyFill="1" applyAlignment="1">
      <alignment horizontal="left" vertical="center"/>
    </xf>
    <xf numFmtId="0" fontId="0" fillId="4" borderId="0" xfId="0" applyFill="1"/>
    <xf numFmtId="0" fontId="13" fillId="9" borderId="2" xfId="0" applyFont="1" applyFill="1" applyBorder="1" applyAlignment="1">
      <alignment horizontal="left" vertical="center"/>
    </xf>
    <xf numFmtId="0" fontId="13" fillId="9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167" fontId="6" fillId="3" borderId="2" xfId="0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8" fontId="6" fillId="3" borderId="2" xfId="0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3" fontId="6" fillId="3" borderId="2" xfId="0" applyNumberFormat="1" applyFont="1" applyFill="1" applyBorder="1" applyAlignment="1">
      <alignment horizontal="center" vertical="center"/>
    </xf>
    <xf numFmtId="0" fontId="15" fillId="0" borderId="2" xfId="0" applyFont="1" applyBorder="1" applyAlignment="1">
      <alignment horizontal="left" vertical="center"/>
    </xf>
    <xf numFmtId="4" fontId="6" fillId="3" borderId="2" xfId="0" applyNumberFormat="1" applyFont="1" applyFill="1" applyBorder="1" applyAlignment="1">
      <alignment horizontal="center" vertical="center"/>
    </xf>
    <xf numFmtId="0" fontId="12" fillId="4" borderId="0" xfId="0" applyFont="1" applyFill="1"/>
    <xf numFmtId="0" fontId="11" fillId="0" borderId="1" xfId="0" applyFont="1" applyBorder="1"/>
    <xf numFmtId="3" fontId="6" fillId="3" borderId="1" xfId="0" applyNumberFormat="1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" fillId="0" borderId="1" xfId="0" applyFont="1" applyBorder="1"/>
    <xf numFmtId="168" fontId="6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17" fillId="4" borderId="0" xfId="0" applyFont="1" applyFill="1" applyAlignment="1">
      <alignment vertical="center" wrapText="1"/>
    </xf>
    <xf numFmtId="0" fontId="11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16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FFF99"/>
      <rgbColor rgb="FF99CCFF"/>
      <rgbColor rgb="FFFF99CC"/>
      <rgbColor rgb="FFCC99FF"/>
      <rgbColor rgb="FFD0D0D0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76640</xdr:rowOff>
    </xdr:from>
    <xdr:to>
      <xdr:col>16</xdr:col>
      <xdr:colOff>352425</xdr:colOff>
      <xdr:row>31</xdr:row>
      <xdr:rowOff>133790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E8677B-07EF-BDD2-AE25-684426DB8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103" y="76640"/>
          <a:ext cx="9548977" cy="58268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steel.gov.in/monthly-summery" TargetMode="External"/><Relationship Id="rId1" Type="http://schemas.openxmlformats.org/officeDocument/2006/relationships/hyperlink" Target="https://www.lme.com/metals/non-ferrous/lme-copper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steel.gov.in/monthly-summery" TargetMode="External"/><Relationship Id="rId1" Type="http://schemas.openxmlformats.org/officeDocument/2006/relationships/hyperlink" Target="https://www.lme.com/metals/non-ferrous/lme-copp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D5E6F-ABEF-453C-9499-AA0463508940}">
  <dimension ref="S14:T27"/>
  <sheetViews>
    <sheetView zoomScale="87" zoomScaleNormal="80" workbookViewId="0">
      <selection activeCell="S29" sqref="S29"/>
    </sheetView>
  </sheetViews>
  <sheetFormatPr defaultRowHeight="15" x14ac:dyDescent="0.25"/>
  <cols>
    <col min="19" max="19" width="14.28515625" bestFit="1" customWidth="1"/>
  </cols>
  <sheetData>
    <row r="14" spans="19:20" x14ac:dyDescent="0.25">
      <c r="S14" t="s">
        <v>278</v>
      </c>
      <c r="T14" t="s">
        <v>283</v>
      </c>
    </row>
    <row r="15" spans="19:20" x14ac:dyDescent="0.25">
      <c r="T15" t="s">
        <v>284</v>
      </c>
    </row>
    <row r="16" spans="19:20" x14ac:dyDescent="0.25">
      <c r="S16" t="s">
        <v>285</v>
      </c>
    </row>
    <row r="18" spans="19:20" x14ac:dyDescent="0.25">
      <c r="S18" t="s">
        <v>277</v>
      </c>
    </row>
    <row r="19" spans="19:20" x14ac:dyDescent="0.25">
      <c r="S19" t="s">
        <v>274</v>
      </c>
      <c r="T19" t="s">
        <v>275</v>
      </c>
    </row>
    <row r="20" spans="19:20" x14ac:dyDescent="0.25">
      <c r="T20" t="s">
        <v>276</v>
      </c>
    </row>
    <row r="23" spans="19:20" x14ac:dyDescent="0.25">
      <c r="S23" t="s">
        <v>279</v>
      </c>
      <c r="T23" t="s">
        <v>283</v>
      </c>
    </row>
    <row r="24" spans="19:20" x14ac:dyDescent="0.25">
      <c r="T24" t="s">
        <v>284</v>
      </c>
    </row>
    <row r="25" spans="19:20" x14ac:dyDescent="0.25">
      <c r="S25" t="s">
        <v>286</v>
      </c>
    </row>
    <row r="26" spans="19:20" x14ac:dyDescent="0.25">
      <c r="S26" t="s">
        <v>280</v>
      </c>
      <c r="T26" t="s">
        <v>281</v>
      </c>
    </row>
    <row r="27" spans="19:20" x14ac:dyDescent="0.25">
      <c r="T27" t="s">
        <v>282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J28"/>
  <sheetViews>
    <sheetView showGridLines="0" tabSelected="1" zoomScaleNormal="100" workbookViewId="0">
      <pane ySplit="8" topLeftCell="A9" activePane="bottomLeft" state="frozen"/>
      <selection pane="bottomLeft" activeCell="AO9" sqref="AO9"/>
    </sheetView>
  </sheetViews>
  <sheetFormatPr defaultColWidth="8.7109375" defaultRowHeight="15" outlineLevelCol="1" x14ac:dyDescent="0.25"/>
  <cols>
    <col min="2" max="2" width="24" customWidth="1"/>
    <col min="3" max="3" width="9" customWidth="1"/>
    <col min="4" max="4" width="1" hidden="1" customWidth="1"/>
    <col min="5" max="5" width="10.42578125" customWidth="1"/>
    <col min="6" max="6" width="12.85546875" customWidth="1"/>
    <col min="7" max="7" width="7" customWidth="1"/>
    <col min="8" max="8" width="13" customWidth="1"/>
    <col min="9" max="9" width="8.7109375" bestFit="1" customWidth="1"/>
    <col min="10" max="10" width="13" customWidth="1"/>
    <col min="11" max="11" width="11" customWidth="1"/>
    <col min="12" max="12" width="8" customWidth="1"/>
    <col min="13" max="13" width="13" customWidth="1"/>
    <col min="14" max="16" width="6" customWidth="1"/>
    <col min="17" max="18" width="10" customWidth="1"/>
    <col min="19" max="20" width="15" customWidth="1"/>
    <col min="21" max="21" width="13" customWidth="1"/>
    <col min="22" max="24" width="7" customWidth="1"/>
    <col min="25" max="25" width="13" customWidth="1"/>
    <col min="26" max="26" width="9" customWidth="1"/>
    <col min="27" max="27" width="10" customWidth="1"/>
    <col min="28" max="29" width="9" customWidth="1"/>
    <col min="30" max="30" width="10" customWidth="1"/>
    <col min="31" max="31" width="9" customWidth="1"/>
    <col min="32" max="32" width="10" customWidth="1"/>
    <col min="33" max="33" width="8" customWidth="1"/>
    <col min="34" max="34" width="16" customWidth="1"/>
    <col min="35" max="35" width="2" customWidth="1"/>
    <col min="36" max="84" width="10" customWidth="1" outlineLevel="1"/>
    <col min="86" max="88" width="13" customWidth="1"/>
  </cols>
  <sheetData>
    <row r="1" spans="2:88" ht="15.75" customHeight="1" x14ac:dyDescent="0.25">
      <c r="B1" s="1" t="s">
        <v>0</v>
      </c>
    </row>
    <row r="2" spans="2:88" ht="15" customHeight="1" x14ac:dyDescent="0.25">
      <c r="B2" s="2" t="s">
        <v>1</v>
      </c>
    </row>
    <row r="3" spans="2:88" ht="15" customHeight="1" x14ac:dyDescent="0.25">
      <c r="B3" s="3" t="s">
        <v>2</v>
      </c>
      <c r="C3" s="4" t="s">
        <v>3</v>
      </c>
      <c r="F3" s="4" t="s">
        <v>4</v>
      </c>
    </row>
    <row r="4" spans="2:88" ht="15" customHeight="1" x14ac:dyDescent="0.25">
      <c r="B4" s="3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</row>
    <row r="5" spans="2:88" ht="15" customHeight="1" x14ac:dyDescent="0.25">
      <c r="B5" s="2" t="s">
        <v>13</v>
      </c>
      <c r="C5" s="6">
        <v>8960</v>
      </c>
      <c r="D5" s="6">
        <v>2700</v>
      </c>
      <c r="E5" s="6">
        <v>7850</v>
      </c>
      <c r="F5" s="6">
        <v>7850</v>
      </c>
      <c r="G5" s="6">
        <v>7900</v>
      </c>
      <c r="H5" s="6">
        <v>40</v>
      </c>
      <c r="I5" s="6">
        <v>64</v>
      </c>
      <c r="K5" s="2" t="s">
        <v>14</v>
      </c>
    </row>
    <row r="6" spans="2:88" ht="15" customHeight="1" x14ac:dyDescent="0.25">
      <c r="B6" s="2" t="s">
        <v>15</v>
      </c>
      <c r="C6" s="6">
        <v>1400</v>
      </c>
      <c r="D6" s="6">
        <v>260</v>
      </c>
      <c r="E6" s="6">
        <v>80</v>
      </c>
      <c r="F6" s="6">
        <v>95</v>
      </c>
      <c r="G6" s="6">
        <v>260</v>
      </c>
      <c r="H6" s="6">
        <v>350</v>
      </c>
      <c r="I6" s="6">
        <v>85</v>
      </c>
      <c r="M6" t="s">
        <v>289</v>
      </c>
      <c r="N6" t="s">
        <v>289</v>
      </c>
    </row>
    <row r="7" spans="2:88" x14ac:dyDescent="0.25">
      <c r="M7" t="s">
        <v>288</v>
      </c>
      <c r="N7" t="s">
        <v>287</v>
      </c>
      <c r="AH7" t="s">
        <v>284</v>
      </c>
    </row>
    <row r="8" spans="2:88" ht="21.75" customHeight="1" x14ac:dyDescent="0.25">
      <c r="B8" s="8" t="s">
        <v>16</v>
      </c>
      <c r="C8" s="8" t="s">
        <v>17</v>
      </c>
      <c r="D8" s="8"/>
      <c r="E8" s="8" t="s">
        <v>18</v>
      </c>
      <c r="F8" s="8" t="s">
        <v>19</v>
      </c>
      <c r="G8" s="8" t="s">
        <v>20</v>
      </c>
      <c r="H8" s="8" t="s">
        <v>21</v>
      </c>
      <c r="I8" s="8" t="s">
        <v>22</v>
      </c>
      <c r="J8" s="8" t="s">
        <v>23</v>
      </c>
      <c r="K8" s="8" t="s">
        <v>24</v>
      </c>
      <c r="L8" s="8" t="s">
        <v>25</v>
      </c>
      <c r="M8" s="8" t="s">
        <v>26</v>
      </c>
      <c r="N8" s="8" t="s">
        <v>27</v>
      </c>
      <c r="O8" s="8" t="s">
        <v>28</v>
      </c>
      <c r="P8" s="8" t="s">
        <v>29</v>
      </c>
      <c r="Q8" s="8" t="s">
        <v>30</v>
      </c>
      <c r="R8" s="8" t="s">
        <v>31</v>
      </c>
      <c r="S8" s="8" t="s">
        <v>32</v>
      </c>
      <c r="T8" s="8" t="s">
        <v>33</v>
      </c>
      <c r="U8" s="8" t="s">
        <v>34</v>
      </c>
      <c r="V8" s="8" t="s">
        <v>35</v>
      </c>
      <c r="W8" s="8" t="s">
        <v>36</v>
      </c>
      <c r="X8" s="8" t="s">
        <v>37</v>
      </c>
      <c r="Y8" s="9" t="s">
        <v>38</v>
      </c>
      <c r="Z8" s="9" t="s">
        <v>39</v>
      </c>
      <c r="AA8" s="9" t="s">
        <v>40</v>
      </c>
      <c r="AB8" s="9" t="s">
        <v>41</v>
      </c>
      <c r="AC8" s="9" t="s">
        <v>42</v>
      </c>
      <c r="AD8" s="9" t="s">
        <v>43</v>
      </c>
      <c r="AE8" s="9" t="s">
        <v>44</v>
      </c>
      <c r="AF8" s="9" t="s">
        <v>45</v>
      </c>
      <c r="AG8" s="9" t="s">
        <v>46</v>
      </c>
      <c r="AH8" s="9" t="s">
        <v>47</v>
      </c>
      <c r="AJ8" s="10" t="s">
        <v>48</v>
      </c>
      <c r="AK8" s="10" t="s">
        <v>49</v>
      </c>
      <c r="AL8" s="10" t="s">
        <v>50</v>
      </c>
      <c r="AM8" s="10" t="s">
        <v>51</v>
      </c>
      <c r="AN8" s="10" t="s">
        <v>52</v>
      </c>
      <c r="AO8" s="10" t="s">
        <v>53</v>
      </c>
      <c r="AP8" s="10" t="s">
        <v>54</v>
      </c>
      <c r="AQ8" s="10" t="s">
        <v>55</v>
      </c>
      <c r="AR8" s="10" t="s">
        <v>56</v>
      </c>
      <c r="AS8" s="10" t="s">
        <v>57</v>
      </c>
      <c r="AT8" s="10" t="s">
        <v>58</v>
      </c>
      <c r="AU8" s="10" t="s">
        <v>59</v>
      </c>
      <c r="AV8" s="10" t="s">
        <v>60</v>
      </c>
      <c r="AW8" s="10" t="s">
        <v>61</v>
      </c>
      <c r="AX8" s="10" t="s">
        <v>62</v>
      </c>
      <c r="AY8" s="10" t="s">
        <v>63</v>
      </c>
      <c r="AZ8" s="10" t="s">
        <v>64</v>
      </c>
      <c r="BA8" s="10" t="s">
        <v>65</v>
      </c>
      <c r="BB8" s="10" t="s">
        <v>66</v>
      </c>
      <c r="BC8" s="10" t="s">
        <v>67</v>
      </c>
      <c r="BD8" s="10" t="s">
        <v>68</v>
      </c>
      <c r="BE8" s="10" t="s">
        <v>69</v>
      </c>
      <c r="BF8" s="10" t="s">
        <v>70</v>
      </c>
      <c r="BG8" s="10" t="s">
        <v>71</v>
      </c>
      <c r="BH8" s="10" t="s">
        <v>72</v>
      </c>
      <c r="BI8" s="10" t="s">
        <v>73</v>
      </c>
      <c r="BJ8" s="10" t="s">
        <v>74</v>
      </c>
      <c r="BK8" s="10" t="s">
        <v>75</v>
      </c>
      <c r="BL8" s="10" t="s">
        <v>76</v>
      </c>
      <c r="BM8" s="10" t="s">
        <v>77</v>
      </c>
      <c r="BN8" s="10" t="s">
        <v>78</v>
      </c>
      <c r="BO8" s="10" t="s">
        <v>79</v>
      </c>
      <c r="BP8" s="10" t="s">
        <v>80</v>
      </c>
      <c r="BQ8" s="10" t="s">
        <v>81</v>
      </c>
      <c r="BR8" s="10" t="s">
        <v>82</v>
      </c>
      <c r="BS8" s="10" t="s">
        <v>83</v>
      </c>
      <c r="BT8" s="10" t="s">
        <v>84</v>
      </c>
      <c r="BU8" s="10" t="s">
        <v>85</v>
      </c>
      <c r="BV8" s="10" t="s">
        <v>86</v>
      </c>
      <c r="BW8" s="10" t="s">
        <v>87</v>
      </c>
      <c r="BX8" s="10" t="s">
        <v>88</v>
      </c>
      <c r="BY8" s="10" t="s">
        <v>89</v>
      </c>
      <c r="BZ8" s="10" t="s">
        <v>90</v>
      </c>
      <c r="CA8" s="10" t="s">
        <v>91</v>
      </c>
      <c r="CB8" s="10" t="s">
        <v>92</v>
      </c>
      <c r="CC8" s="10" t="s">
        <v>93</v>
      </c>
      <c r="CD8" s="10" t="s">
        <v>94</v>
      </c>
      <c r="CE8" s="10" t="s">
        <v>95</v>
      </c>
      <c r="CF8" s="10" t="s">
        <v>96</v>
      </c>
      <c r="CH8" s="11" t="s">
        <v>97</v>
      </c>
      <c r="CI8" s="11" t="s">
        <v>98</v>
      </c>
      <c r="CJ8" s="11" t="s">
        <v>99</v>
      </c>
    </row>
    <row r="9" spans="2:88" ht="15" customHeight="1" x14ac:dyDescent="0.25">
      <c r="B9" s="12" t="s">
        <v>100</v>
      </c>
      <c r="C9" s="13">
        <v>50000</v>
      </c>
      <c r="D9" s="13"/>
      <c r="E9" s="13">
        <v>30</v>
      </c>
      <c r="F9" s="13">
        <v>0</v>
      </c>
      <c r="G9" s="13">
        <v>300</v>
      </c>
      <c r="H9" s="13" t="s">
        <v>101</v>
      </c>
      <c r="I9" s="14">
        <v>1.5</v>
      </c>
      <c r="J9" s="13" t="s">
        <v>9</v>
      </c>
      <c r="K9" s="13" t="s">
        <v>11</v>
      </c>
      <c r="L9" s="13">
        <v>25</v>
      </c>
      <c r="M9" s="13" t="s">
        <v>102</v>
      </c>
      <c r="N9" s="13" t="s">
        <v>103</v>
      </c>
      <c r="O9" s="13">
        <v>6</v>
      </c>
      <c r="P9" s="13">
        <v>12</v>
      </c>
      <c r="Q9" s="13" t="s">
        <v>6</v>
      </c>
      <c r="R9" s="13" t="s">
        <v>7</v>
      </c>
      <c r="S9" s="13" t="s">
        <v>104</v>
      </c>
      <c r="T9" s="13" t="s">
        <v>105</v>
      </c>
      <c r="U9" s="13" t="s">
        <v>106</v>
      </c>
      <c r="V9" s="13" t="s">
        <v>103</v>
      </c>
      <c r="W9" s="13" t="s">
        <v>107</v>
      </c>
      <c r="X9" s="13" t="s">
        <v>107</v>
      </c>
      <c r="Y9" s="15">
        <f t="shared" ref="Y9:Y28" si="0">IF($C9="","",CF9)</f>
        <v>2225561.0568304858</v>
      </c>
      <c r="Z9" s="16">
        <f>IF($C9="","",Y9/$C9)</f>
        <v>44.511221136609713</v>
      </c>
      <c r="AA9" s="17">
        <f t="shared" ref="AA9:AA28" si="1">IF($C9="","",IF(E9=0,"",CF9/E9))</f>
        <v>74185.368561016192</v>
      </c>
      <c r="AB9" s="17">
        <f t="shared" ref="AB9:AB28" si="2">IF($C9="","",BJ9+BN9+AV9+AZ9+BB9+BY9)</f>
        <v>2408.0156884091753</v>
      </c>
      <c r="AC9" s="17">
        <f t="shared" ref="AC9:AC28" si="3">IF($C9="","",BJ9)</f>
        <v>360.78871170746601</v>
      </c>
      <c r="AD9" s="17">
        <f t="shared" ref="AD9:AD28" si="4">IF($C9="","",BN9)</f>
        <v>159.52967858267712</v>
      </c>
      <c r="AE9" s="17">
        <f t="shared" ref="AE9:AE28" si="5">IF($C9="","",AV9)</f>
        <v>1720.5277072609238</v>
      </c>
      <c r="AF9" s="17">
        <f t="shared" ref="AF9:AF28" si="6">IF($C9="","",AZ9)</f>
        <v>65.230804794545179</v>
      </c>
      <c r="AG9" s="18">
        <f t="shared" ref="AG9:AG28" si="7">IF($C9="","",BR9)</f>
        <v>30</v>
      </c>
      <c r="AH9" s="19" t="str">
        <f t="shared" ref="AH9:AH28" si="8">IF($C9="","",ROUND(AN9,2)&amp;" x "&amp;ROUND(AO9,2)&amp;" x "&amp;ROUND(AQ9,2))</f>
        <v>3.8 x 2.92 x 3.2</v>
      </c>
      <c r="AJ9" s="20">
        <f>IF($C9="","",$C9*'Assumptions &amp; Ref'!$C$10)</f>
        <v>84950</v>
      </c>
      <c r="AK9" s="21">
        <f t="shared" ref="AK9:AK28" si="9">IF($C9="","",AJ9/3600)</f>
        <v>23.597222222222221</v>
      </c>
      <c r="AL9" s="21">
        <f>IF($C9="","",AK9/'Assumptions &amp; Ref'!$C$6)</f>
        <v>9.4388888888888882</v>
      </c>
      <c r="AM9" s="21">
        <f>IF($C9="","",AL9/'Assumptions &amp; Ref'!$C$8)</f>
        <v>11.104575163398692</v>
      </c>
      <c r="AN9" s="21">
        <f>IF($C9="","",SQRT(AM9*'Assumptions &amp; Ref'!$C$9))</f>
        <v>3.7994667668527251</v>
      </c>
      <c r="AO9" s="21">
        <f>IF($C9="","",SQRT(AM9/'Assumptions &amp; Ref'!$C$9))</f>
        <v>2.9226667437328655</v>
      </c>
      <c r="AP9" s="21">
        <f>IF($C9="","",'Assumptions &amp; Ref'!$C$14+IF(OR(S9="Pre+Fine",S9="Pre+Fine+HEPA"),'Assumptions &amp; Ref'!$C$15,0)+IF(S9="Pre+Fine+HEPA",'Assumptions &amp; Ref'!$C$16,0))</f>
        <v>0.75</v>
      </c>
      <c r="AQ9" s="21">
        <f>IF($C9="","",IF(V9="Y",'Assumptions &amp; Ref'!$C$13,0)+AP9+'Assumptions &amp; Ref'!$C$17+O9*'Assumptions &amp; Ref'!$C$18+IF(W9="Y",'Assumptions &amp; Ref'!$C$19,0)+'Assumptions &amp; Ref'!$C$20+IF(X9="Y",'Assumptions &amp; Ref'!$C$21,0))</f>
        <v>3.2</v>
      </c>
      <c r="AR9" s="21">
        <f t="shared" ref="AR9:AR28" si="10">IF($C9="","",2*(AN9+AO9)*AQ9+2*AN9*AO9)</f>
        <v>65.230804794545179</v>
      </c>
      <c r="AS9" s="22">
        <f t="shared" ref="AS9:AS28" si="11">IF($C9="","",IF(H9="Double skin",2,1))</f>
        <v>2</v>
      </c>
      <c r="AT9" s="20">
        <f t="shared" ref="AT9:AT28" si="12">IF($C9="","",INDEX($C$5:$I$5,MATCH(J9,$C$4:$I$4,0)))</f>
        <v>7850</v>
      </c>
      <c r="AU9" s="23">
        <f t="shared" ref="AU9:AU28" si="13">IF($C9="","",INDEX($C$6:$I$6,MATCH(J9,$C$4:$I$4,0)))</f>
        <v>95</v>
      </c>
      <c r="AV9" s="20">
        <f>IF($C9="","",AR9*AS9*I9/1000*AT9*(1+'Assumptions &amp; Ref'!$C$75))</f>
        <v>1720.5277072609238</v>
      </c>
      <c r="AW9" s="20">
        <f t="shared" ref="AW9:AW28" si="14">IF($C9="","",INDEX($C$5:$I$5,MATCH(K9,$C$4:$I$4,0)))</f>
        <v>40</v>
      </c>
      <c r="AX9" s="23">
        <f t="shared" ref="AX9:AX28" si="15">IF($C9="","",INDEX($C$6:$I$6,MATCH(K9,$C$4:$I$4,0)))</f>
        <v>350</v>
      </c>
      <c r="AY9" s="21">
        <f t="shared" ref="AY9:AY28" si="16">IF($C9="","",AR9*L9/1000)</f>
        <v>1.6307701198636295</v>
      </c>
      <c r="AZ9" s="20">
        <f t="shared" ref="AZ9:AZ28" si="17">IF($C9="","",AY9*AW9)</f>
        <v>65.230804794545179</v>
      </c>
      <c r="BA9" s="21">
        <f t="shared" ref="BA9:BA28" si="18">IF($C9="","",4*(AN9+AO9+AQ9))</f>
        <v>39.688534042342368</v>
      </c>
      <c r="BB9" s="20">
        <f>IF($C9="","",BA9*'Assumptions &amp; Ref'!$C$76)</f>
        <v>73.42378797833338</v>
      </c>
      <c r="BC9" s="20">
        <f>IF($C9="","",BB9*'Assumptions &amp; Ref'!$C$77)</f>
        <v>24964.087912633349</v>
      </c>
      <c r="BD9" s="21">
        <f>IF($C9="","",SQRT(AL9/'Assumptions &amp; Ref'!$C$9))</f>
        <v>2.694565597769659</v>
      </c>
      <c r="BE9" s="21">
        <f>IF($C9="","",SQRT(AL9*'Assumptions &amp; Ref'!$C$9))</f>
        <v>3.5029352771005571</v>
      </c>
      <c r="BF9" s="24">
        <f>IF($C9="","",BD9*1000/'Assumptions &amp; Ref'!$C$27)</f>
        <v>107.78262391078636</v>
      </c>
      <c r="BG9" s="24">
        <f>IF($C9="","",BF9*O9)</f>
        <v>646.69574346471813</v>
      </c>
      <c r="BH9" s="24">
        <f>IF($C9="","",BG9*BE9*(1+'Assumptions &amp; Ref'!$C$29))</f>
        <v>2605.1333333333328</v>
      </c>
      <c r="BI9" s="25">
        <f>IF($C9="","",PI()*('Assumptions &amp; Ref'!$C$25-'Assumptions &amp; Ref'!$C$26)/1000*'Assumptions &amp; Ref'!$C$26/1000*$C$5)</f>
        <v>0.13849145726672957</v>
      </c>
      <c r="BJ9" s="20">
        <f t="shared" ref="BJ9:BJ28" si="19">IF($C9="","",BH9*BI9)</f>
        <v>360.78871170746601</v>
      </c>
      <c r="BK9" s="24">
        <f t="shared" ref="BK9:BK28" si="20">IF($C9="","",BE9*1000*P9/25.4)</f>
        <v>1654.9300521734915</v>
      </c>
      <c r="BL9" s="21">
        <f>IF($C9="","",O9*'Assumptions &amp; Ref'!$C$28/1000)</f>
        <v>0.12989999999999999</v>
      </c>
      <c r="BM9" s="21">
        <f>IF($C9="","",BD9*BL9*(1-'Assumptions &amp; Ref'!$C$31))</f>
        <v>0.29752046047773684</v>
      </c>
      <c r="BN9" s="20">
        <f>IF($C9="","",BK9*BM9*'Assumptions &amp; Ref'!$C$30/1000*INDEX($C$5:$I$5,MATCH(R9,$C$4:$I$4,0)))</f>
        <v>159.52967858267712</v>
      </c>
      <c r="BO9" s="20">
        <f>IF($C9="","",'Assumptions &amp; Ref'!$C$34+O9*'Assumptions &amp; Ref'!$C$35+'Assumptions &amp; Ref'!$C$36+IF(OR(S9="Pre+Fine",S9="Pre+Fine+HEPA"),'Assumptions &amp; Ref'!$C$37,0)+IF(S9="Pre+Fine+HEPA",'Assumptions &amp; Ref'!$C$38,0))</f>
        <v>422</v>
      </c>
      <c r="BP9" s="20">
        <f t="shared" ref="BP9:BP28" si="21">IF($C9="","",G9+BO9)</f>
        <v>722</v>
      </c>
      <c r="BQ9" s="21">
        <f>IF($C9="","",AK9*BP9/(1000*IF(M9="Plug fan",'Assumptions &amp; Ref'!$C$39,'Assumptions &amp; Ref'!$C$40)*'Assumptions &amp; Ref'!$C$41))</f>
        <v>27.838553013798112</v>
      </c>
      <c r="BR9" s="21">
        <f>IF($C9="","",IFERROR(INDEX('Assumptions &amp; Ref'!$B$44:$B$61,MATCH(BQ9,'Assumptions &amp; Ref'!$B$44:$B$61,1)+IF(INDEX('Assumptions &amp; Ref'!$B$44:$B$61,MATCH(BQ9,'Assumptions &amp; Ref'!$B$44:$B$61,1))&gt;=BQ9,0,1)),INDEX('Assumptions &amp; Ref'!$B$44:$B$61,1)))</f>
        <v>30</v>
      </c>
      <c r="BS9" s="20">
        <f>IF($C9="","",BR9*IF(M9="Plug fan",'Assumptions &amp; Ref'!$C$64,'Assumptions &amp; Ref'!$C$65))</f>
        <v>435000</v>
      </c>
      <c r="BT9" s="20">
        <f>IF($C9="","",IF(N9="Y",BR9*'Assumptions &amp; Ref'!$C$66,0))</f>
        <v>225000</v>
      </c>
      <c r="BU9" s="21">
        <f t="shared" ref="BU9:BU28" si="22">IF($C9="","",AM9)</f>
        <v>11.104575163398692</v>
      </c>
      <c r="BV9" s="20">
        <f>IF($C9="","",BU9*('Assumptions &amp; Ref'!$C$67+IF(OR(S9="Pre+Fine",S9="Pre+Fine+HEPA"),'Assumptions &amp; Ref'!$C$68,0)+IF(S9="Pre+Fine+HEPA",'Assumptions &amp; Ref'!$C$69,0)))</f>
        <v>51081.045751633988</v>
      </c>
      <c r="BW9" s="21">
        <f t="shared" ref="BW9:BW28" si="23">IF($C9="","",AM9*IF(U9="Mixed (return+fresh)",2,1))</f>
        <v>22.209150326797385</v>
      </c>
      <c r="BX9" s="20">
        <f>IF($C9="","",BW9*'Assumptions &amp; Ref'!$C$70)</f>
        <v>115487.5816993464</v>
      </c>
      <c r="BY9" s="20">
        <f>IF($C9="","",AN9*('Assumptions &amp; Ref'!$C$17+O9*'Assumptions &amp; Ref'!$C$18+0.2)*'Assumptions &amp; Ref'!$C$81/1000*$G$5)</f>
        <v>28.514998085229699</v>
      </c>
      <c r="BZ9" s="20">
        <f t="shared" ref="BZ9:BZ28" si="24">IF($C9="","",BY9*$G$6)</f>
        <v>7413.899502159722</v>
      </c>
      <c r="CA9" s="20">
        <f t="shared" ref="CA9:CA28" si="25">IF($C9="","",BJ9*$C$6+BN9*INDEX($C$6:$I$6,MATCH(R9,$C$4:$I$4,0))+AV9*AU9+AZ9*AX9+BC9+BZ9)</f>
        <v>765240.81410462002</v>
      </c>
      <c r="CB9" s="20">
        <f t="shared" ref="CB9:CB28" si="26">IF($C9="","",BS9+BT9+BV9+BX9)</f>
        <v>826568.62745098036</v>
      </c>
      <c r="CC9" s="20">
        <f>IF($C9="","",(AV9+BB9)*'Assumptions &amp; Ref'!$C$78+(BJ9+BN9)*'Assumptions &amp; Ref'!$C$80)</f>
        <v>214652.45522239158</v>
      </c>
      <c r="CD9" s="20">
        <f>IF($C9="","",'Assumptions &amp; Ref'!$C$84*(CA9+CB9+CC9))</f>
        <v>180646.18967779921</v>
      </c>
      <c r="CE9" s="20">
        <f>IF($C9="","",'Assumptions &amp; Ref'!$C$85*(CA9+CB9+CC9+CD9))</f>
        <v>238452.97037469491</v>
      </c>
      <c r="CF9" s="20">
        <f t="shared" ref="CF9:CF28" si="27">IF($C9="","",CA9+CB9+CC9+CD9+CE9)</f>
        <v>2225561.0568304858</v>
      </c>
      <c r="CH9" s="17">
        <f t="shared" ref="CH9:CH28" si="28">IF($C9="","",CA9)</f>
        <v>765240.81410462002</v>
      </c>
      <c r="CI9" s="17">
        <f t="shared" ref="CI9:CI28" si="29">IF($C9="","",CB9+CC9)</f>
        <v>1041221.082673372</v>
      </c>
      <c r="CJ9" s="17">
        <f t="shared" ref="CJ9:CJ28" si="30">IF($C9="","",CD9+CE9)</f>
        <v>419099.16005249415</v>
      </c>
    </row>
    <row r="10" spans="2:88" ht="15" customHeight="1" x14ac:dyDescent="0.25">
      <c r="B10" s="12" t="s">
        <v>108</v>
      </c>
      <c r="C10" s="13">
        <v>45000</v>
      </c>
      <c r="D10" s="13"/>
      <c r="E10" s="13">
        <v>18</v>
      </c>
      <c r="F10" s="13">
        <v>0</v>
      </c>
      <c r="G10" s="13">
        <v>250</v>
      </c>
      <c r="H10" s="13" t="s">
        <v>101</v>
      </c>
      <c r="I10" s="14">
        <v>0.8</v>
      </c>
      <c r="J10" s="13" t="s">
        <v>9</v>
      </c>
      <c r="K10" s="13" t="s">
        <v>11</v>
      </c>
      <c r="L10" s="13">
        <v>25</v>
      </c>
      <c r="M10" s="13" t="s">
        <v>102</v>
      </c>
      <c r="N10" s="13" t="s">
        <v>103</v>
      </c>
      <c r="O10" s="13">
        <v>4</v>
      </c>
      <c r="P10" s="13">
        <v>12</v>
      </c>
      <c r="Q10" s="13" t="s">
        <v>6</v>
      </c>
      <c r="R10" s="13" t="s">
        <v>7</v>
      </c>
      <c r="S10" s="13" t="s">
        <v>104</v>
      </c>
      <c r="T10" s="13" t="s">
        <v>109</v>
      </c>
      <c r="U10" s="13" t="s">
        <v>106</v>
      </c>
      <c r="V10" s="13" t="s">
        <v>103</v>
      </c>
      <c r="W10" s="13" t="s">
        <v>107</v>
      </c>
      <c r="X10" s="13" t="s">
        <v>107</v>
      </c>
      <c r="Y10" s="15">
        <f t="shared" si="0"/>
        <v>1484723.5350011887</v>
      </c>
      <c r="Z10" s="16">
        <f t="shared" ref="Z10:Z28" si="31">IF($C10="","",Y10/$C10)</f>
        <v>32.993856333359751</v>
      </c>
      <c r="AA10" s="17">
        <f t="shared" si="1"/>
        <v>82484.640833399375</v>
      </c>
      <c r="AB10" s="17">
        <f t="shared" si="2"/>
        <v>1303.4273635130321</v>
      </c>
      <c r="AC10" s="17">
        <f t="shared" si="3"/>
        <v>216.47322702447966</v>
      </c>
      <c r="AD10" s="17">
        <f t="shared" si="4"/>
        <v>95.717807149606315</v>
      </c>
      <c r="AE10" s="17">
        <f t="shared" si="5"/>
        <v>837.37434851425348</v>
      </c>
      <c r="AF10" s="17">
        <f t="shared" si="6"/>
        <v>59.526725184418595</v>
      </c>
      <c r="AG10" s="18">
        <f t="shared" si="7"/>
        <v>22</v>
      </c>
      <c r="AH10" s="19" t="str">
        <f t="shared" si="8"/>
        <v>3.6 x 2.77 x 3.1</v>
      </c>
      <c r="AJ10" s="20">
        <f>IF($C10="","",$C10*'Assumptions &amp; Ref'!$C$10)</f>
        <v>76455</v>
      </c>
      <c r="AK10" s="21">
        <f t="shared" si="9"/>
        <v>21.237500000000001</v>
      </c>
      <c r="AL10" s="21">
        <f>IF($C10="","",AK10/'Assumptions &amp; Ref'!$C$6)</f>
        <v>8.495000000000001</v>
      </c>
      <c r="AM10" s="21">
        <f>IF($C10="","",AL10/'Assumptions &amp; Ref'!$C$8)</f>
        <v>9.9941176470588253</v>
      </c>
      <c r="AN10" s="21">
        <f>IF($C10="","",SQRT(AM10*'Assumptions &amp; Ref'!$C$9))</f>
        <v>3.6044906632111662</v>
      </c>
      <c r="AO10" s="21">
        <f>IF($C10="","",SQRT(AM10/'Assumptions &amp; Ref'!$C$9))</f>
        <v>2.772685125547051</v>
      </c>
      <c r="AP10" s="21">
        <f>IF($C10="","",'Assumptions &amp; Ref'!$C$14+IF(OR(S10="Pre+Fine",S10="Pre+Fine+HEPA"),'Assumptions &amp; Ref'!$C$15,0)+IF(S10="Pre+Fine+HEPA",'Assumptions &amp; Ref'!$C$16,0))</f>
        <v>0.75</v>
      </c>
      <c r="AQ10" s="21">
        <f>IF($C10="","",IF(V10="Y",'Assumptions &amp; Ref'!$C$13,0)+AP10+'Assumptions &amp; Ref'!$C$17+O10*'Assumptions &amp; Ref'!$C$18+IF(W10="Y",'Assumptions &amp; Ref'!$C$19,0)+'Assumptions &amp; Ref'!$C$20+IF(X10="Y",'Assumptions &amp; Ref'!$C$21,0))</f>
        <v>3.1</v>
      </c>
      <c r="AR10" s="21">
        <f t="shared" si="10"/>
        <v>59.526725184418602</v>
      </c>
      <c r="AS10" s="22">
        <f t="shared" si="11"/>
        <v>2</v>
      </c>
      <c r="AT10" s="20">
        <f t="shared" si="12"/>
        <v>7850</v>
      </c>
      <c r="AU10" s="23">
        <f t="shared" si="13"/>
        <v>95</v>
      </c>
      <c r="AV10" s="20">
        <f>IF($C10="","",AR10*AS10*I10/1000*AT10*(1+'Assumptions &amp; Ref'!$C$75))</f>
        <v>837.37434851425348</v>
      </c>
      <c r="AW10" s="20">
        <f t="shared" si="14"/>
        <v>40</v>
      </c>
      <c r="AX10" s="23">
        <f t="shared" si="15"/>
        <v>350</v>
      </c>
      <c r="AY10" s="21">
        <f t="shared" si="16"/>
        <v>1.488168129610465</v>
      </c>
      <c r="AZ10" s="20">
        <f t="shared" si="17"/>
        <v>59.526725184418595</v>
      </c>
      <c r="BA10" s="21">
        <f t="shared" si="18"/>
        <v>37.908703155032867</v>
      </c>
      <c r="BB10" s="20">
        <f>IF($C10="","",BA10*'Assumptions &amp; Ref'!$C$76)</f>
        <v>70.131100836810802</v>
      </c>
      <c r="BC10" s="20">
        <f>IF($C10="","",BB10*'Assumptions &amp; Ref'!$C$77)</f>
        <v>23844.574284515671</v>
      </c>
      <c r="BD10" s="21">
        <f>IF($C10="","",SQRT(AL10/'Assumptions &amp; Ref'!$C$9))</f>
        <v>2.5562893781055744</v>
      </c>
      <c r="BE10" s="21">
        <f>IF($C10="","",SQRT(AL10*'Assumptions &amp; Ref'!$C$9))</f>
        <v>3.3231761915372471</v>
      </c>
      <c r="BF10" s="24">
        <f>IF($C10="","",BD10*1000/'Assumptions &amp; Ref'!$C$27)</f>
        <v>102.25157512422298</v>
      </c>
      <c r="BG10" s="24">
        <f t="shared" ref="BG9:BG28" si="32">IF($C10="","",BF10*O10)</f>
        <v>409.00630049689192</v>
      </c>
      <c r="BH10" s="24">
        <f>IF($C10="","",BG10*BE10*(1+'Assumptions &amp; Ref'!$C$29))</f>
        <v>1563.08</v>
      </c>
      <c r="BI10" s="25">
        <f>IF($C10="","",PI()*('Assumptions &amp; Ref'!$C$25-'Assumptions &amp; Ref'!$C$26)/1000*'Assumptions &amp; Ref'!$C$26/1000*$C$5)</f>
        <v>0.13849145726672957</v>
      </c>
      <c r="BJ10" s="20">
        <f t="shared" si="19"/>
        <v>216.47322702447966</v>
      </c>
      <c r="BK10" s="24">
        <f t="shared" si="20"/>
        <v>1570.004499938857</v>
      </c>
      <c r="BL10" s="21">
        <f>IF($C10="","",O10*'Assumptions &amp; Ref'!$C$28/1000)</f>
        <v>8.6599999999999996E-2</v>
      </c>
      <c r="BM10" s="21">
        <f>IF($C10="","",BD10*BL10*(1-'Assumptions &amp; Ref'!$C$31))</f>
        <v>0.18816846112235133</v>
      </c>
      <c r="BN10" s="20">
        <f>IF($C10="","",BK10*BM10*'Assumptions &amp; Ref'!$C$30/1000*INDEX($C$5:$I$5,MATCH(R10,$C$4:$I$4,0)))</f>
        <v>95.717807149606315</v>
      </c>
      <c r="BO10" s="20">
        <f>IF($C10="","",'Assumptions &amp; Ref'!$C$34+O10*'Assumptions &amp; Ref'!$C$35+'Assumptions &amp; Ref'!$C$36+IF(OR(S10="Pre+Fine",S10="Pre+Fine+HEPA"),'Assumptions &amp; Ref'!$C$37,0)+IF(S10="Pre+Fine+HEPA",'Assumptions &amp; Ref'!$C$38,0))</f>
        <v>378</v>
      </c>
      <c r="BP10" s="20">
        <f t="shared" si="21"/>
        <v>628</v>
      </c>
      <c r="BQ10" s="21">
        <f>IF($C10="","",AK10*BP10/(1000*IF(M10="Plug fan",'Assumptions &amp; Ref'!$C$39,'Assumptions &amp; Ref'!$C$40)*'Assumptions &amp; Ref'!$C$41))</f>
        <v>21.792728758169932</v>
      </c>
      <c r="BR10" s="21">
        <f>IF($C10="","",IFERROR(INDEX('Assumptions &amp; Ref'!$B$44:$B$61,MATCH(BQ10,'Assumptions &amp; Ref'!$B$44:$B$61,1)+IF(INDEX('Assumptions &amp; Ref'!$B$44:$B$61,MATCH(BQ10,'Assumptions &amp; Ref'!$B$44:$B$61,1))&gt;=BQ10,0,1)),INDEX('Assumptions &amp; Ref'!$B$44:$B$61,1)))</f>
        <v>22</v>
      </c>
      <c r="BS10" s="20">
        <f>IF($C10="","",BR10*IF(M10="Plug fan",'Assumptions &amp; Ref'!$C$64,'Assumptions &amp; Ref'!$C$65))</f>
        <v>319000</v>
      </c>
      <c r="BT10" s="20">
        <f>IF($C10="","",IF(N10="Y",BR10*'Assumptions &amp; Ref'!$C$66,0))</f>
        <v>165000</v>
      </c>
      <c r="BU10" s="21">
        <f t="shared" si="22"/>
        <v>9.9941176470588253</v>
      </c>
      <c r="BV10" s="20">
        <f>IF($C10="","",BU10*('Assumptions &amp; Ref'!$C$67+IF(OR(S10="Pre+Fine",S10="Pre+Fine+HEPA"),'Assumptions &amp; Ref'!$C$68,0)+IF(S10="Pre+Fine+HEPA",'Assumptions &amp; Ref'!$C$69,0)))</f>
        <v>45972.941176470595</v>
      </c>
      <c r="BW10" s="21">
        <f t="shared" si="23"/>
        <v>19.988235294117651</v>
      </c>
      <c r="BX10" s="20">
        <f>IF($C10="","",BW10*'Assumptions &amp; Ref'!$C$70)</f>
        <v>103938.82352941178</v>
      </c>
      <c r="BY10" s="20">
        <f>IF($C10="","",AN10*('Assumptions &amp; Ref'!$C$17+O10*'Assumptions &amp; Ref'!$C$18+0.2)*'Assumptions &amp; Ref'!$C$81/1000*$G$5)</f>
        <v>24.204154803462984</v>
      </c>
      <c r="BZ10" s="20">
        <f t="shared" si="24"/>
        <v>6293.0802489003763</v>
      </c>
      <c r="CA10" s="20">
        <f t="shared" si="25"/>
        <v>458471.71914998587</v>
      </c>
      <c r="CB10" s="20">
        <f t="shared" si="26"/>
        <v>633911.76470588241</v>
      </c>
      <c r="CC10" s="20">
        <f>IF($C10="","",(AV10+BB10)*'Assumptions &amp; Ref'!$C$78+(BJ10+BN10)*'Assumptions &amp; Ref'!$C$80)</f>
        <v>112749.25559314841</v>
      </c>
      <c r="CD10" s="20">
        <f>IF($C10="","",'Assumptions &amp; Ref'!$C$84*(CA10+CB10+CC10))</f>
        <v>120513.27394490168</v>
      </c>
      <c r="CE10" s="20">
        <f>IF($C10="","",'Assumptions &amp; Ref'!$C$85*(CA10+CB10+CC10+CD10))</f>
        <v>159077.5216072702</v>
      </c>
      <c r="CF10" s="20">
        <f t="shared" si="27"/>
        <v>1484723.5350011887</v>
      </c>
      <c r="CH10" s="17">
        <f t="shared" si="28"/>
        <v>458471.71914998587</v>
      </c>
      <c r="CI10" s="17">
        <f t="shared" si="29"/>
        <v>746661.02029903082</v>
      </c>
      <c r="CJ10" s="17">
        <f t="shared" si="30"/>
        <v>279590.79555217188</v>
      </c>
    </row>
    <row r="11" spans="2:88" ht="15" customHeight="1" x14ac:dyDescent="0.25">
      <c r="B11" s="12" t="s">
        <v>110</v>
      </c>
      <c r="C11" s="13">
        <v>40000</v>
      </c>
      <c r="D11" s="13"/>
      <c r="E11" s="13">
        <v>26</v>
      </c>
      <c r="F11" s="13">
        <v>0</v>
      </c>
      <c r="G11" s="13">
        <v>600</v>
      </c>
      <c r="H11" s="13" t="s">
        <v>101</v>
      </c>
      <c r="I11" s="14">
        <v>1</v>
      </c>
      <c r="J11" s="13" t="s">
        <v>10</v>
      </c>
      <c r="K11" s="13" t="s">
        <v>11</v>
      </c>
      <c r="L11" s="13">
        <v>50</v>
      </c>
      <c r="M11" s="13" t="s">
        <v>102</v>
      </c>
      <c r="N11" s="13" t="s">
        <v>103</v>
      </c>
      <c r="O11" s="13">
        <v>8</v>
      </c>
      <c r="P11" s="13">
        <v>14</v>
      </c>
      <c r="Q11" s="13" t="s">
        <v>6</v>
      </c>
      <c r="R11" s="13" t="s">
        <v>7</v>
      </c>
      <c r="S11" s="13" t="s">
        <v>111</v>
      </c>
      <c r="T11" s="13" t="s">
        <v>105</v>
      </c>
      <c r="U11" s="13" t="s">
        <v>112</v>
      </c>
      <c r="V11" s="13" t="s">
        <v>107</v>
      </c>
      <c r="W11" s="13" t="s">
        <v>107</v>
      </c>
      <c r="X11" s="13" t="s">
        <v>107</v>
      </c>
      <c r="Y11" s="15">
        <f t="shared" si="0"/>
        <v>2798016.6561908275</v>
      </c>
      <c r="Z11" s="16">
        <f t="shared" si="31"/>
        <v>69.950416404770692</v>
      </c>
      <c r="AA11" s="17">
        <f t="shared" si="1"/>
        <v>107616.02523810875</v>
      </c>
      <c r="AB11" s="17">
        <f t="shared" si="2"/>
        <v>1787.5706453671191</v>
      </c>
      <c r="AC11" s="17">
        <f t="shared" si="3"/>
        <v>384.8412924879637</v>
      </c>
      <c r="AD11" s="17">
        <f t="shared" si="4"/>
        <v>198.52582223622045</v>
      </c>
      <c r="AE11" s="17">
        <f t="shared" si="5"/>
        <v>995.34793516846651</v>
      </c>
      <c r="AF11" s="17">
        <f t="shared" si="6"/>
        <v>112.49411563838908</v>
      </c>
      <c r="AG11" s="18">
        <f t="shared" si="7"/>
        <v>45</v>
      </c>
      <c r="AH11" s="19" t="str">
        <f t="shared" si="8"/>
        <v>3.4 x 2.61 x 3.2</v>
      </c>
      <c r="AJ11" s="20">
        <f>IF($C11="","",$C11*'Assumptions &amp; Ref'!$C$10)</f>
        <v>67960</v>
      </c>
      <c r="AK11" s="21">
        <f t="shared" si="9"/>
        <v>18.877777777777776</v>
      </c>
      <c r="AL11" s="21">
        <f>IF($C11="","",AK11/'Assumptions &amp; Ref'!$C$6)</f>
        <v>7.5511111111111102</v>
      </c>
      <c r="AM11" s="21">
        <f>IF($C11="","",AL11/'Assumptions &amp; Ref'!$C$8)</f>
        <v>8.8836601307189529</v>
      </c>
      <c r="AN11" s="21">
        <f>IF($C11="","",SQRT(AM11*'Assumptions &amp; Ref'!$C$9))</f>
        <v>3.3983463875736151</v>
      </c>
      <c r="AO11" s="21">
        <f>IF($C11="","",SQRT(AM11/'Assumptions &amp; Ref'!$C$9))</f>
        <v>2.6141126058258575</v>
      </c>
      <c r="AP11" s="21">
        <f>IF($C11="","",'Assumptions &amp; Ref'!$C$14+IF(OR(S11="Pre+Fine",S11="Pre+Fine+HEPA"),'Assumptions &amp; Ref'!$C$15,0)+IF(S11="Pre+Fine+HEPA",'Assumptions &amp; Ref'!$C$16,0))</f>
        <v>1.25</v>
      </c>
      <c r="AQ11" s="21">
        <f>IF($C11="","",IF(V11="Y",'Assumptions &amp; Ref'!$C$13,0)+AP11+'Assumptions &amp; Ref'!$C$17+O11*'Assumptions &amp; Ref'!$C$18+IF(W11="Y",'Assumptions &amp; Ref'!$C$19,0)+'Assumptions &amp; Ref'!$C$20+IF(X11="Y",'Assumptions &amp; Ref'!$C$21,0))</f>
        <v>3.2</v>
      </c>
      <c r="AR11" s="21">
        <f t="shared" si="10"/>
        <v>56.247057819194538</v>
      </c>
      <c r="AS11" s="22">
        <f t="shared" si="11"/>
        <v>2</v>
      </c>
      <c r="AT11" s="20">
        <f t="shared" si="12"/>
        <v>7900</v>
      </c>
      <c r="AU11" s="23">
        <f t="shared" si="13"/>
        <v>260</v>
      </c>
      <c r="AV11" s="20">
        <f>IF($C11="","",AR11*AS11*I11/1000*AT11*(1+'Assumptions &amp; Ref'!$C$75))</f>
        <v>995.34793516846651</v>
      </c>
      <c r="AW11" s="20">
        <f t="shared" si="14"/>
        <v>40</v>
      </c>
      <c r="AX11" s="23">
        <f t="shared" si="15"/>
        <v>350</v>
      </c>
      <c r="AY11" s="21">
        <f t="shared" si="16"/>
        <v>2.8123528909597271</v>
      </c>
      <c r="AZ11" s="20">
        <f t="shared" si="17"/>
        <v>112.49411563838908</v>
      </c>
      <c r="BA11" s="21">
        <f t="shared" si="18"/>
        <v>36.849835973597891</v>
      </c>
      <c r="BB11" s="20">
        <f>IF($C11="","",BA11*'Assumptions &amp; Ref'!$C$76)</f>
        <v>68.172196551156105</v>
      </c>
      <c r="BC11" s="20">
        <f>IF($C11="","",BB11*'Assumptions &amp; Ref'!$C$77)</f>
        <v>23178.546827393075</v>
      </c>
      <c r="BD11" s="21">
        <f>IF($C11="","",SQRT(AL11/'Assumptions &amp; Ref'!$C$9))</f>
        <v>2.410092738578125</v>
      </c>
      <c r="BE11" s="21">
        <f>IF($C11="","",SQRT(AL11*'Assumptions &amp; Ref'!$C$9))</f>
        <v>3.1331205601515628</v>
      </c>
      <c r="BF11" s="24">
        <f>IF($C11="","",BD11*1000/'Assumptions &amp; Ref'!$C$27)</f>
        <v>96.403709543125004</v>
      </c>
      <c r="BG11" s="24">
        <f t="shared" si="32"/>
        <v>771.22967634500003</v>
      </c>
      <c r="BH11" s="24">
        <f>IF($C11="","",BG11*BE11*(1+'Assumptions &amp; Ref'!$C$29))</f>
        <v>2778.8088888888879</v>
      </c>
      <c r="BI11" s="25">
        <f>IF($C11="","",PI()*('Assumptions &amp; Ref'!$C$25-'Assumptions &amp; Ref'!$C$26)/1000*'Assumptions &amp; Ref'!$C$26/1000*$C$5)</f>
        <v>0.13849145726672957</v>
      </c>
      <c r="BJ11" s="20">
        <f t="shared" si="19"/>
        <v>384.8412924879637</v>
      </c>
      <c r="BK11" s="24">
        <f t="shared" si="20"/>
        <v>1726.9168441780271</v>
      </c>
      <c r="BL11" s="21">
        <f>IF($C11="","",O11*'Assumptions &amp; Ref'!$C$28/1000)</f>
        <v>0.17319999999999999</v>
      </c>
      <c r="BM11" s="21">
        <f>IF($C11="","",BD11*BL11*(1-'Assumptions &amp; Ref'!$C$31))</f>
        <v>0.35481385297347157</v>
      </c>
      <c r="BN11" s="20">
        <f>IF($C11="","",BK11*BM11*'Assumptions &amp; Ref'!$C$30/1000*INDEX($C$5:$I$5,MATCH(R11,$C$4:$I$4,0)))</f>
        <v>198.52582223622045</v>
      </c>
      <c r="BO11" s="20">
        <f>IF($C11="","",'Assumptions &amp; Ref'!$C$34+O11*'Assumptions &amp; Ref'!$C$35+'Assumptions &amp; Ref'!$C$36+IF(OR(S11="Pre+Fine",S11="Pre+Fine+HEPA"),'Assumptions &amp; Ref'!$C$37,0)+IF(S11="Pre+Fine+HEPA",'Assumptions &amp; Ref'!$C$38,0))</f>
        <v>716</v>
      </c>
      <c r="BP11" s="20">
        <f t="shared" si="21"/>
        <v>1316</v>
      </c>
      <c r="BQ11" s="21">
        <f>IF($C11="","",AK11*BP11/(1000*IF(M11="Plug fan",'Assumptions &amp; Ref'!$C$39,'Assumptions &amp; Ref'!$C$40)*'Assumptions &amp; Ref'!$C$41))</f>
        <v>40.593391430646328</v>
      </c>
      <c r="BR11" s="21">
        <f>IF($C11="","",IFERROR(INDEX('Assumptions &amp; Ref'!$B$44:$B$61,MATCH(BQ11,'Assumptions &amp; Ref'!$B$44:$B$61,1)+IF(INDEX('Assumptions &amp; Ref'!$B$44:$B$61,MATCH(BQ11,'Assumptions &amp; Ref'!$B$44:$B$61,1))&gt;=BQ11,0,1)),INDEX('Assumptions &amp; Ref'!$B$44:$B$61,1)))</f>
        <v>45</v>
      </c>
      <c r="BS11" s="20">
        <f>IF($C11="","",BR11*IF(M11="Plug fan",'Assumptions &amp; Ref'!$C$64,'Assumptions &amp; Ref'!$C$65))</f>
        <v>652500</v>
      </c>
      <c r="BT11" s="20">
        <f>IF($C11="","",IF(N11="Y",BR11*'Assumptions &amp; Ref'!$C$66,0))</f>
        <v>337500</v>
      </c>
      <c r="BU11" s="21">
        <f t="shared" si="22"/>
        <v>8.8836601307189529</v>
      </c>
      <c r="BV11" s="20">
        <f>IF($C11="","",BU11*('Assumptions &amp; Ref'!$C$67+IF(OR(S11="Pre+Fine",S11="Pre+Fine+HEPA"),'Assumptions &amp; Ref'!$C$68,0)+IF(S11="Pre+Fine+HEPA",'Assumptions &amp; Ref'!$C$69,0)))</f>
        <v>165236.07843137253</v>
      </c>
      <c r="BW11" s="21">
        <f t="shared" si="23"/>
        <v>8.8836601307189529</v>
      </c>
      <c r="BX11" s="20">
        <f>IF($C11="","",BW11*'Assumptions &amp; Ref'!$C$70)</f>
        <v>46195.032679738557</v>
      </c>
      <c r="BY11" s="20">
        <f>IF($C11="","",AN11*('Assumptions &amp; Ref'!$C$17+O11*'Assumptions &amp; Ref'!$C$18+0.2)*'Assumptions &amp; Ref'!$C$81/1000*$G$5)</f>
        <v>28.189283284923135</v>
      </c>
      <c r="BZ11" s="20">
        <f t="shared" si="24"/>
        <v>7329.2136540800147</v>
      </c>
      <c r="CA11" s="20">
        <f t="shared" si="25"/>
        <v>919065.68736327719</v>
      </c>
      <c r="CB11" s="20">
        <f t="shared" si="26"/>
        <v>1201431.111111111</v>
      </c>
      <c r="CC11" s="20">
        <f>IF($C11="","",(AV11+BB11)*'Assumptions &amp; Ref'!$C$78+(BJ11+BN11)*'Assumptions &amp; Ref'!$C$80)</f>
        <v>150620.6172649198</v>
      </c>
      <c r="CD11" s="20">
        <f>IF($C11="","",'Assumptions &amp; Ref'!$C$84*(CA11+CB11+CC11))</f>
        <v>227111.74157393083</v>
      </c>
      <c r="CE11" s="20">
        <f>IF($C11="","",'Assumptions &amp; Ref'!$C$85*(CA11+CB11+CC11+CD11))</f>
        <v>299787.49887758866</v>
      </c>
      <c r="CF11" s="20">
        <f t="shared" si="27"/>
        <v>2798016.6561908275</v>
      </c>
      <c r="CH11" s="17">
        <f t="shared" si="28"/>
        <v>919065.68736327719</v>
      </c>
      <c r="CI11" s="17">
        <f t="shared" si="29"/>
        <v>1352051.7283760309</v>
      </c>
      <c r="CJ11" s="17">
        <f t="shared" si="30"/>
        <v>526899.24045151949</v>
      </c>
    </row>
    <row r="12" spans="2:88" ht="15" customHeight="1" x14ac:dyDescent="0.25">
      <c r="B12" s="12" t="s">
        <v>113</v>
      </c>
      <c r="C12" s="13">
        <v>4000</v>
      </c>
      <c r="D12" s="13"/>
      <c r="E12" s="13">
        <v>20</v>
      </c>
      <c r="F12" s="13">
        <v>0</v>
      </c>
      <c r="G12" s="13">
        <v>200</v>
      </c>
      <c r="H12" s="13" t="s">
        <v>114</v>
      </c>
      <c r="I12" s="14">
        <v>0.63</v>
      </c>
      <c r="J12" s="13" t="s">
        <v>8</v>
      </c>
      <c r="K12" s="13" t="s">
        <v>12</v>
      </c>
      <c r="L12" s="13">
        <v>25</v>
      </c>
      <c r="M12" s="13" t="s">
        <v>115</v>
      </c>
      <c r="N12" s="13" t="s">
        <v>107</v>
      </c>
      <c r="O12" s="13">
        <v>4</v>
      </c>
      <c r="P12" s="13">
        <v>10</v>
      </c>
      <c r="Q12" s="13" t="s">
        <v>6</v>
      </c>
      <c r="R12" s="13" t="s">
        <v>7</v>
      </c>
      <c r="S12" s="13" t="s">
        <v>116</v>
      </c>
      <c r="T12" s="13" t="s">
        <v>105</v>
      </c>
      <c r="U12" s="13" t="s">
        <v>117</v>
      </c>
      <c r="V12" s="13" t="s">
        <v>107</v>
      </c>
      <c r="W12" s="13" t="s">
        <v>107</v>
      </c>
      <c r="X12" s="13" t="s">
        <v>107</v>
      </c>
      <c r="Y12" s="15">
        <f t="shared" si="0"/>
        <v>106271.69755488948</v>
      </c>
      <c r="Z12" s="16">
        <f t="shared" si="31"/>
        <v>26.567924388722371</v>
      </c>
      <c r="AA12" s="17">
        <f t="shared" si="1"/>
        <v>5313.5848777444744</v>
      </c>
      <c r="AB12" s="17">
        <f t="shared" si="2"/>
        <v>131.12298267809186</v>
      </c>
      <c r="AC12" s="17">
        <f t="shared" si="3"/>
        <v>19.242064624398189</v>
      </c>
      <c r="AD12" s="17">
        <f t="shared" si="4"/>
        <v>7.0902079370078743</v>
      </c>
      <c r="AE12" s="17">
        <f t="shared" si="5"/>
        <v>53.019415742915065</v>
      </c>
      <c r="AF12" s="17">
        <f t="shared" si="6"/>
        <v>15.315341722753748</v>
      </c>
      <c r="AG12" s="18">
        <f t="shared" si="7"/>
        <v>2.2000000000000002</v>
      </c>
      <c r="AH12" s="19" t="str">
        <f t="shared" si="8"/>
        <v>1.07 x 0.83 x 2.05</v>
      </c>
      <c r="AJ12" s="20">
        <f>IF($C12="","",$C12*'Assumptions &amp; Ref'!$C$10)</f>
        <v>6796</v>
      </c>
      <c r="AK12" s="21">
        <f t="shared" si="9"/>
        <v>1.8877777777777778</v>
      </c>
      <c r="AL12" s="21">
        <f>IF($C12="","",AK12/'Assumptions &amp; Ref'!$C$6)</f>
        <v>0.75511111111111107</v>
      </c>
      <c r="AM12" s="21">
        <f>IF($C12="","",AL12/'Assumptions &amp; Ref'!$C$8)</f>
        <v>0.88836601307189544</v>
      </c>
      <c r="AN12" s="21">
        <f>IF($C12="","",SQRT(AM12*'Assumptions &amp; Ref'!$C$9))</f>
        <v>1.0746514862937957</v>
      </c>
      <c r="AO12" s="21">
        <f>IF($C12="","",SQRT(AM12/'Assumptions &amp; Ref'!$C$9))</f>
        <v>0.82665498945676585</v>
      </c>
      <c r="AP12" s="21">
        <f>IF($C12="","",'Assumptions &amp; Ref'!$C$14+IF(OR(S12="Pre+Fine",S12="Pre+Fine+HEPA"),'Assumptions &amp; Ref'!$C$15,0)+IF(S12="Pre+Fine+HEPA",'Assumptions &amp; Ref'!$C$16,0))</f>
        <v>0.3</v>
      </c>
      <c r="AQ12" s="21">
        <f>IF($C12="","",IF(V12="Y",'Assumptions &amp; Ref'!$C$13,0)+AP12+'Assumptions &amp; Ref'!$C$17+O12*'Assumptions &amp; Ref'!$C$18+IF(W12="Y",'Assumptions &amp; Ref'!$C$19,0)+'Assumptions &amp; Ref'!$C$20+IF(X12="Y",'Assumptions &amp; Ref'!$C$21,0))</f>
        <v>2.0499999999999998</v>
      </c>
      <c r="AR12" s="21">
        <f t="shared" si="10"/>
        <v>9.572088576721093</v>
      </c>
      <c r="AS12" s="22">
        <f t="shared" si="11"/>
        <v>1</v>
      </c>
      <c r="AT12" s="20">
        <f t="shared" si="12"/>
        <v>7850</v>
      </c>
      <c r="AU12" s="23">
        <f t="shared" si="13"/>
        <v>80</v>
      </c>
      <c r="AV12" s="20">
        <f>IF($C12="","",AR12*AS12*I12/1000*AT12*(1+'Assumptions &amp; Ref'!$C$75))</f>
        <v>53.019415742915065</v>
      </c>
      <c r="AW12" s="20">
        <f t="shared" si="14"/>
        <v>64</v>
      </c>
      <c r="AX12" s="23">
        <f t="shared" si="15"/>
        <v>85</v>
      </c>
      <c r="AY12" s="21">
        <f t="shared" si="16"/>
        <v>0.23930221441802732</v>
      </c>
      <c r="AZ12" s="20">
        <f t="shared" si="17"/>
        <v>15.315341722753748</v>
      </c>
      <c r="BA12" s="21">
        <f t="shared" si="18"/>
        <v>15.805225903002246</v>
      </c>
      <c r="BB12" s="20">
        <f>IF($C12="","",BA12*'Assumptions &amp; Ref'!$C$76)</f>
        <v>29.239667920554155</v>
      </c>
      <c r="BC12" s="20">
        <f>IF($C12="","",BB12*'Assumptions &amp; Ref'!$C$77)</f>
        <v>9941.4870929884128</v>
      </c>
      <c r="BD12" s="21">
        <f>IF($C12="","",SQRT(AL12/'Assumptions &amp; Ref'!$C$9))</f>
        <v>0.76213824261396357</v>
      </c>
      <c r="BE12" s="21">
        <f>IF($C12="","",SQRT(AL12*'Assumptions &amp; Ref'!$C$9))</f>
        <v>0.99077971539815268</v>
      </c>
      <c r="BF12" s="24">
        <f>IF($C12="","",BD12*1000/'Assumptions &amp; Ref'!$C$27)</f>
        <v>30.485529704558544</v>
      </c>
      <c r="BG12" s="24">
        <f t="shared" si="32"/>
        <v>121.94211881823418</v>
      </c>
      <c r="BH12" s="24">
        <f>IF($C12="","",BG12*BE12*(1+'Assumptions &amp; Ref'!$C$29))</f>
        <v>138.94044444444444</v>
      </c>
      <c r="BI12" s="25">
        <f>IF($C12="","",PI()*('Assumptions &amp; Ref'!$C$25-'Assumptions &amp; Ref'!$C$26)/1000*'Assumptions &amp; Ref'!$C$26/1000*$C$5)</f>
        <v>0.13849145726672957</v>
      </c>
      <c r="BJ12" s="20">
        <f t="shared" si="19"/>
        <v>19.242064624398189</v>
      </c>
      <c r="BK12" s="24">
        <f t="shared" si="20"/>
        <v>390.07075409376091</v>
      </c>
      <c r="BL12" s="21">
        <f>IF($C12="","",O12*'Assumptions &amp; Ref'!$C$28/1000)</f>
        <v>8.6599999999999996E-2</v>
      </c>
      <c r="BM12" s="21">
        <f>IF($C12="","",BD12*BL12*(1-'Assumptions &amp; Ref'!$C$31))</f>
        <v>5.6100996038813855E-2</v>
      </c>
      <c r="BN12" s="20">
        <f>IF($C12="","",BK12*BM12*'Assumptions &amp; Ref'!$C$30/1000*INDEX($C$5:$I$5,MATCH(R12,$C$4:$I$4,0)))</f>
        <v>7.0902079370078743</v>
      </c>
      <c r="BO12" s="20">
        <f>IF($C12="","",'Assumptions &amp; Ref'!$C$34+O12*'Assumptions &amp; Ref'!$C$35+'Assumptions &amp; Ref'!$C$36+IF(OR(S12="Pre+Fine",S12="Pre+Fine+HEPA"),'Assumptions &amp; Ref'!$C$37,0)+IF(S12="Pre+Fine+HEPA",'Assumptions &amp; Ref'!$C$38,0))</f>
        <v>258</v>
      </c>
      <c r="BP12" s="20">
        <f t="shared" si="21"/>
        <v>458</v>
      </c>
      <c r="BQ12" s="21">
        <f>IF($C12="","",AK12*BP12/(1000*IF(M12="Plug fan",'Assumptions &amp; Ref'!$C$39,'Assumptions &amp; Ref'!$C$40)*'Assumptions &amp; Ref'!$C$41))</f>
        <v>1.5494663480684985</v>
      </c>
      <c r="BR12" s="21">
        <f>IF($C12="","",IFERROR(INDEX('Assumptions &amp; Ref'!$B$44:$B$61,MATCH(BQ12,'Assumptions &amp; Ref'!$B$44:$B$61,1)+IF(INDEX('Assumptions &amp; Ref'!$B$44:$B$61,MATCH(BQ12,'Assumptions &amp; Ref'!$B$44:$B$61,1))&gt;=BQ12,0,1)),INDEX('Assumptions &amp; Ref'!$B$44:$B$61,1)))</f>
        <v>2.2000000000000002</v>
      </c>
      <c r="BS12" s="20">
        <f>IF($C12="","",BR12*IF(M12="Plug fan",'Assumptions &amp; Ref'!$C$64,'Assumptions &amp; Ref'!$C$65))</f>
        <v>24200.000000000004</v>
      </c>
      <c r="BT12" s="20">
        <f>IF($C12="","",IF(N12="Y",BR12*'Assumptions &amp; Ref'!$C$66,0))</f>
        <v>0</v>
      </c>
      <c r="BU12" s="21">
        <f t="shared" si="22"/>
        <v>0.88836601307189544</v>
      </c>
      <c r="BV12" s="20">
        <f>IF($C12="","",BU12*('Assumptions &amp; Ref'!$C$67+IF(OR(S12="Pre+Fine",S12="Pre+Fine+HEPA"),'Assumptions &amp; Ref'!$C$68,0)+IF(S12="Pre+Fine+HEPA",'Assumptions &amp; Ref'!$C$69,0)))</f>
        <v>1243.7124183006536</v>
      </c>
      <c r="BW12" s="21">
        <f t="shared" si="23"/>
        <v>0.88836601307189544</v>
      </c>
      <c r="BX12" s="20">
        <f>IF($C12="","",BW12*'Assumptions &amp; Ref'!$C$70)</f>
        <v>4619.5032679738561</v>
      </c>
      <c r="BY12" s="20">
        <f>IF($C12="","",AN12*('Assumptions &amp; Ref'!$C$17+O12*'Assumptions &amp; Ref'!$C$18+0.2)*'Assumptions &amp; Ref'!$C$81/1000*$G$5)</f>
        <v>7.2162847304628386</v>
      </c>
      <c r="BZ12" s="20">
        <f t="shared" si="24"/>
        <v>1876.2340299203381</v>
      </c>
      <c r="CA12" s="20">
        <f t="shared" si="25"/>
        <v>46143.422966555532</v>
      </c>
      <c r="CB12" s="20">
        <f t="shared" si="26"/>
        <v>30063.215686274511</v>
      </c>
      <c r="CC12" s="20">
        <f>IF($C12="","",(AV12+BB12)*'Assumptions &amp; Ref'!$C$78+(BJ12+BN12)*'Assumptions &amp; Ref'!$C$80)</f>
        <v>10052.856115749091</v>
      </c>
      <c r="CD12" s="20">
        <f>IF($C12="","",'Assumptions &amp; Ref'!$C$84*(CA12+CB12+CC12))</f>
        <v>8625.9494768579134</v>
      </c>
      <c r="CE12" s="20">
        <f>IF($C12="","",'Assumptions &amp; Ref'!$C$85*(CA12+CB12+CC12+CD12))</f>
        <v>11386.253309452444</v>
      </c>
      <c r="CF12" s="20">
        <f t="shared" si="27"/>
        <v>106271.69755488948</v>
      </c>
      <c r="CH12" s="17">
        <f t="shared" si="28"/>
        <v>46143.422966555532</v>
      </c>
      <c r="CI12" s="17">
        <f t="shared" si="29"/>
        <v>40116.071802023602</v>
      </c>
      <c r="CJ12" s="17">
        <f t="shared" si="30"/>
        <v>20012.202786310358</v>
      </c>
    </row>
    <row r="13" spans="2:88" ht="15" customHeight="1" x14ac:dyDescent="0.25">
      <c r="B13" s="12" t="s">
        <v>118</v>
      </c>
      <c r="C13" s="13">
        <v>5000</v>
      </c>
      <c r="D13" s="13"/>
      <c r="E13" s="13">
        <v>25</v>
      </c>
      <c r="F13" s="13">
        <v>0</v>
      </c>
      <c r="G13" s="13">
        <v>400</v>
      </c>
      <c r="H13" s="13" t="s">
        <v>101</v>
      </c>
      <c r="I13" s="14">
        <v>0.8</v>
      </c>
      <c r="J13" s="13" t="s">
        <v>9</v>
      </c>
      <c r="K13" s="13" t="s">
        <v>11</v>
      </c>
      <c r="L13" s="13">
        <v>50</v>
      </c>
      <c r="M13" s="13" t="s">
        <v>102</v>
      </c>
      <c r="N13" s="13" t="s">
        <v>103</v>
      </c>
      <c r="O13" s="13">
        <v>8</v>
      </c>
      <c r="P13" s="13">
        <v>14</v>
      </c>
      <c r="Q13" s="13" t="s">
        <v>6</v>
      </c>
      <c r="R13" s="13" t="s">
        <v>7</v>
      </c>
      <c r="S13" s="13" t="s">
        <v>104</v>
      </c>
      <c r="T13" s="13" t="s">
        <v>119</v>
      </c>
      <c r="U13" s="13" t="s">
        <v>112</v>
      </c>
      <c r="V13" s="13" t="s">
        <v>107</v>
      </c>
      <c r="W13" s="13" t="s">
        <v>107</v>
      </c>
      <c r="X13" s="13" t="s">
        <v>107</v>
      </c>
      <c r="Y13" s="15">
        <f t="shared" si="0"/>
        <v>291505.62148334028</v>
      </c>
      <c r="Z13" s="16">
        <f t="shared" si="31"/>
        <v>58.301124296668057</v>
      </c>
      <c r="AA13" s="17">
        <f t="shared" si="1"/>
        <v>11660.224859333612</v>
      </c>
      <c r="AB13" s="17">
        <f t="shared" si="2"/>
        <v>338.7156048826223</v>
      </c>
      <c r="AC13" s="17">
        <f t="shared" si="3"/>
        <v>48.105161560995469</v>
      </c>
      <c r="AD13" s="17">
        <f t="shared" si="4"/>
        <v>24.815727779527553</v>
      </c>
      <c r="AE13" s="17">
        <f t="shared" si="5"/>
        <v>192.7182690078277</v>
      </c>
      <c r="AF13" s="17">
        <f t="shared" si="6"/>
        <v>27.399662904889055</v>
      </c>
      <c r="AG13" s="18">
        <f t="shared" si="7"/>
        <v>3.7</v>
      </c>
      <c r="AH13" s="19" t="str">
        <f t="shared" si="8"/>
        <v>1.2 x 0.92 x 2.7</v>
      </c>
      <c r="AJ13" s="20">
        <f>IF($C13="","",$C13*'Assumptions &amp; Ref'!$C$10)</f>
        <v>8495</v>
      </c>
      <c r="AK13" s="21">
        <f t="shared" si="9"/>
        <v>2.3597222222222221</v>
      </c>
      <c r="AL13" s="21">
        <f>IF($C13="","",AK13/'Assumptions &amp; Ref'!$C$6)</f>
        <v>0.94388888888888878</v>
      </c>
      <c r="AM13" s="21">
        <f>IF($C13="","",AL13/'Assumptions &amp; Ref'!$C$8)</f>
        <v>1.1104575163398691</v>
      </c>
      <c r="AN13" s="21">
        <f>IF($C13="","",SQRT(AM13*'Assumptions &amp; Ref'!$C$9))</f>
        <v>1.2014968877370553</v>
      </c>
      <c r="AO13" s="21">
        <f>IF($C13="","",SQRT(AM13/'Assumptions &amp; Ref'!$C$9))</f>
        <v>0.92422837518235013</v>
      </c>
      <c r="AP13" s="21">
        <f>IF($C13="","",'Assumptions &amp; Ref'!$C$14+IF(OR(S13="Pre+Fine",S13="Pre+Fine+HEPA"),'Assumptions &amp; Ref'!$C$15,0)+IF(S13="Pre+Fine+HEPA",'Assumptions &amp; Ref'!$C$16,0))</f>
        <v>0.75</v>
      </c>
      <c r="AQ13" s="21">
        <f>IF($C13="","",IF(V13="Y",'Assumptions &amp; Ref'!$C$13,0)+AP13+'Assumptions &amp; Ref'!$C$17+O13*'Assumptions &amp; Ref'!$C$18+IF(W13="Y",'Assumptions &amp; Ref'!$C$19,0)+'Assumptions &amp; Ref'!$C$20+IF(X13="Y",'Assumptions &amp; Ref'!$C$21,0))</f>
        <v>2.7</v>
      </c>
      <c r="AR13" s="21">
        <f t="shared" si="10"/>
        <v>13.699831452444528</v>
      </c>
      <c r="AS13" s="22">
        <f t="shared" si="11"/>
        <v>2</v>
      </c>
      <c r="AT13" s="20">
        <f t="shared" si="12"/>
        <v>7850</v>
      </c>
      <c r="AU13" s="23">
        <f t="shared" si="13"/>
        <v>95</v>
      </c>
      <c r="AV13" s="20">
        <f>IF($C13="","",AR13*AS13*I13/1000*AT13*(1+'Assumptions &amp; Ref'!$C$75))</f>
        <v>192.7182690078277</v>
      </c>
      <c r="AW13" s="20">
        <f t="shared" si="14"/>
        <v>40</v>
      </c>
      <c r="AX13" s="23">
        <f t="shared" si="15"/>
        <v>350</v>
      </c>
      <c r="AY13" s="21">
        <f t="shared" si="16"/>
        <v>0.68499157262222643</v>
      </c>
      <c r="AZ13" s="20">
        <f t="shared" si="17"/>
        <v>27.399662904889055</v>
      </c>
      <c r="BA13" s="21">
        <f t="shared" si="18"/>
        <v>19.302901051677622</v>
      </c>
      <c r="BB13" s="20">
        <f>IF($C13="","",BA13*'Assumptions &amp; Ref'!$C$76)</f>
        <v>35.710366945603603</v>
      </c>
      <c r="BC13" s="20">
        <f>IF($C13="","",BB13*'Assumptions &amp; Ref'!$C$77)</f>
        <v>12141.524761505225</v>
      </c>
      <c r="BD13" s="21">
        <f>IF($C13="","",SQRT(AL13/'Assumptions &amp; Ref'!$C$9))</f>
        <v>0.85209645936852474</v>
      </c>
      <c r="BE13" s="21">
        <f>IF($C13="","",SQRT(AL13*'Assumptions &amp; Ref'!$C$9))</f>
        <v>1.1077253971790821</v>
      </c>
      <c r="BF13" s="24">
        <f>IF($C13="","",BD13*1000/'Assumptions &amp; Ref'!$C$27)</f>
        <v>34.083858374740991</v>
      </c>
      <c r="BG13" s="24">
        <f t="shared" si="32"/>
        <v>272.67086699792793</v>
      </c>
      <c r="BH13" s="24">
        <f>IF($C13="","",BG13*BE13*(1+'Assumptions &amp; Ref'!$C$29))</f>
        <v>347.35111111111104</v>
      </c>
      <c r="BI13" s="25">
        <f>IF($C13="","",PI()*('Assumptions &amp; Ref'!$C$25-'Assumptions &amp; Ref'!$C$26)/1000*'Assumptions &amp; Ref'!$C$26/1000*$C$5)</f>
        <v>0.13849145726672957</v>
      </c>
      <c r="BJ13" s="20">
        <f t="shared" si="19"/>
        <v>48.105161560995469</v>
      </c>
      <c r="BK13" s="24">
        <f t="shared" si="20"/>
        <v>610.55730553177762</v>
      </c>
      <c r="BL13" s="21">
        <f>IF($C13="","",O13*'Assumptions &amp; Ref'!$C$28/1000)</f>
        <v>0.17319999999999999</v>
      </c>
      <c r="BM13" s="21">
        <f>IF($C13="","",BD13*BL13*(1-'Assumptions &amp; Ref'!$C$31))</f>
        <v>0.12544564074823419</v>
      </c>
      <c r="BN13" s="20">
        <f>IF($C13="","",BK13*BM13*'Assumptions &amp; Ref'!$C$30/1000*INDEX($C$5:$I$5,MATCH(R13,$C$4:$I$4,0)))</f>
        <v>24.815727779527553</v>
      </c>
      <c r="BO13" s="20">
        <f>IF($C13="","",'Assumptions &amp; Ref'!$C$34+O13*'Assumptions &amp; Ref'!$C$35+'Assumptions &amp; Ref'!$C$36+IF(OR(S13="Pre+Fine",S13="Pre+Fine+HEPA"),'Assumptions &amp; Ref'!$C$37,0)+IF(S13="Pre+Fine+HEPA",'Assumptions &amp; Ref'!$C$38,0))</f>
        <v>466</v>
      </c>
      <c r="BP13" s="20">
        <f t="shared" si="21"/>
        <v>866</v>
      </c>
      <c r="BQ13" s="21">
        <f>IF($C13="","",AK13*BP13/(1000*IF(M13="Plug fan",'Assumptions &amp; Ref'!$C$39,'Assumptions &amp; Ref'!$C$40)*'Assumptions &amp; Ref'!$C$41))</f>
        <v>3.3390840595497457</v>
      </c>
      <c r="BR13" s="21">
        <f>IF($C13="","",IFERROR(INDEX('Assumptions &amp; Ref'!$B$44:$B$61,MATCH(BQ13,'Assumptions &amp; Ref'!$B$44:$B$61,1)+IF(INDEX('Assumptions &amp; Ref'!$B$44:$B$61,MATCH(BQ13,'Assumptions &amp; Ref'!$B$44:$B$61,1))&gt;=BQ13,0,1)),INDEX('Assumptions &amp; Ref'!$B$44:$B$61,1)))</f>
        <v>3.7</v>
      </c>
      <c r="BS13" s="20">
        <f>IF($C13="","",BR13*IF(M13="Plug fan",'Assumptions &amp; Ref'!$C$64,'Assumptions &amp; Ref'!$C$65))</f>
        <v>53650</v>
      </c>
      <c r="BT13" s="20">
        <f>IF($C13="","",IF(N13="Y",BR13*'Assumptions &amp; Ref'!$C$66,0))</f>
        <v>27750</v>
      </c>
      <c r="BU13" s="21">
        <f t="shared" si="22"/>
        <v>1.1104575163398691</v>
      </c>
      <c r="BV13" s="20">
        <f>IF($C13="","",BU13*('Assumptions &amp; Ref'!$C$67+IF(OR(S13="Pre+Fine",S13="Pre+Fine+HEPA"),'Assumptions &amp; Ref'!$C$68,0)+IF(S13="Pre+Fine+HEPA",'Assumptions &amp; Ref'!$C$69,0)))</f>
        <v>5108.1045751633983</v>
      </c>
      <c r="BW13" s="21">
        <f t="shared" si="23"/>
        <v>1.1104575163398691</v>
      </c>
      <c r="BX13" s="20">
        <f>IF($C13="","",BW13*'Assumptions &amp; Ref'!$C$70)</f>
        <v>5774.3790849673196</v>
      </c>
      <c r="BY13" s="20">
        <f>IF($C13="","",AN13*('Assumptions &amp; Ref'!$C$17+O13*'Assumptions &amp; Ref'!$C$18+0.2)*'Assumptions &amp; Ref'!$C$81/1000*$G$5)</f>
        <v>9.9664166837788741</v>
      </c>
      <c r="BZ13" s="20">
        <f t="shared" si="24"/>
        <v>2591.2683377825074</v>
      </c>
      <c r="CA13" s="20">
        <f t="shared" si="25"/>
        <v>116430.22607981335</v>
      </c>
      <c r="CB13" s="20">
        <f t="shared" si="26"/>
        <v>92282.483660130718</v>
      </c>
      <c r="CC13" s="20">
        <f>IF($C13="","",(AV13+BB13)*'Assumptions &amp; Ref'!$C$78+(BJ13+BN13)*'Assumptions &amp; Ref'!$C$80)</f>
        <v>27898.99600952043</v>
      </c>
      <c r="CD13" s="20">
        <f>IF($C13="","",'Assumptions &amp; Ref'!$C$84*(CA13+CB13+CC13))</f>
        <v>23661.170574946453</v>
      </c>
      <c r="CE13" s="20">
        <f>IF($C13="","",'Assumptions &amp; Ref'!$C$85*(CA13+CB13+CC13+CD13))</f>
        <v>31232.745158929312</v>
      </c>
      <c r="CF13" s="20">
        <f t="shared" si="27"/>
        <v>291505.62148334028</v>
      </c>
      <c r="CH13" s="17">
        <f t="shared" si="28"/>
        <v>116430.22607981335</v>
      </c>
      <c r="CI13" s="17">
        <f t="shared" si="29"/>
        <v>120181.47966965115</v>
      </c>
      <c r="CJ13" s="17">
        <f t="shared" si="30"/>
        <v>54893.915733875765</v>
      </c>
    </row>
    <row r="14" spans="2:88" ht="15" customHeight="1" x14ac:dyDescent="0.25">
      <c r="B14" s="12" t="s">
        <v>120</v>
      </c>
      <c r="C14" s="13">
        <v>20000</v>
      </c>
      <c r="D14" s="13"/>
      <c r="E14" s="13">
        <v>60</v>
      </c>
      <c r="F14" s="13">
        <v>0</v>
      </c>
      <c r="G14" s="13">
        <v>350</v>
      </c>
      <c r="H14" s="13" t="s">
        <v>101</v>
      </c>
      <c r="I14" s="14">
        <v>0.8</v>
      </c>
      <c r="J14" s="13" t="s">
        <v>9</v>
      </c>
      <c r="K14" s="13" t="s">
        <v>11</v>
      </c>
      <c r="L14" s="13">
        <v>25</v>
      </c>
      <c r="M14" s="13" t="s">
        <v>102</v>
      </c>
      <c r="N14" s="13" t="s">
        <v>103</v>
      </c>
      <c r="O14" s="13">
        <v>6</v>
      </c>
      <c r="P14" s="13">
        <v>12</v>
      </c>
      <c r="Q14" s="13" t="s">
        <v>6</v>
      </c>
      <c r="R14" s="13" t="s">
        <v>7</v>
      </c>
      <c r="S14" s="13" t="s">
        <v>104</v>
      </c>
      <c r="T14" s="13" t="s">
        <v>105</v>
      </c>
      <c r="U14" s="13" t="s">
        <v>106</v>
      </c>
      <c r="V14" s="13" t="s">
        <v>103</v>
      </c>
      <c r="W14" s="13" t="s">
        <v>107</v>
      </c>
      <c r="X14" s="13" t="s">
        <v>103</v>
      </c>
      <c r="Y14" s="15">
        <f t="shared" si="0"/>
        <v>970914.061440747</v>
      </c>
      <c r="Z14" s="16">
        <f t="shared" si="31"/>
        <v>48.545703072037348</v>
      </c>
      <c r="AA14" s="17">
        <f t="shared" si="1"/>
        <v>16181.90102401245</v>
      </c>
      <c r="AB14" s="17">
        <f t="shared" si="2"/>
        <v>906.43110297194698</v>
      </c>
      <c r="AC14" s="17">
        <f t="shared" si="3"/>
        <v>144.31548468298641</v>
      </c>
      <c r="AD14" s="17">
        <f t="shared" si="4"/>
        <v>63.811871433070849</v>
      </c>
      <c r="AE14" s="17">
        <f t="shared" si="5"/>
        <v>579.49386055265552</v>
      </c>
      <c r="AF14" s="17">
        <f t="shared" si="6"/>
        <v>41.194684127093915</v>
      </c>
      <c r="AG14" s="18">
        <f t="shared" si="7"/>
        <v>15</v>
      </c>
      <c r="AH14" s="19" t="str">
        <f t="shared" si="8"/>
        <v>2.4 x 1.85 x 3.8</v>
      </c>
      <c r="AJ14" s="20">
        <f>IF($C14="","",$C14*'Assumptions &amp; Ref'!$C$10)</f>
        <v>33980</v>
      </c>
      <c r="AK14" s="21">
        <f t="shared" si="9"/>
        <v>9.4388888888888882</v>
      </c>
      <c r="AL14" s="21">
        <f>IF($C14="","",AK14/'Assumptions &amp; Ref'!$C$6)</f>
        <v>3.7755555555555551</v>
      </c>
      <c r="AM14" s="21">
        <f>IF($C14="","",AL14/'Assumptions &amp; Ref'!$C$8)</f>
        <v>4.4418300653594764</v>
      </c>
      <c r="AN14" s="21">
        <f>IF($C14="","",SQRT(AM14*'Assumptions &amp; Ref'!$C$9))</f>
        <v>2.4029937754741106</v>
      </c>
      <c r="AO14" s="21">
        <f>IF($C14="","",SQRT(AM14/'Assumptions &amp; Ref'!$C$9))</f>
        <v>1.8484567503647003</v>
      </c>
      <c r="AP14" s="21">
        <f>IF($C14="","",'Assumptions &amp; Ref'!$C$14+IF(OR(S14="Pre+Fine",S14="Pre+Fine+HEPA"),'Assumptions &amp; Ref'!$C$15,0)+IF(S14="Pre+Fine+HEPA",'Assumptions &amp; Ref'!$C$16,0))</f>
        <v>0.75</v>
      </c>
      <c r="AQ14" s="21">
        <f>IF($C14="","",IF(V14="Y",'Assumptions &amp; Ref'!$C$13,0)+AP14+'Assumptions &amp; Ref'!$C$17+O14*'Assumptions &amp; Ref'!$C$18+IF(W14="Y",'Assumptions &amp; Ref'!$C$19,0)+'Assumptions &amp; Ref'!$C$20+IF(X14="Y",'Assumptions &amp; Ref'!$C$21,0))</f>
        <v>3.8000000000000003</v>
      </c>
      <c r="AR14" s="21">
        <f t="shared" si="10"/>
        <v>41.194684127093915</v>
      </c>
      <c r="AS14" s="22">
        <f t="shared" si="11"/>
        <v>2</v>
      </c>
      <c r="AT14" s="20">
        <f t="shared" si="12"/>
        <v>7850</v>
      </c>
      <c r="AU14" s="23">
        <f t="shared" si="13"/>
        <v>95</v>
      </c>
      <c r="AV14" s="20">
        <f>IF($C14="","",AR14*AS14*I14/1000*AT14*(1+'Assumptions &amp; Ref'!$C$75))</f>
        <v>579.49386055265552</v>
      </c>
      <c r="AW14" s="20">
        <f t="shared" si="14"/>
        <v>40</v>
      </c>
      <c r="AX14" s="23">
        <f t="shared" si="15"/>
        <v>350</v>
      </c>
      <c r="AY14" s="21">
        <f t="shared" si="16"/>
        <v>1.0298671031773479</v>
      </c>
      <c r="AZ14" s="20">
        <f t="shared" si="17"/>
        <v>41.194684127093915</v>
      </c>
      <c r="BA14" s="21">
        <f t="shared" si="18"/>
        <v>32.205802103355246</v>
      </c>
      <c r="BB14" s="20">
        <f>IF($C14="","",BA14*'Assumptions &amp; Ref'!$C$76)</f>
        <v>59.58073389120721</v>
      </c>
      <c r="BC14" s="20">
        <f>IF($C14="","",BB14*'Assumptions &amp; Ref'!$C$77)</f>
        <v>20257.449523010451</v>
      </c>
      <c r="BD14" s="21">
        <f>IF($C14="","",SQRT(AL14/'Assumptions &amp; Ref'!$C$9))</f>
        <v>1.7041929187370495</v>
      </c>
      <c r="BE14" s="21">
        <f>IF($C14="","",SQRT(AL14*'Assumptions &amp; Ref'!$C$9))</f>
        <v>2.2154507943581643</v>
      </c>
      <c r="BF14" s="24">
        <f>IF($C14="","",BD14*1000/'Assumptions &amp; Ref'!$C$27)</f>
        <v>68.167716749481983</v>
      </c>
      <c r="BG14" s="24">
        <f t="shared" si="32"/>
        <v>409.00630049689187</v>
      </c>
      <c r="BH14" s="24">
        <f>IF($C14="","",BG14*BE14*(1+'Assumptions &amp; Ref'!$C$29))</f>
        <v>1042.0533333333331</v>
      </c>
      <c r="BI14" s="25">
        <f>IF($C14="","",PI()*('Assumptions &amp; Ref'!$C$25-'Assumptions &amp; Ref'!$C$26)/1000*'Assumptions &amp; Ref'!$C$26/1000*$C$5)</f>
        <v>0.13849145726672957</v>
      </c>
      <c r="BJ14" s="20">
        <f t="shared" si="19"/>
        <v>144.31548468298641</v>
      </c>
      <c r="BK14" s="24">
        <f t="shared" si="20"/>
        <v>1046.6696666259045</v>
      </c>
      <c r="BL14" s="21">
        <f>IF($C14="","",O14*'Assumptions &amp; Ref'!$C$28/1000)</f>
        <v>0.12989999999999999</v>
      </c>
      <c r="BM14" s="21">
        <f>IF($C14="","",BD14*BL14*(1-'Assumptions &amp; Ref'!$C$31))</f>
        <v>0.1881684611223513</v>
      </c>
      <c r="BN14" s="20">
        <f>IF($C14="","",BK14*BM14*'Assumptions &amp; Ref'!$C$30/1000*INDEX($C$5:$I$5,MATCH(R14,$C$4:$I$4,0)))</f>
        <v>63.811871433070849</v>
      </c>
      <c r="BO14" s="20">
        <f>IF($C14="","",'Assumptions &amp; Ref'!$C$34+O14*'Assumptions &amp; Ref'!$C$35+'Assumptions &amp; Ref'!$C$36+IF(OR(S14="Pre+Fine",S14="Pre+Fine+HEPA"),'Assumptions &amp; Ref'!$C$37,0)+IF(S14="Pre+Fine+HEPA",'Assumptions &amp; Ref'!$C$38,0))</f>
        <v>422</v>
      </c>
      <c r="BP14" s="20">
        <f t="shared" si="21"/>
        <v>772</v>
      </c>
      <c r="BQ14" s="21">
        <f>IF($C14="","",AK14*BP14/(1000*IF(M14="Plug fan",'Assumptions &amp; Ref'!$C$39,'Assumptions &amp; Ref'!$C$40)*'Assumptions &amp; Ref'!$C$41))</f>
        <v>11.906572258533043</v>
      </c>
      <c r="BR14" s="21">
        <f>IF($C14="","",IFERROR(INDEX('Assumptions &amp; Ref'!$B$44:$B$61,MATCH(BQ14,'Assumptions &amp; Ref'!$B$44:$B$61,1)+IF(INDEX('Assumptions &amp; Ref'!$B$44:$B$61,MATCH(BQ14,'Assumptions &amp; Ref'!$B$44:$B$61,1))&gt;=BQ14,0,1)),INDEX('Assumptions &amp; Ref'!$B$44:$B$61,1)))</f>
        <v>15</v>
      </c>
      <c r="BS14" s="20">
        <f>IF($C14="","",BR14*IF(M14="Plug fan",'Assumptions &amp; Ref'!$C$64,'Assumptions &amp; Ref'!$C$65))</f>
        <v>217500</v>
      </c>
      <c r="BT14" s="20">
        <f>IF($C14="","",IF(N14="Y",BR14*'Assumptions &amp; Ref'!$C$66,0))</f>
        <v>112500</v>
      </c>
      <c r="BU14" s="21">
        <f t="shared" si="22"/>
        <v>4.4418300653594764</v>
      </c>
      <c r="BV14" s="20">
        <f>IF($C14="","",BU14*('Assumptions &amp; Ref'!$C$67+IF(OR(S14="Pre+Fine",S14="Pre+Fine+HEPA"),'Assumptions &amp; Ref'!$C$68,0)+IF(S14="Pre+Fine+HEPA",'Assumptions &amp; Ref'!$C$69,0)))</f>
        <v>20432.418300653593</v>
      </c>
      <c r="BW14" s="21">
        <f t="shared" si="23"/>
        <v>8.8836601307189529</v>
      </c>
      <c r="BX14" s="20">
        <f>IF($C14="","",BW14*'Assumptions &amp; Ref'!$C$70)</f>
        <v>46195.032679738557</v>
      </c>
      <c r="BY14" s="20">
        <f>IF($C14="","",AN14*('Assumptions &amp; Ref'!$C$17+O14*'Assumptions &amp; Ref'!$C$18+0.2)*'Assumptions &amp; Ref'!$C$81/1000*$G$5)</f>
        <v>18.034468284933201</v>
      </c>
      <c r="BZ14" s="20">
        <f t="shared" si="24"/>
        <v>4688.9617540826321</v>
      </c>
      <c r="CA14" s="20">
        <f t="shared" si="25"/>
        <v>313049.23260285764</v>
      </c>
      <c r="CB14" s="20">
        <f t="shared" si="26"/>
        <v>396627.45098039211</v>
      </c>
      <c r="CC14" s="20">
        <f>IF($C14="","",(AV14+BB14)*'Assumptions &amp; Ref'!$C$78+(BJ14+BN14)*'Assumptions &amp; Ref'!$C$80)</f>
        <v>78402.911742031822</v>
      </c>
      <c r="CD14" s="20">
        <f>IF($C14="","",'Assumptions &amp; Ref'!$C$84*(CA14+CB14+CC14))</f>
        <v>78807.95953252817</v>
      </c>
      <c r="CE14" s="20">
        <f>IF($C14="","",'Assumptions &amp; Ref'!$C$85*(CA14+CB14+CC14+CD14))</f>
        <v>104026.50658293717</v>
      </c>
      <c r="CF14" s="20">
        <f t="shared" si="27"/>
        <v>970914.061440747</v>
      </c>
      <c r="CH14" s="17">
        <f t="shared" si="28"/>
        <v>313049.23260285764</v>
      </c>
      <c r="CI14" s="17">
        <f t="shared" si="29"/>
        <v>475030.36272242392</v>
      </c>
      <c r="CJ14" s="17">
        <f t="shared" si="30"/>
        <v>182834.46611546533</v>
      </c>
    </row>
    <row r="15" spans="2:88" ht="15" customHeight="1" x14ac:dyDescent="0.25">
      <c r="B15" s="12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5" t="str">
        <f t="shared" si="0"/>
        <v/>
      </c>
      <c r="Z15" s="16" t="str">
        <f t="shared" si="31"/>
        <v/>
      </c>
      <c r="AA15" s="17" t="str">
        <f t="shared" si="1"/>
        <v/>
      </c>
      <c r="AB15" s="17" t="str">
        <f t="shared" si="2"/>
        <v/>
      </c>
      <c r="AC15" s="17" t="str">
        <f t="shared" si="3"/>
        <v/>
      </c>
      <c r="AD15" s="17" t="str">
        <f t="shared" si="4"/>
        <v/>
      </c>
      <c r="AE15" s="17" t="str">
        <f t="shared" si="5"/>
        <v/>
      </c>
      <c r="AF15" s="17" t="str">
        <f t="shared" si="6"/>
        <v/>
      </c>
      <c r="AG15" s="18" t="str">
        <f t="shared" si="7"/>
        <v/>
      </c>
      <c r="AH15" s="19" t="str">
        <f t="shared" si="8"/>
        <v/>
      </c>
      <c r="AJ15" s="20" t="str">
        <f>IF($C15="","",$C15*'Assumptions &amp; Ref'!$C$10)</f>
        <v/>
      </c>
      <c r="AK15" s="21" t="str">
        <f t="shared" si="9"/>
        <v/>
      </c>
      <c r="AL15" s="21" t="str">
        <f>IF($C15="","",AK15/'Assumptions &amp; Ref'!$C$6)</f>
        <v/>
      </c>
      <c r="AM15" s="21" t="str">
        <f>IF($C15="","",AL15/'Assumptions &amp; Ref'!$C$8)</f>
        <v/>
      </c>
      <c r="AN15" s="21" t="str">
        <f>IF($C15="","",SQRT(AM15*'Assumptions &amp; Ref'!$C$9))</f>
        <v/>
      </c>
      <c r="AO15" s="21" t="str">
        <f>IF($C15="","",SQRT(AM15/'Assumptions &amp; Ref'!$C$9))</f>
        <v/>
      </c>
      <c r="AP15" s="21" t="str">
        <f>IF($C15="","",'Assumptions &amp; Ref'!$C$14+IF(OR(S15="Pre+Fine",S15="Pre+Fine+HEPA"),'Assumptions &amp; Ref'!$C$15,0)+IF(S15="Pre+Fine+HEPA",'Assumptions &amp; Ref'!$C$16,0))</f>
        <v/>
      </c>
      <c r="AQ15" s="21" t="str">
        <f>IF($C15="","",IF(V15="Y",'Assumptions &amp; Ref'!$C$13,0)+AP15+'Assumptions &amp; Ref'!$C$17+O15*'Assumptions &amp; Ref'!$C$18+IF(W15="Y",'Assumptions &amp; Ref'!$C$19,0)+'Assumptions &amp; Ref'!$C$20+IF(X15="Y",'Assumptions &amp; Ref'!$C$21,0))</f>
        <v/>
      </c>
      <c r="AR15" s="21" t="str">
        <f t="shared" si="10"/>
        <v/>
      </c>
      <c r="AS15" s="22" t="str">
        <f t="shared" si="11"/>
        <v/>
      </c>
      <c r="AT15" s="20" t="str">
        <f t="shared" si="12"/>
        <v/>
      </c>
      <c r="AU15" s="23" t="str">
        <f t="shared" si="13"/>
        <v/>
      </c>
      <c r="AV15" s="20" t="str">
        <f>IF($C15="","",AR15*AS15*I15/1000*AT15*(1+'Assumptions &amp; Ref'!$C$75))</f>
        <v/>
      </c>
      <c r="AW15" s="20" t="str">
        <f t="shared" si="14"/>
        <v/>
      </c>
      <c r="AX15" s="23" t="str">
        <f t="shared" si="15"/>
        <v/>
      </c>
      <c r="AY15" s="21" t="str">
        <f t="shared" si="16"/>
        <v/>
      </c>
      <c r="AZ15" s="20" t="str">
        <f t="shared" si="17"/>
        <v/>
      </c>
      <c r="BA15" s="21" t="str">
        <f t="shared" si="18"/>
        <v/>
      </c>
      <c r="BB15" s="20" t="str">
        <f>IF($C15="","",BA15*'Assumptions &amp; Ref'!$C$76)</f>
        <v/>
      </c>
      <c r="BC15" s="20" t="str">
        <f>IF($C15="","",BB15*'Assumptions &amp; Ref'!$C$77)</f>
        <v/>
      </c>
      <c r="BD15" s="21" t="str">
        <f>IF($C15="","",SQRT(AL15/'Assumptions &amp; Ref'!$C$9))</f>
        <v/>
      </c>
      <c r="BE15" s="21" t="str">
        <f>IF($C15="","",SQRT(AL15*'Assumptions &amp; Ref'!$C$9))</f>
        <v/>
      </c>
      <c r="BF15" s="24" t="str">
        <f>IF($C15="","",BD15*1000/'Assumptions &amp; Ref'!$C$27)</f>
        <v/>
      </c>
      <c r="BG15" s="24" t="str">
        <f t="shared" si="32"/>
        <v/>
      </c>
      <c r="BH15" s="24" t="str">
        <f>IF($C15="","",BG15*BE15*(1+'Assumptions &amp; Ref'!$C$29))</f>
        <v/>
      </c>
      <c r="BI15" s="25" t="str">
        <f>IF($C15="","",PI()*('Assumptions &amp; Ref'!$C$25-'Assumptions &amp; Ref'!$C$26)/1000*'Assumptions &amp; Ref'!$C$26/1000*$C$5)</f>
        <v/>
      </c>
      <c r="BJ15" s="20" t="str">
        <f t="shared" si="19"/>
        <v/>
      </c>
      <c r="BK15" s="24" t="str">
        <f t="shared" si="20"/>
        <v/>
      </c>
      <c r="BL15" s="21" t="str">
        <f>IF($C15="","",O15*'Assumptions &amp; Ref'!$C$28/1000)</f>
        <v/>
      </c>
      <c r="BM15" s="21" t="str">
        <f>IF($C15="","",BD15*BL15*(1-'Assumptions &amp; Ref'!$C$31))</f>
        <v/>
      </c>
      <c r="BN15" s="20" t="str">
        <f>IF($C15="","",BK15*BM15*'Assumptions &amp; Ref'!$C$30/1000*INDEX($C$5:$I$5,MATCH(R15,$C$4:$I$4,0)))</f>
        <v/>
      </c>
      <c r="BO15" s="20" t="str">
        <f>IF($C15="","",'Assumptions &amp; Ref'!$C$34+O15*'Assumptions &amp; Ref'!$C$35+'Assumptions &amp; Ref'!$C$36+IF(OR(S15="Pre+Fine",S15="Pre+Fine+HEPA"),'Assumptions &amp; Ref'!$C$37,0)+IF(S15="Pre+Fine+HEPA",'Assumptions &amp; Ref'!$C$38,0))</f>
        <v/>
      </c>
      <c r="BP15" s="20" t="str">
        <f t="shared" si="21"/>
        <v/>
      </c>
      <c r="BQ15" s="21" t="str">
        <f>IF($C15="","",AK15*BP15/(1000*IF(M15="Plug fan",'Assumptions &amp; Ref'!$C$39,'Assumptions &amp; Ref'!$C$40)*'Assumptions &amp; Ref'!$C$41))</f>
        <v/>
      </c>
      <c r="BR15" s="21" t="str">
        <f>IF($C15="","",IFERROR(INDEX('Assumptions &amp; Ref'!$B$44:$B$61,MATCH(BQ15,'Assumptions &amp; Ref'!$B$44:$B$61,1)+IF(INDEX('Assumptions &amp; Ref'!$B$44:$B$61,MATCH(BQ15,'Assumptions &amp; Ref'!$B$44:$B$61,1))&gt;=BQ15,0,1)),INDEX('Assumptions &amp; Ref'!$B$44:$B$61,1)))</f>
        <v/>
      </c>
      <c r="BS15" s="20" t="str">
        <f>IF($C15="","",BR15*IF(M15="Plug fan",'Assumptions &amp; Ref'!$C$64,'Assumptions &amp; Ref'!$C$65))</f>
        <v/>
      </c>
      <c r="BT15" s="20" t="str">
        <f>IF($C15="","",IF(N15="Y",BR15*'Assumptions &amp; Ref'!$C$66,0))</f>
        <v/>
      </c>
      <c r="BU15" s="21" t="str">
        <f t="shared" si="22"/>
        <v/>
      </c>
      <c r="BV15" s="20" t="str">
        <f>IF($C15="","",BU15*('Assumptions &amp; Ref'!$C$67+IF(OR(S15="Pre+Fine",S15="Pre+Fine+HEPA"),'Assumptions &amp; Ref'!$C$68,0)+IF(S15="Pre+Fine+HEPA",'Assumptions &amp; Ref'!$C$69,0)))</f>
        <v/>
      </c>
      <c r="BW15" s="21" t="str">
        <f t="shared" si="23"/>
        <v/>
      </c>
      <c r="BX15" s="20" t="str">
        <f>IF($C15="","",BW15*'Assumptions &amp; Ref'!$C$70)</f>
        <v/>
      </c>
      <c r="BY15" s="20" t="str">
        <f>IF($C15="","",AN15*('Assumptions &amp; Ref'!$C$17+O15*'Assumptions &amp; Ref'!$C$18+0.2)*'Assumptions &amp; Ref'!$C$81/1000*$G$5)</f>
        <v/>
      </c>
      <c r="BZ15" s="20" t="str">
        <f t="shared" si="24"/>
        <v/>
      </c>
      <c r="CA15" s="20" t="str">
        <f t="shared" si="25"/>
        <v/>
      </c>
      <c r="CB15" s="20" t="str">
        <f t="shared" si="26"/>
        <v/>
      </c>
      <c r="CC15" s="20" t="str">
        <f>IF($C15="","",(AV15+BB15)*'Assumptions &amp; Ref'!$C$78+(BJ15+BN15)*'Assumptions &amp; Ref'!$C$80)</f>
        <v/>
      </c>
      <c r="CD15" s="20" t="str">
        <f>IF($C15="","",'Assumptions &amp; Ref'!$C$84*(CA15+CB15+CC15))</f>
        <v/>
      </c>
      <c r="CE15" s="20" t="str">
        <f>IF($C15="","",'Assumptions &amp; Ref'!$C$85*(CA15+CB15+CC15+CD15))</f>
        <v/>
      </c>
      <c r="CF15" s="20" t="str">
        <f t="shared" si="27"/>
        <v/>
      </c>
      <c r="CH15" s="17" t="str">
        <f t="shared" si="28"/>
        <v/>
      </c>
      <c r="CI15" s="17" t="str">
        <f t="shared" si="29"/>
        <v/>
      </c>
      <c r="CJ15" s="17" t="str">
        <f t="shared" si="30"/>
        <v/>
      </c>
    </row>
    <row r="16" spans="2:88" ht="15" customHeight="1" x14ac:dyDescent="0.25">
      <c r="B16" s="12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5" t="str">
        <f t="shared" si="0"/>
        <v/>
      </c>
      <c r="Z16" s="16" t="str">
        <f t="shared" si="31"/>
        <v/>
      </c>
      <c r="AA16" s="17" t="str">
        <f t="shared" si="1"/>
        <v/>
      </c>
      <c r="AB16" s="17" t="str">
        <f t="shared" si="2"/>
        <v/>
      </c>
      <c r="AC16" s="17" t="str">
        <f t="shared" si="3"/>
        <v/>
      </c>
      <c r="AD16" s="17" t="str">
        <f t="shared" si="4"/>
        <v/>
      </c>
      <c r="AE16" s="17" t="str">
        <f t="shared" si="5"/>
        <v/>
      </c>
      <c r="AF16" s="17" t="str">
        <f t="shared" si="6"/>
        <v/>
      </c>
      <c r="AG16" s="18" t="str">
        <f t="shared" si="7"/>
        <v/>
      </c>
      <c r="AH16" s="19" t="str">
        <f t="shared" si="8"/>
        <v/>
      </c>
      <c r="AJ16" s="20" t="str">
        <f>IF($C16="","",$C16*'Assumptions &amp; Ref'!$C$10)</f>
        <v/>
      </c>
      <c r="AK16" s="21" t="str">
        <f t="shared" si="9"/>
        <v/>
      </c>
      <c r="AL16" s="21" t="str">
        <f>IF($C16="","",AK16/'Assumptions &amp; Ref'!$C$6)</f>
        <v/>
      </c>
      <c r="AM16" s="21" t="str">
        <f>IF($C16="","",AL16/'Assumptions &amp; Ref'!$C$8)</f>
        <v/>
      </c>
      <c r="AN16" s="21" t="str">
        <f>IF($C16="","",SQRT(AM16*'Assumptions &amp; Ref'!$C$9))</f>
        <v/>
      </c>
      <c r="AO16" s="21" t="str">
        <f>IF($C16="","",SQRT(AM16/'Assumptions &amp; Ref'!$C$9))</f>
        <v/>
      </c>
      <c r="AP16" s="21" t="str">
        <f>IF($C16="","",'Assumptions &amp; Ref'!$C$14+IF(OR(S16="Pre+Fine",S16="Pre+Fine+HEPA"),'Assumptions &amp; Ref'!$C$15,0)+IF(S16="Pre+Fine+HEPA",'Assumptions &amp; Ref'!$C$16,0))</f>
        <v/>
      </c>
      <c r="AQ16" s="21" t="str">
        <f>IF($C16="","",IF(V16="Y",'Assumptions &amp; Ref'!$C$13,0)+AP16+'Assumptions &amp; Ref'!$C$17+O16*'Assumptions &amp; Ref'!$C$18+IF(W16="Y",'Assumptions &amp; Ref'!$C$19,0)+'Assumptions &amp; Ref'!$C$20+IF(X16="Y",'Assumptions &amp; Ref'!$C$21,0))</f>
        <v/>
      </c>
      <c r="AR16" s="21" t="str">
        <f t="shared" si="10"/>
        <v/>
      </c>
      <c r="AS16" s="22" t="str">
        <f t="shared" si="11"/>
        <v/>
      </c>
      <c r="AT16" s="20" t="str">
        <f t="shared" si="12"/>
        <v/>
      </c>
      <c r="AU16" s="23" t="str">
        <f t="shared" si="13"/>
        <v/>
      </c>
      <c r="AV16" s="20" t="str">
        <f>IF($C16="","",AR16*AS16*I16/1000*AT16*(1+'Assumptions &amp; Ref'!$C$75))</f>
        <v/>
      </c>
      <c r="AW16" s="20" t="str">
        <f t="shared" si="14"/>
        <v/>
      </c>
      <c r="AX16" s="23" t="str">
        <f t="shared" si="15"/>
        <v/>
      </c>
      <c r="AY16" s="21" t="str">
        <f t="shared" si="16"/>
        <v/>
      </c>
      <c r="AZ16" s="20" t="str">
        <f t="shared" si="17"/>
        <v/>
      </c>
      <c r="BA16" s="21" t="str">
        <f t="shared" si="18"/>
        <v/>
      </c>
      <c r="BB16" s="20" t="str">
        <f>IF($C16="","",BA16*'Assumptions &amp; Ref'!$C$76)</f>
        <v/>
      </c>
      <c r="BC16" s="20" t="str">
        <f>IF($C16="","",BB16*'Assumptions &amp; Ref'!$C$77)</f>
        <v/>
      </c>
      <c r="BD16" s="21" t="str">
        <f>IF($C16="","",SQRT(AL16/'Assumptions &amp; Ref'!$C$9))</f>
        <v/>
      </c>
      <c r="BE16" s="21" t="str">
        <f>IF($C16="","",SQRT(AL16*'Assumptions &amp; Ref'!$C$9))</f>
        <v/>
      </c>
      <c r="BF16" s="24" t="str">
        <f>IF($C16="","",BD16*1000/'Assumptions &amp; Ref'!$C$27)</f>
        <v/>
      </c>
      <c r="BG16" s="24" t="str">
        <f t="shared" si="32"/>
        <v/>
      </c>
      <c r="BH16" s="24" t="str">
        <f>IF($C16="","",BG16*BE16*(1+'Assumptions &amp; Ref'!$C$29))</f>
        <v/>
      </c>
      <c r="BI16" s="25" t="str">
        <f>IF($C16="","",PI()*('Assumptions &amp; Ref'!$C$25-'Assumptions &amp; Ref'!$C$26)/1000*'Assumptions &amp; Ref'!$C$26/1000*$C$5)</f>
        <v/>
      </c>
      <c r="BJ16" s="20" t="str">
        <f t="shared" si="19"/>
        <v/>
      </c>
      <c r="BK16" s="24" t="str">
        <f t="shared" si="20"/>
        <v/>
      </c>
      <c r="BL16" s="21" t="str">
        <f>IF($C16="","",O16*'Assumptions &amp; Ref'!$C$28/1000)</f>
        <v/>
      </c>
      <c r="BM16" s="21" t="str">
        <f>IF($C16="","",BD16*BL16*(1-'Assumptions &amp; Ref'!$C$31))</f>
        <v/>
      </c>
      <c r="BN16" s="20" t="str">
        <f>IF($C16="","",BK16*BM16*'Assumptions &amp; Ref'!$C$30/1000*INDEX($C$5:$I$5,MATCH(R16,$C$4:$I$4,0)))</f>
        <v/>
      </c>
      <c r="BO16" s="20" t="str">
        <f>IF($C16="","",'Assumptions &amp; Ref'!$C$34+O16*'Assumptions &amp; Ref'!$C$35+'Assumptions &amp; Ref'!$C$36+IF(OR(S16="Pre+Fine",S16="Pre+Fine+HEPA"),'Assumptions &amp; Ref'!$C$37,0)+IF(S16="Pre+Fine+HEPA",'Assumptions &amp; Ref'!$C$38,0))</f>
        <v/>
      </c>
      <c r="BP16" s="20" t="str">
        <f t="shared" si="21"/>
        <v/>
      </c>
      <c r="BQ16" s="21" t="str">
        <f>IF($C16="","",AK16*BP16/(1000*IF(M16="Plug fan",'Assumptions &amp; Ref'!$C$39,'Assumptions &amp; Ref'!$C$40)*'Assumptions &amp; Ref'!$C$41))</f>
        <v/>
      </c>
      <c r="BR16" s="21" t="str">
        <f>IF($C16="","",IFERROR(INDEX('Assumptions &amp; Ref'!$B$44:$B$61,MATCH(BQ16,'Assumptions &amp; Ref'!$B$44:$B$61,1)+IF(INDEX('Assumptions &amp; Ref'!$B$44:$B$61,MATCH(BQ16,'Assumptions &amp; Ref'!$B$44:$B$61,1))&gt;=BQ16,0,1)),INDEX('Assumptions &amp; Ref'!$B$44:$B$61,1)))</f>
        <v/>
      </c>
      <c r="BS16" s="20" t="str">
        <f>IF($C16="","",BR16*IF(M16="Plug fan",'Assumptions &amp; Ref'!$C$64,'Assumptions &amp; Ref'!$C$65))</f>
        <v/>
      </c>
      <c r="BT16" s="20" t="str">
        <f>IF($C16="","",IF(N16="Y",BR16*'Assumptions &amp; Ref'!$C$66,0))</f>
        <v/>
      </c>
      <c r="BU16" s="21" t="str">
        <f t="shared" si="22"/>
        <v/>
      </c>
      <c r="BV16" s="20" t="str">
        <f>IF($C16="","",BU16*('Assumptions &amp; Ref'!$C$67+IF(OR(S16="Pre+Fine",S16="Pre+Fine+HEPA"),'Assumptions &amp; Ref'!$C$68,0)+IF(S16="Pre+Fine+HEPA",'Assumptions &amp; Ref'!$C$69,0)))</f>
        <v/>
      </c>
      <c r="BW16" s="21" t="str">
        <f t="shared" si="23"/>
        <v/>
      </c>
      <c r="BX16" s="20" t="str">
        <f>IF($C16="","",BW16*'Assumptions &amp; Ref'!$C$70)</f>
        <v/>
      </c>
      <c r="BY16" s="20" t="str">
        <f>IF($C16="","",AN16*('Assumptions &amp; Ref'!$C$17+O16*'Assumptions &amp; Ref'!$C$18+0.2)*'Assumptions &amp; Ref'!$C$81/1000*$G$5)</f>
        <v/>
      </c>
      <c r="BZ16" s="20" t="str">
        <f t="shared" si="24"/>
        <v/>
      </c>
      <c r="CA16" s="20" t="str">
        <f t="shared" si="25"/>
        <v/>
      </c>
      <c r="CB16" s="20" t="str">
        <f t="shared" si="26"/>
        <v/>
      </c>
      <c r="CC16" s="20" t="str">
        <f>IF($C16="","",(AV16+BB16)*'Assumptions &amp; Ref'!$C$78+(BJ16+BN16)*'Assumptions &amp; Ref'!$C$80)</f>
        <v/>
      </c>
      <c r="CD16" s="20" t="str">
        <f>IF($C16="","",'Assumptions &amp; Ref'!$C$84*(CA16+CB16+CC16))</f>
        <v/>
      </c>
      <c r="CE16" s="20" t="str">
        <f>IF($C16="","",'Assumptions &amp; Ref'!$C$85*(CA16+CB16+CC16+CD16))</f>
        <v/>
      </c>
      <c r="CF16" s="20" t="str">
        <f t="shared" si="27"/>
        <v/>
      </c>
      <c r="CH16" s="17" t="str">
        <f t="shared" si="28"/>
        <v/>
      </c>
      <c r="CI16" s="17" t="str">
        <f t="shared" si="29"/>
        <v/>
      </c>
      <c r="CJ16" s="17" t="str">
        <f t="shared" si="30"/>
        <v/>
      </c>
    </row>
    <row r="17" spans="2:88" ht="15" customHeight="1" x14ac:dyDescent="0.25">
      <c r="B17" s="12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5" t="str">
        <f t="shared" si="0"/>
        <v/>
      </c>
      <c r="Z17" s="16" t="str">
        <f t="shared" si="31"/>
        <v/>
      </c>
      <c r="AA17" s="17" t="str">
        <f t="shared" si="1"/>
        <v/>
      </c>
      <c r="AB17" s="17" t="str">
        <f t="shared" si="2"/>
        <v/>
      </c>
      <c r="AC17" s="17" t="str">
        <f t="shared" si="3"/>
        <v/>
      </c>
      <c r="AD17" s="17" t="str">
        <f t="shared" si="4"/>
        <v/>
      </c>
      <c r="AE17" s="17" t="str">
        <f t="shared" si="5"/>
        <v/>
      </c>
      <c r="AF17" s="17" t="str">
        <f t="shared" si="6"/>
        <v/>
      </c>
      <c r="AG17" s="18" t="str">
        <f t="shared" si="7"/>
        <v/>
      </c>
      <c r="AH17" s="19" t="str">
        <f t="shared" si="8"/>
        <v/>
      </c>
      <c r="AJ17" s="20" t="str">
        <f>IF($C17="","",$C17*'Assumptions &amp; Ref'!$C$10)</f>
        <v/>
      </c>
      <c r="AK17" s="21" t="str">
        <f t="shared" si="9"/>
        <v/>
      </c>
      <c r="AL17" s="21" t="str">
        <f>IF($C17="","",AK17/'Assumptions &amp; Ref'!$C$6)</f>
        <v/>
      </c>
      <c r="AM17" s="21" t="str">
        <f>IF($C17="","",AL17/'Assumptions &amp; Ref'!$C$8)</f>
        <v/>
      </c>
      <c r="AN17" s="21" t="str">
        <f>IF($C17="","",SQRT(AM17*'Assumptions &amp; Ref'!$C$9))</f>
        <v/>
      </c>
      <c r="AO17" s="21" t="str">
        <f>IF($C17="","",SQRT(AM17/'Assumptions &amp; Ref'!$C$9))</f>
        <v/>
      </c>
      <c r="AP17" s="21" t="str">
        <f>IF($C17="","",'Assumptions &amp; Ref'!$C$14+IF(OR(S17="Pre+Fine",S17="Pre+Fine+HEPA"),'Assumptions &amp; Ref'!$C$15,0)+IF(S17="Pre+Fine+HEPA",'Assumptions &amp; Ref'!$C$16,0))</f>
        <v/>
      </c>
      <c r="AQ17" s="21" t="str">
        <f>IF($C17="","",IF(V17="Y",'Assumptions &amp; Ref'!$C$13,0)+AP17+'Assumptions &amp; Ref'!$C$17+O17*'Assumptions &amp; Ref'!$C$18+IF(W17="Y",'Assumptions &amp; Ref'!$C$19,0)+'Assumptions &amp; Ref'!$C$20+IF(X17="Y",'Assumptions &amp; Ref'!$C$21,0))</f>
        <v/>
      </c>
      <c r="AR17" s="21" t="str">
        <f t="shared" si="10"/>
        <v/>
      </c>
      <c r="AS17" s="22" t="str">
        <f t="shared" si="11"/>
        <v/>
      </c>
      <c r="AT17" s="20" t="str">
        <f t="shared" si="12"/>
        <v/>
      </c>
      <c r="AU17" s="23" t="str">
        <f t="shared" si="13"/>
        <v/>
      </c>
      <c r="AV17" s="20" t="str">
        <f>IF($C17="","",AR17*AS17*I17/1000*AT17*(1+'Assumptions &amp; Ref'!$C$75))</f>
        <v/>
      </c>
      <c r="AW17" s="20" t="str">
        <f t="shared" si="14"/>
        <v/>
      </c>
      <c r="AX17" s="23" t="str">
        <f t="shared" si="15"/>
        <v/>
      </c>
      <c r="AY17" s="21" t="str">
        <f t="shared" si="16"/>
        <v/>
      </c>
      <c r="AZ17" s="20" t="str">
        <f t="shared" si="17"/>
        <v/>
      </c>
      <c r="BA17" s="21" t="str">
        <f t="shared" si="18"/>
        <v/>
      </c>
      <c r="BB17" s="20" t="str">
        <f>IF($C17="","",BA17*'Assumptions &amp; Ref'!$C$76)</f>
        <v/>
      </c>
      <c r="BC17" s="20" t="str">
        <f>IF($C17="","",BB17*'Assumptions &amp; Ref'!$C$77)</f>
        <v/>
      </c>
      <c r="BD17" s="21" t="str">
        <f>IF($C17="","",SQRT(AL17/'Assumptions &amp; Ref'!$C$9))</f>
        <v/>
      </c>
      <c r="BE17" s="21" t="str">
        <f>IF($C17="","",SQRT(AL17*'Assumptions &amp; Ref'!$C$9))</f>
        <v/>
      </c>
      <c r="BF17" s="24" t="str">
        <f>IF($C17="","",BD17*1000/'Assumptions &amp; Ref'!$C$27)</f>
        <v/>
      </c>
      <c r="BG17" s="24" t="str">
        <f t="shared" si="32"/>
        <v/>
      </c>
      <c r="BH17" s="24" t="str">
        <f>IF($C17="","",BG17*BE17*(1+'Assumptions &amp; Ref'!$C$29))</f>
        <v/>
      </c>
      <c r="BI17" s="25" t="str">
        <f>IF($C17="","",PI()*('Assumptions &amp; Ref'!$C$25-'Assumptions &amp; Ref'!$C$26)/1000*'Assumptions &amp; Ref'!$C$26/1000*$C$5)</f>
        <v/>
      </c>
      <c r="BJ17" s="20" t="str">
        <f t="shared" si="19"/>
        <v/>
      </c>
      <c r="BK17" s="24" t="str">
        <f t="shared" si="20"/>
        <v/>
      </c>
      <c r="BL17" s="21" t="str">
        <f>IF($C17="","",O17*'Assumptions &amp; Ref'!$C$28/1000)</f>
        <v/>
      </c>
      <c r="BM17" s="21" t="str">
        <f>IF($C17="","",BD17*BL17*(1-'Assumptions &amp; Ref'!$C$31))</f>
        <v/>
      </c>
      <c r="BN17" s="20" t="str">
        <f>IF($C17="","",BK17*BM17*'Assumptions &amp; Ref'!$C$30/1000*INDEX($C$5:$I$5,MATCH(R17,$C$4:$I$4,0)))</f>
        <v/>
      </c>
      <c r="BO17" s="20" t="str">
        <f>IF($C17="","",'Assumptions &amp; Ref'!$C$34+O17*'Assumptions &amp; Ref'!$C$35+'Assumptions &amp; Ref'!$C$36+IF(OR(S17="Pre+Fine",S17="Pre+Fine+HEPA"),'Assumptions &amp; Ref'!$C$37,0)+IF(S17="Pre+Fine+HEPA",'Assumptions &amp; Ref'!$C$38,0))</f>
        <v/>
      </c>
      <c r="BP17" s="20" t="str">
        <f t="shared" si="21"/>
        <v/>
      </c>
      <c r="BQ17" s="21" t="str">
        <f>IF($C17="","",AK17*BP17/(1000*IF(M17="Plug fan",'Assumptions &amp; Ref'!$C$39,'Assumptions &amp; Ref'!$C$40)*'Assumptions &amp; Ref'!$C$41))</f>
        <v/>
      </c>
      <c r="BR17" s="21" t="str">
        <f>IF($C17="","",IFERROR(INDEX('Assumptions &amp; Ref'!$B$44:$B$61,MATCH(BQ17,'Assumptions &amp; Ref'!$B$44:$B$61,1)+IF(INDEX('Assumptions &amp; Ref'!$B$44:$B$61,MATCH(BQ17,'Assumptions &amp; Ref'!$B$44:$B$61,1))&gt;=BQ17,0,1)),INDEX('Assumptions &amp; Ref'!$B$44:$B$61,1)))</f>
        <v/>
      </c>
      <c r="BS17" s="20" t="str">
        <f>IF($C17="","",BR17*IF(M17="Plug fan",'Assumptions &amp; Ref'!$C$64,'Assumptions &amp; Ref'!$C$65))</f>
        <v/>
      </c>
      <c r="BT17" s="20" t="str">
        <f>IF($C17="","",IF(N17="Y",BR17*'Assumptions &amp; Ref'!$C$66,0))</f>
        <v/>
      </c>
      <c r="BU17" s="21" t="str">
        <f t="shared" si="22"/>
        <v/>
      </c>
      <c r="BV17" s="20" t="str">
        <f>IF($C17="","",BU17*('Assumptions &amp; Ref'!$C$67+IF(OR(S17="Pre+Fine",S17="Pre+Fine+HEPA"),'Assumptions &amp; Ref'!$C$68,0)+IF(S17="Pre+Fine+HEPA",'Assumptions &amp; Ref'!$C$69,0)))</f>
        <v/>
      </c>
      <c r="BW17" s="21" t="str">
        <f t="shared" si="23"/>
        <v/>
      </c>
      <c r="BX17" s="20" t="str">
        <f>IF($C17="","",BW17*'Assumptions &amp; Ref'!$C$70)</f>
        <v/>
      </c>
      <c r="BY17" s="20" t="str">
        <f>IF($C17="","",AN17*('Assumptions &amp; Ref'!$C$17+O17*'Assumptions &amp; Ref'!$C$18+0.2)*'Assumptions &amp; Ref'!$C$81/1000*$G$5)</f>
        <v/>
      </c>
      <c r="BZ17" s="20" t="str">
        <f t="shared" si="24"/>
        <v/>
      </c>
      <c r="CA17" s="20" t="str">
        <f t="shared" si="25"/>
        <v/>
      </c>
      <c r="CB17" s="20" t="str">
        <f t="shared" si="26"/>
        <v/>
      </c>
      <c r="CC17" s="20" t="str">
        <f>IF($C17="","",(AV17+BB17)*'Assumptions &amp; Ref'!$C$78+(BJ17+BN17)*'Assumptions &amp; Ref'!$C$80)</f>
        <v/>
      </c>
      <c r="CD17" s="20" t="str">
        <f>IF($C17="","",'Assumptions &amp; Ref'!$C$84*(CA17+CB17+CC17))</f>
        <v/>
      </c>
      <c r="CE17" s="20" t="str">
        <f>IF($C17="","",'Assumptions &amp; Ref'!$C$85*(CA17+CB17+CC17+CD17))</f>
        <v/>
      </c>
      <c r="CF17" s="20" t="str">
        <f t="shared" si="27"/>
        <v/>
      </c>
      <c r="CH17" s="17" t="str">
        <f t="shared" si="28"/>
        <v/>
      </c>
      <c r="CI17" s="17" t="str">
        <f t="shared" si="29"/>
        <v/>
      </c>
      <c r="CJ17" s="17" t="str">
        <f t="shared" si="30"/>
        <v/>
      </c>
    </row>
    <row r="18" spans="2:88" ht="15" customHeight="1" x14ac:dyDescent="0.25">
      <c r="B18" s="12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5" t="str">
        <f t="shared" si="0"/>
        <v/>
      </c>
      <c r="Z18" s="16" t="str">
        <f t="shared" si="31"/>
        <v/>
      </c>
      <c r="AA18" s="17" t="str">
        <f t="shared" si="1"/>
        <v/>
      </c>
      <c r="AB18" s="17" t="str">
        <f t="shared" si="2"/>
        <v/>
      </c>
      <c r="AC18" s="17" t="str">
        <f t="shared" si="3"/>
        <v/>
      </c>
      <c r="AD18" s="17" t="str">
        <f t="shared" si="4"/>
        <v/>
      </c>
      <c r="AE18" s="17" t="str">
        <f t="shared" si="5"/>
        <v/>
      </c>
      <c r="AF18" s="17" t="str">
        <f t="shared" si="6"/>
        <v/>
      </c>
      <c r="AG18" s="18" t="str">
        <f t="shared" si="7"/>
        <v/>
      </c>
      <c r="AH18" s="19" t="str">
        <f t="shared" si="8"/>
        <v/>
      </c>
      <c r="AJ18" s="20" t="str">
        <f>IF($C18="","",$C18*'Assumptions &amp; Ref'!$C$10)</f>
        <v/>
      </c>
      <c r="AK18" s="21" t="str">
        <f t="shared" si="9"/>
        <v/>
      </c>
      <c r="AL18" s="21" t="str">
        <f>IF($C18="","",AK18/'Assumptions &amp; Ref'!$C$6)</f>
        <v/>
      </c>
      <c r="AM18" s="21" t="str">
        <f>IF($C18="","",AL18/'Assumptions &amp; Ref'!$C$8)</f>
        <v/>
      </c>
      <c r="AN18" s="21" t="str">
        <f>IF($C18="","",SQRT(AM18*'Assumptions &amp; Ref'!$C$9))</f>
        <v/>
      </c>
      <c r="AO18" s="21" t="str">
        <f>IF($C18="","",SQRT(AM18/'Assumptions &amp; Ref'!$C$9))</f>
        <v/>
      </c>
      <c r="AP18" s="21" t="str">
        <f>IF($C18="","",'Assumptions &amp; Ref'!$C$14+IF(OR(S18="Pre+Fine",S18="Pre+Fine+HEPA"),'Assumptions &amp; Ref'!$C$15,0)+IF(S18="Pre+Fine+HEPA",'Assumptions &amp; Ref'!$C$16,0))</f>
        <v/>
      </c>
      <c r="AQ18" s="21" t="str">
        <f>IF($C18="","",IF(V18="Y",'Assumptions &amp; Ref'!$C$13,0)+AP18+'Assumptions &amp; Ref'!$C$17+O18*'Assumptions &amp; Ref'!$C$18+IF(W18="Y",'Assumptions &amp; Ref'!$C$19,0)+'Assumptions &amp; Ref'!$C$20+IF(X18="Y",'Assumptions &amp; Ref'!$C$21,0))</f>
        <v/>
      </c>
      <c r="AR18" s="21" t="str">
        <f t="shared" si="10"/>
        <v/>
      </c>
      <c r="AS18" s="22" t="str">
        <f t="shared" si="11"/>
        <v/>
      </c>
      <c r="AT18" s="20" t="str">
        <f t="shared" si="12"/>
        <v/>
      </c>
      <c r="AU18" s="23" t="str">
        <f t="shared" si="13"/>
        <v/>
      </c>
      <c r="AV18" s="20" t="str">
        <f>IF($C18="","",AR18*AS18*I18/1000*AT18*(1+'Assumptions &amp; Ref'!$C$75))</f>
        <v/>
      </c>
      <c r="AW18" s="20" t="str">
        <f t="shared" si="14"/>
        <v/>
      </c>
      <c r="AX18" s="23" t="str">
        <f t="shared" si="15"/>
        <v/>
      </c>
      <c r="AY18" s="21" t="str">
        <f t="shared" si="16"/>
        <v/>
      </c>
      <c r="AZ18" s="20" t="str">
        <f t="shared" si="17"/>
        <v/>
      </c>
      <c r="BA18" s="21" t="str">
        <f t="shared" si="18"/>
        <v/>
      </c>
      <c r="BB18" s="20" t="str">
        <f>IF($C18="","",BA18*'Assumptions &amp; Ref'!$C$76)</f>
        <v/>
      </c>
      <c r="BC18" s="20" t="str">
        <f>IF($C18="","",BB18*'Assumptions &amp; Ref'!$C$77)</f>
        <v/>
      </c>
      <c r="BD18" s="21" t="str">
        <f>IF($C18="","",SQRT(AL18/'Assumptions &amp; Ref'!$C$9))</f>
        <v/>
      </c>
      <c r="BE18" s="21" t="str">
        <f>IF($C18="","",SQRT(AL18*'Assumptions &amp; Ref'!$C$9))</f>
        <v/>
      </c>
      <c r="BF18" s="24" t="str">
        <f>IF($C18="","",BD18*1000/'Assumptions &amp; Ref'!$C$27)</f>
        <v/>
      </c>
      <c r="BG18" s="24" t="str">
        <f t="shared" si="32"/>
        <v/>
      </c>
      <c r="BH18" s="24" t="str">
        <f>IF($C18="","",BG18*BE18*(1+'Assumptions &amp; Ref'!$C$29))</f>
        <v/>
      </c>
      <c r="BI18" s="25" t="str">
        <f>IF($C18="","",PI()*('Assumptions &amp; Ref'!$C$25-'Assumptions &amp; Ref'!$C$26)/1000*'Assumptions &amp; Ref'!$C$26/1000*$C$5)</f>
        <v/>
      </c>
      <c r="BJ18" s="20" t="str">
        <f t="shared" si="19"/>
        <v/>
      </c>
      <c r="BK18" s="24" t="str">
        <f t="shared" si="20"/>
        <v/>
      </c>
      <c r="BL18" s="21" t="str">
        <f>IF($C18="","",O18*'Assumptions &amp; Ref'!$C$28/1000)</f>
        <v/>
      </c>
      <c r="BM18" s="21" t="str">
        <f>IF($C18="","",BD18*BL18*(1-'Assumptions &amp; Ref'!$C$31))</f>
        <v/>
      </c>
      <c r="BN18" s="20" t="str">
        <f>IF($C18="","",BK18*BM18*'Assumptions &amp; Ref'!$C$30/1000*INDEX($C$5:$I$5,MATCH(R18,$C$4:$I$4,0)))</f>
        <v/>
      </c>
      <c r="BO18" s="20" t="str">
        <f>IF($C18="","",'Assumptions &amp; Ref'!$C$34+O18*'Assumptions &amp; Ref'!$C$35+'Assumptions &amp; Ref'!$C$36+IF(OR(S18="Pre+Fine",S18="Pre+Fine+HEPA"),'Assumptions &amp; Ref'!$C$37,0)+IF(S18="Pre+Fine+HEPA",'Assumptions &amp; Ref'!$C$38,0))</f>
        <v/>
      </c>
      <c r="BP18" s="20" t="str">
        <f t="shared" si="21"/>
        <v/>
      </c>
      <c r="BQ18" s="21" t="str">
        <f>IF($C18="","",AK18*BP18/(1000*IF(M18="Plug fan",'Assumptions &amp; Ref'!$C$39,'Assumptions &amp; Ref'!$C$40)*'Assumptions &amp; Ref'!$C$41))</f>
        <v/>
      </c>
      <c r="BR18" s="21" t="str">
        <f>IF($C18="","",IFERROR(INDEX('Assumptions &amp; Ref'!$B$44:$B$61,MATCH(BQ18,'Assumptions &amp; Ref'!$B$44:$B$61,1)+IF(INDEX('Assumptions &amp; Ref'!$B$44:$B$61,MATCH(BQ18,'Assumptions &amp; Ref'!$B$44:$B$61,1))&gt;=BQ18,0,1)),INDEX('Assumptions &amp; Ref'!$B$44:$B$61,1)))</f>
        <v/>
      </c>
      <c r="BS18" s="20" t="str">
        <f>IF($C18="","",BR18*IF(M18="Plug fan",'Assumptions &amp; Ref'!$C$64,'Assumptions &amp; Ref'!$C$65))</f>
        <v/>
      </c>
      <c r="BT18" s="20" t="str">
        <f>IF($C18="","",IF(N18="Y",BR18*'Assumptions &amp; Ref'!$C$66,0))</f>
        <v/>
      </c>
      <c r="BU18" s="21" t="str">
        <f t="shared" si="22"/>
        <v/>
      </c>
      <c r="BV18" s="20" t="str">
        <f>IF($C18="","",BU18*('Assumptions &amp; Ref'!$C$67+IF(OR(S18="Pre+Fine",S18="Pre+Fine+HEPA"),'Assumptions &amp; Ref'!$C$68,0)+IF(S18="Pre+Fine+HEPA",'Assumptions &amp; Ref'!$C$69,0)))</f>
        <v/>
      </c>
      <c r="BW18" s="21" t="str">
        <f t="shared" si="23"/>
        <v/>
      </c>
      <c r="BX18" s="20" t="str">
        <f>IF($C18="","",BW18*'Assumptions &amp; Ref'!$C$70)</f>
        <v/>
      </c>
      <c r="BY18" s="20" t="str">
        <f>IF($C18="","",AN18*('Assumptions &amp; Ref'!$C$17+O18*'Assumptions &amp; Ref'!$C$18+0.2)*'Assumptions &amp; Ref'!$C$81/1000*$G$5)</f>
        <v/>
      </c>
      <c r="BZ18" s="20" t="str">
        <f t="shared" si="24"/>
        <v/>
      </c>
      <c r="CA18" s="20" t="str">
        <f t="shared" si="25"/>
        <v/>
      </c>
      <c r="CB18" s="20" t="str">
        <f t="shared" si="26"/>
        <v/>
      </c>
      <c r="CC18" s="20" t="str">
        <f>IF($C18="","",(AV18+BB18)*'Assumptions &amp; Ref'!$C$78+(BJ18+BN18)*'Assumptions &amp; Ref'!$C$80)</f>
        <v/>
      </c>
      <c r="CD18" s="20" t="str">
        <f>IF($C18="","",'Assumptions &amp; Ref'!$C$84*(CA18+CB18+CC18))</f>
        <v/>
      </c>
      <c r="CE18" s="20" t="str">
        <f>IF($C18="","",'Assumptions &amp; Ref'!$C$85*(CA18+CB18+CC18+CD18))</f>
        <v/>
      </c>
      <c r="CF18" s="20" t="str">
        <f t="shared" si="27"/>
        <v/>
      </c>
      <c r="CH18" s="17" t="str">
        <f t="shared" si="28"/>
        <v/>
      </c>
      <c r="CI18" s="17" t="str">
        <f t="shared" si="29"/>
        <v/>
      </c>
      <c r="CJ18" s="17" t="str">
        <f t="shared" si="30"/>
        <v/>
      </c>
    </row>
    <row r="19" spans="2:88" ht="15" customHeight="1" x14ac:dyDescent="0.25">
      <c r="B19" s="12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5" t="str">
        <f t="shared" si="0"/>
        <v/>
      </c>
      <c r="Z19" s="16" t="str">
        <f t="shared" si="31"/>
        <v/>
      </c>
      <c r="AA19" s="17" t="str">
        <f t="shared" si="1"/>
        <v/>
      </c>
      <c r="AB19" s="17" t="str">
        <f t="shared" si="2"/>
        <v/>
      </c>
      <c r="AC19" s="17" t="str">
        <f t="shared" si="3"/>
        <v/>
      </c>
      <c r="AD19" s="17" t="str">
        <f t="shared" si="4"/>
        <v/>
      </c>
      <c r="AE19" s="17" t="str">
        <f t="shared" si="5"/>
        <v/>
      </c>
      <c r="AF19" s="17" t="str">
        <f t="shared" si="6"/>
        <v/>
      </c>
      <c r="AG19" s="18" t="str">
        <f t="shared" si="7"/>
        <v/>
      </c>
      <c r="AH19" s="19" t="str">
        <f t="shared" si="8"/>
        <v/>
      </c>
      <c r="AJ19" s="20" t="str">
        <f>IF($C19="","",$C19*'Assumptions &amp; Ref'!$C$10)</f>
        <v/>
      </c>
      <c r="AK19" s="21" t="str">
        <f t="shared" si="9"/>
        <v/>
      </c>
      <c r="AL19" s="21" t="str">
        <f>IF($C19="","",AK19/'Assumptions &amp; Ref'!$C$6)</f>
        <v/>
      </c>
      <c r="AM19" s="21" t="str">
        <f>IF($C19="","",AL19/'Assumptions &amp; Ref'!$C$8)</f>
        <v/>
      </c>
      <c r="AN19" s="21" t="str">
        <f>IF($C19="","",SQRT(AM19*'Assumptions &amp; Ref'!$C$9))</f>
        <v/>
      </c>
      <c r="AO19" s="21" t="str">
        <f>IF($C19="","",SQRT(AM19/'Assumptions &amp; Ref'!$C$9))</f>
        <v/>
      </c>
      <c r="AP19" s="21" t="str">
        <f>IF($C19="","",'Assumptions &amp; Ref'!$C$14+IF(OR(S19="Pre+Fine",S19="Pre+Fine+HEPA"),'Assumptions &amp; Ref'!$C$15,0)+IF(S19="Pre+Fine+HEPA",'Assumptions &amp; Ref'!$C$16,0))</f>
        <v/>
      </c>
      <c r="AQ19" s="21" t="str">
        <f>IF($C19="","",IF(V19="Y",'Assumptions &amp; Ref'!$C$13,0)+AP19+'Assumptions &amp; Ref'!$C$17+O19*'Assumptions &amp; Ref'!$C$18+IF(W19="Y",'Assumptions &amp; Ref'!$C$19,0)+'Assumptions &amp; Ref'!$C$20+IF(X19="Y",'Assumptions &amp; Ref'!$C$21,0))</f>
        <v/>
      </c>
      <c r="AR19" s="21" t="str">
        <f t="shared" si="10"/>
        <v/>
      </c>
      <c r="AS19" s="22" t="str">
        <f t="shared" si="11"/>
        <v/>
      </c>
      <c r="AT19" s="20" t="str">
        <f t="shared" si="12"/>
        <v/>
      </c>
      <c r="AU19" s="23" t="str">
        <f t="shared" si="13"/>
        <v/>
      </c>
      <c r="AV19" s="20" t="str">
        <f>IF($C19="","",AR19*AS19*I19/1000*AT19*(1+'Assumptions &amp; Ref'!$C$75))</f>
        <v/>
      </c>
      <c r="AW19" s="20" t="str">
        <f t="shared" si="14"/>
        <v/>
      </c>
      <c r="AX19" s="23" t="str">
        <f t="shared" si="15"/>
        <v/>
      </c>
      <c r="AY19" s="21" t="str">
        <f t="shared" si="16"/>
        <v/>
      </c>
      <c r="AZ19" s="20" t="str">
        <f t="shared" si="17"/>
        <v/>
      </c>
      <c r="BA19" s="21" t="str">
        <f t="shared" si="18"/>
        <v/>
      </c>
      <c r="BB19" s="20" t="str">
        <f>IF($C19="","",BA19*'Assumptions &amp; Ref'!$C$76)</f>
        <v/>
      </c>
      <c r="BC19" s="20" t="str">
        <f>IF($C19="","",BB19*'Assumptions &amp; Ref'!$C$77)</f>
        <v/>
      </c>
      <c r="BD19" s="21" t="str">
        <f>IF($C19="","",SQRT(AL19/'Assumptions &amp; Ref'!$C$9))</f>
        <v/>
      </c>
      <c r="BE19" s="21" t="str">
        <f>IF($C19="","",SQRT(AL19*'Assumptions &amp; Ref'!$C$9))</f>
        <v/>
      </c>
      <c r="BF19" s="24" t="str">
        <f>IF($C19="","",BD19*1000/'Assumptions &amp; Ref'!$C$27)</f>
        <v/>
      </c>
      <c r="BG19" s="24" t="str">
        <f t="shared" si="32"/>
        <v/>
      </c>
      <c r="BH19" s="24" t="str">
        <f>IF($C19="","",BG19*BE19*(1+'Assumptions &amp; Ref'!$C$29))</f>
        <v/>
      </c>
      <c r="BI19" s="25" t="str">
        <f>IF($C19="","",PI()*('Assumptions &amp; Ref'!$C$25-'Assumptions &amp; Ref'!$C$26)/1000*'Assumptions &amp; Ref'!$C$26/1000*$C$5)</f>
        <v/>
      </c>
      <c r="BJ19" s="20" t="str">
        <f t="shared" si="19"/>
        <v/>
      </c>
      <c r="BK19" s="24" t="str">
        <f t="shared" si="20"/>
        <v/>
      </c>
      <c r="BL19" s="21" t="str">
        <f>IF($C19="","",O19*'Assumptions &amp; Ref'!$C$28/1000)</f>
        <v/>
      </c>
      <c r="BM19" s="21" t="str">
        <f>IF($C19="","",BD19*BL19*(1-'Assumptions &amp; Ref'!$C$31))</f>
        <v/>
      </c>
      <c r="BN19" s="20" t="str">
        <f>IF($C19="","",BK19*BM19*'Assumptions &amp; Ref'!$C$30/1000*INDEX($C$5:$I$5,MATCH(R19,$C$4:$I$4,0)))</f>
        <v/>
      </c>
      <c r="BO19" s="20" t="str">
        <f>IF($C19="","",'Assumptions &amp; Ref'!$C$34+O19*'Assumptions &amp; Ref'!$C$35+'Assumptions &amp; Ref'!$C$36+IF(OR(S19="Pre+Fine",S19="Pre+Fine+HEPA"),'Assumptions &amp; Ref'!$C$37,0)+IF(S19="Pre+Fine+HEPA",'Assumptions &amp; Ref'!$C$38,0))</f>
        <v/>
      </c>
      <c r="BP19" s="20" t="str">
        <f t="shared" si="21"/>
        <v/>
      </c>
      <c r="BQ19" s="21" t="str">
        <f>IF($C19="","",AK19*BP19/(1000*IF(M19="Plug fan",'Assumptions &amp; Ref'!$C$39,'Assumptions &amp; Ref'!$C$40)*'Assumptions &amp; Ref'!$C$41))</f>
        <v/>
      </c>
      <c r="BR19" s="21" t="str">
        <f>IF($C19="","",IFERROR(INDEX('Assumptions &amp; Ref'!$B$44:$B$61,MATCH(BQ19,'Assumptions &amp; Ref'!$B$44:$B$61,1)+IF(INDEX('Assumptions &amp; Ref'!$B$44:$B$61,MATCH(BQ19,'Assumptions &amp; Ref'!$B$44:$B$61,1))&gt;=BQ19,0,1)),INDEX('Assumptions &amp; Ref'!$B$44:$B$61,1)))</f>
        <v/>
      </c>
      <c r="BS19" s="20" t="str">
        <f>IF($C19="","",BR19*IF(M19="Plug fan",'Assumptions &amp; Ref'!$C$64,'Assumptions &amp; Ref'!$C$65))</f>
        <v/>
      </c>
      <c r="BT19" s="20" t="str">
        <f>IF($C19="","",IF(N19="Y",BR19*'Assumptions &amp; Ref'!$C$66,0))</f>
        <v/>
      </c>
      <c r="BU19" s="21" t="str">
        <f t="shared" si="22"/>
        <v/>
      </c>
      <c r="BV19" s="20" t="str">
        <f>IF($C19="","",BU19*('Assumptions &amp; Ref'!$C$67+IF(OR(S19="Pre+Fine",S19="Pre+Fine+HEPA"),'Assumptions &amp; Ref'!$C$68,0)+IF(S19="Pre+Fine+HEPA",'Assumptions &amp; Ref'!$C$69,0)))</f>
        <v/>
      </c>
      <c r="BW19" s="21" t="str">
        <f t="shared" si="23"/>
        <v/>
      </c>
      <c r="BX19" s="20" t="str">
        <f>IF($C19="","",BW19*'Assumptions &amp; Ref'!$C$70)</f>
        <v/>
      </c>
      <c r="BY19" s="20" t="str">
        <f>IF($C19="","",AN19*('Assumptions &amp; Ref'!$C$17+O19*'Assumptions &amp; Ref'!$C$18+0.2)*'Assumptions &amp; Ref'!$C$81/1000*$G$5)</f>
        <v/>
      </c>
      <c r="BZ19" s="20" t="str">
        <f t="shared" si="24"/>
        <v/>
      </c>
      <c r="CA19" s="20" t="str">
        <f t="shared" si="25"/>
        <v/>
      </c>
      <c r="CB19" s="20" t="str">
        <f t="shared" si="26"/>
        <v/>
      </c>
      <c r="CC19" s="20" t="str">
        <f>IF($C19="","",(AV19+BB19)*'Assumptions &amp; Ref'!$C$78+(BJ19+BN19)*'Assumptions &amp; Ref'!$C$80)</f>
        <v/>
      </c>
      <c r="CD19" s="20" t="str">
        <f>IF($C19="","",'Assumptions &amp; Ref'!$C$84*(CA19+CB19+CC19))</f>
        <v/>
      </c>
      <c r="CE19" s="20" t="str">
        <f>IF($C19="","",'Assumptions &amp; Ref'!$C$85*(CA19+CB19+CC19+CD19))</f>
        <v/>
      </c>
      <c r="CF19" s="20" t="str">
        <f t="shared" si="27"/>
        <v/>
      </c>
      <c r="CH19" s="17" t="str">
        <f t="shared" si="28"/>
        <v/>
      </c>
      <c r="CI19" s="17" t="str">
        <f t="shared" si="29"/>
        <v/>
      </c>
      <c r="CJ19" s="17" t="str">
        <f t="shared" si="30"/>
        <v/>
      </c>
    </row>
    <row r="20" spans="2:88" ht="15" customHeight="1" x14ac:dyDescent="0.25">
      <c r="B20" s="12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5" t="str">
        <f t="shared" si="0"/>
        <v/>
      </c>
      <c r="Z20" s="16" t="str">
        <f t="shared" si="31"/>
        <v/>
      </c>
      <c r="AA20" s="17" t="str">
        <f t="shared" si="1"/>
        <v/>
      </c>
      <c r="AB20" s="17" t="str">
        <f t="shared" si="2"/>
        <v/>
      </c>
      <c r="AC20" s="17" t="str">
        <f t="shared" si="3"/>
        <v/>
      </c>
      <c r="AD20" s="17" t="str">
        <f t="shared" si="4"/>
        <v/>
      </c>
      <c r="AE20" s="17" t="str">
        <f t="shared" si="5"/>
        <v/>
      </c>
      <c r="AF20" s="17" t="str">
        <f t="shared" si="6"/>
        <v/>
      </c>
      <c r="AG20" s="18" t="str">
        <f t="shared" si="7"/>
        <v/>
      </c>
      <c r="AH20" s="19" t="str">
        <f t="shared" si="8"/>
        <v/>
      </c>
      <c r="AJ20" s="20" t="str">
        <f>IF($C20="","",$C20*'Assumptions &amp; Ref'!$C$10)</f>
        <v/>
      </c>
      <c r="AK20" s="21" t="str">
        <f t="shared" si="9"/>
        <v/>
      </c>
      <c r="AL20" s="21" t="str">
        <f>IF($C20="","",AK20/'Assumptions &amp; Ref'!$C$6)</f>
        <v/>
      </c>
      <c r="AM20" s="21" t="str">
        <f>IF($C20="","",AL20/'Assumptions &amp; Ref'!$C$8)</f>
        <v/>
      </c>
      <c r="AN20" s="21" t="str">
        <f>IF($C20="","",SQRT(AM20*'Assumptions &amp; Ref'!$C$9))</f>
        <v/>
      </c>
      <c r="AO20" s="21" t="str">
        <f>IF($C20="","",SQRT(AM20/'Assumptions &amp; Ref'!$C$9))</f>
        <v/>
      </c>
      <c r="AP20" s="21" t="str">
        <f>IF($C20="","",'Assumptions &amp; Ref'!$C$14+IF(OR(S20="Pre+Fine",S20="Pre+Fine+HEPA"),'Assumptions &amp; Ref'!$C$15,0)+IF(S20="Pre+Fine+HEPA",'Assumptions &amp; Ref'!$C$16,0))</f>
        <v/>
      </c>
      <c r="AQ20" s="21" t="str">
        <f>IF($C20="","",IF(V20="Y",'Assumptions &amp; Ref'!$C$13,0)+AP20+'Assumptions &amp; Ref'!$C$17+O20*'Assumptions &amp; Ref'!$C$18+IF(W20="Y",'Assumptions &amp; Ref'!$C$19,0)+'Assumptions &amp; Ref'!$C$20+IF(X20="Y",'Assumptions &amp; Ref'!$C$21,0))</f>
        <v/>
      </c>
      <c r="AR20" s="21" t="str">
        <f t="shared" si="10"/>
        <v/>
      </c>
      <c r="AS20" s="22" t="str">
        <f t="shared" si="11"/>
        <v/>
      </c>
      <c r="AT20" s="20" t="str">
        <f t="shared" si="12"/>
        <v/>
      </c>
      <c r="AU20" s="23" t="str">
        <f t="shared" si="13"/>
        <v/>
      </c>
      <c r="AV20" s="20" t="str">
        <f>IF($C20="","",AR20*AS20*I20/1000*AT20*(1+'Assumptions &amp; Ref'!$C$75))</f>
        <v/>
      </c>
      <c r="AW20" s="20" t="str">
        <f t="shared" si="14"/>
        <v/>
      </c>
      <c r="AX20" s="23" t="str">
        <f t="shared" si="15"/>
        <v/>
      </c>
      <c r="AY20" s="21" t="str">
        <f t="shared" si="16"/>
        <v/>
      </c>
      <c r="AZ20" s="20" t="str">
        <f t="shared" si="17"/>
        <v/>
      </c>
      <c r="BA20" s="21" t="str">
        <f t="shared" si="18"/>
        <v/>
      </c>
      <c r="BB20" s="20" t="str">
        <f>IF($C20="","",BA20*'Assumptions &amp; Ref'!$C$76)</f>
        <v/>
      </c>
      <c r="BC20" s="20" t="str">
        <f>IF($C20="","",BB20*'Assumptions &amp; Ref'!$C$77)</f>
        <v/>
      </c>
      <c r="BD20" s="21" t="str">
        <f>IF($C20="","",SQRT(AL20/'Assumptions &amp; Ref'!$C$9))</f>
        <v/>
      </c>
      <c r="BE20" s="21" t="str">
        <f>IF($C20="","",SQRT(AL20*'Assumptions &amp; Ref'!$C$9))</f>
        <v/>
      </c>
      <c r="BF20" s="24" t="str">
        <f>IF($C20="","",BD20*1000/'Assumptions &amp; Ref'!$C$27)</f>
        <v/>
      </c>
      <c r="BG20" s="24" t="str">
        <f t="shared" si="32"/>
        <v/>
      </c>
      <c r="BH20" s="24" t="str">
        <f>IF($C20="","",BG20*BE20*(1+'Assumptions &amp; Ref'!$C$29))</f>
        <v/>
      </c>
      <c r="BI20" s="25" t="str">
        <f>IF($C20="","",PI()*('Assumptions &amp; Ref'!$C$25-'Assumptions &amp; Ref'!$C$26)/1000*'Assumptions &amp; Ref'!$C$26/1000*$C$5)</f>
        <v/>
      </c>
      <c r="BJ20" s="20" t="str">
        <f t="shared" si="19"/>
        <v/>
      </c>
      <c r="BK20" s="24" t="str">
        <f t="shared" si="20"/>
        <v/>
      </c>
      <c r="BL20" s="21" t="str">
        <f>IF($C20="","",O20*'Assumptions &amp; Ref'!$C$28/1000)</f>
        <v/>
      </c>
      <c r="BM20" s="21" t="str">
        <f>IF($C20="","",BD20*BL20*(1-'Assumptions &amp; Ref'!$C$31))</f>
        <v/>
      </c>
      <c r="BN20" s="20" t="str">
        <f>IF($C20="","",BK20*BM20*'Assumptions &amp; Ref'!$C$30/1000*INDEX($C$5:$I$5,MATCH(R20,$C$4:$I$4,0)))</f>
        <v/>
      </c>
      <c r="BO20" s="20" t="str">
        <f>IF($C20="","",'Assumptions &amp; Ref'!$C$34+O20*'Assumptions &amp; Ref'!$C$35+'Assumptions &amp; Ref'!$C$36+IF(OR(S20="Pre+Fine",S20="Pre+Fine+HEPA"),'Assumptions &amp; Ref'!$C$37,0)+IF(S20="Pre+Fine+HEPA",'Assumptions &amp; Ref'!$C$38,0))</f>
        <v/>
      </c>
      <c r="BP20" s="20" t="str">
        <f t="shared" si="21"/>
        <v/>
      </c>
      <c r="BQ20" s="21" t="str">
        <f>IF($C20="","",AK20*BP20/(1000*IF(M20="Plug fan",'Assumptions &amp; Ref'!$C$39,'Assumptions &amp; Ref'!$C$40)*'Assumptions &amp; Ref'!$C$41))</f>
        <v/>
      </c>
      <c r="BR20" s="21" t="str">
        <f>IF($C20="","",IFERROR(INDEX('Assumptions &amp; Ref'!$B$44:$B$61,MATCH(BQ20,'Assumptions &amp; Ref'!$B$44:$B$61,1)+IF(INDEX('Assumptions &amp; Ref'!$B$44:$B$61,MATCH(BQ20,'Assumptions &amp; Ref'!$B$44:$B$61,1))&gt;=BQ20,0,1)),INDEX('Assumptions &amp; Ref'!$B$44:$B$61,1)))</f>
        <v/>
      </c>
      <c r="BS20" s="20" t="str">
        <f>IF($C20="","",BR20*IF(M20="Plug fan",'Assumptions &amp; Ref'!$C$64,'Assumptions &amp; Ref'!$C$65))</f>
        <v/>
      </c>
      <c r="BT20" s="20" t="str">
        <f>IF($C20="","",IF(N20="Y",BR20*'Assumptions &amp; Ref'!$C$66,0))</f>
        <v/>
      </c>
      <c r="BU20" s="21" t="str">
        <f t="shared" si="22"/>
        <v/>
      </c>
      <c r="BV20" s="20" t="str">
        <f>IF($C20="","",BU20*('Assumptions &amp; Ref'!$C$67+IF(OR(S20="Pre+Fine",S20="Pre+Fine+HEPA"),'Assumptions &amp; Ref'!$C$68,0)+IF(S20="Pre+Fine+HEPA",'Assumptions &amp; Ref'!$C$69,0)))</f>
        <v/>
      </c>
      <c r="BW20" s="21" t="str">
        <f t="shared" si="23"/>
        <v/>
      </c>
      <c r="BX20" s="20" t="str">
        <f>IF($C20="","",BW20*'Assumptions &amp; Ref'!$C$70)</f>
        <v/>
      </c>
      <c r="BY20" s="20" t="str">
        <f>IF($C20="","",AN20*('Assumptions &amp; Ref'!$C$17+O20*'Assumptions &amp; Ref'!$C$18+0.2)*'Assumptions &amp; Ref'!$C$81/1000*$G$5)</f>
        <v/>
      </c>
      <c r="BZ20" s="20" t="str">
        <f t="shared" si="24"/>
        <v/>
      </c>
      <c r="CA20" s="20" t="str">
        <f t="shared" si="25"/>
        <v/>
      </c>
      <c r="CB20" s="20" t="str">
        <f t="shared" si="26"/>
        <v/>
      </c>
      <c r="CC20" s="20" t="str">
        <f>IF($C20="","",(AV20+BB20)*'Assumptions &amp; Ref'!$C$78+(BJ20+BN20)*'Assumptions &amp; Ref'!$C$80)</f>
        <v/>
      </c>
      <c r="CD20" s="20" t="str">
        <f>IF($C20="","",'Assumptions &amp; Ref'!$C$84*(CA20+CB20+CC20))</f>
        <v/>
      </c>
      <c r="CE20" s="20" t="str">
        <f>IF($C20="","",'Assumptions &amp; Ref'!$C$85*(CA20+CB20+CC20+CD20))</f>
        <v/>
      </c>
      <c r="CF20" s="20" t="str">
        <f t="shared" si="27"/>
        <v/>
      </c>
      <c r="CH20" s="17" t="str">
        <f t="shared" si="28"/>
        <v/>
      </c>
      <c r="CI20" s="17" t="str">
        <f t="shared" si="29"/>
        <v/>
      </c>
      <c r="CJ20" s="17" t="str">
        <f t="shared" si="30"/>
        <v/>
      </c>
    </row>
    <row r="21" spans="2:88" ht="15" customHeight="1" x14ac:dyDescent="0.25">
      <c r="B21" s="12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5" t="str">
        <f t="shared" si="0"/>
        <v/>
      </c>
      <c r="Z21" s="16" t="str">
        <f t="shared" si="31"/>
        <v/>
      </c>
      <c r="AA21" s="17" t="str">
        <f t="shared" si="1"/>
        <v/>
      </c>
      <c r="AB21" s="17" t="str">
        <f t="shared" si="2"/>
        <v/>
      </c>
      <c r="AC21" s="17" t="str">
        <f t="shared" si="3"/>
        <v/>
      </c>
      <c r="AD21" s="17" t="str">
        <f t="shared" si="4"/>
        <v/>
      </c>
      <c r="AE21" s="17" t="str">
        <f t="shared" si="5"/>
        <v/>
      </c>
      <c r="AF21" s="17" t="str">
        <f t="shared" si="6"/>
        <v/>
      </c>
      <c r="AG21" s="18" t="str">
        <f t="shared" si="7"/>
        <v/>
      </c>
      <c r="AH21" s="19" t="str">
        <f t="shared" si="8"/>
        <v/>
      </c>
      <c r="AJ21" s="20" t="str">
        <f>IF($C21="","",$C21*'Assumptions &amp; Ref'!$C$10)</f>
        <v/>
      </c>
      <c r="AK21" s="21" t="str">
        <f t="shared" si="9"/>
        <v/>
      </c>
      <c r="AL21" s="21" t="str">
        <f>IF($C21="","",AK21/'Assumptions &amp; Ref'!$C$6)</f>
        <v/>
      </c>
      <c r="AM21" s="21" t="str">
        <f>IF($C21="","",AL21/'Assumptions &amp; Ref'!$C$8)</f>
        <v/>
      </c>
      <c r="AN21" s="21" t="str">
        <f>IF($C21="","",SQRT(AM21*'Assumptions &amp; Ref'!$C$9))</f>
        <v/>
      </c>
      <c r="AO21" s="21" t="str">
        <f>IF($C21="","",SQRT(AM21/'Assumptions &amp; Ref'!$C$9))</f>
        <v/>
      </c>
      <c r="AP21" s="21" t="str">
        <f>IF($C21="","",'Assumptions &amp; Ref'!$C$14+IF(OR(S21="Pre+Fine",S21="Pre+Fine+HEPA"),'Assumptions &amp; Ref'!$C$15,0)+IF(S21="Pre+Fine+HEPA",'Assumptions &amp; Ref'!$C$16,0))</f>
        <v/>
      </c>
      <c r="AQ21" s="21" t="str">
        <f>IF($C21="","",IF(V21="Y",'Assumptions &amp; Ref'!$C$13,0)+AP21+'Assumptions &amp; Ref'!$C$17+O21*'Assumptions &amp; Ref'!$C$18+IF(W21="Y",'Assumptions &amp; Ref'!$C$19,0)+'Assumptions &amp; Ref'!$C$20+IF(X21="Y",'Assumptions &amp; Ref'!$C$21,0))</f>
        <v/>
      </c>
      <c r="AR21" s="21" t="str">
        <f t="shared" si="10"/>
        <v/>
      </c>
      <c r="AS21" s="22" t="str">
        <f t="shared" si="11"/>
        <v/>
      </c>
      <c r="AT21" s="20" t="str">
        <f t="shared" si="12"/>
        <v/>
      </c>
      <c r="AU21" s="23" t="str">
        <f t="shared" si="13"/>
        <v/>
      </c>
      <c r="AV21" s="20" t="str">
        <f>IF($C21="","",AR21*AS21*I21/1000*AT21*(1+'Assumptions &amp; Ref'!$C$75))</f>
        <v/>
      </c>
      <c r="AW21" s="20" t="str">
        <f t="shared" si="14"/>
        <v/>
      </c>
      <c r="AX21" s="23" t="str">
        <f t="shared" si="15"/>
        <v/>
      </c>
      <c r="AY21" s="21" t="str">
        <f t="shared" si="16"/>
        <v/>
      </c>
      <c r="AZ21" s="20" t="str">
        <f t="shared" si="17"/>
        <v/>
      </c>
      <c r="BA21" s="21" t="str">
        <f t="shared" si="18"/>
        <v/>
      </c>
      <c r="BB21" s="20" t="str">
        <f>IF($C21="","",BA21*'Assumptions &amp; Ref'!$C$76)</f>
        <v/>
      </c>
      <c r="BC21" s="20" t="str">
        <f>IF($C21="","",BB21*'Assumptions &amp; Ref'!$C$77)</f>
        <v/>
      </c>
      <c r="BD21" s="21" t="str">
        <f>IF($C21="","",SQRT(AL21/'Assumptions &amp; Ref'!$C$9))</f>
        <v/>
      </c>
      <c r="BE21" s="21" t="str">
        <f>IF($C21="","",SQRT(AL21*'Assumptions &amp; Ref'!$C$9))</f>
        <v/>
      </c>
      <c r="BF21" s="24" t="str">
        <f>IF($C21="","",BD21*1000/'Assumptions &amp; Ref'!$C$27)</f>
        <v/>
      </c>
      <c r="BG21" s="24" t="str">
        <f t="shared" si="32"/>
        <v/>
      </c>
      <c r="BH21" s="24" t="str">
        <f>IF($C21="","",BG21*BE21*(1+'Assumptions &amp; Ref'!$C$29))</f>
        <v/>
      </c>
      <c r="BI21" s="25" t="str">
        <f>IF($C21="","",PI()*('Assumptions &amp; Ref'!$C$25-'Assumptions &amp; Ref'!$C$26)/1000*'Assumptions &amp; Ref'!$C$26/1000*$C$5)</f>
        <v/>
      </c>
      <c r="BJ21" s="20" t="str">
        <f t="shared" si="19"/>
        <v/>
      </c>
      <c r="BK21" s="24" t="str">
        <f t="shared" si="20"/>
        <v/>
      </c>
      <c r="BL21" s="21" t="str">
        <f>IF($C21="","",O21*'Assumptions &amp; Ref'!$C$28/1000)</f>
        <v/>
      </c>
      <c r="BM21" s="21" t="str">
        <f>IF($C21="","",BD21*BL21*(1-'Assumptions &amp; Ref'!$C$31))</f>
        <v/>
      </c>
      <c r="BN21" s="20" t="str">
        <f>IF($C21="","",BK21*BM21*'Assumptions &amp; Ref'!$C$30/1000*INDEX($C$5:$I$5,MATCH(R21,$C$4:$I$4,0)))</f>
        <v/>
      </c>
      <c r="BO21" s="20" t="str">
        <f>IF($C21="","",'Assumptions &amp; Ref'!$C$34+O21*'Assumptions &amp; Ref'!$C$35+'Assumptions &amp; Ref'!$C$36+IF(OR(S21="Pre+Fine",S21="Pre+Fine+HEPA"),'Assumptions &amp; Ref'!$C$37,0)+IF(S21="Pre+Fine+HEPA",'Assumptions &amp; Ref'!$C$38,0))</f>
        <v/>
      </c>
      <c r="BP21" s="20" t="str">
        <f t="shared" si="21"/>
        <v/>
      </c>
      <c r="BQ21" s="21" t="str">
        <f>IF($C21="","",AK21*BP21/(1000*IF(M21="Plug fan",'Assumptions &amp; Ref'!$C$39,'Assumptions &amp; Ref'!$C$40)*'Assumptions &amp; Ref'!$C$41))</f>
        <v/>
      </c>
      <c r="BR21" s="21" t="str">
        <f>IF($C21="","",IFERROR(INDEX('Assumptions &amp; Ref'!$B$44:$B$61,MATCH(BQ21,'Assumptions &amp; Ref'!$B$44:$B$61,1)+IF(INDEX('Assumptions &amp; Ref'!$B$44:$B$61,MATCH(BQ21,'Assumptions &amp; Ref'!$B$44:$B$61,1))&gt;=BQ21,0,1)),INDEX('Assumptions &amp; Ref'!$B$44:$B$61,1)))</f>
        <v/>
      </c>
      <c r="BS21" s="20" t="str">
        <f>IF($C21="","",BR21*IF(M21="Plug fan",'Assumptions &amp; Ref'!$C$64,'Assumptions &amp; Ref'!$C$65))</f>
        <v/>
      </c>
      <c r="BT21" s="20" t="str">
        <f>IF($C21="","",IF(N21="Y",BR21*'Assumptions &amp; Ref'!$C$66,0))</f>
        <v/>
      </c>
      <c r="BU21" s="21" t="str">
        <f t="shared" si="22"/>
        <v/>
      </c>
      <c r="BV21" s="20" t="str">
        <f>IF($C21="","",BU21*('Assumptions &amp; Ref'!$C$67+IF(OR(S21="Pre+Fine",S21="Pre+Fine+HEPA"),'Assumptions &amp; Ref'!$C$68,0)+IF(S21="Pre+Fine+HEPA",'Assumptions &amp; Ref'!$C$69,0)))</f>
        <v/>
      </c>
      <c r="BW21" s="21" t="str">
        <f t="shared" si="23"/>
        <v/>
      </c>
      <c r="BX21" s="20" t="str">
        <f>IF($C21="","",BW21*'Assumptions &amp; Ref'!$C$70)</f>
        <v/>
      </c>
      <c r="BY21" s="20" t="str">
        <f>IF($C21="","",AN21*('Assumptions &amp; Ref'!$C$17+O21*'Assumptions &amp; Ref'!$C$18+0.2)*'Assumptions &amp; Ref'!$C$81/1000*$G$5)</f>
        <v/>
      </c>
      <c r="BZ21" s="20" t="str">
        <f t="shared" si="24"/>
        <v/>
      </c>
      <c r="CA21" s="20" t="str">
        <f t="shared" si="25"/>
        <v/>
      </c>
      <c r="CB21" s="20" t="str">
        <f t="shared" si="26"/>
        <v/>
      </c>
      <c r="CC21" s="20" t="str">
        <f>IF($C21="","",(AV21+BB21)*'Assumptions &amp; Ref'!$C$78+(BJ21+BN21)*'Assumptions &amp; Ref'!$C$80)</f>
        <v/>
      </c>
      <c r="CD21" s="20" t="str">
        <f>IF($C21="","",'Assumptions &amp; Ref'!$C$84*(CA21+CB21+CC21))</f>
        <v/>
      </c>
      <c r="CE21" s="20" t="str">
        <f>IF($C21="","",'Assumptions &amp; Ref'!$C$85*(CA21+CB21+CC21+CD21))</f>
        <v/>
      </c>
      <c r="CF21" s="20" t="str">
        <f t="shared" si="27"/>
        <v/>
      </c>
      <c r="CH21" s="17" t="str">
        <f t="shared" si="28"/>
        <v/>
      </c>
      <c r="CI21" s="17" t="str">
        <f t="shared" si="29"/>
        <v/>
      </c>
      <c r="CJ21" s="17" t="str">
        <f t="shared" si="30"/>
        <v/>
      </c>
    </row>
    <row r="22" spans="2:88" ht="15" customHeight="1" x14ac:dyDescent="0.25">
      <c r="B22" s="12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5" t="str">
        <f t="shared" si="0"/>
        <v/>
      </c>
      <c r="Z22" s="16" t="str">
        <f t="shared" si="31"/>
        <v/>
      </c>
      <c r="AA22" s="17" t="str">
        <f t="shared" si="1"/>
        <v/>
      </c>
      <c r="AB22" s="17" t="str">
        <f t="shared" si="2"/>
        <v/>
      </c>
      <c r="AC22" s="17" t="str">
        <f t="shared" si="3"/>
        <v/>
      </c>
      <c r="AD22" s="17" t="str">
        <f t="shared" si="4"/>
        <v/>
      </c>
      <c r="AE22" s="17" t="str">
        <f t="shared" si="5"/>
        <v/>
      </c>
      <c r="AF22" s="17" t="str">
        <f t="shared" si="6"/>
        <v/>
      </c>
      <c r="AG22" s="18" t="str">
        <f t="shared" si="7"/>
        <v/>
      </c>
      <c r="AH22" s="19" t="str">
        <f t="shared" si="8"/>
        <v/>
      </c>
      <c r="AJ22" s="20" t="str">
        <f>IF($C22="","",$C22*'Assumptions &amp; Ref'!$C$10)</f>
        <v/>
      </c>
      <c r="AK22" s="21" t="str">
        <f t="shared" si="9"/>
        <v/>
      </c>
      <c r="AL22" s="21" t="str">
        <f>IF($C22="","",AK22/'Assumptions &amp; Ref'!$C$6)</f>
        <v/>
      </c>
      <c r="AM22" s="21" t="str">
        <f>IF($C22="","",AL22/'Assumptions &amp; Ref'!$C$8)</f>
        <v/>
      </c>
      <c r="AN22" s="21" t="str">
        <f>IF($C22="","",SQRT(AM22*'Assumptions &amp; Ref'!$C$9))</f>
        <v/>
      </c>
      <c r="AO22" s="21" t="str">
        <f>IF($C22="","",SQRT(AM22/'Assumptions &amp; Ref'!$C$9))</f>
        <v/>
      </c>
      <c r="AP22" s="21" t="str">
        <f>IF($C22="","",'Assumptions &amp; Ref'!$C$14+IF(OR(S22="Pre+Fine",S22="Pre+Fine+HEPA"),'Assumptions &amp; Ref'!$C$15,0)+IF(S22="Pre+Fine+HEPA",'Assumptions &amp; Ref'!$C$16,0))</f>
        <v/>
      </c>
      <c r="AQ22" s="21" t="str">
        <f>IF($C22="","",IF(V22="Y",'Assumptions &amp; Ref'!$C$13,0)+AP22+'Assumptions &amp; Ref'!$C$17+O22*'Assumptions &amp; Ref'!$C$18+IF(W22="Y",'Assumptions &amp; Ref'!$C$19,0)+'Assumptions &amp; Ref'!$C$20+IF(X22="Y",'Assumptions &amp; Ref'!$C$21,0))</f>
        <v/>
      </c>
      <c r="AR22" s="21" t="str">
        <f t="shared" si="10"/>
        <v/>
      </c>
      <c r="AS22" s="22" t="str">
        <f t="shared" si="11"/>
        <v/>
      </c>
      <c r="AT22" s="20" t="str">
        <f t="shared" si="12"/>
        <v/>
      </c>
      <c r="AU22" s="23" t="str">
        <f t="shared" si="13"/>
        <v/>
      </c>
      <c r="AV22" s="20" t="str">
        <f>IF($C22="","",AR22*AS22*I22/1000*AT22*(1+'Assumptions &amp; Ref'!$C$75))</f>
        <v/>
      </c>
      <c r="AW22" s="20" t="str">
        <f t="shared" si="14"/>
        <v/>
      </c>
      <c r="AX22" s="23" t="str">
        <f t="shared" si="15"/>
        <v/>
      </c>
      <c r="AY22" s="21" t="str">
        <f t="shared" si="16"/>
        <v/>
      </c>
      <c r="AZ22" s="20" t="str">
        <f t="shared" si="17"/>
        <v/>
      </c>
      <c r="BA22" s="21" t="str">
        <f t="shared" si="18"/>
        <v/>
      </c>
      <c r="BB22" s="20" t="str">
        <f>IF($C22="","",BA22*'Assumptions &amp; Ref'!$C$76)</f>
        <v/>
      </c>
      <c r="BC22" s="20" t="str">
        <f>IF($C22="","",BB22*'Assumptions &amp; Ref'!$C$77)</f>
        <v/>
      </c>
      <c r="BD22" s="21" t="str">
        <f>IF($C22="","",SQRT(AL22/'Assumptions &amp; Ref'!$C$9))</f>
        <v/>
      </c>
      <c r="BE22" s="21" t="str">
        <f>IF($C22="","",SQRT(AL22*'Assumptions &amp; Ref'!$C$9))</f>
        <v/>
      </c>
      <c r="BF22" s="24" t="str">
        <f>IF($C22="","",BD22*1000/'Assumptions &amp; Ref'!$C$27)</f>
        <v/>
      </c>
      <c r="BG22" s="24" t="str">
        <f t="shared" si="32"/>
        <v/>
      </c>
      <c r="BH22" s="24" t="str">
        <f>IF($C22="","",BG22*BE22*(1+'Assumptions &amp; Ref'!$C$29))</f>
        <v/>
      </c>
      <c r="BI22" s="25" t="str">
        <f>IF($C22="","",PI()*('Assumptions &amp; Ref'!$C$25-'Assumptions &amp; Ref'!$C$26)/1000*'Assumptions &amp; Ref'!$C$26/1000*$C$5)</f>
        <v/>
      </c>
      <c r="BJ22" s="20" t="str">
        <f t="shared" si="19"/>
        <v/>
      </c>
      <c r="BK22" s="24" t="str">
        <f t="shared" si="20"/>
        <v/>
      </c>
      <c r="BL22" s="21" t="str">
        <f>IF($C22="","",O22*'Assumptions &amp; Ref'!$C$28/1000)</f>
        <v/>
      </c>
      <c r="BM22" s="21" t="str">
        <f>IF($C22="","",BD22*BL22*(1-'Assumptions &amp; Ref'!$C$31))</f>
        <v/>
      </c>
      <c r="BN22" s="20" t="str">
        <f>IF($C22="","",BK22*BM22*'Assumptions &amp; Ref'!$C$30/1000*INDEX($C$5:$I$5,MATCH(R22,$C$4:$I$4,0)))</f>
        <v/>
      </c>
      <c r="BO22" s="20" t="str">
        <f>IF($C22="","",'Assumptions &amp; Ref'!$C$34+O22*'Assumptions &amp; Ref'!$C$35+'Assumptions &amp; Ref'!$C$36+IF(OR(S22="Pre+Fine",S22="Pre+Fine+HEPA"),'Assumptions &amp; Ref'!$C$37,0)+IF(S22="Pre+Fine+HEPA",'Assumptions &amp; Ref'!$C$38,0))</f>
        <v/>
      </c>
      <c r="BP22" s="20" t="str">
        <f t="shared" si="21"/>
        <v/>
      </c>
      <c r="BQ22" s="21" t="str">
        <f>IF($C22="","",AK22*BP22/(1000*IF(M22="Plug fan",'Assumptions &amp; Ref'!$C$39,'Assumptions &amp; Ref'!$C$40)*'Assumptions &amp; Ref'!$C$41))</f>
        <v/>
      </c>
      <c r="BR22" s="21" t="str">
        <f>IF($C22="","",IFERROR(INDEX('Assumptions &amp; Ref'!$B$44:$B$61,MATCH(BQ22,'Assumptions &amp; Ref'!$B$44:$B$61,1)+IF(INDEX('Assumptions &amp; Ref'!$B$44:$B$61,MATCH(BQ22,'Assumptions &amp; Ref'!$B$44:$B$61,1))&gt;=BQ22,0,1)),INDEX('Assumptions &amp; Ref'!$B$44:$B$61,1)))</f>
        <v/>
      </c>
      <c r="BS22" s="20" t="str">
        <f>IF($C22="","",BR22*IF(M22="Plug fan",'Assumptions &amp; Ref'!$C$64,'Assumptions &amp; Ref'!$C$65))</f>
        <v/>
      </c>
      <c r="BT22" s="20" t="str">
        <f>IF($C22="","",IF(N22="Y",BR22*'Assumptions &amp; Ref'!$C$66,0))</f>
        <v/>
      </c>
      <c r="BU22" s="21" t="str">
        <f t="shared" si="22"/>
        <v/>
      </c>
      <c r="BV22" s="20" t="str">
        <f>IF($C22="","",BU22*('Assumptions &amp; Ref'!$C$67+IF(OR(S22="Pre+Fine",S22="Pre+Fine+HEPA"),'Assumptions &amp; Ref'!$C$68,0)+IF(S22="Pre+Fine+HEPA",'Assumptions &amp; Ref'!$C$69,0)))</f>
        <v/>
      </c>
      <c r="BW22" s="21" t="str">
        <f t="shared" si="23"/>
        <v/>
      </c>
      <c r="BX22" s="20" t="str">
        <f>IF($C22="","",BW22*'Assumptions &amp; Ref'!$C$70)</f>
        <v/>
      </c>
      <c r="BY22" s="20" t="str">
        <f>IF($C22="","",AN22*('Assumptions &amp; Ref'!$C$17+O22*'Assumptions &amp; Ref'!$C$18+0.2)*'Assumptions &amp; Ref'!$C$81/1000*$G$5)</f>
        <v/>
      </c>
      <c r="BZ22" s="20" t="str">
        <f t="shared" si="24"/>
        <v/>
      </c>
      <c r="CA22" s="20" t="str">
        <f t="shared" si="25"/>
        <v/>
      </c>
      <c r="CB22" s="20" t="str">
        <f t="shared" si="26"/>
        <v/>
      </c>
      <c r="CC22" s="20" t="str">
        <f>IF($C22="","",(AV22+BB22)*'Assumptions &amp; Ref'!$C$78+(BJ22+BN22)*'Assumptions &amp; Ref'!$C$80)</f>
        <v/>
      </c>
      <c r="CD22" s="20" t="str">
        <f>IF($C22="","",'Assumptions &amp; Ref'!$C$84*(CA22+CB22+CC22))</f>
        <v/>
      </c>
      <c r="CE22" s="20" t="str">
        <f>IF($C22="","",'Assumptions &amp; Ref'!$C$85*(CA22+CB22+CC22+CD22))</f>
        <v/>
      </c>
      <c r="CF22" s="20" t="str">
        <f t="shared" si="27"/>
        <v/>
      </c>
      <c r="CH22" s="17" t="str">
        <f t="shared" si="28"/>
        <v/>
      </c>
      <c r="CI22" s="17" t="str">
        <f t="shared" si="29"/>
        <v/>
      </c>
      <c r="CJ22" s="17" t="str">
        <f t="shared" si="30"/>
        <v/>
      </c>
    </row>
    <row r="23" spans="2:88" ht="15" customHeight="1" x14ac:dyDescent="0.25"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5" t="str">
        <f t="shared" si="0"/>
        <v/>
      </c>
      <c r="Z23" s="16" t="str">
        <f t="shared" si="31"/>
        <v/>
      </c>
      <c r="AA23" s="17" t="str">
        <f t="shared" si="1"/>
        <v/>
      </c>
      <c r="AB23" s="17" t="str">
        <f t="shared" si="2"/>
        <v/>
      </c>
      <c r="AC23" s="17" t="str">
        <f t="shared" si="3"/>
        <v/>
      </c>
      <c r="AD23" s="17" t="str">
        <f t="shared" si="4"/>
        <v/>
      </c>
      <c r="AE23" s="17" t="str">
        <f t="shared" si="5"/>
        <v/>
      </c>
      <c r="AF23" s="17" t="str">
        <f t="shared" si="6"/>
        <v/>
      </c>
      <c r="AG23" s="18" t="str">
        <f t="shared" si="7"/>
        <v/>
      </c>
      <c r="AH23" s="19" t="str">
        <f t="shared" si="8"/>
        <v/>
      </c>
      <c r="AJ23" s="20" t="str">
        <f>IF($C23="","",$C23*'Assumptions &amp; Ref'!$C$10)</f>
        <v/>
      </c>
      <c r="AK23" s="21" t="str">
        <f t="shared" si="9"/>
        <v/>
      </c>
      <c r="AL23" s="21" t="str">
        <f>IF($C23="","",AK23/'Assumptions &amp; Ref'!$C$6)</f>
        <v/>
      </c>
      <c r="AM23" s="21" t="str">
        <f>IF($C23="","",AL23/'Assumptions &amp; Ref'!$C$8)</f>
        <v/>
      </c>
      <c r="AN23" s="21" t="str">
        <f>IF($C23="","",SQRT(AM23*'Assumptions &amp; Ref'!$C$9))</f>
        <v/>
      </c>
      <c r="AO23" s="21" t="str">
        <f>IF($C23="","",SQRT(AM23/'Assumptions &amp; Ref'!$C$9))</f>
        <v/>
      </c>
      <c r="AP23" s="21" t="str">
        <f>IF($C23="","",'Assumptions &amp; Ref'!$C$14+IF(OR(S23="Pre+Fine",S23="Pre+Fine+HEPA"),'Assumptions &amp; Ref'!$C$15,0)+IF(S23="Pre+Fine+HEPA",'Assumptions &amp; Ref'!$C$16,0))</f>
        <v/>
      </c>
      <c r="AQ23" s="21" t="str">
        <f>IF($C23="","",IF(V23="Y",'Assumptions &amp; Ref'!$C$13,0)+AP23+'Assumptions &amp; Ref'!$C$17+O23*'Assumptions &amp; Ref'!$C$18+IF(W23="Y",'Assumptions &amp; Ref'!$C$19,0)+'Assumptions &amp; Ref'!$C$20+IF(X23="Y",'Assumptions &amp; Ref'!$C$21,0))</f>
        <v/>
      </c>
      <c r="AR23" s="21" t="str">
        <f t="shared" si="10"/>
        <v/>
      </c>
      <c r="AS23" s="22" t="str">
        <f t="shared" si="11"/>
        <v/>
      </c>
      <c r="AT23" s="20" t="str">
        <f t="shared" si="12"/>
        <v/>
      </c>
      <c r="AU23" s="23" t="str">
        <f t="shared" si="13"/>
        <v/>
      </c>
      <c r="AV23" s="20" t="str">
        <f>IF($C23="","",AR23*AS23*I23/1000*AT23*(1+'Assumptions &amp; Ref'!$C$75))</f>
        <v/>
      </c>
      <c r="AW23" s="20" t="str">
        <f t="shared" si="14"/>
        <v/>
      </c>
      <c r="AX23" s="23" t="str">
        <f t="shared" si="15"/>
        <v/>
      </c>
      <c r="AY23" s="21" t="str">
        <f t="shared" si="16"/>
        <v/>
      </c>
      <c r="AZ23" s="20" t="str">
        <f t="shared" si="17"/>
        <v/>
      </c>
      <c r="BA23" s="21" t="str">
        <f t="shared" si="18"/>
        <v/>
      </c>
      <c r="BB23" s="20" t="str">
        <f>IF($C23="","",BA23*'Assumptions &amp; Ref'!$C$76)</f>
        <v/>
      </c>
      <c r="BC23" s="20" t="str">
        <f>IF($C23="","",BB23*'Assumptions &amp; Ref'!$C$77)</f>
        <v/>
      </c>
      <c r="BD23" s="21" t="str">
        <f>IF($C23="","",SQRT(AL23/'Assumptions &amp; Ref'!$C$9))</f>
        <v/>
      </c>
      <c r="BE23" s="21" t="str">
        <f>IF($C23="","",SQRT(AL23*'Assumptions &amp; Ref'!$C$9))</f>
        <v/>
      </c>
      <c r="BF23" s="24" t="str">
        <f>IF($C23="","",BD23*1000/'Assumptions &amp; Ref'!$C$27)</f>
        <v/>
      </c>
      <c r="BG23" s="24" t="str">
        <f t="shared" si="32"/>
        <v/>
      </c>
      <c r="BH23" s="24" t="str">
        <f>IF($C23="","",BG23*BE23*(1+'Assumptions &amp; Ref'!$C$29))</f>
        <v/>
      </c>
      <c r="BI23" s="25" t="str">
        <f>IF($C23="","",PI()*('Assumptions &amp; Ref'!$C$25-'Assumptions &amp; Ref'!$C$26)/1000*'Assumptions &amp; Ref'!$C$26/1000*$C$5)</f>
        <v/>
      </c>
      <c r="BJ23" s="20" t="str">
        <f t="shared" si="19"/>
        <v/>
      </c>
      <c r="BK23" s="24" t="str">
        <f t="shared" si="20"/>
        <v/>
      </c>
      <c r="BL23" s="21" t="str">
        <f>IF($C23="","",O23*'Assumptions &amp; Ref'!$C$28/1000)</f>
        <v/>
      </c>
      <c r="BM23" s="21" t="str">
        <f>IF($C23="","",BD23*BL23*(1-'Assumptions &amp; Ref'!$C$31))</f>
        <v/>
      </c>
      <c r="BN23" s="20" t="str">
        <f>IF($C23="","",BK23*BM23*'Assumptions &amp; Ref'!$C$30/1000*INDEX($C$5:$I$5,MATCH(R23,$C$4:$I$4,0)))</f>
        <v/>
      </c>
      <c r="BO23" s="20" t="str">
        <f>IF($C23="","",'Assumptions &amp; Ref'!$C$34+O23*'Assumptions &amp; Ref'!$C$35+'Assumptions &amp; Ref'!$C$36+IF(OR(S23="Pre+Fine",S23="Pre+Fine+HEPA"),'Assumptions &amp; Ref'!$C$37,0)+IF(S23="Pre+Fine+HEPA",'Assumptions &amp; Ref'!$C$38,0))</f>
        <v/>
      </c>
      <c r="BP23" s="20" t="str">
        <f t="shared" si="21"/>
        <v/>
      </c>
      <c r="BQ23" s="21" t="str">
        <f>IF($C23="","",AK23*BP23/(1000*IF(M23="Plug fan",'Assumptions &amp; Ref'!$C$39,'Assumptions &amp; Ref'!$C$40)*'Assumptions &amp; Ref'!$C$41))</f>
        <v/>
      </c>
      <c r="BR23" s="21" t="str">
        <f>IF($C23="","",IFERROR(INDEX('Assumptions &amp; Ref'!$B$44:$B$61,MATCH(BQ23,'Assumptions &amp; Ref'!$B$44:$B$61,1)+IF(INDEX('Assumptions &amp; Ref'!$B$44:$B$61,MATCH(BQ23,'Assumptions &amp; Ref'!$B$44:$B$61,1))&gt;=BQ23,0,1)),INDEX('Assumptions &amp; Ref'!$B$44:$B$61,1)))</f>
        <v/>
      </c>
      <c r="BS23" s="20" t="str">
        <f>IF($C23="","",BR23*IF(M23="Plug fan",'Assumptions &amp; Ref'!$C$64,'Assumptions &amp; Ref'!$C$65))</f>
        <v/>
      </c>
      <c r="BT23" s="20" t="str">
        <f>IF($C23="","",IF(N23="Y",BR23*'Assumptions &amp; Ref'!$C$66,0))</f>
        <v/>
      </c>
      <c r="BU23" s="21" t="str">
        <f t="shared" si="22"/>
        <v/>
      </c>
      <c r="BV23" s="20" t="str">
        <f>IF($C23="","",BU23*('Assumptions &amp; Ref'!$C$67+IF(OR(S23="Pre+Fine",S23="Pre+Fine+HEPA"),'Assumptions &amp; Ref'!$C$68,0)+IF(S23="Pre+Fine+HEPA",'Assumptions &amp; Ref'!$C$69,0)))</f>
        <v/>
      </c>
      <c r="BW23" s="21" t="str">
        <f t="shared" si="23"/>
        <v/>
      </c>
      <c r="BX23" s="20" t="str">
        <f>IF($C23="","",BW23*'Assumptions &amp; Ref'!$C$70)</f>
        <v/>
      </c>
      <c r="BY23" s="20" t="str">
        <f>IF($C23="","",AN23*('Assumptions &amp; Ref'!$C$17+O23*'Assumptions &amp; Ref'!$C$18+0.2)*'Assumptions &amp; Ref'!$C$81/1000*$G$5)</f>
        <v/>
      </c>
      <c r="BZ23" s="20" t="str">
        <f t="shared" si="24"/>
        <v/>
      </c>
      <c r="CA23" s="20" t="str">
        <f t="shared" si="25"/>
        <v/>
      </c>
      <c r="CB23" s="20" t="str">
        <f t="shared" si="26"/>
        <v/>
      </c>
      <c r="CC23" s="20" t="str">
        <f>IF($C23="","",(AV23+BB23)*'Assumptions &amp; Ref'!$C$78+(BJ23+BN23)*'Assumptions &amp; Ref'!$C$80)</f>
        <v/>
      </c>
      <c r="CD23" s="20" t="str">
        <f>IF($C23="","",'Assumptions &amp; Ref'!$C$84*(CA23+CB23+CC23))</f>
        <v/>
      </c>
      <c r="CE23" s="20" t="str">
        <f>IF($C23="","",'Assumptions &amp; Ref'!$C$85*(CA23+CB23+CC23+CD23))</f>
        <v/>
      </c>
      <c r="CF23" s="20" t="str">
        <f t="shared" si="27"/>
        <v/>
      </c>
      <c r="CH23" s="17" t="str">
        <f t="shared" si="28"/>
        <v/>
      </c>
      <c r="CI23" s="17" t="str">
        <f t="shared" si="29"/>
        <v/>
      </c>
      <c r="CJ23" s="17" t="str">
        <f t="shared" si="30"/>
        <v/>
      </c>
    </row>
    <row r="24" spans="2:88" ht="15" customHeight="1" x14ac:dyDescent="0.25">
      <c r="B24" s="12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5" t="str">
        <f t="shared" si="0"/>
        <v/>
      </c>
      <c r="Z24" s="16" t="str">
        <f t="shared" si="31"/>
        <v/>
      </c>
      <c r="AA24" s="17" t="str">
        <f t="shared" si="1"/>
        <v/>
      </c>
      <c r="AB24" s="17" t="str">
        <f t="shared" si="2"/>
        <v/>
      </c>
      <c r="AC24" s="17" t="str">
        <f t="shared" si="3"/>
        <v/>
      </c>
      <c r="AD24" s="17" t="str">
        <f t="shared" si="4"/>
        <v/>
      </c>
      <c r="AE24" s="17" t="str">
        <f t="shared" si="5"/>
        <v/>
      </c>
      <c r="AF24" s="17" t="str">
        <f t="shared" si="6"/>
        <v/>
      </c>
      <c r="AG24" s="18" t="str">
        <f t="shared" si="7"/>
        <v/>
      </c>
      <c r="AH24" s="19" t="str">
        <f t="shared" si="8"/>
        <v/>
      </c>
      <c r="AJ24" s="20" t="str">
        <f>IF($C24="","",$C24*'Assumptions &amp; Ref'!$C$10)</f>
        <v/>
      </c>
      <c r="AK24" s="21" t="str">
        <f t="shared" si="9"/>
        <v/>
      </c>
      <c r="AL24" s="21" t="str">
        <f>IF($C24="","",AK24/'Assumptions &amp; Ref'!$C$6)</f>
        <v/>
      </c>
      <c r="AM24" s="21" t="str">
        <f>IF($C24="","",AL24/'Assumptions &amp; Ref'!$C$8)</f>
        <v/>
      </c>
      <c r="AN24" s="21" t="str">
        <f>IF($C24="","",SQRT(AM24*'Assumptions &amp; Ref'!$C$9))</f>
        <v/>
      </c>
      <c r="AO24" s="21" t="str">
        <f>IF($C24="","",SQRT(AM24/'Assumptions &amp; Ref'!$C$9))</f>
        <v/>
      </c>
      <c r="AP24" s="21" t="str">
        <f>IF($C24="","",'Assumptions &amp; Ref'!$C$14+IF(OR(S24="Pre+Fine",S24="Pre+Fine+HEPA"),'Assumptions &amp; Ref'!$C$15,0)+IF(S24="Pre+Fine+HEPA",'Assumptions &amp; Ref'!$C$16,0))</f>
        <v/>
      </c>
      <c r="AQ24" s="21" t="str">
        <f>IF($C24="","",IF(V24="Y",'Assumptions &amp; Ref'!$C$13,0)+AP24+'Assumptions &amp; Ref'!$C$17+O24*'Assumptions &amp; Ref'!$C$18+IF(W24="Y",'Assumptions &amp; Ref'!$C$19,0)+'Assumptions &amp; Ref'!$C$20+IF(X24="Y",'Assumptions &amp; Ref'!$C$21,0))</f>
        <v/>
      </c>
      <c r="AR24" s="21" t="str">
        <f t="shared" si="10"/>
        <v/>
      </c>
      <c r="AS24" s="22" t="str">
        <f t="shared" si="11"/>
        <v/>
      </c>
      <c r="AT24" s="20" t="str">
        <f t="shared" si="12"/>
        <v/>
      </c>
      <c r="AU24" s="23" t="str">
        <f t="shared" si="13"/>
        <v/>
      </c>
      <c r="AV24" s="20" t="str">
        <f>IF($C24="","",AR24*AS24*I24/1000*AT24*(1+'Assumptions &amp; Ref'!$C$75))</f>
        <v/>
      </c>
      <c r="AW24" s="20" t="str">
        <f t="shared" si="14"/>
        <v/>
      </c>
      <c r="AX24" s="23" t="str">
        <f t="shared" si="15"/>
        <v/>
      </c>
      <c r="AY24" s="21" t="str">
        <f t="shared" si="16"/>
        <v/>
      </c>
      <c r="AZ24" s="20" t="str">
        <f t="shared" si="17"/>
        <v/>
      </c>
      <c r="BA24" s="21" t="str">
        <f t="shared" si="18"/>
        <v/>
      </c>
      <c r="BB24" s="20" t="str">
        <f>IF($C24="","",BA24*'Assumptions &amp; Ref'!$C$76)</f>
        <v/>
      </c>
      <c r="BC24" s="20" t="str">
        <f>IF($C24="","",BB24*'Assumptions &amp; Ref'!$C$77)</f>
        <v/>
      </c>
      <c r="BD24" s="21" t="str">
        <f>IF($C24="","",SQRT(AL24/'Assumptions &amp; Ref'!$C$9))</f>
        <v/>
      </c>
      <c r="BE24" s="21" t="str">
        <f>IF($C24="","",SQRT(AL24*'Assumptions &amp; Ref'!$C$9))</f>
        <v/>
      </c>
      <c r="BF24" s="24" t="str">
        <f>IF($C24="","",BD24*1000/'Assumptions &amp; Ref'!$C$27)</f>
        <v/>
      </c>
      <c r="BG24" s="24" t="str">
        <f t="shared" si="32"/>
        <v/>
      </c>
      <c r="BH24" s="24" t="str">
        <f>IF($C24="","",BG24*BE24*(1+'Assumptions &amp; Ref'!$C$29))</f>
        <v/>
      </c>
      <c r="BI24" s="25" t="str">
        <f>IF($C24="","",PI()*('Assumptions &amp; Ref'!$C$25-'Assumptions &amp; Ref'!$C$26)/1000*'Assumptions &amp; Ref'!$C$26/1000*$C$5)</f>
        <v/>
      </c>
      <c r="BJ24" s="20" t="str">
        <f t="shared" si="19"/>
        <v/>
      </c>
      <c r="BK24" s="24" t="str">
        <f t="shared" si="20"/>
        <v/>
      </c>
      <c r="BL24" s="21" t="str">
        <f>IF($C24="","",O24*'Assumptions &amp; Ref'!$C$28/1000)</f>
        <v/>
      </c>
      <c r="BM24" s="21" t="str">
        <f>IF($C24="","",BD24*BL24*(1-'Assumptions &amp; Ref'!$C$31))</f>
        <v/>
      </c>
      <c r="BN24" s="20" t="str">
        <f>IF($C24="","",BK24*BM24*'Assumptions &amp; Ref'!$C$30/1000*INDEX($C$5:$I$5,MATCH(R24,$C$4:$I$4,0)))</f>
        <v/>
      </c>
      <c r="BO24" s="20" t="str">
        <f>IF($C24="","",'Assumptions &amp; Ref'!$C$34+O24*'Assumptions &amp; Ref'!$C$35+'Assumptions &amp; Ref'!$C$36+IF(OR(S24="Pre+Fine",S24="Pre+Fine+HEPA"),'Assumptions &amp; Ref'!$C$37,0)+IF(S24="Pre+Fine+HEPA",'Assumptions &amp; Ref'!$C$38,0))</f>
        <v/>
      </c>
      <c r="BP24" s="20" t="str">
        <f t="shared" si="21"/>
        <v/>
      </c>
      <c r="BQ24" s="21" t="str">
        <f>IF($C24="","",AK24*BP24/(1000*IF(M24="Plug fan",'Assumptions &amp; Ref'!$C$39,'Assumptions &amp; Ref'!$C$40)*'Assumptions &amp; Ref'!$C$41))</f>
        <v/>
      </c>
      <c r="BR24" s="21" t="str">
        <f>IF($C24="","",IFERROR(INDEX('Assumptions &amp; Ref'!$B$44:$B$61,MATCH(BQ24,'Assumptions &amp; Ref'!$B$44:$B$61,1)+IF(INDEX('Assumptions &amp; Ref'!$B$44:$B$61,MATCH(BQ24,'Assumptions &amp; Ref'!$B$44:$B$61,1))&gt;=BQ24,0,1)),INDEX('Assumptions &amp; Ref'!$B$44:$B$61,1)))</f>
        <v/>
      </c>
      <c r="BS24" s="20" t="str">
        <f>IF($C24="","",BR24*IF(M24="Plug fan",'Assumptions &amp; Ref'!$C$64,'Assumptions &amp; Ref'!$C$65))</f>
        <v/>
      </c>
      <c r="BT24" s="20" t="str">
        <f>IF($C24="","",IF(N24="Y",BR24*'Assumptions &amp; Ref'!$C$66,0))</f>
        <v/>
      </c>
      <c r="BU24" s="21" t="str">
        <f t="shared" si="22"/>
        <v/>
      </c>
      <c r="BV24" s="20" t="str">
        <f>IF($C24="","",BU24*('Assumptions &amp; Ref'!$C$67+IF(OR(S24="Pre+Fine",S24="Pre+Fine+HEPA"),'Assumptions &amp; Ref'!$C$68,0)+IF(S24="Pre+Fine+HEPA",'Assumptions &amp; Ref'!$C$69,0)))</f>
        <v/>
      </c>
      <c r="BW24" s="21" t="str">
        <f t="shared" si="23"/>
        <v/>
      </c>
      <c r="BX24" s="20" t="str">
        <f>IF($C24="","",BW24*'Assumptions &amp; Ref'!$C$70)</f>
        <v/>
      </c>
      <c r="BY24" s="20" t="str">
        <f>IF($C24="","",AN24*('Assumptions &amp; Ref'!$C$17+O24*'Assumptions &amp; Ref'!$C$18+0.2)*'Assumptions &amp; Ref'!$C$81/1000*$G$5)</f>
        <v/>
      </c>
      <c r="BZ24" s="20" t="str">
        <f t="shared" si="24"/>
        <v/>
      </c>
      <c r="CA24" s="20" t="str">
        <f t="shared" si="25"/>
        <v/>
      </c>
      <c r="CB24" s="20" t="str">
        <f t="shared" si="26"/>
        <v/>
      </c>
      <c r="CC24" s="20" t="str">
        <f>IF($C24="","",(AV24+BB24)*'Assumptions &amp; Ref'!$C$78+(BJ24+BN24)*'Assumptions &amp; Ref'!$C$80)</f>
        <v/>
      </c>
      <c r="CD24" s="20" t="str">
        <f>IF($C24="","",'Assumptions &amp; Ref'!$C$84*(CA24+CB24+CC24))</f>
        <v/>
      </c>
      <c r="CE24" s="20" t="str">
        <f>IF($C24="","",'Assumptions &amp; Ref'!$C$85*(CA24+CB24+CC24+CD24))</f>
        <v/>
      </c>
      <c r="CF24" s="20" t="str">
        <f t="shared" si="27"/>
        <v/>
      </c>
      <c r="CH24" s="17" t="str">
        <f t="shared" si="28"/>
        <v/>
      </c>
      <c r="CI24" s="17" t="str">
        <f t="shared" si="29"/>
        <v/>
      </c>
      <c r="CJ24" s="17" t="str">
        <f t="shared" si="30"/>
        <v/>
      </c>
    </row>
    <row r="25" spans="2:88" ht="15" customHeight="1" x14ac:dyDescent="0.25">
      <c r="B25" s="12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5" t="str">
        <f t="shared" si="0"/>
        <v/>
      </c>
      <c r="Z25" s="16" t="str">
        <f t="shared" si="31"/>
        <v/>
      </c>
      <c r="AA25" s="17" t="str">
        <f t="shared" si="1"/>
        <v/>
      </c>
      <c r="AB25" s="17" t="str">
        <f t="shared" si="2"/>
        <v/>
      </c>
      <c r="AC25" s="17" t="str">
        <f t="shared" si="3"/>
        <v/>
      </c>
      <c r="AD25" s="17" t="str">
        <f t="shared" si="4"/>
        <v/>
      </c>
      <c r="AE25" s="17" t="str">
        <f t="shared" si="5"/>
        <v/>
      </c>
      <c r="AF25" s="17" t="str">
        <f t="shared" si="6"/>
        <v/>
      </c>
      <c r="AG25" s="18" t="str">
        <f t="shared" si="7"/>
        <v/>
      </c>
      <c r="AH25" s="19" t="str">
        <f t="shared" si="8"/>
        <v/>
      </c>
      <c r="AJ25" s="20" t="str">
        <f>IF($C25="","",$C25*'Assumptions &amp; Ref'!$C$10)</f>
        <v/>
      </c>
      <c r="AK25" s="21" t="str">
        <f t="shared" si="9"/>
        <v/>
      </c>
      <c r="AL25" s="21" t="str">
        <f>IF($C25="","",AK25/'Assumptions &amp; Ref'!$C$6)</f>
        <v/>
      </c>
      <c r="AM25" s="21" t="str">
        <f>IF($C25="","",AL25/'Assumptions &amp; Ref'!$C$8)</f>
        <v/>
      </c>
      <c r="AN25" s="21" t="str">
        <f>IF($C25="","",SQRT(AM25*'Assumptions &amp; Ref'!$C$9))</f>
        <v/>
      </c>
      <c r="AO25" s="21" t="str">
        <f>IF($C25="","",SQRT(AM25/'Assumptions &amp; Ref'!$C$9))</f>
        <v/>
      </c>
      <c r="AP25" s="21" t="str">
        <f>IF($C25="","",'Assumptions &amp; Ref'!$C$14+IF(OR(S25="Pre+Fine",S25="Pre+Fine+HEPA"),'Assumptions &amp; Ref'!$C$15,0)+IF(S25="Pre+Fine+HEPA",'Assumptions &amp; Ref'!$C$16,0))</f>
        <v/>
      </c>
      <c r="AQ25" s="21" t="str">
        <f>IF($C25="","",IF(V25="Y",'Assumptions &amp; Ref'!$C$13,0)+AP25+'Assumptions &amp; Ref'!$C$17+O25*'Assumptions &amp; Ref'!$C$18+IF(W25="Y",'Assumptions &amp; Ref'!$C$19,0)+'Assumptions &amp; Ref'!$C$20+IF(X25="Y",'Assumptions &amp; Ref'!$C$21,0))</f>
        <v/>
      </c>
      <c r="AR25" s="21" t="str">
        <f t="shared" si="10"/>
        <v/>
      </c>
      <c r="AS25" s="22" t="str">
        <f t="shared" si="11"/>
        <v/>
      </c>
      <c r="AT25" s="20" t="str">
        <f t="shared" si="12"/>
        <v/>
      </c>
      <c r="AU25" s="23" t="str">
        <f t="shared" si="13"/>
        <v/>
      </c>
      <c r="AV25" s="20" t="str">
        <f>IF($C25="","",AR25*AS25*I25/1000*AT25*(1+'Assumptions &amp; Ref'!$C$75))</f>
        <v/>
      </c>
      <c r="AW25" s="20" t="str">
        <f t="shared" si="14"/>
        <v/>
      </c>
      <c r="AX25" s="23" t="str">
        <f t="shared" si="15"/>
        <v/>
      </c>
      <c r="AY25" s="21" t="str">
        <f t="shared" si="16"/>
        <v/>
      </c>
      <c r="AZ25" s="20" t="str">
        <f t="shared" si="17"/>
        <v/>
      </c>
      <c r="BA25" s="21" t="str">
        <f t="shared" si="18"/>
        <v/>
      </c>
      <c r="BB25" s="20" t="str">
        <f>IF($C25="","",BA25*'Assumptions &amp; Ref'!$C$76)</f>
        <v/>
      </c>
      <c r="BC25" s="20" t="str">
        <f>IF($C25="","",BB25*'Assumptions &amp; Ref'!$C$77)</f>
        <v/>
      </c>
      <c r="BD25" s="21" t="str">
        <f>IF($C25="","",SQRT(AL25/'Assumptions &amp; Ref'!$C$9))</f>
        <v/>
      </c>
      <c r="BE25" s="21" t="str">
        <f>IF($C25="","",SQRT(AL25*'Assumptions &amp; Ref'!$C$9))</f>
        <v/>
      </c>
      <c r="BF25" s="24" t="str">
        <f>IF($C25="","",BD25*1000/'Assumptions &amp; Ref'!$C$27)</f>
        <v/>
      </c>
      <c r="BG25" s="24" t="str">
        <f t="shared" si="32"/>
        <v/>
      </c>
      <c r="BH25" s="24" t="str">
        <f>IF($C25="","",BG25*BE25*(1+'Assumptions &amp; Ref'!$C$29))</f>
        <v/>
      </c>
      <c r="BI25" s="25" t="str">
        <f>IF($C25="","",PI()*('Assumptions &amp; Ref'!$C$25-'Assumptions &amp; Ref'!$C$26)/1000*'Assumptions &amp; Ref'!$C$26/1000*$C$5)</f>
        <v/>
      </c>
      <c r="BJ25" s="20" t="str">
        <f t="shared" si="19"/>
        <v/>
      </c>
      <c r="BK25" s="24" t="str">
        <f t="shared" si="20"/>
        <v/>
      </c>
      <c r="BL25" s="21" t="str">
        <f>IF($C25="","",O25*'Assumptions &amp; Ref'!$C$28/1000)</f>
        <v/>
      </c>
      <c r="BM25" s="21" t="str">
        <f>IF($C25="","",BD25*BL25*(1-'Assumptions &amp; Ref'!$C$31))</f>
        <v/>
      </c>
      <c r="BN25" s="20" t="str">
        <f>IF($C25="","",BK25*BM25*'Assumptions &amp; Ref'!$C$30/1000*INDEX($C$5:$I$5,MATCH(R25,$C$4:$I$4,0)))</f>
        <v/>
      </c>
      <c r="BO25" s="20" t="str">
        <f>IF($C25="","",'Assumptions &amp; Ref'!$C$34+O25*'Assumptions &amp; Ref'!$C$35+'Assumptions &amp; Ref'!$C$36+IF(OR(S25="Pre+Fine",S25="Pre+Fine+HEPA"),'Assumptions &amp; Ref'!$C$37,0)+IF(S25="Pre+Fine+HEPA",'Assumptions &amp; Ref'!$C$38,0))</f>
        <v/>
      </c>
      <c r="BP25" s="20" t="str">
        <f t="shared" si="21"/>
        <v/>
      </c>
      <c r="BQ25" s="21" t="str">
        <f>IF($C25="","",AK25*BP25/(1000*IF(M25="Plug fan",'Assumptions &amp; Ref'!$C$39,'Assumptions &amp; Ref'!$C$40)*'Assumptions &amp; Ref'!$C$41))</f>
        <v/>
      </c>
      <c r="BR25" s="21" t="str">
        <f>IF($C25="","",IFERROR(INDEX('Assumptions &amp; Ref'!$B$44:$B$61,MATCH(BQ25,'Assumptions &amp; Ref'!$B$44:$B$61,1)+IF(INDEX('Assumptions &amp; Ref'!$B$44:$B$61,MATCH(BQ25,'Assumptions &amp; Ref'!$B$44:$B$61,1))&gt;=BQ25,0,1)),INDEX('Assumptions &amp; Ref'!$B$44:$B$61,1)))</f>
        <v/>
      </c>
      <c r="BS25" s="20" t="str">
        <f>IF($C25="","",BR25*IF(M25="Plug fan",'Assumptions &amp; Ref'!$C$64,'Assumptions &amp; Ref'!$C$65))</f>
        <v/>
      </c>
      <c r="BT25" s="20" t="str">
        <f>IF($C25="","",IF(N25="Y",BR25*'Assumptions &amp; Ref'!$C$66,0))</f>
        <v/>
      </c>
      <c r="BU25" s="21" t="str">
        <f t="shared" si="22"/>
        <v/>
      </c>
      <c r="BV25" s="20" t="str">
        <f>IF($C25="","",BU25*('Assumptions &amp; Ref'!$C$67+IF(OR(S25="Pre+Fine",S25="Pre+Fine+HEPA"),'Assumptions &amp; Ref'!$C$68,0)+IF(S25="Pre+Fine+HEPA",'Assumptions &amp; Ref'!$C$69,0)))</f>
        <v/>
      </c>
      <c r="BW25" s="21" t="str">
        <f t="shared" si="23"/>
        <v/>
      </c>
      <c r="BX25" s="20" t="str">
        <f>IF($C25="","",BW25*'Assumptions &amp; Ref'!$C$70)</f>
        <v/>
      </c>
      <c r="BY25" s="20" t="str">
        <f>IF($C25="","",AN25*('Assumptions &amp; Ref'!$C$17+O25*'Assumptions &amp; Ref'!$C$18+0.2)*'Assumptions &amp; Ref'!$C$81/1000*$G$5)</f>
        <v/>
      </c>
      <c r="BZ25" s="20" t="str">
        <f t="shared" si="24"/>
        <v/>
      </c>
      <c r="CA25" s="20" t="str">
        <f t="shared" si="25"/>
        <v/>
      </c>
      <c r="CB25" s="20" t="str">
        <f t="shared" si="26"/>
        <v/>
      </c>
      <c r="CC25" s="20" t="str">
        <f>IF($C25="","",(AV25+BB25)*'Assumptions &amp; Ref'!$C$78+(BJ25+BN25)*'Assumptions &amp; Ref'!$C$80)</f>
        <v/>
      </c>
      <c r="CD25" s="20" t="str">
        <f>IF($C25="","",'Assumptions &amp; Ref'!$C$84*(CA25+CB25+CC25))</f>
        <v/>
      </c>
      <c r="CE25" s="20" t="str">
        <f>IF($C25="","",'Assumptions &amp; Ref'!$C$85*(CA25+CB25+CC25+CD25))</f>
        <v/>
      </c>
      <c r="CF25" s="20" t="str">
        <f t="shared" si="27"/>
        <v/>
      </c>
      <c r="CH25" s="17" t="str">
        <f t="shared" si="28"/>
        <v/>
      </c>
      <c r="CI25" s="17" t="str">
        <f t="shared" si="29"/>
        <v/>
      </c>
      <c r="CJ25" s="17" t="str">
        <f t="shared" si="30"/>
        <v/>
      </c>
    </row>
    <row r="26" spans="2:88" ht="15" customHeight="1" x14ac:dyDescent="0.25">
      <c r="B26" s="12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5" t="str">
        <f t="shared" si="0"/>
        <v/>
      </c>
      <c r="Z26" s="16" t="str">
        <f t="shared" si="31"/>
        <v/>
      </c>
      <c r="AA26" s="17" t="str">
        <f t="shared" si="1"/>
        <v/>
      </c>
      <c r="AB26" s="17" t="str">
        <f t="shared" si="2"/>
        <v/>
      </c>
      <c r="AC26" s="17" t="str">
        <f t="shared" si="3"/>
        <v/>
      </c>
      <c r="AD26" s="17" t="str">
        <f t="shared" si="4"/>
        <v/>
      </c>
      <c r="AE26" s="17" t="str">
        <f t="shared" si="5"/>
        <v/>
      </c>
      <c r="AF26" s="17" t="str">
        <f t="shared" si="6"/>
        <v/>
      </c>
      <c r="AG26" s="18" t="str">
        <f t="shared" si="7"/>
        <v/>
      </c>
      <c r="AH26" s="19" t="str">
        <f t="shared" si="8"/>
        <v/>
      </c>
      <c r="AJ26" s="20" t="str">
        <f>IF($C26="","",$C26*'Assumptions &amp; Ref'!$C$10)</f>
        <v/>
      </c>
      <c r="AK26" s="21" t="str">
        <f t="shared" si="9"/>
        <v/>
      </c>
      <c r="AL26" s="21" t="str">
        <f>IF($C26="","",AK26/'Assumptions &amp; Ref'!$C$6)</f>
        <v/>
      </c>
      <c r="AM26" s="21" t="str">
        <f>IF($C26="","",AL26/'Assumptions &amp; Ref'!$C$8)</f>
        <v/>
      </c>
      <c r="AN26" s="21" t="str">
        <f>IF($C26="","",SQRT(AM26*'Assumptions &amp; Ref'!$C$9))</f>
        <v/>
      </c>
      <c r="AO26" s="21" t="str">
        <f>IF($C26="","",SQRT(AM26/'Assumptions &amp; Ref'!$C$9))</f>
        <v/>
      </c>
      <c r="AP26" s="21" t="str">
        <f>IF($C26="","",'Assumptions &amp; Ref'!$C$14+IF(OR(S26="Pre+Fine",S26="Pre+Fine+HEPA"),'Assumptions &amp; Ref'!$C$15,0)+IF(S26="Pre+Fine+HEPA",'Assumptions &amp; Ref'!$C$16,0))</f>
        <v/>
      </c>
      <c r="AQ26" s="21" t="str">
        <f>IF($C26="","",IF(V26="Y",'Assumptions &amp; Ref'!$C$13,0)+AP26+'Assumptions &amp; Ref'!$C$17+O26*'Assumptions &amp; Ref'!$C$18+IF(W26="Y",'Assumptions &amp; Ref'!$C$19,0)+'Assumptions &amp; Ref'!$C$20+IF(X26="Y",'Assumptions &amp; Ref'!$C$21,0))</f>
        <v/>
      </c>
      <c r="AR26" s="21" t="str">
        <f t="shared" si="10"/>
        <v/>
      </c>
      <c r="AS26" s="22" t="str">
        <f t="shared" si="11"/>
        <v/>
      </c>
      <c r="AT26" s="20" t="str">
        <f t="shared" si="12"/>
        <v/>
      </c>
      <c r="AU26" s="23" t="str">
        <f t="shared" si="13"/>
        <v/>
      </c>
      <c r="AV26" s="20" t="str">
        <f>IF($C26="","",AR26*AS26*I26/1000*AT26*(1+'Assumptions &amp; Ref'!$C$75))</f>
        <v/>
      </c>
      <c r="AW26" s="20" t="str">
        <f t="shared" si="14"/>
        <v/>
      </c>
      <c r="AX26" s="23" t="str">
        <f t="shared" si="15"/>
        <v/>
      </c>
      <c r="AY26" s="21" t="str">
        <f t="shared" si="16"/>
        <v/>
      </c>
      <c r="AZ26" s="20" t="str">
        <f t="shared" si="17"/>
        <v/>
      </c>
      <c r="BA26" s="21" t="str">
        <f t="shared" si="18"/>
        <v/>
      </c>
      <c r="BB26" s="20" t="str">
        <f>IF($C26="","",BA26*'Assumptions &amp; Ref'!$C$76)</f>
        <v/>
      </c>
      <c r="BC26" s="20" t="str">
        <f>IF($C26="","",BB26*'Assumptions &amp; Ref'!$C$77)</f>
        <v/>
      </c>
      <c r="BD26" s="21" t="str">
        <f>IF($C26="","",SQRT(AL26/'Assumptions &amp; Ref'!$C$9))</f>
        <v/>
      </c>
      <c r="BE26" s="21" t="str">
        <f>IF($C26="","",SQRT(AL26*'Assumptions &amp; Ref'!$C$9))</f>
        <v/>
      </c>
      <c r="BF26" s="24" t="str">
        <f>IF($C26="","",BD26*1000/'Assumptions &amp; Ref'!$C$27)</f>
        <v/>
      </c>
      <c r="BG26" s="24" t="str">
        <f t="shared" si="32"/>
        <v/>
      </c>
      <c r="BH26" s="24" t="str">
        <f>IF($C26="","",BG26*BE26*(1+'Assumptions &amp; Ref'!$C$29))</f>
        <v/>
      </c>
      <c r="BI26" s="25" t="str">
        <f>IF($C26="","",PI()*('Assumptions &amp; Ref'!$C$25-'Assumptions &amp; Ref'!$C$26)/1000*'Assumptions &amp; Ref'!$C$26/1000*$C$5)</f>
        <v/>
      </c>
      <c r="BJ26" s="20" t="str">
        <f t="shared" si="19"/>
        <v/>
      </c>
      <c r="BK26" s="24" t="str">
        <f t="shared" si="20"/>
        <v/>
      </c>
      <c r="BL26" s="21" t="str">
        <f>IF($C26="","",O26*'Assumptions &amp; Ref'!$C$28/1000)</f>
        <v/>
      </c>
      <c r="BM26" s="21" t="str">
        <f>IF($C26="","",BD26*BL26*(1-'Assumptions &amp; Ref'!$C$31))</f>
        <v/>
      </c>
      <c r="BN26" s="20" t="str">
        <f>IF($C26="","",BK26*BM26*'Assumptions &amp; Ref'!$C$30/1000*INDEX($C$5:$I$5,MATCH(R26,$C$4:$I$4,0)))</f>
        <v/>
      </c>
      <c r="BO26" s="20" t="str">
        <f>IF($C26="","",'Assumptions &amp; Ref'!$C$34+O26*'Assumptions &amp; Ref'!$C$35+'Assumptions &amp; Ref'!$C$36+IF(OR(S26="Pre+Fine",S26="Pre+Fine+HEPA"),'Assumptions &amp; Ref'!$C$37,0)+IF(S26="Pre+Fine+HEPA",'Assumptions &amp; Ref'!$C$38,0))</f>
        <v/>
      </c>
      <c r="BP26" s="20" t="str">
        <f t="shared" si="21"/>
        <v/>
      </c>
      <c r="BQ26" s="21" t="str">
        <f>IF($C26="","",AK26*BP26/(1000*IF(M26="Plug fan",'Assumptions &amp; Ref'!$C$39,'Assumptions &amp; Ref'!$C$40)*'Assumptions &amp; Ref'!$C$41))</f>
        <v/>
      </c>
      <c r="BR26" s="21" t="str">
        <f>IF($C26="","",IFERROR(INDEX('Assumptions &amp; Ref'!$B$44:$B$61,MATCH(BQ26,'Assumptions &amp; Ref'!$B$44:$B$61,1)+IF(INDEX('Assumptions &amp; Ref'!$B$44:$B$61,MATCH(BQ26,'Assumptions &amp; Ref'!$B$44:$B$61,1))&gt;=BQ26,0,1)),INDEX('Assumptions &amp; Ref'!$B$44:$B$61,1)))</f>
        <v/>
      </c>
      <c r="BS26" s="20" t="str">
        <f>IF($C26="","",BR26*IF(M26="Plug fan",'Assumptions &amp; Ref'!$C$64,'Assumptions &amp; Ref'!$C$65))</f>
        <v/>
      </c>
      <c r="BT26" s="20" t="str">
        <f>IF($C26="","",IF(N26="Y",BR26*'Assumptions &amp; Ref'!$C$66,0))</f>
        <v/>
      </c>
      <c r="BU26" s="21" t="str">
        <f t="shared" si="22"/>
        <v/>
      </c>
      <c r="BV26" s="20" t="str">
        <f>IF($C26="","",BU26*('Assumptions &amp; Ref'!$C$67+IF(OR(S26="Pre+Fine",S26="Pre+Fine+HEPA"),'Assumptions &amp; Ref'!$C$68,0)+IF(S26="Pre+Fine+HEPA",'Assumptions &amp; Ref'!$C$69,0)))</f>
        <v/>
      </c>
      <c r="BW26" s="21" t="str">
        <f t="shared" si="23"/>
        <v/>
      </c>
      <c r="BX26" s="20" t="str">
        <f>IF($C26="","",BW26*'Assumptions &amp; Ref'!$C$70)</f>
        <v/>
      </c>
      <c r="BY26" s="20" t="str">
        <f>IF($C26="","",AN26*('Assumptions &amp; Ref'!$C$17+O26*'Assumptions &amp; Ref'!$C$18+0.2)*'Assumptions &amp; Ref'!$C$81/1000*$G$5)</f>
        <v/>
      </c>
      <c r="BZ26" s="20" t="str">
        <f t="shared" si="24"/>
        <v/>
      </c>
      <c r="CA26" s="20" t="str">
        <f t="shared" si="25"/>
        <v/>
      </c>
      <c r="CB26" s="20" t="str">
        <f t="shared" si="26"/>
        <v/>
      </c>
      <c r="CC26" s="20" t="str">
        <f>IF($C26="","",(AV26+BB26)*'Assumptions &amp; Ref'!$C$78+(BJ26+BN26)*'Assumptions &amp; Ref'!$C$80)</f>
        <v/>
      </c>
      <c r="CD26" s="20" t="str">
        <f>IF($C26="","",'Assumptions &amp; Ref'!$C$84*(CA26+CB26+CC26))</f>
        <v/>
      </c>
      <c r="CE26" s="20" t="str">
        <f>IF($C26="","",'Assumptions &amp; Ref'!$C$85*(CA26+CB26+CC26+CD26))</f>
        <v/>
      </c>
      <c r="CF26" s="20" t="str">
        <f t="shared" si="27"/>
        <v/>
      </c>
      <c r="CH26" s="17" t="str">
        <f t="shared" si="28"/>
        <v/>
      </c>
      <c r="CI26" s="17" t="str">
        <f t="shared" si="29"/>
        <v/>
      </c>
      <c r="CJ26" s="17" t="str">
        <f t="shared" si="30"/>
        <v/>
      </c>
    </row>
    <row r="27" spans="2:88" ht="15" customHeight="1" x14ac:dyDescent="0.25">
      <c r="B27" s="12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5" t="str">
        <f t="shared" si="0"/>
        <v/>
      </c>
      <c r="Z27" s="16" t="str">
        <f t="shared" si="31"/>
        <v/>
      </c>
      <c r="AA27" s="17" t="str">
        <f t="shared" si="1"/>
        <v/>
      </c>
      <c r="AB27" s="17" t="str">
        <f t="shared" si="2"/>
        <v/>
      </c>
      <c r="AC27" s="17" t="str">
        <f t="shared" si="3"/>
        <v/>
      </c>
      <c r="AD27" s="17" t="str">
        <f t="shared" si="4"/>
        <v/>
      </c>
      <c r="AE27" s="17" t="str">
        <f t="shared" si="5"/>
        <v/>
      </c>
      <c r="AF27" s="17" t="str">
        <f t="shared" si="6"/>
        <v/>
      </c>
      <c r="AG27" s="18" t="str">
        <f t="shared" si="7"/>
        <v/>
      </c>
      <c r="AH27" s="19" t="str">
        <f t="shared" si="8"/>
        <v/>
      </c>
      <c r="AJ27" s="20" t="str">
        <f>IF($C27="","",$C27*'Assumptions &amp; Ref'!$C$10)</f>
        <v/>
      </c>
      <c r="AK27" s="21" t="str">
        <f t="shared" si="9"/>
        <v/>
      </c>
      <c r="AL27" s="21" t="str">
        <f>IF($C27="","",AK27/'Assumptions &amp; Ref'!$C$6)</f>
        <v/>
      </c>
      <c r="AM27" s="21" t="str">
        <f>IF($C27="","",AL27/'Assumptions &amp; Ref'!$C$8)</f>
        <v/>
      </c>
      <c r="AN27" s="21" t="str">
        <f>IF($C27="","",SQRT(AM27*'Assumptions &amp; Ref'!$C$9))</f>
        <v/>
      </c>
      <c r="AO27" s="21" t="str">
        <f>IF($C27="","",SQRT(AM27/'Assumptions &amp; Ref'!$C$9))</f>
        <v/>
      </c>
      <c r="AP27" s="21" t="str">
        <f>IF($C27="","",'Assumptions &amp; Ref'!$C$14+IF(OR(S27="Pre+Fine",S27="Pre+Fine+HEPA"),'Assumptions &amp; Ref'!$C$15,0)+IF(S27="Pre+Fine+HEPA",'Assumptions &amp; Ref'!$C$16,0))</f>
        <v/>
      </c>
      <c r="AQ27" s="21" t="str">
        <f>IF($C27="","",IF(V27="Y",'Assumptions &amp; Ref'!$C$13,0)+AP27+'Assumptions &amp; Ref'!$C$17+O27*'Assumptions &amp; Ref'!$C$18+IF(W27="Y",'Assumptions &amp; Ref'!$C$19,0)+'Assumptions &amp; Ref'!$C$20+IF(X27="Y",'Assumptions &amp; Ref'!$C$21,0))</f>
        <v/>
      </c>
      <c r="AR27" s="21" t="str">
        <f t="shared" si="10"/>
        <v/>
      </c>
      <c r="AS27" s="22" t="str">
        <f t="shared" si="11"/>
        <v/>
      </c>
      <c r="AT27" s="20" t="str">
        <f t="shared" si="12"/>
        <v/>
      </c>
      <c r="AU27" s="23" t="str">
        <f t="shared" si="13"/>
        <v/>
      </c>
      <c r="AV27" s="20" t="str">
        <f>IF($C27="","",AR27*AS27*I27/1000*AT27*(1+'Assumptions &amp; Ref'!$C$75))</f>
        <v/>
      </c>
      <c r="AW27" s="20" t="str">
        <f t="shared" si="14"/>
        <v/>
      </c>
      <c r="AX27" s="23" t="str">
        <f t="shared" si="15"/>
        <v/>
      </c>
      <c r="AY27" s="21" t="str">
        <f t="shared" si="16"/>
        <v/>
      </c>
      <c r="AZ27" s="20" t="str">
        <f t="shared" si="17"/>
        <v/>
      </c>
      <c r="BA27" s="21" t="str">
        <f t="shared" si="18"/>
        <v/>
      </c>
      <c r="BB27" s="20" t="str">
        <f>IF($C27="","",BA27*'Assumptions &amp; Ref'!$C$76)</f>
        <v/>
      </c>
      <c r="BC27" s="20" t="str">
        <f>IF($C27="","",BB27*'Assumptions &amp; Ref'!$C$77)</f>
        <v/>
      </c>
      <c r="BD27" s="21" t="str">
        <f>IF($C27="","",SQRT(AL27/'Assumptions &amp; Ref'!$C$9))</f>
        <v/>
      </c>
      <c r="BE27" s="21" t="str">
        <f>IF($C27="","",SQRT(AL27*'Assumptions &amp; Ref'!$C$9))</f>
        <v/>
      </c>
      <c r="BF27" s="24" t="str">
        <f>IF($C27="","",BD27*1000/'Assumptions &amp; Ref'!$C$27)</f>
        <v/>
      </c>
      <c r="BG27" s="24" t="str">
        <f t="shared" si="32"/>
        <v/>
      </c>
      <c r="BH27" s="24" t="str">
        <f>IF($C27="","",BG27*BE27*(1+'Assumptions &amp; Ref'!$C$29))</f>
        <v/>
      </c>
      <c r="BI27" s="25" t="str">
        <f>IF($C27="","",PI()*('Assumptions &amp; Ref'!$C$25-'Assumptions &amp; Ref'!$C$26)/1000*'Assumptions &amp; Ref'!$C$26/1000*$C$5)</f>
        <v/>
      </c>
      <c r="BJ27" s="20" t="str">
        <f t="shared" si="19"/>
        <v/>
      </c>
      <c r="BK27" s="24" t="str">
        <f t="shared" si="20"/>
        <v/>
      </c>
      <c r="BL27" s="21" t="str">
        <f>IF($C27="","",O27*'Assumptions &amp; Ref'!$C$28/1000)</f>
        <v/>
      </c>
      <c r="BM27" s="21" t="str">
        <f>IF($C27="","",BD27*BL27*(1-'Assumptions &amp; Ref'!$C$31))</f>
        <v/>
      </c>
      <c r="BN27" s="20" t="str">
        <f>IF($C27="","",BK27*BM27*'Assumptions &amp; Ref'!$C$30/1000*INDEX($C$5:$I$5,MATCH(R27,$C$4:$I$4,0)))</f>
        <v/>
      </c>
      <c r="BO27" s="20" t="str">
        <f>IF($C27="","",'Assumptions &amp; Ref'!$C$34+O27*'Assumptions &amp; Ref'!$C$35+'Assumptions &amp; Ref'!$C$36+IF(OR(S27="Pre+Fine",S27="Pre+Fine+HEPA"),'Assumptions &amp; Ref'!$C$37,0)+IF(S27="Pre+Fine+HEPA",'Assumptions &amp; Ref'!$C$38,0))</f>
        <v/>
      </c>
      <c r="BP27" s="20" t="str">
        <f t="shared" si="21"/>
        <v/>
      </c>
      <c r="BQ27" s="21" t="str">
        <f>IF($C27="","",AK27*BP27/(1000*IF(M27="Plug fan",'Assumptions &amp; Ref'!$C$39,'Assumptions &amp; Ref'!$C$40)*'Assumptions &amp; Ref'!$C$41))</f>
        <v/>
      </c>
      <c r="BR27" s="21" t="str">
        <f>IF($C27="","",IFERROR(INDEX('Assumptions &amp; Ref'!$B$44:$B$61,MATCH(BQ27,'Assumptions &amp; Ref'!$B$44:$B$61,1)+IF(INDEX('Assumptions &amp; Ref'!$B$44:$B$61,MATCH(BQ27,'Assumptions &amp; Ref'!$B$44:$B$61,1))&gt;=BQ27,0,1)),INDEX('Assumptions &amp; Ref'!$B$44:$B$61,1)))</f>
        <v/>
      </c>
      <c r="BS27" s="20" t="str">
        <f>IF($C27="","",BR27*IF(M27="Plug fan",'Assumptions &amp; Ref'!$C$64,'Assumptions &amp; Ref'!$C$65))</f>
        <v/>
      </c>
      <c r="BT27" s="20" t="str">
        <f>IF($C27="","",IF(N27="Y",BR27*'Assumptions &amp; Ref'!$C$66,0))</f>
        <v/>
      </c>
      <c r="BU27" s="21" t="str">
        <f t="shared" si="22"/>
        <v/>
      </c>
      <c r="BV27" s="20" t="str">
        <f>IF($C27="","",BU27*('Assumptions &amp; Ref'!$C$67+IF(OR(S27="Pre+Fine",S27="Pre+Fine+HEPA"),'Assumptions &amp; Ref'!$C$68,0)+IF(S27="Pre+Fine+HEPA",'Assumptions &amp; Ref'!$C$69,0)))</f>
        <v/>
      </c>
      <c r="BW27" s="21" t="str">
        <f t="shared" si="23"/>
        <v/>
      </c>
      <c r="BX27" s="20" t="str">
        <f>IF($C27="","",BW27*'Assumptions &amp; Ref'!$C$70)</f>
        <v/>
      </c>
      <c r="BY27" s="20" t="str">
        <f>IF($C27="","",AN27*('Assumptions &amp; Ref'!$C$17+O27*'Assumptions &amp; Ref'!$C$18+0.2)*'Assumptions &amp; Ref'!$C$81/1000*$G$5)</f>
        <v/>
      </c>
      <c r="BZ27" s="20" t="str">
        <f t="shared" si="24"/>
        <v/>
      </c>
      <c r="CA27" s="20" t="str">
        <f t="shared" si="25"/>
        <v/>
      </c>
      <c r="CB27" s="20" t="str">
        <f t="shared" si="26"/>
        <v/>
      </c>
      <c r="CC27" s="20" t="str">
        <f>IF($C27="","",(AV27+BB27)*'Assumptions &amp; Ref'!$C$78+(BJ27+BN27)*'Assumptions &amp; Ref'!$C$80)</f>
        <v/>
      </c>
      <c r="CD27" s="20" t="str">
        <f>IF($C27="","",'Assumptions &amp; Ref'!$C$84*(CA27+CB27+CC27))</f>
        <v/>
      </c>
      <c r="CE27" s="20" t="str">
        <f>IF($C27="","",'Assumptions &amp; Ref'!$C$85*(CA27+CB27+CC27+CD27))</f>
        <v/>
      </c>
      <c r="CF27" s="20" t="str">
        <f t="shared" si="27"/>
        <v/>
      </c>
      <c r="CH27" s="17" t="str">
        <f t="shared" si="28"/>
        <v/>
      </c>
      <c r="CI27" s="17" t="str">
        <f t="shared" si="29"/>
        <v/>
      </c>
      <c r="CJ27" s="17" t="str">
        <f t="shared" si="30"/>
        <v/>
      </c>
    </row>
    <row r="28" spans="2:88" ht="15" customHeight="1" x14ac:dyDescent="0.25"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5" t="str">
        <f t="shared" si="0"/>
        <v/>
      </c>
      <c r="Z28" s="16" t="str">
        <f t="shared" si="31"/>
        <v/>
      </c>
      <c r="AA28" s="17" t="str">
        <f t="shared" si="1"/>
        <v/>
      </c>
      <c r="AB28" s="17" t="str">
        <f t="shared" si="2"/>
        <v/>
      </c>
      <c r="AC28" s="17" t="str">
        <f t="shared" si="3"/>
        <v/>
      </c>
      <c r="AD28" s="17" t="str">
        <f t="shared" si="4"/>
        <v/>
      </c>
      <c r="AE28" s="17" t="str">
        <f t="shared" si="5"/>
        <v/>
      </c>
      <c r="AF28" s="17" t="str">
        <f t="shared" si="6"/>
        <v/>
      </c>
      <c r="AG28" s="18" t="str">
        <f t="shared" si="7"/>
        <v/>
      </c>
      <c r="AH28" s="19" t="str">
        <f t="shared" si="8"/>
        <v/>
      </c>
      <c r="AJ28" s="20" t="str">
        <f>IF($C28="","",$C28*'Assumptions &amp; Ref'!$C$10)</f>
        <v/>
      </c>
      <c r="AK28" s="21" t="str">
        <f t="shared" si="9"/>
        <v/>
      </c>
      <c r="AL28" s="21" t="str">
        <f>IF($C28="","",AK28/'Assumptions &amp; Ref'!$C$6)</f>
        <v/>
      </c>
      <c r="AM28" s="21" t="str">
        <f>IF($C28="","",AL28/'Assumptions &amp; Ref'!$C$8)</f>
        <v/>
      </c>
      <c r="AN28" s="21" t="str">
        <f>IF($C28="","",SQRT(AM28*'Assumptions &amp; Ref'!$C$9))</f>
        <v/>
      </c>
      <c r="AO28" s="21" t="str">
        <f>IF($C28="","",SQRT(AM28/'Assumptions &amp; Ref'!$C$9))</f>
        <v/>
      </c>
      <c r="AP28" s="21" t="str">
        <f>IF($C28="","",'Assumptions &amp; Ref'!$C$14+IF(OR(S28="Pre+Fine",S28="Pre+Fine+HEPA"),'Assumptions &amp; Ref'!$C$15,0)+IF(S28="Pre+Fine+HEPA",'Assumptions &amp; Ref'!$C$16,0))</f>
        <v/>
      </c>
      <c r="AQ28" s="21" t="str">
        <f>IF($C28="","",IF(V28="Y",'Assumptions &amp; Ref'!$C$13,0)+AP28+'Assumptions &amp; Ref'!$C$17+O28*'Assumptions &amp; Ref'!$C$18+IF(W28="Y",'Assumptions &amp; Ref'!$C$19,0)+'Assumptions &amp; Ref'!$C$20+IF(X28="Y",'Assumptions &amp; Ref'!$C$21,0))</f>
        <v/>
      </c>
      <c r="AR28" s="21" t="str">
        <f t="shared" si="10"/>
        <v/>
      </c>
      <c r="AS28" s="22" t="str">
        <f t="shared" si="11"/>
        <v/>
      </c>
      <c r="AT28" s="20" t="str">
        <f t="shared" si="12"/>
        <v/>
      </c>
      <c r="AU28" s="23" t="str">
        <f t="shared" si="13"/>
        <v/>
      </c>
      <c r="AV28" s="20" t="str">
        <f>IF($C28="","",AR28*AS28*I28/1000*AT28*(1+'Assumptions &amp; Ref'!$C$75))</f>
        <v/>
      </c>
      <c r="AW28" s="20" t="str">
        <f t="shared" si="14"/>
        <v/>
      </c>
      <c r="AX28" s="23" t="str">
        <f t="shared" si="15"/>
        <v/>
      </c>
      <c r="AY28" s="21" t="str">
        <f t="shared" si="16"/>
        <v/>
      </c>
      <c r="AZ28" s="20" t="str">
        <f t="shared" si="17"/>
        <v/>
      </c>
      <c r="BA28" s="21" t="str">
        <f t="shared" si="18"/>
        <v/>
      </c>
      <c r="BB28" s="20" t="str">
        <f>IF($C28="","",BA28*'Assumptions &amp; Ref'!$C$76)</f>
        <v/>
      </c>
      <c r="BC28" s="20" t="str">
        <f>IF($C28="","",BB28*'Assumptions &amp; Ref'!$C$77)</f>
        <v/>
      </c>
      <c r="BD28" s="21" t="str">
        <f>IF($C28="","",SQRT(AL28/'Assumptions &amp; Ref'!$C$9))</f>
        <v/>
      </c>
      <c r="BE28" s="21" t="str">
        <f>IF($C28="","",SQRT(AL28*'Assumptions &amp; Ref'!$C$9))</f>
        <v/>
      </c>
      <c r="BF28" s="24" t="str">
        <f>IF($C28="","",BD28*1000/'Assumptions &amp; Ref'!$C$27)</f>
        <v/>
      </c>
      <c r="BG28" s="24" t="str">
        <f t="shared" si="32"/>
        <v/>
      </c>
      <c r="BH28" s="24" t="str">
        <f>IF($C28="","",BG28*BE28*(1+'Assumptions &amp; Ref'!$C$29))</f>
        <v/>
      </c>
      <c r="BI28" s="25" t="str">
        <f>IF($C28="","",PI()*('Assumptions &amp; Ref'!$C$25-'Assumptions &amp; Ref'!$C$26)/1000*'Assumptions &amp; Ref'!$C$26/1000*$C$5)</f>
        <v/>
      </c>
      <c r="BJ28" s="20" t="str">
        <f t="shared" si="19"/>
        <v/>
      </c>
      <c r="BK28" s="24" t="str">
        <f t="shared" si="20"/>
        <v/>
      </c>
      <c r="BL28" s="21" t="str">
        <f>IF($C28="","",O28*'Assumptions &amp; Ref'!$C$28/1000)</f>
        <v/>
      </c>
      <c r="BM28" s="21" t="str">
        <f>IF($C28="","",BD28*BL28*(1-'Assumptions &amp; Ref'!$C$31))</f>
        <v/>
      </c>
      <c r="BN28" s="20" t="str">
        <f>IF($C28="","",BK28*BM28*'Assumptions &amp; Ref'!$C$30/1000*INDEX($C$5:$I$5,MATCH(R28,$C$4:$I$4,0)))</f>
        <v/>
      </c>
      <c r="BO28" s="20" t="str">
        <f>IF($C28="","",'Assumptions &amp; Ref'!$C$34+O28*'Assumptions &amp; Ref'!$C$35+'Assumptions &amp; Ref'!$C$36+IF(OR(S28="Pre+Fine",S28="Pre+Fine+HEPA"),'Assumptions &amp; Ref'!$C$37,0)+IF(S28="Pre+Fine+HEPA",'Assumptions &amp; Ref'!$C$38,0))</f>
        <v/>
      </c>
      <c r="BP28" s="20" t="str">
        <f t="shared" si="21"/>
        <v/>
      </c>
      <c r="BQ28" s="21" t="str">
        <f>IF($C28="","",AK28*BP28/(1000*IF(M28="Plug fan",'Assumptions &amp; Ref'!$C$39,'Assumptions &amp; Ref'!$C$40)*'Assumptions &amp; Ref'!$C$41))</f>
        <v/>
      </c>
      <c r="BR28" s="21" t="str">
        <f>IF($C28="","",IFERROR(INDEX('Assumptions &amp; Ref'!$B$44:$B$61,MATCH(BQ28,'Assumptions &amp; Ref'!$B$44:$B$61,1)+IF(INDEX('Assumptions &amp; Ref'!$B$44:$B$61,MATCH(BQ28,'Assumptions &amp; Ref'!$B$44:$B$61,1))&gt;=BQ28,0,1)),INDEX('Assumptions &amp; Ref'!$B$44:$B$61,1)))</f>
        <v/>
      </c>
      <c r="BS28" s="20" t="str">
        <f>IF($C28="","",BR28*IF(M28="Plug fan",'Assumptions &amp; Ref'!$C$64,'Assumptions &amp; Ref'!$C$65))</f>
        <v/>
      </c>
      <c r="BT28" s="20" t="str">
        <f>IF($C28="","",IF(N28="Y",BR28*'Assumptions &amp; Ref'!$C$66,0))</f>
        <v/>
      </c>
      <c r="BU28" s="21" t="str">
        <f t="shared" si="22"/>
        <v/>
      </c>
      <c r="BV28" s="20" t="str">
        <f>IF($C28="","",BU28*('Assumptions &amp; Ref'!$C$67+IF(OR(S28="Pre+Fine",S28="Pre+Fine+HEPA"),'Assumptions &amp; Ref'!$C$68,0)+IF(S28="Pre+Fine+HEPA",'Assumptions &amp; Ref'!$C$69,0)))</f>
        <v/>
      </c>
      <c r="BW28" s="21" t="str">
        <f t="shared" si="23"/>
        <v/>
      </c>
      <c r="BX28" s="20" t="str">
        <f>IF($C28="","",BW28*'Assumptions &amp; Ref'!$C$70)</f>
        <v/>
      </c>
      <c r="BY28" s="20" t="str">
        <f>IF($C28="","",AN28*('Assumptions &amp; Ref'!$C$17+O28*'Assumptions &amp; Ref'!$C$18+0.2)*'Assumptions &amp; Ref'!$C$81/1000*$G$5)</f>
        <v/>
      </c>
      <c r="BZ28" s="20" t="str">
        <f t="shared" si="24"/>
        <v/>
      </c>
      <c r="CA28" s="20" t="str">
        <f t="shared" si="25"/>
        <v/>
      </c>
      <c r="CB28" s="20" t="str">
        <f t="shared" si="26"/>
        <v/>
      </c>
      <c r="CC28" s="20" t="str">
        <f>IF($C28="","",(AV28+BB28)*'Assumptions &amp; Ref'!$C$78+(BJ28+BN28)*'Assumptions &amp; Ref'!$C$80)</f>
        <v/>
      </c>
      <c r="CD28" s="20" t="str">
        <f>IF($C28="","",'Assumptions &amp; Ref'!$C$84*(CA28+CB28+CC28))</f>
        <v/>
      </c>
      <c r="CE28" s="20" t="str">
        <f>IF($C28="","",'Assumptions &amp; Ref'!$C$85*(CA28+CB28+CC28+CD28))</f>
        <v/>
      </c>
      <c r="CF28" s="20" t="str">
        <f t="shared" si="27"/>
        <v/>
      </c>
      <c r="CH28" s="17" t="str">
        <f t="shared" si="28"/>
        <v/>
      </c>
      <c r="CI28" s="17" t="str">
        <f t="shared" si="29"/>
        <v/>
      </c>
      <c r="CJ28" s="17" t="str">
        <f t="shared" si="30"/>
        <v/>
      </c>
    </row>
  </sheetData>
  <dataValidations count="10">
    <dataValidation type="list" allowBlank="1" sqref="H9:H28" xr:uid="{00000000-0002-0000-0000-000000000000}">
      <formula1>"Single skin,Double skin"</formula1>
      <formula2>0</formula2>
    </dataValidation>
    <dataValidation type="list" allowBlank="1" sqref="J9:J28" xr:uid="{00000000-0002-0000-0000-000001000000}">
      <formula1>"GI sheet,Pre-coated GI,SS 304"</formula1>
      <formula2>0</formula2>
    </dataValidation>
    <dataValidation type="list" allowBlank="1" sqref="K9:K28" xr:uid="{00000000-0002-0000-0000-000002000000}">
      <formula1>"PUF,Rockwool"</formula1>
      <formula2>0</formula2>
    </dataValidation>
    <dataValidation type="list" allowBlank="1" sqref="M9:M28" xr:uid="{00000000-0002-0000-0000-000003000000}">
      <formula1>"Plug fan,Belt-driven"</formula1>
      <formula2>0</formula2>
    </dataValidation>
    <dataValidation type="list" allowBlank="1" sqref="N9:N28 V9:X28" xr:uid="{00000000-0002-0000-0000-000004000000}">
      <formula1>"Y,N"</formula1>
      <formula2>0</formula2>
    </dataValidation>
    <dataValidation type="list" allowBlank="1" sqref="Q9:Q28" xr:uid="{00000000-0002-0000-0000-000005000000}">
      <formula1>"Copper tube"</formula1>
      <formula2>0</formula2>
    </dataValidation>
    <dataValidation type="list" allowBlank="1" sqref="R9:R28" xr:uid="{00000000-0002-0000-0000-000006000000}">
      <formula1>"Aluminium fin,Copper tube"</formula1>
      <formula2>0</formula2>
    </dataValidation>
    <dataValidation type="list" allowBlank="1" sqref="S9:S28" xr:uid="{00000000-0002-0000-0000-000007000000}">
      <formula1>"Pre only,Pre+Fine,Pre+Fine+HEPA"</formula1>
      <formula2>0</formula2>
    </dataValidation>
    <dataValidation type="list" allowBlank="1" sqref="T9:T28" xr:uid="{00000000-0002-0000-0000-000008000000}">
      <formula1>"Floor mounted,Ceiling suspended,Rooftop"</formula1>
      <formula2>0</formula2>
    </dataValidation>
    <dataValidation type="list" allowBlank="1" sqref="U9:U28" xr:uid="{00000000-0002-0000-0000-000009000000}">
      <formula1>"Return air,Mixed (return+fresh),100% fresh air"</formula1>
      <formula2>0</formula2>
    </dataValidation>
  </dataValidations>
  <hyperlinks>
    <hyperlink ref="C3" r:id="rId1" xr:uid="{00000000-0004-0000-0000-000000000000}"/>
    <hyperlink ref="F3" r:id="rId2" xr:uid="{00000000-0004-0000-0000-000001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M33"/>
  <sheetViews>
    <sheetView showGridLines="0" zoomScaleNormal="100" workbookViewId="0">
      <pane xSplit="23" ySplit="8" topLeftCell="X9" activePane="bottomRight" state="frozen"/>
      <selection pane="topRight" activeCell="X1" sqref="X1"/>
      <selection pane="bottomLeft" activeCell="A9" sqref="A9"/>
      <selection pane="bottomRight" activeCell="C6" sqref="C6"/>
    </sheetView>
  </sheetViews>
  <sheetFormatPr defaultColWidth="8.7109375" defaultRowHeight="15" outlineLevelCol="1" x14ac:dyDescent="0.25"/>
  <cols>
    <col min="2" max="2" width="22" customWidth="1"/>
    <col min="3" max="4" width="9" customWidth="1"/>
    <col min="5" max="5" width="19" customWidth="1"/>
    <col min="6" max="6" width="6" customWidth="1"/>
    <col min="7" max="7" width="9" customWidth="1"/>
    <col min="8" max="8" width="13" customWidth="1"/>
    <col min="9" max="9" width="7" customWidth="1"/>
    <col min="10" max="10" width="11" customWidth="1"/>
    <col min="11" max="11" width="8" customWidth="1"/>
    <col min="12" max="12" width="6" customWidth="1"/>
    <col min="13" max="13" width="11" customWidth="1"/>
    <col min="14" max="14" width="13" customWidth="1"/>
    <col min="15" max="15" width="9" customWidth="1"/>
    <col min="16" max="16" width="10" customWidth="1"/>
    <col min="17" max="18" width="9" customWidth="1"/>
    <col min="19" max="19" width="10" customWidth="1"/>
    <col min="20" max="20" width="9" customWidth="1"/>
    <col min="21" max="21" width="10" customWidth="1"/>
    <col min="22" max="22" width="8" customWidth="1"/>
    <col min="23" max="23" width="2" customWidth="1"/>
    <col min="24" max="61" width="10" customWidth="1" outlineLevel="1"/>
    <col min="63" max="65" width="13" customWidth="1"/>
  </cols>
  <sheetData>
    <row r="1" spans="2:65" ht="15.75" customHeight="1" x14ac:dyDescent="0.25">
      <c r="B1" s="1" t="s">
        <v>121</v>
      </c>
    </row>
    <row r="2" spans="2:65" ht="15" customHeight="1" x14ac:dyDescent="0.25">
      <c r="B2" s="2" t="s">
        <v>122</v>
      </c>
    </row>
    <row r="3" spans="2:65" ht="15" customHeight="1" x14ac:dyDescent="0.25">
      <c r="B3" s="3" t="s">
        <v>2</v>
      </c>
      <c r="C3" s="4" t="s">
        <v>3</v>
      </c>
      <c r="F3" s="4" t="s">
        <v>4</v>
      </c>
    </row>
    <row r="4" spans="2:65" ht="15" customHeight="1" x14ac:dyDescent="0.25">
      <c r="B4" s="3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</row>
    <row r="5" spans="2:65" ht="15" customHeight="1" x14ac:dyDescent="0.25">
      <c r="B5" s="2" t="s">
        <v>13</v>
      </c>
      <c r="C5" s="6">
        <v>8960</v>
      </c>
      <c r="D5" s="6">
        <v>2700</v>
      </c>
      <c r="E5" s="6">
        <v>7850</v>
      </c>
      <c r="F5" s="6">
        <v>7850</v>
      </c>
      <c r="G5" s="6">
        <v>7900</v>
      </c>
      <c r="H5" s="6">
        <v>40</v>
      </c>
      <c r="I5" s="6">
        <v>64</v>
      </c>
      <c r="K5" s="2" t="s">
        <v>123</v>
      </c>
    </row>
    <row r="6" spans="2:65" ht="15" customHeight="1" x14ac:dyDescent="0.25">
      <c r="B6" s="2" t="s">
        <v>15</v>
      </c>
      <c r="C6" s="7">
        <v>1400</v>
      </c>
      <c r="D6" s="7">
        <v>260</v>
      </c>
      <c r="E6" s="7">
        <v>80</v>
      </c>
      <c r="F6" s="7">
        <v>95</v>
      </c>
      <c r="G6" s="7">
        <v>260</v>
      </c>
      <c r="H6" s="7">
        <v>350</v>
      </c>
      <c r="I6" s="7">
        <v>85</v>
      </c>
    </row>
    <row r="8" spans="2:65" ht="21.75" customHeight="1" x14ac:dyDescent="0.25">
      <c r="B8" s="8" t="s">
        <v>124</v>
      </c>
      <c r="C8" s="8" t="s">
        <v>17</v>
      </c>
      <c r="D8" s="8" t="s">
        <v>125</v>
      </c>
      <c r="E8" s="8" t="s">
        <v>126</v>
      </c>
      <c r="F8" s="8" t="s">
        <v>28</v>
      </c>
      <c r="G8" s="8" t="s">
        <v>127</v>
      </c>
      <c r="H8" s="8" t="s">
        <v>23</v>
      </c>
      <c r="I8" s="8" t="s">
        <v>22</v>
      </c>
      <c r="J8" s="8" t="s">
        <v>24</v>
      </c>
      <c r="K8" s="8" t="s">
        <v>25</v>
      </c>
      <c r="L8" s="8" t="s">
        <v>29</v>
      </c>
      <c r="M8" s="8" t="s">
        <v>31</v>
      </c>
      <c r="N8" s="9" t="s">
        <v>38</v>
      </c>
      <c r="O8" s="9" t="s">
        <v>39</v>
      </c>
      <c r="P8" s="9" t="s">
        <v>40</v>
      </c>
      <c r="Q8" s="9" t="s">
        <v>41</v>
      </c>
      <c r="R8" s="9" t="s">
        <v>42</v>
      </c>
      <c r="S8" s="9" t="s">
        <v>43</v>
      </c>
      <c r="T8" s="9" t="s">
        <v>44</v>
      </c>
      <c r="U8" s="9" t="s">
        <v>45</v>
      </c>
      <c r="V8" s="9" t="s">
        <v>128</v>
      </c>
      <c r="X8" s="10" t="s">
        <v>48</v>
      </c>
      <c r="Y8" s="10" t="s">
        <v>49</v>
      </c>
      <c r="Z8" s="10" t="s">
        <v>50</v>
      </c>
      <c r="AA8" s="10" t="s">
        <v>51</v>
      </c>
      <c r="AB8" s="10" t="s">
        <v>52</v>
      </c>
      <c r="AC8" s="10" t="s">
        <v>53</v>
      </c>
      <c r="AD8" s="10" t="s">
        <v>129</v>
      </c>
      <c r="AE8" s="10" t="s">
        <v>56</v>
      </c>
      <c r="AF8" s="10" t="s">
        <v>58</v>
      </c>
      <c r="AG8" s="10" t="s">
        <v>59</v>
      </c>
      <c r="AH8" s="10" t="s">
        <v>60</v>
      </c>
      <c r="AI8" s="10" t="s">
        <v>61</v>
      </c>
      <c r="AJ8" s="10" t="s">
        <v>62</v>
      </c>
      <c r="AK8" s="10" t="s">
        <v>63</v>
      </c>
      <c r="AL8" s="10" t="s">
        <v>64</v>
      </c>
      <c r="AM8" s="10" t="s">
        <v>68</v>
      </c>
      <c r="AN8" s="10" t="s">
        <v>69</v>
      </c>
      <c r="AO8" s="10" t="s">
        <v>70</v>
      </c>
      <c r="AP8" s="10" t="s">
        <v>71</v>
      </c>
      <c r="AQ8" s="10" t="s">
        <v>72</v>
      </c>
      <c r="AR8" s="10" t="s">
        <v>73</v>
      </c>
      <c r="AS8" s="10" t="s">
        <v>74</v>
      </c>
      <c r="AT8" s="10" t="s">
        <v>75</v>
      </c>
      <c r="AU8" s="10" t="s">
        <v>76</v>
      </c>
      <c r="AV8" s="10" t="s">
        <v>77</v>
      </c>
      <c r="AW8" s="10" t="s">
        <v>78</v>
      </c>
      <c r="AX8" s="10" t="s">
        <v>79</v>
      </c>
      <c r="AY8" s="10" t="s">
        <v>80</v>
      </c>
      <c r="AZ8" s="10" t="s">
        <v>130</v>
      </c>
      <c r="BA8" s="10" t="s">
        <v>131</v>
      </c>
      <c r="BB8" s="10" t="s">
        <v>89</v>
      </c>
      <c r="BC8" s="10" t="s">
        <v>90</v>
      </c>
      <c r="BD8" s="10" t="s">
        <v>91</v>
      </c>
      <c r="BE8" s="10" t="s">
        <v>92</v>
      </c>
      <c r="BF8" s="10" t="s">
        <v>93</v>
      </c>
      <c r="BG8" s="10" t="s">
        <v>94</v>
      </c>
      <c r="BH8" s="10" t="s">
        <v>95</v>
      </c>
      <c r="BI8" s="10" t="s">
        <v>96</v>
      </c>
      <c r="BK8" s="11" t="s">
        <v>97</v>
      </c>
      <c r="BL8" s="11" t="s">
        <v>98</v>
      </c>
      <c r="BM8" s="11" t="s">
        <v>99</v>
      </c>
    </row>
    <row r="9" spans="2:65" ht="15" customHeight="1" x14ac:dyDescent="0.25">
      <c r="B9" s="12" t="s">
        <v>132</v>
      </c>
      <c r="C9" s="13">
        <v>400</v>
      </c>
      <c r="D9" s="14">
        <v>1</v>
      </c>
      <c r="E9" s="13" t="s">
        <v>133</v>
      </c>
      <c r="F9" s="13">
        <v>3</v>
      </c>
      <c r="G9" s="13">
        <v>0</v>
      </c>
      <c r="H9" s="13" t="s">
        <v>8</v>
      </c>
      <c r="I9" s="14">
        <v>0.6</v>
      </c>
      <c r="J9" s="13" t="s">
        <v>12</v>
      </c>
      <c r="K9" s="13">
        <v>13</v>
      </c>
      <c r="L9" s="13">
        <v>12</v>
      </c>
      <c r="M9" s="13" t="s">
        <v>7</v>
      </c>
      <c r="N9" s="15">
        <f t="shared" ref="N9:N33" si="0">IF($C9="","",BI9)</f>
        <v>9461.5892405226969</v>
      </c>
      <c r="O9" s="16">
        <f t="shared" ref="O9:O33" si="1">IF($C9="","",BI9/C9)</f>
        <v>23.653973101306743</v>
      </c>
      <c r="P9" s="17">
        <f t="shared" ref="P9:P33" si="2">IF($C9="","",IF(D9=0,"",BI9/D9))</f>
        <v>9461.5892405226969</v>
      </c>
      <c r="Q9" s="16">
        <f t="shared" ref="Q9:Q33" si="3">IF($C9="","",AS9+AW9+AH9+AL9+BB9)</f>
        <v>9.1407104677158983</v>
      </c>
      <c r="R9" s="16">
        <f t="shared" ref="R9:R33" si="4">IF($C9="","",AS9)</f>
        <v>1.0794328935638009</v>
      </c>
      <c r="S9" s="16">
        <f t="shared" ref="S9:S33" si="5">IF($C9="","",AW9)</f>
        <v>0.69794234379921261</v>
      </c>
      <c r="T9" s="16">
        <f t="shared" ref="T9:T33" si="6">IF($C9="","",AH9)</f>
        <v>5.426848941444149</v>
      </c>
      <c r="U9" s="16">
        <f t="shared" ref="U9:U33" si="7">IF($C9="","",AL9)</f>
        <v>0.85591794041581959</v>
      </c>
      <c r="V9" s="17">
        <f t="shared" ref="V9:V33" si="8">IF($C9="","",AZ9)</f>
        <v>57.712063492063507</v>
      </c>
      <c r="X9" s="20">
        <f>IF($C9="","",C9*'Assumptions &amp; Ref'!$C$10)</f>
        <v>679.6</v>
      </c>
      <c r="Y9" s="21">
        <f t="shared" ref="Y9:Y33" si="9">IF($C9="","",X9/3600)</f>
        <v>0.18877777777777779</v>
      </c>
      <c r="Z9" s="21">
        <f>IF($C9="","",Y9/'Assumptions &amp; Ref'!$C$7)</f>
        <v>9.4388888888888897E-2</v>
      </c>
      <c r="AA9" s="21">
        <f>IF($C9="","",Z9/'Assumptions &amp; Ref'!$C$8)</f>
        <v>0.11104575163398694</v>
      </c>
      <c r="AB9" s="21">
        <f>IF($C9="","",SQRT(AA9*'Assumptions &amp; Ref'!$C$9))</f>
        <v>0.37994667668527254</v>
      </c>
      <c r="AC9" s="21">
        <f>IF($C9="","",SQRT(AA9/'Assumptions &amp; Ref'!$C$9))</f>
        <v>0.29226667437328657</v>
      </c>
      <c r="AD9" s="21">
        <f>IF($C9="","",IFERROR(INDEX('Assumptions &amp; Ref'!$C$89:$C$92,MATCH(E9,'Assumptions &amp; Ref'!$B$89:$B$92,0)),0.6))</f>
        <v>0.6</v>
      </c>
      <c r="AE9" s="21">
        <f t="shared" ref="AE9:AE33" si="10">IF($C9="","",2*(AB9+AC9)*AD9+2*AB9*AC9)</f>
        <v>1.0287475245382447</v>
      </c>
      <c r="AF9" s="20">
        <f t="shared" ref="AF9:AF33" si="11">IF($C9="","",INDEX($C$5:$I$5,MATCH(H9,$C$4:$I$4,0)))</f>
        <v>7850</v>
      </c>
      <c r="AG9" s="23">
        <f t="shared" ref="AG9:AG33" si="12">IF($C9="","",INDEX($C$6:$I$6,MATCH(H9,$C$4:$I$4,0)))</f>
        <v>80</v>
      </c>
      <c r="AH9" s="23">
        <f>IF($C9="","",AE9*I9/1000*AF9*(1+'Assumptions &amp; Ref'!$C$75))</f>
        <v>5.426848941444149</v>
      </c>
      <c r="AI9" s="20">
        <f t="shared" ref="AI9:AI33" si="13">IF($C9="","",INDEX($C$5:$I$5,MATCH(J9,$C$4:$I$4,0)))</f>
        <v>64</v>
      </c>
      <c r="AJ9" s="23">
        <f t="shared" ref="AJ9:AJ33" si="14">IF($C9="","",INDEX($C$6:$I$6,MATCH(J9,$C$4:$I$4,0)))</f>
        <v>85</v>
      </c>
      <c r="AK9" s="21">
        <f t="shared" ref="AK9:AK33" si="15">IF($C9="","",AE9*K9/1000)</f>
        <v>1.3373717818997181E-2</v>
      </c>
      <c r="AL9" s="23">
        <f t="shared" ref="AL9:AL33" si="16">IF($C9="","",AK9*AI9)</f>
        <v>0.85591794041581959</v>
      </c>
      <c r="AM9" s="21">
        <f>IF($C9="","",SQRT(Z9/'Assumptions &amp; Ref'!$C$9))</f>
        <v>0.26945655977696592</v>
      </c>
      <c r="AN9" s="21">
        <f>IF($C9="","",SQRT(Z9*'Assumptions &amp; Ref'!$C$9))</f>
        <v>0.35029352771005573</v>
      </c>
      <c r="AO9" s="24">
        <f>IF($C9="","",AM9*1000/'Assumptions &amp; Ref'!$D$27)</f>
        <v>10.778262391078638</v>
      </c>
      <c r="AP9" s="24">
        <f t="shared" ref="AP9:AP33" si="17">IF($C9="","",AO9*F9)</f>
        <v>32.33478717323591</v>
      </c>
      <c r="AQ9" s="24">
        <f>IF($C9="","",AP9*AN9*(1+'Assumptions &amp; Ref'!$D$29))</f>
        <v>13.025666666666668</v>
      </c>
      <c r="AR9" s="25">
        <f>IF($C9="","",PI()*('Assumptions &amp; Ref'!$D$25-'Assumptions &amp; Ref'!$D$26)/1000*'Assumptions &amp; Ref'!$D$26/1000*$C$5)</f>
        <v>8.2869684998628415E-2</v>
      </c>
      <c r="AS9" s="23">
        <f t="shared" ref="AS9:AS33" si="18">IF($C9="","",AQ9*AR9)</f>
        <v>1.0794328935638009</v>
      </c>
      <c r="AT9" s="24">
        <f t="shared" ref="AT9:AT33" si="19">IF($C9="","",AN9*1000*L9/25.4)</f>
        <v>165.49300521734918</v>
      </c>
      <c r="AU9" s="21">
        <f>IF($C9="","",F9*'Assumptions &amp; Ref'!$D$28/1000)</f>
        <v>6.4949999999999994E-2</v>
      </c>
      <c r="AV9" s="21">
        <f>IF($C9="","",AM9*AU9*(1-'Assumptions &amp; Ref'!$D$31))</f>
        <v>1.4876023023886844E-2</v>
      </c>
      <c r="AW9" s="23">
        <f>IF($C9="","",AT9*AV9*'Assumptions &amp; Ref'!$D$30/1000*INDEX($C$5:$I$5,MATCH(M9,$C$4:$I$4,0)))</f>
        <v>0.69794234379921261</v>
      </c>
      <c r="AX9" s="20">
        <f>IF($C9="","",'Assumptions &amp; Ref'!$C$95+F9*'Assumptions &amp; Ref'!$C$96+'Assumptions &amp; Ref'!$C$97)</f>
        <v>107</v>
      </c>
      <c r="AY9" s="20">
        <f t="shared" ref="AY9:AY33" si="20">IF($C9="","",IF(E9="Ducted",G9,0)+AX9)</f>
        <v>107</v>
      </c>
      <c r="AZ9" s="20">
        <f>IF($C9="","",Y9*AY9/'Assumptions &amp; Ref'!$C$98)</f>
        <v>57.712063492063507</v>
      </c>
      <c r="BA9" s="20">
        <f>IF($C9="","",'Assumptions &amp; Ref'!$C$71+AZ9*'Assumptions &amp; Ref'!$C$72)</f>
        <v>4397.0428571428583</v>
      </c>
      <c r="BB9" s="23">
        <f>IF($C9="","",AB9*(AD9*0.6)*'Assumptions &amp; Ref'!$C$81/1000*$G$5)</f>
        <v>1.0805683484929152</v>
      </c>
      <c r="BC9" s="20">
        <f t="shared" ref="BC9:BC33" si="21">IF($C9="","",BB9*$G$6)</f>
        <v>280.94777060815795</v>
      </c>
      <c r="BD9" s="20">
        <f t="shared" ref="BD9:BD33" si="22">IF($C9="","",AS9*$C$6+AW9*INDEX($C$6:$I$6,MATCH(M9,$C$4:$I$4,0))+AH9*AG9+AL9*AJ9+BC9)</f>
        <v>2480.519771236151</v>
      </c>
      <c r="BE9" s="20">
        <f t="shared" ref="BE9:BE33" si="23">IF($C9="","",BA9)</f>
        <v>4397.0428571428583</v>
      </c>
      <c r="BF9" s="20">
        <f>IF($C9="","",AH9*'Assumptions &amp; Ref'!$C$79+(AS9+AW9)*'Assumptions &amp; Ref'!$C$80)</f>
        <v>802.29876814915406</v>
      </c>
      <c r="BG9" s="20">
        <f>IF($C9="","",'Assumptions &amp; Ref'!$C$84*(BD9+BE9+BF9))</f>
        <v>767.98613965281641</v>
      </c>
      <c r="BH9" s="20">
        <f>IF($C9="","",'Assumptions &amp; Ref'!$C$85*(BD9+BE9+BF9+BG9))</f>
        <v>1013.7417043417175</v>
      </c>
      <c r="BI9" s="20">
        <f t="shared" ref="BI9:BI33" si="24">IF($C9="","",BD9+BE9+BF9+BG9+BH9)</f>
        <v>9461.5892405226969</v>
      </c>
      <c r="BK9" s="17">
        <f t="shared" ref="BK9:BK28" si="25">IF($C9="","",BD9)</f>
        <v>2480.519771236151</v>
      </c>
      <c r="BL9" s="17">
        <f t="shared" ref="BL9:BL28" si="26">IF($C9="","",BE9+BF9)</f>
        <v>5199.3416252920124</v>
      </c>
      <c r="BM9" s="17">
        <f t="shared" ref="BM9:BM28" si="27">IF($C9="","",BG9+BH9)</f>
        <v>1781.7278439945339</v>
      </c>
    </row>
    <row r="10" spans="2:65" ht="15" customHeight="1" x14ac:dyDescent="0.25">
      <c r="B10" s="12" t="s">
        <v>134</v>
      </c>
      <c r="C10" s="13">
        <v>600</v>
      </c>
      <c r="D10" s="14">
        <v>1.5</v>
      </c>
      <c r="E10" s="13" t="s">
        <v>133</v>
      </c>
      <c r="F10" s="13">
        <v>3</v>
      </c>
      <c r="G10" s="13">
        <v>0</v>
      </c>
      <c r="H10" s="13" t="s">
        <v>8</v>
      </c>
      <c r="I10" s="14">
        <v>0.6</v>
      </c>
      <c r="J10" s="13" t="s">
        <v>12</v>
      </c>
      <c r="K10" s="13">
        <v>13</v>
      </c>
      <c r="L10" s="13">
        <v>12</v>
      </c>
      <c r="M10" s="13" t="s">
        <v>7</v>
      </c>
      <c r="N10" s="15">
        <f t="shared" si="0"/>
        <v>12680.360369362024</v>
      </c>
      <c r="O10" s="16">
        <f t="shared" si="1"/>
        <v>21.133933948936708</v>
      </c>
      <c r="P10" s="17">
        <f t="shared" si="2"/>
        <v>8453.5735795746823</v>
      </c>
      <c r="Q10" s="16">
        <f t="shared" si="3"/>
        <v>12.057614199196998</v>
      </c>
      <c r="R10" s="16">
        <f t="shared" si="4"/>
        <v>1.6191493403457009</v>
      </c>
      <c r="S10" s="16">
        <f t="shared" si="5"/>
        <v>1.046913515698819</v>
      </c>
      <c r="T10" s="16">
        <f t="shared" si="6"/>
        <v>6.9689880136460483</v>
      </c>
      <c r="U10" s="16">
        <f t="shared" si="7"/>
        <v>1.0991427865016514</v>
      </c>
      <c r="V10" s="17">
        <f t="shared" si="8"/>
        <v>86.568095238095253</v>
      </c>
      <c r="X10" s="20">
        <f>IF($C10="","",C10*'Assumptions &amp; Ref'!$C$10)</f>
        <v>1019.4000000000001</v>
      </c>
      <c r="Y10" s="21">
        <f t="shared" si="9"/>
        <v>0.28316666666666668</v>
      </c>
      <c r="Z10" s="21">
        <f>IF($C10="","",Y10/'Assumptions &amp; Ref'!$C$7)</f>
        <v>0.14158333333333334</v>
      </c>
      <c r="AA10" s="21">
        <f>IF($C10="","",Z10/'Assumptions &amp; Ref'!$C$8)</f>
        <v>0.16656862745098042</v>
      </c>
      <c r="AB10" s="21">
        <f>IF($C10="","",SQRT(AA10*'Assumptions &amp; Ref'!$C$9))</f>
        <v>0.46533774367256581</v>
      </c>
      <c r="AC10" s="21">
        <f>IF($C10="","",SQRT(AA10/'Assumptions &amp; Ref'!$C$9))</f>
        <v>0.35795211051735831</v>
      </c>
      <c r="AD10" s="21">
        <f>IF($C10="","",IFERROR(INDEX('Assumptions &amp; Ref'!$C$89:$C$92,MATCH(E10,'Assumptions &amp; Ref'!$B$89:$B$92,0)),0.6))</f>
        <v>0.6</v>
      </c>
      <c r="AE10" s="21">
        <f t="shared" si="10"/>
        <v>1.3210850799298697</v>
      </c>
      <c r="AF10" s="20">
        <f t="shared" si="11"/>
        <v>7850</v>
      </c>
      <c r="AG10" s="23">
        <f t="shared" si="12"/>
        <v>80</v>
      </c>
      <c r="AH10" s="23">
        <f>IF($C10="","",AE10*I10/1000*AF10*(1+'Assumptions &amp; Ref'!$C$75))</f>
        <v>6.9689880136460483</v>
      </c>
      <c r="AI10" s="20">
        <f t="shared" si="13"/>
        <v>64</v>
      </c>
      <c r="AJ10" s="23">
        <f t="shared" si="14"/>
        <v>85</v>
      </c>
      <c r="AK10" s="21">
        <f t="shared" si="15"/>
        <v>1.7174106039088304E-2</v>
      </c>
      <c r="AL10" s="23">
        <f t="shared" si="16"/>
        <v>1.0991427865016514</v>
      </c>
      <c r="AM10" s="21">
        <f>IF($C10="","",SQRT(Z10/'Assumptions &amp; Ref'!$C$9))</f>
        <v>0.33001553964966013</v>
      </c>
      <c r="AN10" s="21">
        <f>IF($C10="","",SQRT(Z10*'Assumptions &amp; Ref'!$C$9))</f>
        <v>0.42902020154455822</v>
      </c>
      <c r="AO10" s="24">
        <f>IF($C10="","",AM10*1000/'Assumptions &amp; Ref'!$D$27)</f>
        <v>13.200621585986404</v>
      </c>
      <c r="AP10" s="24">
        <f t="shared" si="17"/>
        <v>39.601864757959213</v>
      </c>
      <c r="AQ10" s="24">
        <f>IF($C10="","",AP10*AN10*(1+'Assumptions &amp; Ref'!$D$29))</f>
        <v>19.538499999999996</v>
      </c>
      <c r="AR10" s="25">
        <f>IF($C10="","",PI()*('Assumptions &amp; Ref'!$D$25-'Assumptions &amp; Ref'!$D$26)/1000*'Assumptions &amp; Ref'!$D$26/1000*$C$5)</f>
        <v>8.2869684998628415E-2</v>
      </c>
      <c r="AS10" s="23">
        <f t="shared" si="18"/>
        <v>1.6191493403457009</v>
      </c>
      <c r="AT10" s="24">
        <f t="shared" si="19"/>
        <v>202.68670939112988</v>
      </c>
      <c r="AU10" s="21">
        <f>IF($C10="","",F10*'Assumptions &amp; Ref'!$D$28/1000)</f>
        <v>6.4949999999999994E-2</v>
      </c>
      <c r="AV10" s="21">
        <f>IF($C10="","",AM10*AU10*(1-'Assumptions &amp; Ref'!$D$31))</f>
        <v>1.8219332905208611E-2</v>
      </c>
      <c r="AW10" s="23">
        <f>IF($C10="","",AT10*AV10*'Assumptions &amp; Ref'!$D$30/1000*INDEX($C$5:$I$5,MATCH(M10,$C$4:$I$4,0)))</f>
        <v>1.046913515698819</v>
      </c>
      <c r="AX10" s="20">
        <f>IF($C10="","",'Assumptions &amp; Ref'!$C$95+F10*'Assumptions &amp; Ref'!$C$96+'Assumptions &amp; Ref'!$C$97)</f>
        <v>107</v>
      </c>
      <c r="AY10" s="20">
        <f t="shared" si="20"/>
        <v>107</v>
      </c>
      <c r="AZ10" s="20">
        <f>IF($C10="","",Y10*AY10/'Assumptions &amp; Ref'!$C$98)</f>
        <v>86.568095238095253</v>
      </c>
      <c r="BA10" s="20">
        <f>IF($C10="","",'Assumptions &amp; Ref'!$C$71+AZ10*'Assumptions &amp; Ref'!$C$72)</f>
        <v>5695.5642857142866</v>
      </c>
      <c r="BB10" s="23">
        <f>IF($C10="","",AB10*(AD10*0.6)*'Assumptions &amp; Ref'!$C$81/1000*$G$5)</f>
        <v>1.3234205430047772</v>
      </c>
      <c r="BC10" s="20">
        <f t="shared" si="21"/>
        <v>344.08934118124205</v>
      </c>
      <c r="BD10" s="20">
        <f t="shared" si="22"/>
        <v>3534.0421096912405</v>
      </c>
      <c r="BE10" s="20">
        <f t="shared" si="23"/>
        <v>5695.5642857142866</v>
      </c>
      <c r="BF10" s="20">
        <f>IF($C10="","",AH10*'Assumptions &amp; Ref'!$C$79+(AS10+AW10)*'Assumptions &amp; Ref'!$C$80)</f>
        <v>1062.89390440131</v>
      </c>
      <c r="BG10" s="20">
        <f>IF($C10="","",'Assumptions &amp; Ref'!$C$84*(BD10+BE10+BF10))</f>
        <v>1029.2500299806838</v>
      </c>
      <c r="BH10" s="20">
        <f>IF($C10="","",'Assumptions &amp; Ref'!$C$85*(BD10+BE10+BF10+BG10))</f>
        <v>1358.6100395745025</v>
      </c>
      <c r="BI10" s="20">
        <f t="shared" si="24"/>
        <v>12680.360369362024</v>
      </c>
      <c r="BK10" s="17">
        <f t="shared" si="25"/>
        <v>3534.0421096912405</v>
      </c>
      <c r="BL10" s="17">
        <f t="shared" si="26"/>
        <v>6758.4581901155962</v>
      </c>
      <c r="BM10" s="17">
        <f t="shared" si="27"/>
        <v>2387.8600695551863</v>
      </c>
    </row>
    <row r="11" spans="2:65" ht="15" customHeight="1" x14ac:dyDescent="0.25">
      <c r="B11" s="12" t="s">
        <v>135</v>
      </c>
      <c r="C11" s="13">
        <v>800</v>
      </c>
      <c r="D11" s="14">
        <v>2</v>
      </c>
      <c r="E11" s="13" t="s">
        <v>136</v>
      </c>
      <c r="F11" s="13">
        <v>3</v>
      </c>
      <c r="G11" s="13">
        <v>0</v>
      </c>
      <c r="H11" s="13" t="s">
        <v>9</v>
      </c>
      <c r="I11" s="14">
        <v>0.6</v>
      </c>
      <c r="J11" s="13" t="s">
        <v>11</v>
      </c>
      <c r="K11" s="13">
        <v>13</v>
      </c>
      <c r="L11" s="13">
        <v>12</v>
      </c>
      <c r="M11" s="13" t="s">
        <v>7</v>
      </c>
      <c r="N11" s="15">
        <f t="shared" si="0"/>
        <v>17193.969684033895</v>
      </c>
      <c r="O11" s="16">
        <f t="shared" si="1"/>
        <v>21.492462105042367</v>
      </c>
      <c r="P11" s="17">
        <f t="shared" si="2"/>
        <v>8596.9848420169474</v>
      </c>
      <c r="Q11" s="16">
        <f t="shared" si="3"/>
        <v>17.659448848371213</v>
      </c>
      <c r="R11" s="16">
        <f t="shared" si="4"/>
        <v>2.1588657871276022</v>
      </c>
      <c r="S11" s="16">
        <f t="shared" si="5"/>
        <v>1.3958846875984254</v>
      </c>
      <c r="T11" s="16">
        <f t="shared" si="6"/>
        <v>10.86846032882589</v>
      </c>
      <c r="U11" s="16">
        <f t="shared" si="7"/>
        <v>1.0713526256804411</v>
      </c>
      <c r="V11" s="17">
        <f t="shared" si="8"/>
        <v>115.42412698412701</v>
      </c>
      <c r="X11" s="20">
        <f>IF($C11="","",C11*'Assumptions &amp; Ref'!$C$10)</f>
        <v>1359.2</v>
      </c>
      <c r="Y11" s="21">
        <f t="shared" si="9"/>
        <v>0.37755555555555559</v>
      </c>
      <c r="Z11" s="21">
        <f>IF($C11="","",Y11/'Assumptions &amp; Ref'!$C$7)</f>
        <v>0.18877777777777779</v>
      </c>
      <c r="AA11" s="21">
        <f>IF($C11="","",Z11/'Assumptions &amp; Ref'!$C$8)</f>
        <v>0.22209150326797389</v>
      </c>
      <c r="AB11" s="21">
        <f>IF($C11="","",SQRT(AA11*'Assumptions &amp; Ref'!$C$9))</f>
        <v>0.53732574314689785</v>
      </c>
      <c r="AC11" s="21">
        <f>IF($C11="","",SQRT(AA11/'Assumptions &amp; Ref'!$C$9))</f>
        <v>0.41332749472838298</v>
      </c>
      <c r="AD11" s="21">
        <f>IF($C11="","",IFERROR(INDEX('Assumptions &amp; Ref'!$C$89:$C$92,MATCH(E11,'Assumptions &amp; Ref'!$B$89:$B$92,0)),0.6))</f>
        <v>0.85</v>
      </c>
      <c r="AE11" s="21">
        <f t="shared" si="10"/>
        <v>2.0602935109239251</v>
      </c>
      <c r="AF11" s="20">
        <f t="shared" si="11"/>
        <v>7850</v>
      </c>
      <c r="AG11" s="23">
        <f t="shared" si="12"/>
        <v>95</v>
      </c>
      <c r="AH11" s="23">
        <f>IF($C11="","",AE11*I11/1000*AF11*(1+'Assumptions &amp; Ref'!$C$75))</f>
        <v>10.86846032882589</v>
      </c>
      <c r="AI11" s="20">
        <f t="shared" si="13"/>
        <v>40</v>
      </c>
      <c r="AJ11" s="23">
        <f t="shared" si="14"/>
        <v>350</v>
      </c>
      <c r="AK11" s="21">
        <f t="shared" si="15"/>
        <v>2.6783815642011027E-2</v>
      </c>
      <c r="AL11" s="23">
        <f t="shared" si="16"/>
        <v>1.0713526256804411</v>
      </c>
      <c r="AM11" s="21">
        <f>IF($C11="","",SQRT(Z11/'Assumptions &amp; Ref'!$C$9))</f>
        <v>0.38106912130698184</v>
      </c>
      <c r="AN11" s="21">
        <f>IF($C11="","",SQRT(Z11*'Assumptions &amp; Ref'!$C$9))</f>
        <v>0.4953898576990764</v>
      </c>
      <c r="AO11" s="24">
        <f>IF($C11="","",AM11*1000/'Assumptions &amp; Ref'!$D$27)</f>
        <v>15.242764852279274</v>
      </c>
      <c r="AP11" s="24">
        <f t="shared" si="17"/>
        <v>45.728294556837824</v>
      </c>
      <c r="AQ11" s="24">
        <f>IF($C11="","",AP11*AN11*(1+'Assumptions &amp; Ref'!$D$29))</f>
        <v>26.051333333333339</v>
      </c>
      <c r="AR11" s="25">
        <f>IF($C11="","",PI()*('Assumptions &amp; Ref'!$D$25-'Assumptions &amp; Ref'!$D$26)/1000*'Assumptions &amp; Ref'!$D$26/1000*$C$5)</f>
        <v>8.2869684998628415E-2</v>
      </c>
      <c r="AS11" s="23">
        <f t="shared" si="18"/>
        <v>2.1588657871276022</v>
      </c>
      <c r="AT11" s="24">
        <f t="shared" si="19"/>
        <v>234.04245245625657</v>
      </c>
      <c r="AU11" s="21">
        <f>IF($C11="","",F11*'Assumptions &amp; Ref'!$D$28/1000)</f>
        <v>6.4949999999999994E-2</v>
      </c>
      <c r="AV11" s="21">
        <f>IF($C11="","",AM11*AU11*(1-'Assumptions &amp; Ref'!$D$31))</f>
        <v>2.1037873514555199E-2</v>
      </c>
      <c r="AW11" s="23">
        <f>IF($C11="","",AT11*AV11*'Assumptions &amp; Ref'!$D$30/1000*INDEX($C$5:$I$5,MATCH(M11,$C$4:$I$4,0)))</f>
        <v>1.3958846875984254</v>
      </c>
      <c r="AX11" s="20">
        <f>IF($C11="","",'Assumptions &amp; Ref'!$C$95+F11*'Assumptions &amp; Ref'!$C$96+'Assumptions &amp; Ref'!$C$97)</f>
        <v>107</v>
      </c>
      <c r="AY11" s="20">
        <f t="shared" si="20"/>
        <v>107</v>
      </c>
      <c r="AZ11" s="20">
        <f>IF($C11="","",Y11*AY11/'Assumptions &amp; Ref'!$C$98)</f>
        <v>115.42412698412701</v>
      </c>
      <c r="BA11" s="20">
        <f>IF($C11="","",'Assumptions &amp; Ref'!$C$71+AZ11*'Assumptions &amp; Ref'!$C$72)</f>
        <v>6994.0857142857158</v>
      </c>
      <c r="BB11" s="23">
        <f>IF($C11="","",AB11*(AD11*0.6)*'Assumptions &amp; Ref'!$C$81/1000*$G$5)</f>
        <v>2.1648854191388516</v>
      </c>
      <c r="BC11" s="20">
        <f t="shared" si="21"/>
        <v>562.87020897610137</v>
      </c>
      <c r="BD11" s="20">
        <f t="shared" si="22"/>
        <v>5355.6894799569491</v>
      </c>
      <c r="BE11" s="20">
        <f t="shared" si="23"/>
        <v>6994.0857142857158</v>
      </c>
      <c r="BF11" s="20">
        <f>IF($C11="","",AH11*'Assumptions &amp; Ref'!$C$79+(AS11+AW11)*'Assumptions &amp; Ref'!$C$80)</f>
        <v>1606.369029810819</v>
      </c>
      <c r="BG11" s="20">
        <f>IF($C11="","",'Assumptions &amp; Ref'!$C$84*(BD11+BE11+BF11))</f>
        <v>1395.6144224053487</v>
      </c>
      <c r="BH11" s="20">
        <f>IF($C11="","",'Assumptions &amp; Ref'!$C$85*(BD11+BE11+BF11+BG11))</f>
        <v>1842.2110375750601</v>
      </c>
      <c r="BI11" s="20">
        <f t="shared" si="24"/>
        <v>17193.969684033895</v>
      </c>
      <c r="BK11" s="17">
        <f t="shared" si="25"/>
        <v>5355.6894799569491</v>
      </c>
      <c r="BL11" s="17">
        <f t="shared" si="26"/>
        <v>8600.4547440965343</v>
      </c>
      <c r="BM11" s="17">
        <f t="shared" si="27"/>
        <v>3237.8254599804086</v>
      </c>
    </row>
    <row r="12" spans="2:65" ht="15" customHeight="1" x14ac:dyDescent="0.25">
      <c r="B12" s="12" t="s">
        <v>137</v>
      </c>
      <c r="C12" s="13">
        <v>1200</v>
      </c>
      <c r="D12" s="14">
        <v>3</v>
      </c>
      <c r="E12" s="13" t="s">
        <v>138</v>
      </c>
      <c r="F12" s="13">
        <v>4</v>
      </c>
      <c r="G12" s="13">
        <v>100</v>
      </c>
      <c r="H12" s="13" t="s">
        <v>8</v>
      </c>
      <c r="I12" s="14">
        <v>0.8</v>
      </c>
      <c r="J12" s="13" t="s">
        <v>12</v>
      </c>
      <c r="K12" s="13">
        <v>19</v>
      </c>
      <c r="L12" s="13">
        <v>12</v>
      </c>
      <c r="M12" s="13" t="s">
        <v>7</v>
      </c>
      <c r="N12" s="15">
        <f t="shared" si="0"/>
        <v>36366.968360351086</v>
      </c>
      <c r="O12" s="16">
        <f t="shared" si="1"/>
        <v>30.305806966959238</v>
      </c>
      <c r="P12" s="17">
        <f t="shared" si="2"/>
        <v>12122.322786783696</v>
      </c>
      <c r="Q12" s="16">
        <f t="shared" si="3"/>
        <v>29.353107171524144</v>
      </c>
      <c r="R12" s="16">
        <f t="shared" si="4"/>
        <v>4.3177315742552036</v>
      </c>
      <c r="S12" s="16">
        <f t="shared" si="5"/>
        <v>2.7917693751968509</v>
      </c>
      <c r="T12" s="16">
        <f t="shared" si="6"/>
        <v>16.970220113481233</v>
      </c>
      <c r="U12" s="16">
        <f t="shared" si="7"/>
        <v>2.9338870077902039</v>
      </c>
      <c r="V12" s="17">
        <f t="shared" si="8"/>
        <v>357.59904761904767</v>
      </c>
      <c r="X12" s="20">
        <f>IF($C12="","",C12*'Assumptions &amp; Ref'!$C$10)</f>
        <v>2038.8000000000002</v>
      </c>
      <c r="Y12" s="21">
        <f t="shared" si="9"/>
        <v>0.56633333333333336</v>
      </c>
      <c r="Z12" s="21">
        <f>IF($C12="","",Y12/'Assumptions &amp; Ref'!$C$7)</f>
        <v>0.28316666666666668</v>
      </c>
      <c r="AA12" s="21">
        <f>IF($C12="","",Z12/'Assumptions &amp; Ref'!$C$8)</f>
        <v>0.33313725490196083</v>
      </c>
      <c r="AB12" s="21">
        <f>IF($C12="","",SQRT(AA12*'Assumptions &amp; Ref'!$C$9))</f>
        <v>0.65808694818583746</v>
      </c>
      <c r="AC12" s="21">
        <f>IF($C12="","",SQRT(AA12/'Assumptions &amp; Ref'!$C$9))</f>
        <v>0.50622072937372109</v>
      </c>
      <c r="AD12" s="21">
        <f>IF($C12="","",IFERROR(INDEX('Assumptions &amp; Ref'!$C$89:$C$92,MATCH(E12,'Assumptions &amp; Ref'!$B$89:$B$92,0)),0.6))</f>
        <v>0.75</v>
      </c>
      <c r="AE12" s="21">
        <f t="shared" si="10"/>
        <v>2.4127360261432598</v>
      </c>
      <c r="AF12" s="20">
        <f t="shared" si="11"/>
        <v>7850</v>
      </c>
      <c r="AG12" s="23">
        <f t="shared" si="12"/>
        <v>80</v>
      </c>
      <c r="AH12" s="23">
        <f>IF($C12="","",AE12*I12/1000*AF12*(1+'Assumptions &amp; Ref'!$C$75))</f>
        <v>16.970220113481233</v>
      </c>
      <c r="AI12" s="20">
        <f t="shared" si="13"/>
        <v>64</v>
      </c>
      <c r="AJ12" s="23">
        <f t="shared" si="14"/>
        <v>85</v>
      </c>
      <c r="AK12" s="21">
        <f t="shared" si="15"/>
        <v>4.5841984496721937E-2</v>
      </c>
      <c r="AL12" s="23">
        <f t="shared" si="16"/>
        <v>2.9338870077902039</v>
      </c>
      <c r="AM12" s="21">
        <f>IF($C12="","",SQRT(Z12/'Assumptions &amp; Ref'!$C$9))</f>
        <v>0.4667124519664253</v>
      </c>
      <c r="AN12" s="21">
        <f>IF($C12="","",SQRT(Z12*'Assumptions &amp; Ref'!$C$9))</f>
        <v>0.60672618755635288</v>
      </c>
      <c r="AO12" s="24">
        <f>IF($C12="","",AM12*1000/'Assumptions &amp; Ref'!$D$27)</f>
        <v>18.668498078657013</v>
      </c>
      <c r="AP12" s="24">
        <f t="shared" si="17"/>
        <v>74.673992314628052</v>
      </c>
      <c r="AQ12" s="24">
        <f>IF($C12="","",AP12*AN12*(1+'Assumptions &amp; Ref'!$D$29))</f>
        <v>52.102666666666671</v>
      </c>
      <c r="AR12" s="25">
        <f>IF($C12="","",PI()*('Assumptions &amp; Ref'!$D$25-'Assumptions &amp; Ref'!$D$26)/1000*'Assumptions &amp; Ref'!$D$26/1000*$C$5)</f>
        <v>8.2869684998628415E-2</v>
      </c>
      <c r="AS12" s="23">
        <f t="shared" si="18"/>
        <v>4.3177315742552036</v>
      </c>
      <c r="AT12" s="24">
        <f t="shared" si="19"/>
        <v>286.64229333371003</v>
      </c>
      <c r="AU12" s="21">
        <f>IF($C12="","",F12*'Assumptions &amp; Ref'!$D$28/1000)</f>
        <v>8.6599999999999996E-2</v>
      </c>
      <c r="AV12" s="21">
        <f>IF($C12="","",AM12*AU12*(1-'Assumptions &amp; Ref'!$D$31))</f>
        <v>3.4354703589248567E-2</v>
      </c>
      <c r="AW12" s="23">
        <f>IF($C12="","",AT12*AV12*'Assumptions &amp; Ref'!$D$30/1000*INDEX($C$5:$I$5,MATCH(M12,$C$4:$I$4,0)))</f>
        <v>2.7917693751968509</v>
      </c>
      <c r="AX12" s="20">
        <f>IF($C12="","",'Assumptions &amp; Ref'!$C$95+F12*'Assumptions &amp; Ref'!$C$96+'Assumptions &amp; Ref'!$C$97)</f>
        <v>121</v>
      </c>
      <c r="AY12" s="20">
        <f t="shared" si="20"/>
        <v>221</v>
      </c>
      <c r="AZ12" s="20">
        <f>IF($C12="","",Y12*AY12/'Assumptions &amp; Ref'!$C$98)</f>
        <v>357.59904761904767</v>
      </c>
      <c r="BA12" s="20">
        <f>IF($C12="","",'Assumptions &amp; Ref'!$C$71+AZ12*'Assumptions &amp; Ref'!$C$72)</f>
        <v>17891.957142857143</v>
      </c>
      <c r="BB12" s="23">
        <f>IF($C12="","",AB12*(AD12*0.6)*'Assumptions &amp; Ref'!$C$81/1000*$G$5)</f>
        <v>2.3394991008006523</v>
      </c>
      <c r="BC12" s="20">
        <f t="shared" si="21"/>
        <v>608.26976620816959</v>
      </c>
      <c r="BD12" s="20">
        <f t="shared" si="22"/>
        <v>8985.9520124573028</v>
      </c>
      <c r="BE12" s="20">
        <f t="shared" si="23"/>
        <v>17891.957142857143</v>
      </c>
      <c r="BF12" s="20">
        <f>IF($C12="","",AH12*'Assumptions &amp; Ref'!$C$79+(AS12+AW12)*'Assumptions &amp; Ref'!$C$80)</f>
        <v>2640.7339943211728</v>
      </c>
      <c r="BG12" s="20">
        <f>IF($C12="","",'Assumptions &amp; Ref'!$C$84*(BD12+BE12+BF12))</f>
        <v>2951.8643149635623</v>
      </c>
      <c r="BH12" s="20">
        <f>IF($C12="","",'Assumptions &amp; Ref'!$C$85*(BD12+BE12+BF12+BG12))</f>
        <v>3896.4608957519017</v>
      </c>
      <c r="BI12" s="20">
        <f t="shared" si="24"/>
        <v>36366.968360351086</v>
      </c>
      <c r="BK12" s="17">
        <f t="shared" si="25"/>
        <v>8985.9520124573028</v>
      </c>
      <c r="BL12" s="17">
        <f t="shared" si="26"/>
        <v>20532.691137178317</v>
      </c>
      <c r="BM12" s="17">
        <f t="shared" si="27"/>
        <v>6848.325210715464</v>
      </c>
    </row>
    <row r="13" spans="2:65" ht="15" customHeight="1" x14ac:dyDescent="0.25">
      <c r="B13" s="12" t="s">
        <v>139</v>
      </c>
      <c r="C13" s="13">
        <v>1600</v>
      </c>
      <c r="D13" s="14">
        <v>4</v>
      </c>
      <c r="E13" s="13" t="s">
        <v>140</v>
      </c>
      <c r="F13" s="13">
        <v>4</v>
      </c>
      <c r="G13" s="13">
        <v>0</v>
      </c>
      <c r="H13" s="13" t="s">
        <v>9</v>
      </c>
      <c r="I13" s="14">
        <v>0.8</v>
      </c>
      <c r="J13" s="13" t="s">
        <v>11</v>
      </c>
      <c r="K13" s="13">
        <v>19</v>
      </c>
      <c r="L13" s="13">
        <v>12</v>
      </c>
      <c r="M13" s="13" t="s">
        <v>7</v>
      </c>
      <c r="N13" s="15">
        <f t="shared" si="0"/>
        <v>35682.318648130567</v>
      </c>
      <c r="O13" s="16">
        <f t="shared" si="1"/>
        <v>22.301449155081606</v>
      </c>
      <c r="P13" s="17">
        <f t="shared" si="2"/>
        <v>8920.5796620326419</v>
      </c>
      <c r="Q13" s="16">
        <f t="shared" si="3"/>
        <v>33.593323629097959</v>
      </c>
      <c r="R13" s="16">
        <f t="shared" si="4"/>
        <v>5.7569754323402718</v>
      </c>
      <c r="S13" s="16">
        <f t="shared" si="5"/>
        <v>3.722359166929134</v>
      </c>
      <c r="T13" s="16">
        <f t="shared" si="6"/>
        <v>19.487034702357835</v>
      </c>
      <c r="U13" s="16">
        <f t="shared" si="7"/>
        <v>2.1056281809872548</v>
      </c>
      <c r="V13" s="17">
        <f t="shared" si="8"/>
        <v>261.05269841269842</v>
      </c>
      <c r="X13" s="20">
        <f>IF($C13="","",C13*'Assumptions &amp; Ref'!$C$10)</f>
        <v>2718.4</v>
      </c>
      <c r="Y13" s="21">
        <f t="shared" si="9"/>
        <v>0.75511111111111118</v>
      </c>
      <c r="Z13" s="21">
        <f>IF($C13="","",Y13/'Assumptions &amp; Ref'!$C$7)</f>
        <v>0.37755555555555559</v>
      </c>
      <c r="AA13" s="21">
        <f>IF($C13="","",Z13/'Assumptions &amp; Ref'!$C$8)</f>
        <v>0.44418300653594778</v>
      </c>
      <c r="AB13" s="21">
        <f>IF($C13="","",SQRT(AA13*'Assumptions &amp; Ref'!$C$9))</f>
        <v>0.75989335337054509</v>
      </c>
      <c r="AC13" s="21">
        <f>IF($C13="","",SQRT(AA13/'Assumptions &amp; Ref'!$C$9))</f>
        <v>0.58453334874657314</v>
      </c>
      <c r="AD13" s="21">
        <f>IF($C13="","",IFERROR(INDEX('Assumptions &amp; Ref'!$C$89:$C$92,MATCH(E13,'Assumptions &amp; Ref'!$B$89:$B$92,0)),0.6))</f>
        <v>0.7</v>
      </c>
      <c r="AE13" s="21">
        <f t="shared" si="10"/>
        <v>2.7705633960358611</v>
      </c>
      <c r="AF13" s="20">
        <f t="shared" si="11"/>
        <v>7850</v>
      </c>
      <c r="AG13" s="23">
        <f t="shared" si="12"/>
        <v>95</v>
      </c>
      <c r="AH13" s="23">
        <f>IF($C13="","",AE13*I13/1000*AF13*(1+'Assumptions &amp; Ref'!$C$75))</f>
        <v>19.487034702357835</v>
      </c>
      <c r="AI13" s="20">
        <f t="shared" si="13"/>
        <v>40</v>
      </c>
      <c r="AJ13" s="23">
        <f t="shared" si="14"/>
        <v>350</v>
      </c>
      <c r="AK13" s="21">
        <f t="shared" si="15"/>
        <v>5.2640704524681364E-2</v>
      </c>
      <c r="AL13" s="23">
        <f t="shared" si="16"/>
        <v>2.1056281809872548</v>
      </c>
      <c r="AM13" s="21">
        <f>IF($C13="","",SQRT(Z13/'Assumptions &amp; Ref'!$C$9))</f>
        <v>0.53891311955393184</v>
      </c>
      <c r="AN13" s="21">
        <f>IF($C13="","",SQRT(Z13*'Assumptions &amp; Ref'!$C$9))</f>
        <v>0.70058705542011146</v>
      </c>
      <c r="AO13" s="24">
        <f>IF($C13="","",AM13*1000/'Assumptions &amp; Ref'!$D$27)</f>
        <v>21.556524782157275</v>
      </c>
      <c r="AP13" s="24">
        <f t="shared" si="17"/>
        <v>86.226099128629102</v>
      </c>
      <c r="AQ13" s="24">
        <f>IF($C13="","",AP13*AN13*(1+'Assumptions &amp; Ref'!$D$29))</f>
        <v>69.470222222222233</v>
      </c>
      <c r="AR13" s="25">
        <f>IF($C13="","",PI()*('Assumptions &amp; Ref'!$D$25-'Assumptions &amp; Ref'!$D$26)/1000*'Assumptions &amp; Ref'!$D$26/1000*$C$5)</f>
        <v>8.2869684998628415E-2</v>
      </c>
      <c r="AS13" s="23">
        <f t="shared" si="18"/>
        <v>5.7569754323402718</v>
      </c>
      <c r="AT13" s="24">
        <f t="shared" si="19"/>
        <v>330.98601043469836</v>
      </c>
      <c r="AU13" s="21">
        <f>IF($C13="","",F13*'Assumptions &amp; Ref'!$D$28/1000)</f>
        <v>8.6599999999999996E-2</v>
      </c>
      <c r="AV13" s="21">
        <f>IF($C13="","",AM13*AU13*(1-'Assumptions &amp; Ref'!$D$31))</f>
        <v>3.9669394730364918E-2</v>
      </c>
      <c r="AW13" s="23">
        <f>IF($C13="","",AT13*AV13*'Assumptions &amp; Ref'!$D$30/1000*INDEX($C$5:$I$5,MATCH(M13,$C$4:$I$4,0)))</f>
        <v>3.722359166929134</v>
      </c>
      <c r="AX13" s="20">
        <f>IF($C13="","",'Assumptions &amp; Ref'!$C$95+F13*'Assumptions &amp; Ref'!$C$96+'Assumptions &amp; Ref'!$C$97)</f>
        <v>121</v>
      </c>
      <c r="AY13" s="20">
        <f t="shared" si="20"/>
        <v>121</v>
      </c>
      <c r="AZ13" s="20">
        <f>IF($C13="","",Y13*AY13/'Assumptions &amp; Ref'!$C$98)</f>
        <v>261.05269841269842</v>
      </c>
      <c r="BA13" s="20">
        <f>IF($C13="","",'Assumptions &amp; Ref'!$C$71+AZ13*'Assumptions &amp; Ref'!$C$72)</f>
        <v>13547.371428571429</v>
      </c>
      <c r="BB13" s="23">
        <f>IF($C13="","",AB13*(AD13*0.6)*'Assumptions &amp; Ref'!$C$81/1000*$G$5)</f>
        <v>2.5213261464834686</v>
      </c>
      <c r="BC13" s="20">
        <f t="shared" si="21"/>
        <v>655.54479808570181</v>
      </c>
      <c r="BD13" s="20">
        <f t="shared" si="22"/>
        <v>12271.361946833191</v>
      </c>
      <c r="BE13" s="20">
        <f t="shared" si="23"/>
        <v>13547.371428571429</v>
      </c>
      <c r="BF13" s="20">
        <f>IF($C13="","",AH13*'Assumptions &amp; Ref'!$C$79+(AS13+AW13)*'Assumptions &amp; Ref'!$C$80)</f>
        <v>3144.1876052208395</v>
      </c>
      <c r="BG13" s="20">
        <f>IF($C13="","",'Assumptions &amp; Ref'!$C$84*(BD13+BE13+BF13))</f>
        <v>2896.2920980625458</v>
      </c>
      <c r="BH13" s="20">
        <f>IF($C13="","",'Assumptions &amp; Ref'!$C$85*(BD13+BE13+BF13+BG13))</f>
        <v>3823.1055694425604</v>
      </c>
      <c r="BI13" s="20">
        <f t="shared" si="24"/>
        <v>35682.318648130567</v>
      </c>
      <c r="BK13" s="17">
        <f t="shared" si="25"/>
        <v>12271.361946833191</v>
      </c>
      <c r="BL13" s="17">
        <f t="shared" si="26"/>
        <v>16691.559033792269</v>
      </c>
      <c r="BM13" s="17">
        <f t="shared" si="27"/>
        <v>6719.3976675051063</v>
      </c>
    </row>
    <row r="14" spans="2:65" ht="15" customHeight="1" x14ac:dyDescent="0.25">
      <c r="B14" s="12" t="s">
        <v>141</v>
      </c>
      <c r="C14" s="13">
        <v>2000</v>
      </c>
      <c r="D14" s="14">
        <v>5</v>
      </c>
      <c r="E14" s="13" t="s">
        <v>138</v>
      </c>
      <c r="F14" s="13">
        <v>4</v>
      </c>
      <c r="G14" s="13">
        <v>150</v>
      </c>
      <c r="H14" s="13" t="s">
        <v>8</v>
      </c>
      <c r="I14" s="14">
        <v>0.8</v>
      </c>
      <c r="J14" s="13" t="s">
        <v>12</v>
      </c>
      <c r="K14" s="13">
        <v>19</v>
      </c>
      <c r="L14" s="13">
        <v>14</v>
      </c>
      <c r="M14" s="13" t="s">
        <v>7</v>
      </c>
      <c r="N14" s="15">
        <f t="shared" si="0"/>
        <v>65436.289285128492</v>
      </c>
      <c r="O14" s="16">
        <f t="shared" si="1"/>
        <v>32.718144642564248</v>
      </c>
      <c r="P14" s="17">
        <f t="shared" si="2"/>
        <v>13087.257857025699</v>
      </c>
      <c r="Q14" s="16">
        <f t="shared" si="3"/>
        <v>43.405913562931048</v>
      </c>
      <c r="R14" s="16">
        <f t="shared" si="4"/>
        <v>7.1962192904253399</v>
      </c>
      <c r="S14" s="16">
        <f t="shared" si="5"/>
        <v>5.4284404517716531</v>
      </c>
      <c r="T14" s="16">
        <f t="shared" si="6"/>
        <v>23.668975827918565</v>
      </c>
      <c r="U14" s="16">
        <f t="shared" si="7"/>
        <v>4.0919976408594412</v>
      </c>
      <c r="V14" s="17">
        <f t="shared" si="8"/>
        <v>730.8396825396826</v>
      </c>
      <c r="X14" s="20">
        <f>IF($C14="","",C14*'Assumptions &amp; Ref'!$C$10)</f>
        <v>3398</v>
      </c>
      <c r="Y14" s="21">
        <f t="shared" si="9"/>
        <v>0.94388888888888889</v>
      </c>
      <c r="Z14" s="21">
        <f>IF($C14="","",Y14/'Assumptions &amp; Ref'!$C$7)</f>
        <v>0.47194444444444444</v>
      </c>
      <c r="AA14" s="21">
        <f>IF($C14="","",Z14/'Assumptions &amp; Ref'!$C$8)</f>
        <v>0.55522875816993467</v>
      </c>
      <c r="AB14" s="21">
        <f>IF($C14="","",SQRT(AA14*'Assumptions &amp; Ref'!$C$9))</f>
        <v>0.84958659689340388</v>
      </c>
      <c r="AC14" s="21">
        <f>IF($C14="","",SQRT(AA14/'Assumptions &amp; Ref'!$C$9))</f>
        <v>0.65352815145646448</v>
      </c>
      <c r="AD14" s="21">
        <f>IF($C14="","",IFERROR(INDEX('Assumptions &amp; Ref'!$C$89:$C$92,MATCH(E14,'Assumptions &amp; Ref'!$B$89:$B$92,0)),0.6))</f>
        <v>0.75</v>
      </c>
      <c r="AE14" s="21">
        <f t="shared" si="10"/>
        <v>3.3651296388646719</v>
      </c>
      <c r="AF14" s="20">
        <f t="shared" si="11"/>
        <v>7850</v>
      </c>
      <c r="AG14" s="23">
        <f t="shared" si="12"/>
        <v>80</v>
      </c>
      <c r="AH14" s="23">
        <f>IF($C14="","",AE14*I14/1000*AF14*(1+'Assumptions &amp; Ref'!$C$75))</f>
        <v>23.668975827918565</v>
      </c>
      <c r="AI14" s="20">
        <f t="shared" si="13"/>
        <v>64</v>
      </c>
      <c r="AJ14" s="23">
        <f t="shared" si="14"/>
        <v>85</v>
      </c>
      <c r="AK14" s="21">
        <f t="shared" si="15"/>
        <v>6.3937463138428768E-2</v>
      </c>
      <c r="AL14" s="23">
        <f t="shared" si="16"/>
        <v>4.0919976408594412</v>
      </c>
      <c r="AM14" s="21">
        <f>IF($C14="","",SQRT(Z14/'Assumptions &amp; Ref'!$C$9))</f>
        <v>0.60252318464453136</v>
      </c>
      <c r="AN14" s="21">
        <f>IF($C14="","",SQRT(Z14*'Assumptions &amp; Ref'!$C$9))</f>
        <v>0.78328014003789082</v>
      </c>
      <c r="AO14" s="24">
        <f>IF($C14="","",AM14*1000/'Assumptions &amp; Ref'!$D$27)</f>
        <v>24.100927385781254</v>
      </c>
      <c r="AP14" s="24">
        <f t="shared" si="17"/>
        <v>96.403709543125018</v>
      </c>
      <c r="AQ14" s="24">
        <f>IF($C14="","",AP14*AN14*(1+'Assumptions &amp; Ref'!$D$29))</f>
        <v>86.837777777777788</v>
      </c>
      <c r="AR14" s="25">
        <f>IF($C14="","",PI()*('Assumptions &amp; Ref'!$D$25-'Assumptions &amp; Ref'!$D$26)/1000*'Assumptions &amp; Ref'!$D$26/1000*$C$5)</f>
        <v>8.2869684998628415E-2</v>
      </c>
      <c r="AS14" s="23">
        <f t="shared" si="18"/>
        <v>7.1962192904253399</v>
      </c>
      <c r="AT14" s="24">
        <f t="shared" si="19"/>
        <v>431.72921104450677</v>
      </c>
      <c r="AU14" s="21">
        <f>IF($C14="","",F14*'Assumptions &amp; Ref'!$D$28/1000)</f>
        <v>8.6599999999999996E-2</v>
      </c>
      <c r="AV14" s="21">
        <f>IF($C14="","",AM14*AU14*(1-'Assumptions &amp; Ref'!$D$31))</f>
        <v>4.4351731621683946E-2</v>
      </c>
      <c r="AW14" s="23">
        <f>IF($C14="","",AT14*AV14*'Assumptions &amp; Ref'!$D$30/1000*INDEX($C$5:$I$5,MATCH(M14,$C$4:$I$4,0)))</f>
        <v>5.4284404517716531</v>
      </c>
      <c r="AX14" s="20">
        <f>IF($C14="","",'Assumptions &amp; Ref'!$C$95+F14*'Assumptions &amp; Ref'!$C$96+'Assumptions &amp; Ref'!$C$97)</f>
        <v>121</v>
      </c>
      <c r="AY14" s="20">
        <f t="shared" si="20"/>
        <v>271</v>
      </c>
      <c r="AZ14" s="20">
        <f>IF($C14="","",Y14*AY14/'Assumptions &amp; Ref'!$C$98)</f>
        <v>730.8396825396826</v>
      </c>
      <c r="BA14" s="20">
        <f>IF($C14="","",'Assumptions &amp; Ref'!$C$71+AZ14*'Assumptions &amp; Ref'!$C$72)</f>
        <v>34687.785714285717</v>
      </c>
      <c r="BB14" s="23">
        <f>IF($C14="","",AB14*(AD14*0.6)*'Assumptions &amp; Ref'!$C$81/1000*$G$5)</f>
        <v>3.0202803519560506</v>
      </c>
      <c r="BC14" s="20">
        <f t="shared" si="21"/>
        <v>785.27289150857314</v>
      </c>
      <c r="BD14" s="20">
        <f t="shared" si="22"/>
        <v>14512.712281271219</v>
      </c>
      <c r="BE14" s="20">
        <f t="shared" si="23"/>
        <v>34687.785714285717</v>
      </c>
      <c r="BF14" s="20">
        <f>IF($C14="","",AH14*'Assumptions &amp; Ref'!$C$79+(AS14+AW14)*'Assumptions &amp; Ref'!$C$80)</f>
        <v>3913.3731774369721</v>
      </c>
      <c r="BG14" s="20">
        <f>IF($C14="","",'Assumptions &amp; Ref'!$C$84*(BD14+BE14+BF14))</f>
        <v>5311.3871172993913</v>
      </c>
      <c r="BH14" s="20">
        <f>IF($C14="","",'Assumptions &amp; Ref'!$C$85*(BD14+BE14+BF14+BG14))</f>
        <v>7011.030994835196</v>
      </c>
      <c r="BI14" s="20">
        <f t="shared" si="24"/>
        <v>65436.289285128492</v>
      </c>
      <c r="BK14" s="17">
        <f t="shared" si="25"/>
        <v>14512.712281271219</v>
      </c>
      <c r="BL14" s="17">
        <f t="shared" si="26"/>
        <v>38601.158891722691</v>
      </c>
      <c r="BM14" s="17">
        <f t="shared" si="27"/>
        <v>12322.418112134586</v>
      </c>
    </row>
    <row r="15" spans="2:65" ht="15" customHeight="1" x14ac:dyDescent="0.25">
      <c r="B15" s="12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5" t="str">
        <f t="shared" si="0"/>
        <v/>
      </c>
      <c r="O15" s="16" t="str">
        <f t="shared" si="1"/>
        <v/>
      </c>
      <c r="P15" s="17" t="str">
        <f t="shared" si="2"/>
        <v/>
      </c>
      <c r="Q15" s="16" t="str">
        <f t="shared" si="3"/>
        <v/>
      </c>
      <c r="R15" s="16" t="str">
        <f t="shared" si="4"/>
        <v/>
      </c>
      <c r="S15" s="16" t="str">
        <f t="shared" si="5"/>
        <v/>
      </c>
      <c r="T15" s="16" t="str">
        <f t="shared" si="6"/>
        <v/>
      </c>
      <c r="U15" s="16" t="str">
        <f t="shared" si="7"/>
        <v/>
      </c>
      <c r="V15" s="17" t="str">
        <f t="shared" si="8"/>
        <v/>
      </c>
      <c r="X15" s="20" t="str">
        <f>IF($C15="","",C15*'Assumptions &amp; Ref'!$C$10)</f>
        <v/>
      </c>
      <c r="Y15" s="21" t="str">
        <f t="shared" si="9"/>
        <v/>
      </c>
      <c r="Z15" s="21" t="str">
        <f>IF($C15="","",Y15/'Assumptions &amp; Ref'!$C$7)</f>
        <v/>
      </c>
      <c r="AA15" s="21" t="str">
        <f>IF($C15="","",Z15/'Assumptions &amp; Ref'!$C$8)</f>
        <v/>
      </c>
      <c r="AB15" s="21" t="str">
        <f>IF($C15="","",SQRT(AA15*'Assumptions &amp; Ref'!$C$9))</f>
        <v/>
      </c>
      <c r="AC15" s="21" t="str">
        <f>IF($C15="","",SQRT(AA15/'Assumptions &amp; Ref'!$C$9))</f>
        <v/>
      </c>
      <c r="AD15" s="21" t="str">
        <f>IF($C15="","",IFERROR(INDEX('Assumptions &amp; Ref'!$C$89:$C$92,MATCH(E15,'Assumptions &amp; Ref'!$B$89:$B$92,0)),0.6))</f>
        <v/>
      </c>
      <c r="AE15" s="21" t="str">
        <f t="shared" si="10"/>
        <v/>
      </c>
      <c r="AF15" s="20" t="str">
        <f t="shared" si="11"/>
        <v/>
      </c>
      <c r="AG15" s="23" t="str">
        <f t="shared" si="12"/>
        <v/>
      </c>
      <c r="AH15" s="23" t="str">
        <f>IF($C15="","",AE15*I15/1000*AF15*(1+'Assumptions &amp; Ref'!$C$75))</f>
        <v/>
      </c>
      <c r="AI15" s="20" t="str">
        <f t="shared" si="13"/>
        <v/>
      </c>
      <c r="AJ15" s="23" t="str">
        <f t="shared" si="14"/>
        <v/>
      </c>
      <c r="AK15" s="21" t="str">
        <f t="shared" si="15"/>
        <v/>
      </c>
      <c r="AL15" s="23" t="str">
        <f t="shared" si="16"/>
        <v/>
      </c>
      <c r="AM15" s="21" t="str">
        <f>IF($C15="","",SQRT(Z15/'Assumptions &amp; Ref'!$C$9))</f>
        <v/>
      </c>
      <c r="AN15" s="21" t="str">
        <f>IF($C15="","",SQRT(Z15*'Assumptions &amp; Ref'!$C$9))</f>
        <v/>
      </c>
      <c r="AO15" s="24" t="str">
        <f>IF($C15="","",AM15*1000/'Assumptions &amp; Ref'!$D$27)</f>
        <v/>
      </c>
      <c r="AP15" s="24" t="str">
        <f t="shared" si="17"/>
        <v/>
      </c>
      <c r="AQ15" s="24" t="str">
        <f>IF($C15="","",AP15*AN15*(1+'Assumptions &amp; Ref'!$D$29))</f>
        <v/>
      </c>
      <c r="AR15" s="25" t="str">
        <f>IF($C15="","",PI()*('Assumptions &amp; Ref'!$D$25-'Assumptions &amp; Ref'!$D$26)/1000*'Assumptions &amp; Ref'!$D$26/1000*$C$5)</f>
        <v/>
      </c>
      <c r="AS15" s="23" t="str">
        <f t="shared" si="18"/>
        <v/>
      </c>
      <c r="AT15" s="24" t="str">
        <f t="shared" si="19"/>
        <v/>
      </c>
      <c r="AU15" s="21" t="str">
        <f>IF($C15="","",F15*'Assumptions &amp; Ref'!$D$28/1000)</f>
        <v/>
      </c>
      <c r="AV15" s="21" t="str">
        <f>IF($C15="","",AM15*AU15*(1-'Assumptions &amp; Ref'!$D$31))</f>
        <v/>
      </c>
      <c r="AW15" s="23" t="str">
        <f>IF($C15="","",AT15*AV15*'Assumptions &amp; Ref'!$D$30/1000*INDEX($C$5:$I$5,MATCH(M15,$C$4:$I$4,0)))</f>
        <v/>
      </c>
      <c r="AX15" s="20" t="str">
        <f>IF($C15="","",'Assumptions &amp; Ref'!$C$95+F15*'Assumptions &amp; Ref'!$C$96+'Assumptions &amp; Ref'!$C$97)</f>
        <v/>
      </c>
      <c r="AY15" s="20" t="str">
        <f t="shared" si="20"/>
        <v/>
      </c>
      <c r="AZ15" s="20" t="str">
        <f>IF($C15="","",Y15*AY15/'Assumptions &amp; Ref'!$C$98)</f>
        <v/>
      </c>
      <c r="BA15" s="20" t="str">
        <f>IF($C15="","",'Assumptions &amp; Ref'!$C$71+AZ15*'Assumptions &amp; Ref'!$C$72)</f>
        <v/>
      </c>
      <c r="BB15" s="23" t="str">
        <f>IF($C15="","",AB15*(AD15*0.6)*'Assumptions &amp; Ref'!$C$81/1000*$G$5)</f>
        <v/>
      </c>
      <c r="BC15" s="20" t="str">
        <f t="shared" si="21"/>
        <v/>
      </c>
      <c r="BD15" s="20" t="str">
        <f t="shared" si="22"/>
        <v/>
      </c>
      <c r="BE15" s="20" t="str">
        <f t="shared" si="23"/>
        <v/>
      </c>
      <c r="BF15" s="20" t="str">
        <f>IF($C15="","",AH15*'Assumptions &amp; Ref'!$C$79+(AS15+AW15)*'Assumptions &amp; Ref'!$C$80)</f>
        <v/>
      </c>
      <c r="BG15" s="20" t="str">
        <f>IF($C15="","",'Assumptions &amp; Ref'!$C$84*(BD15+BE15+BF15))</f>
        <v/>
      </c>
      <c r="BH15" s="20" t="str">
        <f>IF($C15="","",'Assumptions &amp; Ref'!$C$85*(BD15+BE15+BF15+BG15))</f>
        <v/>
      </c>
      <c r="BI15" s="20" t="str">
        <f t="shared" si="24"/>
        <v/>
      </c>
      <c r="BK15" s="17" t="str">
        <f t="shared" si="25"/>
        <v/>
      </c>
      <c r="BL15" s="17" t="str">
        <f t="shared" si="26"/>
        <v/>
      </c>
      <c r="BM15" s="17" t="str">
        <f t="shared" si="27"/>
        <v/>
      </c>
    </row>
    <row r="16" spans="2:65" ht="15" customHeight="1" x14ac:dyDescent="0.25">
      <c r="B16" s="12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5" t="str">
        <f t="shared" si="0"/>
        <v/>
      </c>
      <c r="O16" s="16" t="str">
        <f t="shared" si="1"/>
        <v/>
      </c>
      <c r="P16" s="17" t="str">
        <f t="shared" si="2"/>
        <v/>
      </c>
      <c r="Q16" s="16" t="str">
        <f t="shared" si="3"/>
        <v/>
      </c>
      <c r="R16" s="16" t="str">
        <f t="shared" si="4"/>
        <v/>
      </c>
      <c r="S16" s="16" t="str">
        <f t="shared" si="5"/>
        <v/>
      </c>
      <c r="T16" s="16" t="str">
        <f t="shared" si="6"/>
        <v/>
      </c>
      <c r="U16" s="16" t="str">
        <f t="shared" si="7"/>
        <v/>
      </c>
      <c r="V16" s="17" t="str">
        <f t="shared" si="8"/>
        <v/>
      </c>
      <c r="X16" s="20" t="str">
        <f>IF($C16="","",C16*'Assumptions &amp; Ref'!$C$10)</f>
        <v/>
      </c>
      <c r="Y16" s="21" t="str">
        <f t="shared" si="9"/>
        <v/>
      </c>
      <c r="Z16" s="21" t="str">
        <f>IF($C16="","",Y16/'Assumptions &amp; Ref'!$C$7)</f>
        <v/>
      </c>
      <c r="AA16" s="21" t="str">
        <f>IF($C16="","",Z16/'Assumptions &amp; Ref'!$C$8)</f>
        <v/>
      </c>
      <c r="AB16" s="21" t="str">
        <f>IF($C16="","",SQRT(AA16*'Assumptions &amp; Ref'!$C$9))</f>
        <v/>
      </c>
      <c r="AC16" s="21" t="str">
        <f>IF($C16="","",SQRT(AA16/'Assumptions &amp; Ref'!$C$9))</f>
        <v/>
      </c>
      <c r="AD16" s="21" t="str">
        <f>IF($C16="","",IFERROR(INDEX('Assumptions &amp; Ref'!$C$89:$C$92,MATCH(E16,'Assumptions &amp; Ref'!$B$89:$B$92,0)),0.6))</f>
        <v/>
      </c>
      <c r="AE16" s="21" t="str">
        <f t="shared" si="10"/>
        <v/>
      </c>
      <c r="AF16" s="20" t="str">
        <f t="shared" si="11"/>
        <v/>
      </c>
      <c r="AG16" s="23" t="str">
        <f t="shared" si="12"/>
        <v/>
      </c>
      <c r="AH16" s="23" t="str">
        <f>IF($C16="","",AE16*I16/1000*AF16*(1+'Assumptions &amp; Ref'!$C$75))</f>
        <v/>
      </c>
      <c r="AI16" s="20" t="str">
        <f t="shared" si="13"/>
        <v/>
      </c>
      <c r="AJ16" s="23" t="str">
        <f t="shared" si="14"/>
        <v/>
      </c>
      <c r="AK16" s="21" t="str">
        <f t="shared" si="15"/>
        <v/>
      </c>
      <c r="AL16" s="23" t="str">
        <f t="shared" si="16"/>
        <v/>
      </c>
      <c r="AM16" s="21" t="str">
        <f>IF($C16="","",SQRT(Z16/'Assumptions &amp; Ref'!$C$9))</f>
        <v/>
      </c>
      <c r="AN16" s="21" t="str">
        <f>IF($C16="","",SQRT(Z16*'Assumptions &amp; Ref'!$C$9))</f>
        <v/>
      </c>
      <c r="AO16" s="24" t="str">
        <f>IF($C16="","",AM16*1000/'Assumptions &amp; Ref'!$D$27)</f>
        <v/>
      </c>
      <c r="AP16" s="24" t="str">
        <f t="shared" si="17"/>
        <v/>
      </c>
      <c r="AQ16" s="24" t="str">
        <f>IF($C16="","",AP16*AN16*(1+'Assumptions &amp; Ref'!$D$29))</f>
        <v/>
      </c>
      <c r="AR16" s="25" t="str">
        <f>IF($C16="","",PI()*('Assumptions &amp; Ref'!$D$25-'Assumptions &amp; Ref'!$D$26)/1000*'Assumptions &amp; Ref'!$D$26/1000*$C$5)</f>
        <v/>
      </c>
      <c r="AS16" s="23" t="str">
        <f t="shared" si="18"/>
        <v/>
      </c>
      <c r="AT16" s="24" t="str">
        <f t="shared" si="19"/>
        <v/>
      </c>
      <c r="AU16" s="21" t="str">
        <f>IF($C16="","",F16*'Assumptions &amp; Ref'!$D$28/1000)</f>
        <v/>
      </c>
      <c r="AV16" s="21" t="str">
        <f>IF($C16="","",AM16*AU16*(1-'Assumptions &amp; Ref'!$D$31))</f>
        <v/>
      </c>
      <c r="AW16" s="23" t="str">
        <f>IF($C16="","",AT16*AV16*'Assumptions &amp; Ref'!$D$30/1000*INDEX($C$5:$I$5,MATCH(M16,$C$4:$I$4,0)))</f>
        <v/>
      </c>
      <c r="AX16" s="20" t="str">
        <f>IF($C16="","",'Assumptions &amp; Ref'!$C$95+F16*'Assumptions &amp; Ref'!$C$96+'Assumptions &amp; Ref'!$C$97)</f>
        <v/>
      </c>
      <c r="AY16" s="20" t="str">
        <f t="shared" si="20"/>
        <v/>
      </c>
      <c r="AZ16" s="20" t="str">
        <f>IF($C16="","",Y16*AY16/'Assumptions &amp; Ref'!$C$98)</f>
        <v/>
      </c>
      <c r="BA16" s="20" t="str">
        <f>IF($C16="","",'Assumptions &amp; Ref'!$C$71+AZ16*'Assumptions &amp; Ref'!$C$72)</f>
        <v/>
      </c>
      <c r="BB16" s="23" t="str">
        <f>IF($C16="","",AB16*(AD16*0.6)*'Assumptions &amp; Ref'!$C$81/1000*$G$5)</f>
        <v/>
      </c>
      <c r="BC16" s="20" t="str">
        <f t="shared" si="21"/>
        <v/>
      </c>
      <c r="BD16" s="20" t="str">
        <f t="shared" si="22"/>
        <v/>
      </c>
      <c r="BE16" s="20" t="str">
        <f t="shared" si="23"/>
        <v/>
      </c>
      <c r="BF16" s="20" t="str">
        <f>IF($C16="","",AH16*'Assumptions &amp; Ref'!$C$79+(AS16+AW16)*'Assumptions &amp; Ref'!$C$80)</f>
        <v/>
      </c>
      <c r="BG16" s="20" t="str">
        <f>IF($C16="","",'Assumptions &amp; Ref'!$C$84*(BD16+BE16+BF16))</f>
        <v/>
      </c>
      <c r="BH16" s="20" t="str">
        <f>IF($C16="","",'Assumptions &amp; Ref'!$C$85*(BD16+BE16+BF16+BG16))</f>
        <v/>
      </c>
      <c r="BI16" s="20" t="str">
        <f t="shared" si="24"/>
        <v/>
      </c>
      <c r="BK16" s="17" t="str">
        <f t="shared" si="25"/>
        <v/>
      </c>
      <c r="BL16" s="17" t="str">
        <f t="shared" si="26"/>
        <v/>
      </c>
      <c r="BM16" s="17" t="str">
        <f t="shared" si="27"/>
        <v/>
      </c>
    </row>
    <row r="17" spans="2:65" ht="15" customHeight="1" x14ac:dyDescent="0.25">
      <c r="B17" s="12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5" t="str">
        <f t="shared" si="0"/>
        <v/>
      </c>
      <c r="O17" s="16" t="str">
        <f t="shared" si="1"/>
        <v/>
      </c>
      <c r="P17" s="17" t="str">
        <f t="shared" si="2"/>
        <v/>
      </c>
      <c r="Q17" s="16" t="str">
        <f t="shared" si="3"/>
        <v/>
      </c>
      <c r="R17" s="16" t="str">
        <f t="shared" si="4"/>
        <v/>
      </c>
      <c r="S17" s="16" t="str">
        <f t="shared" si="5"/>
        <v/>
      </c>
      <c r="T17" s="16" t="str">
        <f t="shared" si="6"/>
        <v/>
      </c>
      <c r="U17" s="16" t="str">
        <f t="shared" si="7"/>
        <v/>
      </c>
      <c r="V17" s="17" t="str">
        <f t="shared" si="8"/>
        <v/>
      </c>
      <c r="X17" s="20" t="str">
        <f>IF($C17="","",C17*'Assumptions &amp; Ref'!$C$10)</f>
        <v/>
      </c>
      <c r="Y17" s="21" t="str">
        <f t="shared" si="9"/>
        <v/>
      </c>
      <c r="Z17" s="21" t="str">
        <f>IF($C17="","",Y17/'Assumptions &amp; Ref'!$C$7)</f>
        <v/>
      </c>
      <c r="AA17" s="21" t="str">
        <f>IF($C17="","",Z17/'Assumptions &amp; Ref'!$C$8)</f>
        <v/>
      </c>
      <c r="AB17" s="21" t="str">
        <f>IF($C17="","",SQRT(AA17*'Assumptions &amp; Ref'!$C$9))</f>
        <v/>
      </c>
      <c r="AC17" s="21" t="str">
        <f>IF($C17="","",SQRT(AA17/'Assumptions &amp; Ref'!$C$9))</f>
        <v/>
      </c>
      <c r="AD17" s="21" t="str">
        <f>IF($C17="","",IFERROR(INDEX('Assumptions &amp; Ref'!$C$89:$C$92,MATCH(E17,'Assumptions &amp; Ref'!$B$89:$B$92,0)),0.6))</f>
        <v/>
      </c>
      <c r="AE17" s="21" t="str">
        <f t="shared" si="10"/>
        <v/>
      </c>
      <c r="AF17" s="20" t="str">
        <f t="shared" si="11"/>
        <v/>
      </c>
      <c r="AG17" s="23" t="str">
        <f t="shared" si="12"/>
        <v/>
      </c>
      <c r="AH17" s="23" t="str">
        <f>IF($C17="","",AE17*I17/1000*AF17*(1+'Assumptions &amp; Ref'!$C$75))</f>
        <v/>
      </c>
      <c r="AI17" s="20" t="str">
        <f t="shared" si="13"/>
        <v/>
      </c>
      <c r="AJ17" s="23" t="str">
        <f t="shared" si="14"/>
        <v/>
      </c>
      <c r="AK17" s="21" t="str">
        <f t="shared" si="15"/>
        <v/>
      </c>
      <c r="AL17" s="23" t="str">
        <f t="shared" si="16"/>
        <v/>
      </c>
      <c r="AM17" s="21" t="str">
        <f>IF($C17="","",SQRT(Z17/'Assumptions &amp; Ref'!$C$9))</f>
        <v/>
      </c>
      <c r="AN17" s="21" t="str">
        <f>IF($C17="","",SQRT(Z17*'Assumptions &amp; Ref'!$C$9))</f>
        <v/>
      </c>
      <c r="AO17" s="24" t="str">
        <f>IF($C17="","",AM17*1000/'Assumptions &amp; Ref'!$D$27)</f>
        <v/>
      </c>
      <c r="AP17" s="24" t="str">
        <f t="shared" si="17"/>
        <v/>
      </c>
      <c r="AQ17" s="24" t="str">
        <f>IF($C17="","",AP17*AN17*(1+'Assumptions &amp; Ref'!$D$29))</f>
        <v/>
      </c>
      <c r="AR17" s="25" t="str">
        <f>IF($C17="","",PI()*('Assumptions &amp; Ref'!$D$25-'Assumptions &amp; Ref'!$D$26)/1000*'Assumptions &amp; Ref'!$D$26/1000*$C$5)</f>
        <v/>
      </c>
      <c r="AS17" s="23" t="str">
        <f t="shared" si="18"/>
        <v/>
      </c>
      <c r="AT17" s="24" t="str">
        <f t="shared" si="19"/>
        <v/>
      </c>
      <c r="AU17" s="21" t="str">
        <f>IF($C17="","",F17*'Assumptions &amp; Ref'!$D$28/1000)</f>
        <v/>
      </c>
      <c r="AV17" s="21" t="str">
        <f>IF($C17="","",AM17*AU17*(1-'Assumptions &amp; Ref'!$D$31))</f>
        <v/>
      </c>
      <c r="AW17" s="23" t="str">
        <f>IF($C17="","",AT17*AV17*'Assumptions &amp; Ref'!$D$30/1000*INDEX($C$5:$I$5,MATCH(M17,$C$4:$I$4,0)))</f>
        <v/>
      </c>
      <c r="AX17" s="20" t="str">
        <f>IF($C17="","",'Assumptions &amp; Ref'!$C$95+F17*'Assumptions &amp; Ref'!$C$96+'Assumptions &amp; Ref'!$C$97)</f>
        <v/>
      </c>
      <c r="AY17" s="20" t="str">
        <f t="shared" si="20"/>
        <v/>
      </c>
      <c r="AZ17" s="20" t="str">
        <f>IF($C17="","",Y17*AY17/'Assumptions &amp; Ref'!$C$98)</f>
        <v/>
      </c>
      <c r="BA17" s="20" t="str">
        <f>IF($C17="","",'Assumptions &amp; Ref'!$C$71+AZ17*'Assumptions &amp; Ref'!$C$72)</f>
        <v/>
      </c>
      <c r="BB17" s="23" t="str">
        <f>IF($C17="","",AB17*(AD17*0.6)*'Assumptions &amp; Ref'!$C$81/1000*$G$5)</f>
        <v/>
      </c>
      <c r="BC17" s="20" t="str">
        <f t="shared" si="21"/>
        <v/>
      </c>
      <c r="BD17" s="20" t="str">
        <f t="shared" si="22"/>
        <v/>
      </c>
      <c r="BE17" s="20" t="str">
        <f t="shared" si="23"/>
        <v/>
      </c>
      <c r="BF17" s="20" t="str">
        <f>IF($C17="","",AH17*'Assumptions &amp; Ref'!$C$79+(AS17+AW17)*'Assumptions &amp; Ref'!$C$80)</f>
        <v/>
      </c>
      <c r="BG17" s="20" t="str">
        <f>IF($C17="","",'Assumptions &amp; Ref'!$C$84*(BD17+BE17+BF17))</f>
        <v/>
      </c>
      <c r="BH17" s="20" t="str">
        <f>IF($C17="","",'Assumptions &amp; Ref'!$C$85*(BD17+BE17+BF17+BG17))</f>
        <v/>
      </c>
      <c r="BI17" s="20" t="str">
        <f t="shared" si="24"/>
        <v/>
      </c>
      <c r="BK17" s="17" t="str">
        <f t="shared" si="25"/>
        <v/>
      </c>
      <c r="BL17" s="17" t="str">
        <f t="shared" si="26"/>
        <v/>
      </c>
      <c r="BM17" s="17" t="str">
        <f t="shared" si="27"/>
        <v/>
      </c>
    </row>
    <row r="18" spans="2:65" ht="15" customHeight="1" x14ac:dyDescent="0.25">
      <c r="B18" s="12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5" t="str">
        <f t="shared" si="0"/>
        <v/>
      </c>
      <c r="O18" s="16" t="str">
        <f t="shared" si="1"/>
        <v/>
      </c>
      <c r="P18" s="17" t="str">
        <f t="shared" si="2"/>
        <v/>
      </c>
      <c r="Q18" s="16" t="str">
        <f t="shared" si="3"/>
        <v/>
      </c>
      <c r="R18" s="16" t="str">
        <f t="shared" si="4"/>
        <v/>
      </c>
      <c r="S18" s="16" t="str">
        <f t="shared" si="5"/>
        <v/>
      </c>
      <c r="T18" s="16" t="str">
        <f t="shared" si="6"/>
        <v/>
      </c>
      <c r="U18" s="16" t="str">
        <f t="shared" si="7"/>
        <v/>
      </c>
      <c r="V18" s="17" t="str">
        <f t="shared" si="8"/>
        <v/>
      </c>
      <c r="X18" s="20" t="str">
        <f>IF($C18="","",C18*'Assumptions &amp; Ref'!$C$10)</f>
        <v/>
      </c>
      <c r="Y18" s="21" t="str">
        <f t="shared" si="9"/>
        <v/>
      </c>
      <c r="Z18" s="21" t="str">
        <f>IF($C18="","",Y18/'Assumptions &amp; Ref'!$C$7)</f>
        <v/>
      </c>
      <c r="AA18" s="21" t="str">
        <f>IF($C18="","",Z18/'Assumptions &amp; Ref'!$C$8)</f>
        <v/>
      </c>
      <c r="AB18" s="21" t="str">
        <f>IF($C18="","",SQRT(AA18*'Assumptions &amp; Ref'!$C$9))</f>
        <v/>
      </c>
      <c r="AC18" s="21" t="str">
        <f>IF($C18="","",SQRT(AA18/'Assumptions &amp; Ref'!$C$9))</f>
        <v/>
      </c>
      <c r="AD18" s="21" t="str">
        <f>IF($C18="","",IFERROR(INDEX('Assumptions &amp; Ref'!$C$89:$C$92,MATCH(E18,'Assumptions &amp; Ref'!$B$89:$B$92,0)),0.6))</f>
        <v/>
      </c>
      <c r="AE18" s="21" t="str">
        <f t="shared" si="10"/>
        <v/>
      </c>
      <c r="AF18" s="20" t="str">
        <f t="shared" si="11"/>
        <v/>
      </c>
      <c r="AG18" s="23" t="str">
        <f t="shared" si="12"/>
        <v/>
      </c>
      <c r="AH18" s="23" t="str">
        <f>IF($C18="","",AE18*I18/1000*AF18*(1+'Assumptions &amp; Ref'!$C$75))</f>
        <v/>
      </c>
      <c r="AI18" s="20" t="str">
        <f t="shared" si="13"/>
        <v/>
      </c>
      <c r="AJ18" s="23" t="str">
        <f t="shared" si="14"/>
        <v/>
      </c>
      <c r="AK18" s="21" t="str">
        <f t="shared" si="15"/>
        <v/>
      </c>
      <c r="AL18" s="23" t="str">
        <f t="shared" si="16"/>
        <v/>
      </c>
      <c r="AM18" s="21" t="str">
        <f>IF($C18="","",SQRT(Z18/'Assumptions &amp; Ref'!$C$9))</f>
        <v/>
      </c>
      <c r="AN18" s="21" t="str">
        <f>IF($C18="","",SQRT(Z18*'Assumptions &amp; Ref'!$C$9))</f>
        <v/>
      </c>
      <c r="AO18" s="24" t="str">
        <f>IF($C18="","",AM18*1000/'Assumptions &amp; Ref'!$D$27)</f>
        <v/>
      </c>
      <c r="AP18" s="24" t="str">
        <f t="shared" si="17"/>
        <v/>
      </c>
      <c r="AQ18" s="24" t="str">
        <f>IF($C18="","",AP18*AN18*(1+'Assumptions &amp; Ref'!$D$29))</f>
        <v/>
      </c>
      <c r="AR18" s="25" t="str">
        <f>IF($C18="","",PI()*('Assumptions &amp; Ref'!$D$25-'Assumptions &amp; Ref'!$D$26)/1000*'Assumptions &amp; Ref'!$D$26/1000*$C$5)</f>
        <v/>
      </c>
      <c r="AS18" s="23" t="str">
        <f t="shared" si="18"/>
        <v/>
      </c>
      <c r="AT18" s="24" t="str">
        <f t="shared" si="19"/>
        <v/>
      </c>
      <c r="AU18" s="21" t="str">
        <f>IF($C18="","",F18*'Assumptions &amp; Ref'!$D$28/1000)</f>
        <v/>
      </c>
      <c r="AV18" s="21" t="str">
        <f>IF($C18="","",AM18*AU18*(1-'Assumptions &amp; Ref'!$D$31))</f>
        <v/>
      </c>
      <c r="AW18" s="23" t="str">
        <f>IF($C18="","",AT18*AV18*'Assumptions &amp; Ref'!$D$30/1000*INDEX($C$5:$I$5,MATCH(M18,$C$4:$I$4,0)))</f>
        <v/>
      </c>
      <c r="AX18" s="20" t="str">
        <f>IF($C18="","",'Assumptions &amp; Ref'!$C$95+F18*'Assumptions &amp; Ref'!$C$96+'Assumptions &amp; Ref'!$C$97)</f>
        <v/>
      </c>
      <c r="AY18" s="20" t="str">
        <f t="shared" si="20"/>
        <v/>
      </c>
      <c r="AZ18" s="20" t="str">
        <f>IF($C18="","",Y18*AY18/'Assumptions &amp; Ref'!$C$98)</f>
        <v/>
      </c>
      <c r="BA18" s="20" t="str">
        <f>IF($C18="","",'Assumptions &amp; Ref'!$C$71+AZ18*'Assumptions &amp; Ref'!$C$72)</f>
        <v/>
      </c>
      <c r="BB18" s="23" t="str">
        <f>IF($C18="","",AB18*(AD18*0.6)*'Assumptions &amp; Ref'!$C$81/1000*$G$5)</f>
        <v/>
      </c>
      <c r="BC18" s="20" t="str">
        <f t="shared" si="21"/>
        <v/>
      </c>
      <c r="BD18" s="20" t="str">
        <f t="shared" si="22"/>
        <v/>
      </c>
      <c r="BE18" s="20" t="str">
        <f t="shared" si="23"/>
        <v/>
      </c>
      <c r="BF18" s="20" t="str">
        <f>IF($C18="","",AH18*'Assumptions &amp; Ref'!$C$79+(AS18+AW18)*'Assumptions &amp; Ref'!$C$80)</f>
        <v/>
      </c>
      <c r="BG18" s="20" t="str">
        <f>IF($C18="","",'Assumptions &amp; Ref'!$C$84*(BD18+BE18+BF18))</f>
        <v/>
      </c>
      <c r="BH18" s="20" t="str">
        <f>IF($C18="","",'Assumptions &amp; Ref'!$C$85*(BD18+BE18+BF18+BG18))</f>
        <v/>
      </c>
      <c r="BI18" s="20" t="str">
        <f t="shared" si="24"/>
        <v/>
      </c>
      <c r="BK18" s="17" t="str">
        <f t="shared" si="25"/>
        <v/>
      </c>
      <c r="BL18" s="17" t="str">
        <f t="shared" si="26"/>
        <v/>
      </c>
      <c r="BM18" s="17" t="str">
        <f t="shared" si="27"/>
        <v/>
      </c>
    </row>
    <row r="19" spans="2:65" ht="15" customHeight="1" x14ac:dyDescent="0.25">
      <c r="B19" s="12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5" t="str">
        <f t="shared" si="0"/>
        <v/>
      </c>
      <c r="O19" s="16" t="str">
        <f t="shared" si="1"/>
        <v/>
      </c>
      <c r="P19" s="17" t="str">
        <f t="shared" si="2"/>
        <v/>
      </c>
      <c r="Q19" s="16" t="str">
        <f t="shared" si="3"/>
        <v/>
      </c>
      <c r="R19" s="16" t="str">
        <f t="shared" si="4"/>
        <v/>
      </c>
      <c r="S19" s="16" t="str">
        <f t="shared" si="5"/>
        <v/>
      </c>
      <c r="T19" s="16" t="str">
        <f t="shared" si="6"/>
        <v/>
      </c>
      <c r="U19" s="16" t="str">
        <f t="shared" si="7"/>
        <v/>
      </c>
      <c r="V19" s="17" t="str">
        <f t="shared" si="8"/>
        <v/>
      </c>
      <c r="X19" s="20" t="str">
        <f>IF($C19="","",C19*'Assumptions &amp; Ref'!$C$10)</f>
        <v/>
      </c>
      <c r="Y19" s="21" t="str">
        <f t="shared" si="9"/>
        <v/>
      </c>
      <c r="Z19" s="21" t="str">
        <f>IF($C19="","",Y19/'Assumptions &amp; Ref'!$C$7)</f>
        <v/>
      </c>
      <c r="AA19" s="21" t="str">
        <f>IF($C19="","",Z19/'Assumptions &amp; Ref'!$C$8)</f>
        <v/>
      </c>
      <c r="AB19" s="21" t="str">
        <f>IF($C19="","",SQRT(AA19*'Assumptions &amp; Ref'!$C$9))</f>
        <v/>
      </c>
      <c r="AC19" s="21" t="str">
        <f>IF($C19="","",SQRT(AA19/'Assumptions &amp; Ref'!$C$9))</f>
        <v/>
      </c>
      <c r="AD19" s="21" t="str">
        <f>IF($C19="","",IFERROR(INDEX('Assumptions &amp; Ref'!$C$89:$C$92,MATCH(E19,'Assumptions &amp; Ref'!$B$89:$B$92,0)),0.6))</f>
        <v/>
      </c>
      <c r="AE19" s="21" t="str">
        <f t="shared" si="10"/>
        <v/>
      </c>
      <c r="AF19" s="20" t="str">
        <f t="shared" si="11"/>
        <v/>
      </c>
      <c r="AG19" s="23" t="str">
        <f t="shared" si="12"/>
        <v/>
      </c>
      <c r="AH19" s="23" t="str">
        <f>IF($C19="","",AE19*I19/1000*AF19*(1+'Assumptions &amp; Ref'!$C$75))</f>
        <v/>
      </c>
      <c r="AI19" s="20" t="str">
        <f t="shared" si="13"/>
        <v/>
      </c>
      <c r="AJ19" s="23" t="str">
        <f t="shared" si="14"/>
        <v/>
      </c>
      <c r="AK19" s="21" t="str">
        <f t="shared" si="15"/>
        <v/>
      </c>
      <c r="AL19" s="23" t="str">
        <f t="shared" si="16"/>
        <v/>
      </c>
      <c r="AM19" s="21" t="str">
        <f>IF($C19="","",SQRT(Z19/'Assumptions &amp; Ref'!$C$9))</f>
        <v/>
      </c>
      <c r="AN19" s="21" t="str">
        <f>IF($C19="","",SQRT(Z19*'Assumptions &amp; Ref'!$C$9))</f>
        <v/>
      </c>
      <c r="AO19" s="24" t="str">
        <f>IF($C19="","",AM19*1000/'Assumptions &amp; Ref'!$D$27)</f>
        <v/>
      </c>
      <c r="AP19" s="24" t="str">
        <f t="shared" si="17"/>
        <v/>
      </c>
      <c r="AQ19" s="24" t="str">
        <f>IF($C19="","",AP19*AN19*(1+'Assumptions &amp; Ref'!$D$29))</f>
        <v/>
      </c>
      <c r="AR19" s="25" t="str">
        <f>IF($C19="","",PI()*('Assumptions &amp; Ref'!$D$25-'Assumptions &amp; Ref'!$D$26)/1000*'Assumptions &amp; Ref'!$D$26/1000*$C$5)</f>
        <v/>
      </c>
      <c r="AS19" s="23" t="str">
        <f t="shared" si="18"/>
        <v/>
      </c>
      <c r="AT19" s="24" t="str">
        <f t="shared" si="19"/>
        <v/>
      </c>
      <c r="AU19" s="21" t="str">
        <f>IF($C19="","",F19*'Assumptions &amp; Ref'!$D$28/1000)</f>
        <v/>
      </c>
      <c r="AV19" s="21" t="str">
        <f>IF($C19="","",AM19*AU19*(1-'Assumptions &amp; Ref'!$D$31))</f>
        <v/>
      </c>
      <c r="AW19" s="23" t="str">
        <f>IF($C19="","",AT19*AV19*'Assumptions &amp; Ref'!$D$30/1000*INDEX($C$5:$I$5,MATCH(M19,$C$4:$I$4,0)))</f>
        <v/>
      </c>
      <c r="AX19" s="20" t="str">
        <f>IF($C19="","",'Assumptions &amp; Ref'!$C$95+F19*'Assumptions &amp; Ref'!$C$96+'Assumptions &amp; Ref'!$C$97)</f>
        <v/>
      </c>
      <c r="AY19" s="20" t="str">
        <f t="shared" si="20"/>
        <v/>
      </c>
      <c r="AZ19" s="20" t="str">
        <f>IF($C19="","",Y19*AY19/'Assumptions &amp; Ref'!$C$98)</f>
        <v/>
      </c>
      <c r="BA19" s="20" t="str">
        <f>IF($C19="","",'Assumptions &amp; Ref'!$C$71+AZ19*'Assumptions &amp; Ref'!$C$72)</f>
        <v/>
      </c>
      <c r="BB19" s="23" t="str">
        <f>IF($C19="","",AB19*(AD19*0.6)*'Assumptions &amp; Ref'!$C$81/1000*$G$5)</f>
        <v/>
      </c>
      <c r="BC19" s="20" t="str">
        <f t="shared" si="21"/>
        <v/>
      </c>
      <c r="BD19" s="20" t="str">
        <f t="shared" si="22"/>
        <v/>
      </c>
      <c r="BE19" s="20" t="str">
        <f t="shared" si="23"/>
        <v/>
      </c>
      <c r="BF19" s="20" t="str">
        <f>IF($C19="","",AH19*'Assumptions &amp; Ref'!$C$79+(AS19+AW19)*'Assumptions &amp; Ref'!$C$80)</f>
        <v/>
      </c>
      <c r="BG19" s="20" t="str">
        <f>IF($C19="","",'Assumptions &amp; Ref'!$C$84*(BD19+BE19+BF19))</f>
        <v/>
      </c>
      <c r="BH19" s="20" t="str">
        <f>IF($C19="","",'Assumptions &amp; Ref'!$C$85*(BD19+BE19+BF19+BG19))</f>
        <v/>
      </c>
      <c r="BI19" s="20" t="str">
        <f t="shared" si="24"/>
        <v/>
      </c>
      <c r="BK19" s="17" t="str">
        <f t="shared" si="25"/>
        <v/>
      </c>
      <c r="BL19" s="17" t="str">
        <f t="shared" si="26"/>
        <v/>
      </c>
      <c r="BM19" s="17" t="str">
        <f t="shared" si="27"/>
        <v/>
      </c>
    </row>
    <row r="20" spans="2:65" ht="15" customHeight="1" x14ac:dyDescent="0.25">
      <c r="B20" s="12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5" t="str">
        <f t="shared" si="0"/>
        <v/>
      </c>
      <c r="O20" s="16" t="str">
        <f t="shared" si="1"/>
        <v/>
      </c>
      <c r="P20" s="17" t="str">
        <f t="shared" si="2"/>
        <v/>
      </c>
      <c r="Q20" s="16" t="str">
        <f t="shared" si="3"/>
        <v/>
      </c>
      <c r="R20" s="16" t="str">
        <f t="shared" si="4"/>
        <v/>
      </c>
      <c r="S20" s="16" t="str">
        <f t="shared" si="5"/>
        <v/>
      </c>
      <c r="T20" s="16" t="str">
        <f t="shared" si="6"/>
        <v/>
      </c>
      <c r="U20" s="16" t="str">
        <f t="shared" si="7"/>
        <v/>
      </c>
      <c r="V20" s="17" t="str">
        <f t="shared" si="8"/>
        <v/>
      </c>
      <c r="X20" s="20" t="str">
        <f>IF($C20="","",C20*'Assumptions &amp; Ref'!$C$10)</f>
        <v/>
      </c>
      <c r="Y20" s="21" t="str">
        <f t="shared" si="9"/>
        <v/>
      </c>
      <c r="Z20" s="21" t="str">
        <f>IF($C20="","",Y20/'Assumptions &amp; Ref'!$C$7)</f>
        <v/>
      </c>
      <c r="AA20" s="21" t="str">
        <f>IF($C20="","",Z20/'Assumptions &amp; Ref'!$C$8)</f>
        <v/>
      </c>
      <c r="AB20" s="21" t="str">
        <f>IF($C20="","",SQRT(AA20*'Assumptions &amp; Ref'!$C$9))</f>
        <v/>
      </c>
      <c r="AC20" s="21" t="str">
        <f>IF($C20="","",SQRT(AA20/'Assumptions &amp; Ref'!$C$9))</f>
        <v/>
      </c>
      <c r="AD20" s="21" t="str">
        <f>IF($C20="","",IFERROR(INDEX('Assumptions &amp; Ref'!$C$89:$C$92,MATCH(E20,'Assumptions &amp; Ref'!$B$89:$B$92,0)),0.6))</f>
        <v/>
      </c>
      <c r="AE20" s="21" t="str">
        <f t="shared" si="10"/>
        <v/>
      </c>
      <c r="AF20" s="20" t="str">
        <f t="shared" si="11"/>
        <v/>
      </c>
      <c r="AG20" s="23" t="str">
        <f t="shared" si="12"/>
        <v/>
      </c>
      <c r="AH20" s="23" t="str">
        <f>IF($C20="","",AE20*I20/1000*AF20*(1+'Assumptions &amp; Ref'!$C$75))</f>
        <v/>
      </c>
      <c r="AI20" s="20" t="str">
        <f t="shared" si="13"/>
        <v/>
      </c>
      <c r="AJ20" s="23" t="str">
        <f t="shared" si="14"/>
        <v/>
      </c>
      <c r="AK20" s="21" t="str">
        <f t="shared" si="15"/>
        <v/>
      </c>
      <c r="AL20" s="23" t="str">
        <f t="shared" si="16"/>
        <v/>
      </c>
      <c r="AM20" s="21" t="str">
        <f>IF($C20="","",SQRT(Z20/'Assumptions &amp; Ref'!$C$9))</f>
        <v/>
      </c>
      <c r="AN20" s="21" t="str">
        <f>IF($C20="","",SQRT(Z20*'Assumptions &amp; Ref'!$C$9))</f>
        <v/>
      </c>
      <c r="AO20" s="24" t="str">
        <f>IF($C20="","",AM20*1000/'Assumptions &amp; Ref'!$D$27)</f>
        <v/>
      </c>
      <c r="AP20" s="24" t="str">
        <f t="shared" si="17"/>
        <v/>
      </c>
      <c r="AQ20" s="24" t="str">
        <f>IF($C20="","",AP20*AN20*(1+'Assumptions &amp; Ref'!$D$29))</f>
        <v/>
      </c>
      <c r="AR20" s="25" t="str">
        <f>IF($C20="","",PI()*('Assumptions &amp; Ref'!$D$25-'Assumptions &amp; Ref'!$D$26)/1000*'Assumptions &amp; Ref'!$D$26/1000*$C$5)</f>
        <v/>
      </c>
      <c r="AS20" s="23" t="str">
        <f t="shared" si="18"/>
        <v/>
      </c>
      <c r="AT20" s="24" t="str">
        <f t="shared" si="19"/>
        <v/>
      </c>
      <c r="AU20" s="21" t="str">
        <f>IF($C20="","",F20*'Assumptions &amp; Ref'!$D$28/1000)</f>
        <v/>
      </c>
      <c r="AV20" s="21" t="str">
        <f>IF($C20="","",AM20*AU20*(1-'Assumptions &amp; Ref'!$D$31))</f>
        <v/>
      </c>
      <c r="AW20" s="23" t="str">
        <f>IF($C20="","",AT20*AV20*'Assumptions &amp; Ref'!$D$30/1000*INDEX($C$5:$I$5,MATCH(M20,$C$4:$I$4,0)))</f>
        <v/>
      </c>
      <c r="AX20" s="20" t="str">
        <f>IF($C20="","",'Assumptions &amp; Ref'!$C$95+F20*'Assumptions &amp; Ref'!$C$96+'Assumptions &amp; Ref'!$C$97)</f>
        <v/>
      </c>
      <c r="AY20" s="20" t="str">
        <f t="shared" si="20"/>
        <v/>
      </c>
      <c r="AZ20" s="20" t="str">
        <f>IF($C20="","",Y20*AY20/'Assumptions &amp; Ref'!$C$98)</f>
        <v/>
      </c>
      <c r="BA20" s="20" t="str">
        <f>IF($C20="","",'Assumptions &amp; Ref'!$C$71+AZ20*'Assumptions &amp; Ref'!$C$72)</f>
        <v/>
      </c>
      <c r="BB20" s="23" t="str">
        <f>IF($C20="","",AB20*(AD20*0.6)*'Assumptions &amp; Ref'!$C$81/1000*$G$5)</f>
        <v/>
      </c>
      <c r="BC20" s="20" t="str">
        <f t="shared" si="21"/>
        <v/>
      </c>
      <c r="BD20" s="20" t="str">
        <f t="shared" si="22"/>
        <v/>
      </c>
      <c r="BE20" s="20" t="str">
        <f t="shared" si="23"/>
        <v/>
      </c>
      <c r="BF20" s="20" t="str">
        <f>IF($C20="","",AH20*'Assumptions &amp; Ref'!$C$79+(AS20+AW20)*'Assumptions &amp; Ref'!$C$80)</f>
        <v/>
      </c>
      <c r="BG20" s="20" t="str">
        <f>IF($C20="","",'Assumptions &amp; Ref'!$C$84*(BD20+BE20+BF20))</f>
        <v/>
      </c>
      <c r="BH20" s="20" t="str">
        <f>IF($C20="","",'Assumptions &amp; Ref'!$C$85*(BD20+BE20+BF20+BG20))</f>
        <v/>
      </c>
      <c r="BI20" s="20" t="str">
        <f t="shared" si="24"/>
        <v/>
      </c>
      <c r="BK20" s="17" t="str">
        <f t="shared" si="25"/>
        <v/>
      </c>
      <c r="BL20" s="17" t="str">
        <f t="shared" si="26"/>
        <v/>
      </c>
      <c r="BM20" s="17" t="str">
        <f t="shared" si="27"/>
        <v/>
      </c>
    </row>
    <row r="21" spans="2:65" ht="15" customHeight="1" x14ac:dyDescent="0.25">
      <c r="B21" s="12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5" t="str">
        <f t="shared" si="0"/>
        <v/>
      </c>
      <c r="O21" s="16" t="str">
        <f t="shared" si="1"/>
        <v/>
      </c>
      <c r="P21" s="17" t="str">
        <f t="shared" si="2"/>
        <v/>
      </c>
      <c r="Q21" s="16" t="str">
        <f t="shared" si="3"/>
        <v/>
      </c>
      <c r="R21" s="16" t="str">
        <f t="shared" si="4"/>
        <v/>
      </c>
      <c r="S21" s="16" t="str">
        <f t="shared" si="5"/>
        <v/>
      </c>
      <c r="T21" s="16" t="str">
        <f t="shared" si="6"/>
        <v/>
      </c>
      <c r="U21" s="16" t="str">
        <f t="shared" si="7"/>
        <v/>
      </c>
      <c r="V21" s="17" t="str">
        <f t="shared" si="8"/>
        <v/>
      </c>
      <c r="X21" s="20" t="str">
        <f>IF($C21="","",C21*'Assumptions &amp; Ref'!$C$10)</f>
        <v/>
      </c>
      <c r="Y21" s="21" t="str">
        <f t="shared" si="9"/>
        <v/>
      </c>
      <c r="Z21" s="21" t="str">
        <f>IF($C21="","",Y21/'Assumptions &amp; Ref'!$C$7)</f>
        <v/>
      </c>
      <c r="AA21" s="21" t="str">
        <f>IF($C21="","",Z21/'Assumptions &amp; Ref'!$C$8)</f>
        <v/>
      </c>
      <c r="AB21" s="21" t="str">
        <f>IF($C21="","",SQRT(AA21*'Assumptions &amp; Ref'!$C$9))</f>
        <v/>
      </c>
      <c r="AC21" s="21" t="str">
        <f>IF($C21="","",SQRT(AA21/'Assumptions &amp; Ref'!$C$9))</f>
        <v/>
      </c>
      <c r="AD21" s="21" t="str">
        <f>IF($C21="","",IFERROR(INDEX('Assumptions &amp; Ref'!$C$89:$C$92,MATCH(E21,'Assumptions &amp; Ref'!$B$89:$B$92,0)),0.6))</f>
        <v/>
      </c>
      <c r="AE21" s="21" t="str">
        <f t="shared" si="10"/>
        <v/>
      </c>
      <c r="AF21" s="20" t="str">
        <f t="shared" si="11"/>
        <v/>
      </c>
      <c r="AG21" s="23" t="str">
        <f t="shared" si="12"/>
        <v/>
      </c>
      <c r="AH21" s="23" t="str">
        <f>IF($C21="","",AE21*I21/1000*AF21*(1+'Assumptions &amp; Ref'!$C$75))</f>
        <v/>
      </c>
      <c r="AI21" s="20" t="str">
        <f t="shared" si="13"/>
        <v/>
      </c>
      <c r="AJ21" s="23" t="str">
        <f t="shared" si="14"/>
        <v/>
      </c>
      <c r="AK21" s="21" t="str">
        <f t="shared" si="15"/>
        <v/>
      </c>
      <c r="AL21" s="23" t="str">
        <f t="shared" si="16"/>
        <v/>
      </c>
      <c r="AM21" s="21" t="str">
        <f>IF($C21="","",SQRT(Z21/'Assumptions &amp; Ref'!$C$9))</f>
        <v/>
      </c>
      <c r="AN21" s="21" t="str">
        <f>IF($C21="","",SQRT(Z21*'Assumptions &amp; Ref'!$C$9))</f>
        <v/>
      </c>
      <c r="AO21" s="24" t="str">
        <f>IF($C21="","",AM21*1000/'Assumptions &amp; Ref'!$D$27)</f>
        <v/>
      </c>
      <c r="AP21" s="24" t="str">
        <f t="shared" si="17"/>
        <v/>
      </c>
      <c r="AQ21" s="24" t="str">
        <f>IF($C21="","",AP21*AN21*(1+'Assumptions &amp; Ref'!$D$29))</f>
        <v/>
      </c>
      <c r="AR21" s="25" t="str">
        <f>IF($C21="","",PI()*('Assumptions &amp; Ref'!$D$25-'Assumptions &amp; Ref'!$D$26)/1000*'Assumptions &amp; Ref'!$D$26/1000*$C$5)</f>
        <v/>
      </c>
      <c r="AS21" s="23" t="str">
        <f t="shared" si="18"/>
        <v/>
      </c>
      <c r="AT21" s="24" t="str">
        <f t="shared" si="19"/>
        <v/>
      </c>
      <c r="AU21" s="21" t="str">
        <f>IF($C21="","",F21*'Assumptions &amp; Ref'!$D$28/1000)</f>
        <v/>
      </c>
      <c r="AV21" s="21" t="str">
        <f>IF($C21="","",AM21*AU21*(1-'Assumptions &amp; Ref'!$D$31))</f>
        <v/>
      </c>
      <c r="AW21" s="23" t="str">
        <f>IF($C21="","",AT21*AV21*'Assumptions &amp; Ref'!$D$30/1000*INDEX($C$5:$I$5,MATCH(M21,$C$4:$I$4,0)))</f>
        <v/>
      </c>
      <c r="AX21" s="20" t="str">
        <f>IF($C21="","",'Assumptions &amp; Ref'!$C$95+F21*'Assumptions &amp; Ref'!$C$96+'Assumptions &amp; Ref'!$C$97)</f>
        <v/>
      </c>
      <c r="AY21" s="20" t="str">
        <f t="shared" si="20"/>
        <v/>
      </c>
      <c r="AZ21" s="20" t="str">
        <f>IF($C21="","",Y21*AY21/'Assumptions &amp; Ref'!$C$98)</f>
        <v/>
      </c>
      <c r="BA21" s="20" t="str">
        <f>IF($C21="","",'Assumptions &amp; Ref'!$C$71+AZ21*'Assumptions &amp; Ref'!$C$72)</f>
        <v/>
      </c>
      <c r="BB21" s="23" t="str">
        <f>IF($C21="","",AB21*(AD21*0.6)*'Assumptions &amp; Ref'!$C$81/1000*$G$5)</f>
        <v/>
      </c>
      <c r="BC21" s="20" t="str">
        <f t="shared" si="21"/>
        <v/>
      </c>
      <c r="BD21" s="20" t="str">
        <f t="shared" si="22"/>
        <v/>
      </c>
      <c r="BE21" s="20" t="str">
        <f t="shared" si="23"/>
        <v/>
      </c>
      <c r="BF21" s="20" t="str">
        <f>IF($C21="","",AH21*'Assumptions &amp; Ref'!$C$79+(AS21+AW21)*'Assumptions &amp; Ref'!$C$80)</f>
        <v/>
      </c>
      <c r="BG21" s="20" t="str">
        <f>IF($C21="","",'Assumptions &amp; Ref'!$C$84*(BD21+BE21+BF21))</f>
        <v/>
      </c>
      <c r="BH21" s="20" t="str">
        <f>IF($C21="","",'Assumptions &amp; Ref'!$C$85*(BD21+BE21+BF21+BG21))</f>
        <v/>
      </c>
      <c r="BI21" s="20" t="str">
        <f t="shared" si="24"/>
        <v/>
      </c>
      <c r="BK21" s="17" t="str">
        <f t="shared" si="25"/>
        <v/>
      </c>
      <c r="BL21" s="17" t="str">
        <f t="shared" si="26"/>
        <v/>
      </c>
      <c r="BM21" s="17" t="str">
        <f t="shared" si="27"/>
        <v/>
      </c>
    </row>
    <row r="22" spans="2:65" ht="15" customHeight="1" x14ac:dyDescent="0.25">
      <c r="B22" s="12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5" t="str">
        <f t="shared" si="0"/>
        <v/>
      </c>
      <c r="O22" s="16" t="str">
        <f t="shared" si="1"/>
        <v/>
      </c>
      <c r="P22" s="17" t="str">
        <f t="shared" si="2"/>
        <v/>
      </c>
      <c r="Q22" s="16" t="str">
        <f t="shared" si="3"/>
        <v/>
      </c>
      <c r="R22" s="16" t="str">
        <f t="shared" si="4"/>
        <v/>
      </c>
      <c r="S22" s="16" t="str">
        <f t="shared" si="5"/>
        <v/>
      </c>
      <c r="T22" s="16" t="str">
        <f t="shared" si="6"/>
        <v/>
      </c>
      <c r="U22" s="16" t="str">
        <f t="shared" si="7"/>
        <v/>
      </c>
      <c r="V22" s="17" t="str">
        <f t="shared" si="8"/>
        <v/>
      </c>
      <c r="X22" s="20" t="str">
        <f>IF($C22="","",C22*'Assumptions &amp; Ref'!$C$10)</f>
        <v/>
      </c>
      <c r="Y22" s="21" t="str">
        <f t="shared" si="9"/>
        <v/>
      </c>
      <c r="Z22" s="21" t="str">
        <f>IF($C22="","",Y22/'Assumptions &amp; Ref'!$C$7)</f>
        <v/>
      </c>
      <c r="AA22" s="21" t="str">
        <f>IF($C22="","",Z22/'Assumptions &amp; Ref'!$C$8)</f>
        <v/>
      </c>
      <c r="AB22" s="21" t="str">
        <f>IF($C22="","",SQRT(AA22*'Assumptions &amp; Ref'!$C$9))</f>
        <v/>
      </c>
      <c r="AC22" s="21" t="str">
        <f>IF($C22="","",SQRT(AA22/'Assumptions &amp; Ref'!$C$9))</f>
        <v/>
      </c>
      <c r="AD22" s="21" t="str">
        <f>IF($C22="","",IFERROR(INDEX('Assumptions &amp; Ref'!$C$89:$C$92,MATCH(E22,'Assumptions &amp; Ref'!$B$89:$B$92,0)),0.6))</f>
        <v/>
      </c>
      <c r="AE22" s="21" t="str">
        <f t="shared" si="10"/>
        <v/>
      </c>
      <c r="AF22" s="20" t="str">
        <f t="shared" si="11"/>
        <v/>
      </c>
      <c r="AG22" s="23" t="str">
        <f t="shared" si="12"/>
        <v/>
      </c>
      <c r="AH22" s="23" t="str">
        <f>IF($C22="","",AE22*I22/1000*AF22*(1+'Assumptions &amp; Ref'!$C$75))</f>
        <v/>
      </c>
      <c r="AI22" s="20" t="str">
        <f t="shared" si="13"/>
        <v/>
      </c>
      <c r="AJ22" s="23" t="str">
        <f t="shared" si="14"/>
        <v/>
      </c>
      <c r="AK22" s="21" t="str">
        <f t="shared" si="15"/>
        <v/>
      </c>
      <c r="AL22" s="23" t="str">
        <f t="shared" si="16"/>
        <v/>
      </c>
      <c r="AM22" s="21" t="str">
        <f>IF($C22="","",SQRT(Z22/'Assumptions &amp; Ref'!$C$9))</f>
        <v/>
      </c>
      <c r="AN22" s="21" t="str">
        <f>IF($C22="","",SQRT(Z22*'Assumptions &amp; Ref'!$C$9))</f>
        <v/>
      </c>
      <c r="AO22" s="24" t="str">
        <f>IF($C22="","",AM22*1000/'Assumptions &amp; Ref'!$D$27)</f>
        <v/>
      </c>
      <c r="AP22" s="24" t="str">
        <f t="shared" si="17"/>
        <v/>
      </c>
      <c r="AQ22" s="24" t="str">
        <f>IF($C22="","",AP22*AN22*(1+'Assumptions &amp; Ref'!$D$29))</f>
        <v/>
      </c>
      <c r="AR22" s="25" t="str">
        <f>IF($C22="","",PI()*('Assumptions &amp; Ref'!$D$25-'Assumptions &amp; Ref'!$D$26)/1000*'Assumptions &amp; Ref'!$D$26/1000*$C$5)</f>
        <v/>
      </c>
      <c r="AS22" s="23" t="str">
        <f t="shared" si="18"/>
        <v/>
      </c>
      <c r="AT22" s="24" t="str">
        <f t="shared" si="19"/>
        <v/>
      </c>
      <c r="AU22" s="21" t="str">
        <f>IF($C22="","",F22*'Assumptions &amp; Ref'!$D$28/1000)</f>
        <v/>
      </c>
      <c r="AV22" s="21" t="str">
        <f>IF($C22="","",AM22*AU22*(1-'Assumptions &amp; Ref'!$D$31))</f>
        <v/>
      </c>
      <c r="AW22" s="23" t="str">
        <f>IF($C22="","",AT22*AV22*'Assumptions &amp; Ref'!$D$30/1000*INDEX($C$5:$I$5,MATCH(M22,$C$4:$I$4,0)))</f>
        <v/>
      </c>
      <c r="AX22" s="20" t="str">
        <f>IF($C22="","",'Assumptions &amp; Ref'!$C$95+F22*'Assumptions &amp; Ref'!$C$96+'Assumptions &amp; Ref'!$C$97)</f>
        <v/>
      </c>
      <c r="AY22" s="20" t="str">
        <f t="shared" si="20"/>
        <v/>
      </c>
      <c r="AZ22" s="20" t="str">
        <f>IF($C22="","",Y22*AY22/'Assumptions &amp; Ref'!$C$98)</f>
        <v/>
      </c>
      <c r="BA22" s="20" t="str">
        <f>IF($C22="","",'Assumptions &amp; Ref'!$C$71+AZ22*'Assumptions &amp; Ref'!$C$72)</f>
        <v/>
      </c>
      <c r="BB22" s="23" t="str">
        <f>IF($C22="","",AB22*(AD22*0.6)*'Assumptions &amp; Ref'!$C$81/1000*$G$5)</f>
        <v/>
      </c>
      <c r="BC22" s="20" t="str">
        <f t="shared" si="21"/>
        <v/>
      </c>
      <c r="BD22" s="20" t="str">
        <f t="shared" si="22"/>
        <v/>
      </c>
      <c r="BE22" s="20" t="str">
        <f t="shared" si="23"/>
        <v/>
      </c>
      <c r="BF22" s="20" t="str">
        <f>IF($C22="","",AH22*'Assumptions &amp; Ref'!$C$79+(AS22+AW22)*'Assumptions &amp; Ref'!$C$80)</f>
        <v/>
      </c>
      <c r="BG22" s="20" t="str">
        <f>IF($C22="","",'Assumptions &amp; Ref'!$C$84*(BD22+BE22+BF22))</f>
        <v/>
      </c>
      <c r="BH22" s="20" t="str">
        <f>IF($C22="","",'Assumptions &amp; Ref'!$C$85*(BD22+BE22+BF22+BG22))</f>
        <v/>
      </c>
      <c r="BI22" s="20" t="str">
        <f t="shared" si="24"/>
        <v/>
      </c>
      <c r="BK22" s="17" t="str">
        <f t="shared" si="25"/>
        <v/>
      </c>
      <c r="BL22" s="17" t="str">
        <f t="shared" si="26"/>
        <v/>
      </c>
      <c r="BM22" s="17" t="str">
        <f t="shared" si="27"/>
        <v/>
      </c>
    </row>
    <row r="23" spans="2:65" ht="15" customHeight="1" x14ac:dyDescent="0.25"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5" t="str">
        <f t="shared" si="0"/>
        <v/>
      </c>
      <c r="O23" s="16" t="str">
        <f t="shared" si="1"/>
        <v/>
      </c>
      <c r="P23" s="17" t="str">
        <f t="shared" si="2"/>
        <v/>
      </c>
      <c r="Q23" s="16" t="str">
        <f t="shared" si="3"/>
        <v/>
      </c>
      <c r="R23" s="16" t="str">
        <f t="shared" si="4"/>
        <v/>
      </c>
      <c r="S23" s="16" t="str">
        <f t="shared" si="5"/>
        <v/>
      </c>
      <c r="T23" s="16" t="str">
        <f t="shared" si="6"/>
        <v/>
      </c>
      <c r="U23" s="16" t="str">
        <f t="shared" si="7"/>
        <v/>
      </c>
      <c r="V23" s="17" t="str">
        <f t="shared" si="8"/>
        <v/>
      </c>
      <c r="X23" s="20" t="str">
        <f>IF($C23="","",C23*'Assumptions &amp; Ref'!$C$10)</f>
        <v/>
      </c>
      <c r="Y23" s="21" t="str">
        <f t="shared" si="9"/>
        <v/>
      </c>
      <c r="Z23" s="21" t="str">
        <f>IF($C23="","",Y23/'Assumptions &amp; Ref'!$C$7)</f>
        <v/>
      </c>
      <c r="AA23" s="21" t="str">
        <f>IF($C23="","",Z23/'Assumptions &amp; Ref'!$C$8)</f>
        <v/>
      </c>
      <c r="AB23" s="21" t="str">
        <f>IF($C23="","",SQRT(AA23*'Assumptions &amp; Ref'!$C$9))</f>
        <v/>
      </c>
      <c r="AC23" s="21" t="str">
        <f>IF($C23="","",SQRT(AA23/'Assumptions &amp; Ref'!$C$9))</f>
        <v/>
      </c>
      <c r="AD23" s="21" t="str">
        <f>IF($C23="","",IFERROR(INDEX('Assumptions &amp; Ref'!$C$89:$C$92,MATCH(E23,'Assumptions &amp; Ref'!$B$89:$B$92,0)),0.6))</f>
        <v/>
      </c>
      <c r="AE23" s="21" t="str">
        <f t="shared" si="10"/>
        <v/>
      </c>
      <c r="AF23" s="20" t="str">
        <f t="shared" si="11"/>
        <v/>
      </c>
      <c r="AG23" s="23" t="str">
        <f t="shared" si="12"/>
        <v/>
      </c>
      <c r="AH23" s="23" t="str">
        <f>IF($C23="","",AE23*I23/1000*AF23*(1+'Assumptions &amp; Ref'!$C$75))</f>
        <v/>
      </c>
      <c r="AI23" s="20" t="str">
        <f t="shared" si="13"/>
        <v/>
      </c>
      <c r="AJ23" s="23" t="str">
        <f t="shared" si="14"/>
        <v/>
      </c>
      <c r="AK23" s="21" t="str">
        <f t="shared" si="15"/>
        <v/>
      </c>
      <c r="AL23" s="23" t="str">
        <f t="shared" si="16"/>
        <v/>
      </c>
      <c r="AM23" s="21" t="str">
        <f>IF($C23="","",SQRT(Z23/'Assumptions &amp; Ref'!$C$9))</f>
        <v/>
      </c>
      <c r="AN23" s="21" t="str">
        <f>IF($C23="","",SQRT(Z23*'Assumptions &amp; Ref'!$C$9))</f>
        <v/>
      </c>
      <c r="AO23" s="24" t="str">
        <f>IF($C23="","",AM23*1000/'Assumptions &amp; Ref'!$D$27)</f>
        <v/>
      </c>
      <c r="AP23" s="24" t="str">
        <f t="shared" si="17"/>
        <v/>
      </c>
      <c r="AQ23" s="24" t="str">
        <f>IF($C23="","",AP23*AN23*(1+'Assumptions &amp; Ref'!$D$29))</f>
        <v/>
      </c>
      <c r="AR23" s="25" t="str">
        <f>IF($C23="","",PI()*('Assumptions &amp; Ref'!$D$25-'Assumptions &amp; Ref'!$D$26)/1000*'Assumptions &amp; Ref'!$D$26/1000*$C$5)</f>
        <v/>
      </c>
      <c r="AS23" s="23" t="str">
        <f t="shared" si="18"/>
        <v/>
      </c>
      <c r="AT23" s="24" t="str">
        <f t="shared" si="19"/>
        <v/>
      </c>
      <c r="AU23" s="21" t="str">
        <f>IF($C23="","",F23*'Assumptions &amp; Ref'!$D$28/1000)</f>
        <v/>
      </c>
      <c r="AV23" s="21" t="str">
        <f>IF($C23="","",AM23*AU23*(1-'Assumptions &amp; Ref'!$D$31))</f>
        <v/>
      </c>
      <c r="AW23" s="23" t="str">
        <f>IF($C23="","",AT23*AV23*'Assumptions &amp; Ref'!$D$30/1000*INDEX($C$5:$I$5,MATCH(M23,$C$4:$I$4,0)))</f>
        <v/>
      </c>
      <c r="AX23" s="20" t="str">
        <f>IF($C23="","",'Assumptions &amp; Ref'!$C$95+F23*'Assumptions &amp; Ref'!$C$96+'Assumptions &amp; Ref'!$C$97)</f>
        <v/>
      </c>
      <c r="AY23" s="20" t="str">
        <f t="shared" si="20"/>
        <v/>
      </c>
      <c r="AZ23" s="20" t="str">
        <f>IF($C23="","",Y23*AY23/'Assumptions &amp; Ref'!$C$98)</f>
        <v/>
      </c>
      <c r="BA23" s="20" t="str">
        <f>IF($C23="","",'Assumptions &amp; Ref'!$C$71+AZ23*'Assumptions &amp; Ref'!$C$72)</f>
        <v/>
      </c>
      <c r="BB23" s="23" t="str">
        <f>IF($C23="","",AB23*(AD23*0.6)*'Assumptions &amp; Ref'!$C$81/1000*$G$5)</f>
        <v/>
      </c>
      <c r="BC23" s="20" t="str">
        <f t="shared" si="21"/>
        <v/>
      </c>
      <c r="BD23" s="20" t="str">
        <f t="shared" si="22"/>
        <v/>
      </c>
      <c r="BE23" s="20" t="str">
        <f t="shared" si="23"/>
        <v/>
      </c>
      <c r="BF23" s="20" t="str">
        <f>IF($C23="","",AH23*'Assumptions &amp; Ref'!$C$79+(AS23+AW23)*'Assumptions &amp; Ref'!$C$80)</f>
        <v/>
      </c>
      <c r="BG23" s="20" t="str">
        <f>IF($C23="","",'Assumptions &amp; Ref'!$C$84*(BD23+BE23+BF23))</f>
        <v/>
      </c>
      <c r="BH23" s="20" t="str">
        <f>IF($C23="","",'Assumptions &amp; Ref'!$C$85*(BD23+BE23+BF23+BG23))</f>
        <v/>
      </c>
      <c r="BI23" s="20" t="str">
        <f t="shared" si="24"/>
        <v/>
      </c>
      <c r="BK23" s="17" t="str">
        <f t="shared" si="25"/>
        <v/>
      </c>
      <c r="BL23" s="17" t="str">
        <f t="shared" si="26"/>
        <v/>
      </c>
      <c r="BM23" s="17" t="str">
        <f t="shared" si="27"/>
        <v/>
      </c>
    </row>
    <row r="24" spans="2:65" ht="15" customHeight="1" x14ac:dyDescent="0.25">
      <c r="B24" s="12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5" t="str">
        <f t="shared" si="0"/>
        <v/>
      </c>
      <c r="O24" s="16" t="str">
        <f t="shared" si="1"/>
        <v/>
      </c>
      <c r="P24" s="17" t="str">
        <f t="shared" si="2"/>
        <v/>
      </c>
      <c r="Q24" s="16" t="str">
        <f t="shared" si="3"/>
        <v/>
      </c>
      <c r="R24" s="16" t="str">
        <f t="shared" si="4"/>
        <v/>
      </c>
      <c r="S24" s="16" t="str">
        <f t="shared" si="5"/>
        <v/>
      </c>
      <c r="T24" s="16" t="str">
        <f t="shared" si="6"/>
        <v/>
      </c>
      <c r="U24" s="16" t="str">
        <f t="shared" si="7"/>
        <v/>
      </c>
      <c r="V24" s="17" t="str">
        <f t="shared" si="8"/>
        <v/>
      </c>
      <c r="X24" s="20" t="str">
        <f>IF($C24="","",C24*'Assumptions &amp; Ref'!$C$10)</f>
        <v/>
      </c>
      <c r="Y24" s="21" t="str">
        <f t="shared" si="9"/>
        <v/>
      </c>
      <c r="Z24" s="21" t="str">
        <f>IF($C24="","",Y24/'Assumptions &amp; Ref'!$C$7)</f>
        <v/>
      </c>
      <c r="AA24" s="21" t="str">
        <f>IF($C24="","",Z24/'Assumptions &amp; Ref'!$C$8)</f>
        <v/>
      </c>
      <c r="AB24" s="21" t="str">
        <f>IF($C24="","",SQRT(AA24*'Assumptions &amp; Ref'!$C$9))</f>
        <v/>
      </c>
      <c r="AC24" s="21" t="str">
        <f>IF($C24="","",SQRT(AA24/'Assumptions &amp; Ref'!$C$9))</f>
        <v/>
      </c>
      <c r="AD24" s="21" t="str">
        <f>IF($C24="","",IFERROR(INDEX('Assumptions &amp; Ref'!$C$89:$C$92,MATCH(E24,'Assumptions &amp; Ref'!$B$89:$B$92,0)),0.6))</f>
        <v/>
      </c>
      <c r="AE24" s="21" t="str">
        <f t="shared" si="10"/>
        <v/>
      </c>
      <c r="AF24" s="20" t="str">
        <f t="shared" si="11"/>
        <v/>
      </c>
      <c r="AG24" s="23" t="str">
        <f t="shared" si="12"/>
        <v/>
      </c>
      <c r="AH24" s="23" t="str">
        <f>IF($C24="","",AE24*I24/1000*AF24*(1+'Assumptions &amp; Ref'!$C$75))</f>
        <v/>
      </c>
      <c r="AI24" s="20" t="str">
        <f t="shared" si="13"/>
        <v/>
      </c>
      <c r="AJ24" s="23" t="str">
        <f t="shared" si="14"/>
        <v/>
      </c>
      <c r="AK24" s="21" t="str">
        <f t="shared" si="15"/>
        <v/>
      </c>
      <c r="AL24" s="23" t="str">
        <f t="shared" si="16"/>
        <v/>
      </c>
      <c r="AM24" s="21" t="str">
        <f>IF($C24="","",SQRT(Z24/'Assumptions &amp; Ref'!$C$9))</f>
        <v/>
      </c>
      <c r="AN24" s="21" t="str">
        <f>IF($C24="","",SQRT(Z24*'Assumptions &amp; Ref'!$C$9))</f>
        <v/>
      </c>
      <c r="AO24" s="24" t="str">
        <f>IF($C24="","",AM24*1000/'Assumptions &amp; Ref'!$D$27)</f>
        <v/>
      </c>
      <c r="AP24" s="24" t="str">
        <f t="shared" si="17"/>
        <v/>
      </c>
      <c r="AQ24" s="24" t="str">
        <f>IF($C24="","",AP24*AN24*(1+'Assumptions &amp; Ref'!$D$29))</f>
        <v/>
      </c>
      <c r="AR24" s="25" t="str">
        <f>IF($C24="","",PI()*('Assumptions &amp; Ref'!$D$25-'Assumptions &amp; Ref'!$D$26)/1000*'Assumptions &amp; Ref'!$D$26/1000*$C$5)</f>
        <v/>
      </c>
      <c r="AS24" s="23" t="str">
        <f t="shared" si="18"/>
        <v/>
      </c>
      <c r="AT24" s="24" t="str">
        <f t="shared" si="19"/>
        <v/>
      </c>
      <c r="AU24" s="21" t="str">
        <f>IF($C24="","",F24*'Assumptions &amp; Ref'!$D$28/1000)</f>
        <v/>
      </c>
      <c r="AV24" s="21" t="str">
        <f>IF($C24="","",AM24*AU24*(1-'Assumptions &amp; Ref'!$D$31))</f>
        <v/>
      </c>
      <c r="AW24" s="23" t="str">
        <f>IF($C24="","",AT24*AV24*'Assumptions &amp; Ref'!$D$30/1000*INDEX($C$5:$I$5,MATCH(M24,$C$4:$I$4,0)))</f>
        <v/>
      </c>
      <c r="AX24" s="20" t="str">
        <f>IF($C24="","",'Assumptions &amp; Ref'!$C$95+F24*'Assumptions &amp; Ref'!$C$96+'Assumptions &amp; Ref'!$C$97)</f>
        <v/>
      </c>
      <c r="AY24" s="20" t="str">
        <f t="shared" si="20"/>
        <v/>
      </c>
      <c r="AZ24" s="20" t="str">
        <f>IF($C24="","",Y24*AY24/'Assumptions &amp; Ref'!$C$98)</f>
        <v/>
      </c>
      <c r="BA24" s="20" t="str">
        <f>IF($C24="","",'Assumptions &amp; Ref'!$C$71+AZ24*'Assumptions &amp; Ref'!$C$72)</f>
        <v/>
      </c>
      <c r="BB24" s="23" t="str">
        <f>IF($C24="","",AB24*(AD24*0.6)*'Assumptions &amp; Ref'!$C$81/1000*$G$5)</f>
        <v/>
      </c>
      <c r="BC24" s="20" t="str">
        <f t="shared" si="21"/>
        <v/>
      </c>
      <c r="BD24" s="20" t="str">
        <f t="shared" si="22"/>
        <v/>
      </c>
      <c r="BE24" s="20" t="str">
        <f t="shared" si="23"/>
        <v/>
      </c>
      <c r="BF24" s="20" t="str">
        <f>IF($C24="","",AH24*'Assumptions &amp; Ref'!$C$79+(AS24+AW24)*'Assumptions &amp; Ref'!$C$80)</f>
        <v/>
      </c>
      <c r="BG24" s="20" t="str">
        <f>IF($C24="","",'Assumptions &amp; Ref'!$C$84*(BD24+BE24+BF24))</f>
        <v/>
      </c>
      <c r="BH24" s="20" t="str">
        <f>IF($C24="","",'Assumptions &amp; Ref'!$C$85*(BD24+BE24+BF24+BG24))</f>
        <v/>
      </c>
      <c r="BI24" s="20" t="str">
        <f t="shared" si="24"/>
        <v/>
      </c>
      <c r="BK24" s="17" t="str">
        <f t="shared" si="25"/>
        <v/>
      </c>
      <c r="BL24" s="17" t="str">
        <f t="shared" si="26"/>
        <v/>
      </c>
      <c r="BM24" s="17" t="str">
        <f t="shared" si="27"/>
        <v/>
      </c>
    </row>
    <row r="25" spans="2:65" ht="15" customHeight="1" x14ac:dyDescent="0.25">
      <c r="B25" s="12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5" t="str">
        <f t="shared" si="0"/>
        <v/>
      </c>
      <c r="O25" s="16" t="str">
        <f t="shared" si="1"/>
        <v/>
      </c>
      <c r="P25" s="17" t="str">
        <f t="shared" si="2"/>
        <v/>
      </c>
      <c r="Q25" s="16" t="str">
        <f t="shared" si="3"/>
        <v/>
      </c>
      <c r="R25" s="16" t="str">
        <f t="shared" si="4"/>
        <v/>
      </c>
      <c r="S25" s="16" t="str">
        <f t="shared" si="5"/>
        <v/>
      </c>
      <c r="T25" s="16" t="str">
        <f t="shared" si="6"/>
        <v/>
      </c>
      <c r="U25" s="16" t="str">
        <f t="shared" si="7"/>
        <v/>
      </c>
      <c r="V25" s="17" t="str">
        <f t="shared" si="8"/>
        <v/>
      </c>
      <c r="X25" s="20" t="str">
        <f>IF($C25="","",C25*'Assumptions &amp; Ref'!$C$10)</f>
        <v/>
      </c>
      <c r="Y25" s="21" t="str">
        <f t="shared" si="9"/>
        <v/>
      </c>
      <c r="Z25" s="21" t="str">
        <f>IF($C25="","",Y25/'Assumptions &amp; Ref'!$C$7)</f>
        <v/>
      </c>
      <c r="AA25" s="21" t="str">
        <f>IF($C25="","",Z25/'Assumptions &amp; Ref'!$C$8)</f>
        <v/>
      </c>
      <c r="AB25" s="21" t="str">
        <f>IF($C25="","",SQRT(AA25*'Assumptions &amp; Ref'!$C$9))</f>
        <v/>
      </c>
      <c r="AC25" s="21" t="str">
        <f>IF($C25="","",SQRT(AA25/'Assumptions &amp; Ref'!$C$9))</f>
        <v/>
      </c>
      <c r="AD25" s="21" t="str">
        <f>IF($C25="","",IFERROR(INDEX('Assumptions &amp; Ref'!$C$89:$C$92,MATCH(E25,'Assumptions &amp; Ref'!$B$89:$B$92,0)),0.6))</f>
        <v/>
      </c>
      <c r="AE25" s="21" t="str">
        <f t="shared" si="10"/>
        <v/>
      </c>
      <c r="AF25" s="20" t="str">
        <f t="shared" si="11"/>
        <v/>
      </c>
      <c r="AG25" s="23" t="str">
        <f t="shared" si="12"/>
        <v/>
      </c>
      <c r="AH25" s="23" t="str">
        <f>IF($C25="","",AE25*I25/1000*AF25*(1+'Assumptions &amp; Ref'!$C$75))</f>
        <v/>
      </c>
      <c r="AI25" s="20" t="str">
        <f t="shared" si="13"/>
        <v/>
      </c>
      <c r="AJ25" s="23" t="str">
        <f t="shared" si="14"/>
        <v/>
      </c>
      <c r="AK25" s="21" t="str">
        <f t="shared" si="15"/>
        <v/>
      </c>
      <c r="AL25" s="23" t="str">
        <f t="shared" si="16"/>
        <v/>
      </c>
      <c r="AM25" s="21" t="str">
        <f>IF($C25="","",SQRT(Z25/'Assumptions &amp; Ref'!$C$9))</f>
        <v/>
      </c>
      <c r="AN25" s="21" t="str">
        <f>IF($C25="","",SQRT(Z25*'Assumptions &amp; Ref'!$C$9))</f>
        <v/>
      </c>
      <c r="AO25" s="24" t="str">
        <f>IF($C25="","",AM25*1000/'Assumptions &amp; Ref'!$D$27)</f>
        <v/>
      </c>
      <c r="AP25" s="24" t="str">
        <f t="shared" si="17"/>
        <v/>
      </c>
      <c r="AQ25" s="24" t="str">
        <f>IF($C25="","",AP25*AN25*(1+'Assumptions &amp; Ref'!$D$29))</f>
        <v/>
      </c>
      <c r="AR25" s="25" t="str">
        <f>IF($C25="","",PI()*('Assumptions &amp; Ref'!$D$25-'Assumptions &amp; Ref'!$D$26)/1000*'Assumptions &amp; Ref'!$D$26/1000*$C$5)</f>
        <v/>
      </c>
      <c r="AS25" s="23" t="str">
        <f t="shared" si="18"/>
        <v/>
      </c>
      <c r="AT25" s="24" t="str">
        <f t="shared" si="19"/>
        <v/>
      </c>
      <c r="AU25" s="21" t="str">
        <f>IF($C25="","",F25*'Assumptions &amp; Ref'!$D$28/1000)</f>
        <v/>
      </c>
      <c r="AV25" s="21" t="str">
        <f>IF($C25="","",AM25*AU25*(1-'Assumptions &amp; Ref'!$D$31))</f>
        <v/>
      </c>
      <c r="AW25" s="23" t="str">
        <f>IF($C25="","",AT25*AV25*'Assumptions &amp; Ref'!$D$30/1000*INDEX($C$5:$I$5,MATCH(M25,$C$4:$I$4,0)))</f>
        <v/>
      </c>
      <c r="AX25" s="20" t="str">
        <f>IF($C25="","",'Assumptions &amp; Ref'!$C$95+F25*'Assumptions &amp; Ref'!$C$96+'Assumptions &amp; Ref'!$C$97)</f>
        <v/>
      </c>
      <c r="AY25" s="20" t="str">
        <f t="shared" si="20"/>
        <v/>
      </c>
      <c r="AZ25" s="20" t="str">
        <f>IF($C25="","",Y25*AY25/'Assumptions &amp; Ref'!$C$98)</f>
        <v/>
      </c>
      <c r="BA25" s="20" t="str">
        <f>IF($C25="","",'Assumptions &amp; Ref'!$C$71+AZ25*'Assumptions &amp; Ref'!$C$72)</f>
        <v/>
      </c>
      <c r="BB25" s="23" t="str">
        <f>IF($C25="","",AB25*(AD25*0.6)*'Assumptions &amp; Ref'!$C$81/1000*$G$5)</f>
        <v/>
      </c>
      <c r="BC25" s="20" t="str">
        <f t="shared" si="21"/>
        <v/>
      </c>
      <c r="BD25" s="20" t="str">
        <f t="shared" si="22"/>
        <v/>
      </c>
      <c r="BE25" s="20" t="str">
        <f t="shared" si="23"/>
        <v/>
      </c>
      <c r="BF25" s="20" t="str">
        <f>IF($C25="","",AH25*'Assumptions &amp; Ref'!$C$79+(AS25+AW25)*'Assumptions &amp; Ref'!$C$80)</f>
        <v/>
      </c>
      <c r="BG25" s="20" t="str">
        <f>IF($C25="","",'Assumptions &amp; Ref'!$C$84*(BD25+BE25+BF25))</f>
        <v/>
      </c>
      <c r="BH25" s="20" t="str">
        <f>IF($C25="","",'Assumptions &amp; Ref'!$C$85*(BD25+BE25+BF25+BG25))</f>
        <v/>
      </c>
      <c r="BI25" s="20" t="str">
        <f t="shared" si="24"/>
        <v/>
      </c>
      <c r="BK25" s="17" t="str">
        <f t="shared" si="25"/>
        <v/>
      </c>
      <c r="BL25" s="17" t="str">
        <f t="shared" si="26"/>
        <v/>
      </c>
      <c r="BM25" s="17" t="str">
        <f t="shared" si="27"/>
        <v/>
      </c>
    </row>
    <row r="26" spans="2:65" ht="15" customHeight="1" x14ac:dyDescent="0.25">
      <c r="B26" s="12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5" t="str">
        <f t="shared" si="0"/>
        <v/>
      </c>
      <c r="O26" s="16" t="str">
        <f t="shared" si="1"/>
        <v/>
      </c>
      <c r="P26" s="17" t="str">
        <f t="shared" si="2"/>
        <v/>
      </c>
      <c r="Q26" s="16" t="str">
        <f t="shared" si="3"/>
        <v/>
      </c>
      <c r="R26" s="16" t="str">
        <f t="shared" si="4"/>
        <v/>
      </c>
      <c r="S26" s="16" t="str">
        <f t="shared" si="5"/>
        <v/>
      </c>
      <c r="T26" s="16" t="str">
        <f t="shared" si="6"/>
        <v/>
      </c>
      <c r="U26" s="16" t="str">
        <f t="shared" si="7"/>
        <v/>
      </c>
      <c r="V26" s="17" t="str">
        <f t="shared" si="8"/>
        <v/>
      </c>
      <c r="X26" s="20" t="str">
        <f>IF($C26="","",C26*'Assumptions &amp; Ref'!$C$10)</f>
        <v/>
      </c>
      <c r="Y26" s="21" t="str">
        <f t="shared" si="9"/>
        <v/>
      </c>
      <c r="Z26" s="21" t="str">
        <f>IF($C26="","",Y26/'Assumptions &amp; Ref'!$C$7)</f>
        <v/>
      </c>
      <c r="AA26" s="21" t="str">
        <f>IF($C26="","",Z26/'Assumptions &amp; Ref'!$C$8)</f>
        <v/>
      </c>
      <c r="AB26" s="21" t="str">
        <f>IF($C26="","",SQRT(AA26*'Assumptions &amp; Ref'!$C$9))</f>
        <v/>
      </c>
      <c r="AC26" s="21" t="str">
        <f>IF($C26="","",SQRT(AA26/'Assumptions &amp; Ref'!$C$9))</f>
        <v/>
      </c>
      <c r="AD26" s="21" t="str">
        <f>IF($C26="","",IFERROR(INDEX('Assumptions &amp; Ref'!$C$89:$C$92,MATCH(E26,'Assumptions &amp; Ref'!$B$89:$B$92,0)),0.6))</f>
        <v/>
      </c>
      <c r="AE26" s="21" t="str">
        <f t="shared" si="10"/>
        <v/>
      </c>
      <c r="AF26" s="20" t="str">
        <f t="shared" si="11"/>
        <v/>
      </c>
      <c r="AG26" s="23" t="str">
        <f t="shared" si="12"/>
        <v/>
      </c>
      <c r="AH26" s="23" t="str">
        <f>IF($C26="","",AE26*I26/1000*AF26*(1+'Assumptions &amp; Ref'!$C$75))</f>
        <v/>
      </c>
      <c r="AI26" s="20" t="str">
        <f t="shared" si="13"/>
        <v/>
      </c>
      <c r="AJ26" s="23" t="str">
        <f t="shared" si="14"/>
        <v/>
      </c>
      <c r="AK26" s="21" t="str">
        <f t="shared" si="15"/>
        <v/>
      </c>
      <c r="AL26" s="23" t="str">
        <f t="shared" si="16"/>
        <v/>
      </c>
      <c r="AM26" s="21" t="str">
        <f>IF($C26="","",SQRT(Z26/'Assumptions &amp; Ref'!$C$9))</f>
        <v/>
      </c>
      <c r="AN26" s="21" t="str">
        <f>IF($C26="","",SQRT(Z26*'Assumptions &amp; Ref'!$C$9))</f>
        <v/>
      </c>
      <c r="AO26" s="24" t="str">
        <f>IF($C26="","",AM26*1000/'Assumptions &amp; Ref'!$D$27)</f>
        <v/>
      </c>
      <c r="AP26" s="24" t="str">
        <f t="shared" si="17"/>
        <v/>
      </c>
      <c r="AQ26" s="24" t="str">
        <f>IF($C26="","",AP26*AN26*(1+'Assumptions &amp; Ref'!$D$29))</f>
        <v/>
      </c>
      <c r="AR26" s="25" t="str">
        <f>IF($C26="","",PI()*('Assumptions &amp; Ref'!$D$25-'Assumptions &amp; Ref'!$D$26)/1000*'Assumptions &amp; Ref'!$D$26/1000*$C$5)</f>
        <v/>
      </c>
      <c r="AS26" s="23" t="str">
        <f t="shared" si="18"/>
        <v/>
      </c>
      <c r="AT26" s="24" t="str">
        <f t="shared" si="19"/>
        <v/>
      </c>
      <c r="AU26" s="21" t="str">
        <f>IF($C26="","",F26*'Assumptions &amp; Ref'!$D$28/1000)</f>
        <v/>
      </c>
      <c r="AV26" s="21" t="str">
        <f>IF($C26="","",AM26*AU26*(1-'Assumptions &amp; Ref'!$D$31))</f>
        <v/>
      </c>
      <c r="AW26" s="23" t="str">
        <f>IF($C26="","",AT26*AV26*'Assumptions &amp; Ref'!$D$30/1000*INDEX($C$5:$I$5,MATCH(M26,$C$4:$I$4,0)))</f>
        <v/>
      </c>
      <c r="AX26" s="20" t="str">
        <f>IF($C26="","",'Assumptions &amp; Ref'!$C$95+F26*'Assumptions &amp; Ref'!$C$96+'Assumptions &amp; Ref'!$C$97)</f>
        <v/>
      </c>
      <c r="AY26" s="20" t="str">
        <f t="shared" si="20"/>
        <v/>
      </c>
      <c r="AZ26" s="20" t="str">
        <f>IF($C26="","",Y26*AY26/'Assumptions &amp; Ref'!$C$98)</f>
        <v/>
      </c>
      <c r="BA26" s="20" t="str">
        <f>IF($C26="","",'Assumptions &amp; Ref'!$C$71+AZ26*'Assumptions &amp; Ref'!$C$72)</f>
        <v/>
      </c>
      <c r="BB26" s="23" t="str">
        <f>IF($C26="","",AB26*(AD26*0.6)*'Assumptions &amp; Ref'!$C$81/1000*$G$5)</f>
        <v/>
      </c>
      <c r="BC26" s="20" t="str">
        <f t="shared" si="21"/>
        <v/>
      </c>
      <c r="BD26" s="20" t="str">
        <f t="shared" si="22"/>
        <v/>
      </c>
      <c r="BE26" s="20" t="str">
        <f t="shared" si="23"/>
        <v/>
      </c>
      <c r="BF26" s="20" t="str">
        <f>IF($C26="","",AH26*'Assumptions &amp; Ref'!$C$79+(AS26+AW26)*'Assumptions &amp; Ref'!$C$80)</f>
        <v/>
      </c>
      <c r="BG26" s="20" t="str">
        <f>IF($C26="","",'Assumptions &amp; Ref'!$C$84*(BD26+BE26+BF26))</f>
        <v/>
      </c>
      <c r="BH26" s="20" t="str">
        <f>IF($C26="","",'Assumptions &amp; Ref'!$C$85*(BD26+BE26+BF26+BG26))</f>
        <v/>
      </c>
      <c r="BI26" s="20" t="str">
        <f t="shared" si="24"/>
        <v/>
      </c>
      <c r="BK26" s="17" t="str">
        <f t="shared" si="25"/>
        <v/>
      </c>
      <c r="BL26" s="17" t="str">
        <f t="shared" si="26"/>
        <v/>
      </c>
      <c r="BM26" s="17" t="str">
        <f t="shared" si="27"/>
        <v/>
      </c>
    </row>
    <row r="27" spans="2:65" ht="15" customHeight="1" x14ac:dyDescent="0.25">
      <c r="B27" s="12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5" t="str">
        <f t="shared" si="0"/>
        <v/>
      </c>
      <c r="O27" s="16" t="str">
        <f t="shared" si="1"/>
        <v/>
      </c>
      <c r="P27" s="17" t="str">
        <f t="shared" si="2"/>
        <v/>
      </c>
      <c r="Q27" s="16" t="str">
        <f t="shared" si="3"/>
        <v/>
      </c>
      <c r="R27" s="16" t="str">
        <f t="shared" si="4"/>
        <v/>
      </c>
      <c r="S27" s="16" t="str">
        <f t="shared" si="5"/>
        <v/>
      </c>
      <c r="T27" s="16" t="str">
        <f t="shared" si="6"/>
        <v/>
      </c>
      <c r="U27" s="16" t="str">
        <f t="shared" si="7"/>
        <v/>
      </c>
      <c r="V27" s="17" t="str">
        <f t="shared" si="8"/>
        <v/>
      </c>
      <c r="X27" s="20" t="str">
        <f>IF($C27="","",C27*'Assumptions &amp; Ref'!$C$10)</f>
        <v/>
      </c>
      <c r="Y27" s="21" t="str">
        <f t="shared" si="9"/>
        <v/>
      </c>
      <c r="Z27" s="21" t="str">
        <f>IF($C27="","",Y27/'Assumptions &amp; Ref'!$C$7)</f>
        <v/>
      </c>
      <c r="AA27" s="21" t="str">
        <f>IF($C27="","",Z27/'Assumptions &amp; Ref'!$C$8)</f>
        <v/>
      </c>
      <c r="AB27" s="21" t="str">
        <f>IF($C27="","",SQRT(AA27*'Assumptions &amp; Ref'!$C$9))</f>
        <v/>
      </c>
      <c r="AC27" s="21" t="str">
        <f>IF($C27="","",SQRT(AA27/'Assumptions &amp; Ref'!$C$9))</f>
        <v/>
      </c>
      <c r="AD27" s="21" t="str">
        <f>IF($C27="","",IFERROR(INDEX('Assumptions &amp; Ref'!$C$89:$C$92,MATCH(E27,'Assumptions &amp; Ref'!$B$89:$B$92,0)),0.6))</f>
        <v/>
      </c>
      <c r="AE27" s="21" t="str">
        <f t="shared" si="10"/>
        <v/>
      </c>
      <c r="AF27" s="20" t="str">
        <f t="shared" si="11"/>
        <v/>
      </c>
      <c r="AG27" s="23" t="str">
        <f t="shared" si="12"/>
        <v/>
      </c>
      <c r="AH27" s="23" t="str">
        <f>IF($C27="","",AE27*I27/1000*AF27*(1+'Assumptions &amp; Ref'!$C$75))</f>
        <v/>
      </c>
      <c r="AI27" s="20" t="str">
        <f t="shared" si="13"/>
        <v/>
      </c>
      <c r="AJ27" s="23" t="str">
        <f t="shared" si="14"/>
        <v/>
      </c>
      <c r="AK27" s="21" t="str">
        <f t="shared" si="15"/>
        <v/>
      </c>
      <c r="AL27" s="23" t="str">
        <f t="shared" si="16"/>
        <v/>
      </c>
      <c r="AM27" s="21" t="str">
        <f>IF($C27="","",SQRT(Z27/'Assumptions &amp; Ref'!$C$9))</f>
        <v/>
      </c>
      <c r="AN27" s="21" t="str">
        <f>IF($C27="","",SQRT(Z27*'Assumptions &amp; Ref'!$C$9))</f>
        <v/>
      </c>
      <c r="AO27" s="24" t="str">
        <f>IF($C27="","",AM27*1000/'Assumptions &amp; Ref'!$D$27)</f>
        <v/>
      </c>
      <c r="AP27" s="24" t="str">
        <f t="shared" si="17"/>
        <v/>
      </c>
      <c r="AQ27" s="24" t="str">
        <f>IF($C27="","",AP27*AN27*(1+'Assumptions &amp; Ref'!$D$29))</f>
        <v/>
      </c>
      <c r="AR27" s="25" t="str">
        <f>IF($C27="","",PI()*('Assumptions &amp; Ref'!$D$25-'Assumptions &amp; Ref'!$D$26)/1000*'Assumptions &amp; Ref'!$D$26/1000*$C$5)</f>
        <v/>
      </c>
      <c r="AS27" s="23" t="str">
        <f t="shared" si="18"/>
        <v/>
      </c>
      <c r="AT27" s="24" t="str">
        <f t="shared" si="19"/>
        <v/>
      </c>
      <c r="AU27" s="21" t="str">
        <f>IF($C27="","",F27*'Assumptions &amp; Ref'!$D$28/1000)</f>
        <v/>
      </c>
      <c r="AV27" s="21" t="str">
        <f>IF($C27="","",AM27*AU27*(1-'Assumptions &amp; Ref'!$D$31))</f>
        <v/>
      </c>
      <c r="AW27" s="23" t="str">
        <f>IF($C27="","",AT27*AV27*'Assumptions &amp; Ref'!$D$30/1000*INDEX($C$5:$I$5,MATCH(M27,$C$4:$I$4,0)))</f>
        <v/>
      </c>
      <c r="AX27" s="20" t="str">
        <f>IF($C27="","",'Assumptions &amp; Ref'!$C$95+F27*'Assumptions &amp; Ref'!$C$96+'Assumptions &amp; Ref'!$C$97)</f>
        <v/>
      </c>
      <c r="AY27" s="20" t="str">
        <f t="shared" si="20"/>
        <v/>
      </c>
      <c r="AZ27" s="20" t="str">
        <f>IF($C27="","",Y27*AY27/'Assumptions &amp; Ref'!$C$98)</f>
        <v/>
      </c>
      <c r="BA27" s="20" t="str">
        <f>IF($C27="","",'Assumptions &amp; Ref'!$C$71+AZ27*'Assumptions &amp; Ref'!$C$72)</f>
        <v/>
      </c>
      <c r="BB27" s="23" t="str">
        <f>IF($C27="","",AB27*(AD27*0.6)*'Assumptions &amp; Ref'!$C$81/1000*$G$5)</f>
        <v/>
      </c>
      <c r="BC27" s="20" t="str">
        <f t="shared" si="21"/>
        <v/>
      </c>
      <c r="BD27" s="20" t="str">
        <f t="shared" si="22"/>
        <v/>
      </c>
      <c r="BE27" s="20" t="str">
        <f t="shared" si="23"/>
        <v/>
      </c>
      <c r="BF27" s="20" t="str">
        <f>IF($C27="","",AH27*'Assumptions &amp; Ref'!$C$79+(AS27+AW27)*'Assumptions &amp; Ref'!$C$80)</f>
        <v/>
      </c>
      <c r="BG27" s="20" t="str">
        <f>IF($C27="","",'Assumptions &amp; Ref'!$C$84*(BD27+BE27+BF27))</f>
        <v/>
      </c>
      <c r="BH27" s="20" t="str">
        <f>IF($C27="","",'Assumptions &amp; Ref'!$C$85*(BD27+BE27+BF27+BG27))</f>
        <v/>
      </c>
      <c r="BI27" s="20" t="str">
        <f t="shared" si="24"/>
        <v/>
      </c>
      <c r="BK27" s="17" t="str">
        <f t="shared" si="25"/>
        <v/>
      </c>
      <c r="BL27" s="17" t="str">
        <f t="shared" si="26"/>
        <v/>
      </c>
      <c r="BM27" s="17" t="str">
        <f t="shared" si="27"/>
        <v/>
      </c>
    </row>
    <row r="28" spans="2:65" ht="15" customHeight="1" x14ac:dyDescent="0.25"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5" t="str">
        <f t="shared" si="0"/>
        <v/>
      </c>
      <c r="O28" s="16" t="str">
        <f t="shared" si="1"/>
        <v/>
      </c>
      <c r="P28" s="17" t="str">
        <f t="shared" si="2"/>
        <v/>
      </c>
      <c r="Q28" s="16" t="str">
        <f t="shared" si="3"/>
        <v/>
      </c>
      <c r="R28" s="16" t="str">
        <f t="shared" si="4"/>
        <v/>
      </c>
      <c r="S28" s="16" t="str">
        <f t="shared" si="5"/>
        <v/>
      </c>
      <c r="T28" s="16" t="str">
        <f t="shared" si="6"/>
        <v/>
      </c>
      <c r="U28" s="16" t="str">
        <f t="shared" si="7"/>
        <v/>
      </c>
      <c r="V28" s="17" t="str">
        <f t="shared" si="8"/>
        <v/>
      </c>
      <c r="X28" s="20" t="str">
        <f>IF($C28="","",C28*'Assumptions &amp; Ref'!$C$10)</f>
        <v/>
      </c>
      <c r="Y28" s="21" t="str">
        <f t="shared" si="9"/>
        <v/>
      </c>
      <c r="Z28" s="21" t="str">
        <f>IF($C28="","",Y28/'Assumptions &amp; Ref'!$C$7)</f>
        <v/>
      </c>
      <c r="AA28" s="21" t="str">
        <f>IF($C28="","",Z28/'Assumptions &amp; Ref'!$C$8)</f>
        <v/>
      </c>
      <c r="AB28" s="21" t="str">
        <f>IF($C28="","",SQRT(AA28*'Assumptions &amp; Ref'!$C$9))</f>
        <v/>
      </c>
      <c r="AC28" s="21" t="str">
        <f>IF($C28="","",SQRT(AA28/'Assumptions &amp; Ref'!$C$9))</f>
        <v/>
      </c>
      <c r="AD28" s="21" t="str">
        <f>IF($C28="","",IFERROR(INDEX('Assumptions &amp; Ref'!$C$89:$C$92,MATCH(E28,'Assumptions &amp; Ref'!$B$89:$B$92,0)),0.6))</f>
        <v/>
      </c>
      <c r="AE28" s="21" t="str">
        <f t="shared" si="10"/>
        <v/>
      </c>
      <c r="AF28" s="20" t="str">
        <f t="shared" si="11"/>
        <v/>
      </c>
      <c r="AG28" s="23" t="str">
        <f t="shared" si="12"/>
        <v/>
      </c>
      <c r="AH28" s="23" t="str">
        <f>IF($C28="","",AE28*I28/1000*AF28*(1+'Assumptions &amp; Ref'!$C$75))</f>
        <v/>
      </c>
      <c r="AI28" s="20" t="str">
        <f t="shared" si="13"/>
        <v/>
      </c>
      <c r="AJ28" s="23" t="str">
        <f t="shared" si="14"/>
        <v/>
      </c>
      <c r="AK28" s="21" t="str">
        <f t="shared" si="15"/>
        <v/>
      </c>
      <c r="AL28" s="23" t="str">
        <f t="shared" si="16"/>
        <v/>
      </c>
      <c r="AM28" s="21" t="str">
        <f>IF($C28="","",SQRT(Z28/'Assumptions &amp; Ref'!$C$9))</f>
        <v/>
      </c>
      <c r="AN28" s="21" t="str">
        <f>IF($C28="","",SQRT(Z28*'Assumptions &amp; Ref'!$C$9))</f>
        <v/>
      </c>
      <c r="AO28" s="24" t="str">
        <f>IF($C28="","",AM28*1000/'Assumptions &amp; Ref'!$D$27)</f>
        <v/>
      </c>
      <c r="AP28" s="24" t="str">
        <f t="shared" si="17"/>
        <v/>
      </c>
      <c r="AQ28" s="24" t="str">
        <f>IF($C28="","",AP28*AN28*(1+'Assumptions &amp; Ref'!$D$29))</f>
        <v/>
      </c>
      <c r="AR28" s="25" t="str">
        <f>IF($C28="","",PI()*('Assumptions &amp; Ref'!$D$25-'Assumptions &amp; Ref'!$D$26)/1000*'Assumptions &amp; Ref'!$D$26/1000*$C$5)</f>
        <v/>
      </c>
      <c r="AS28" s="23" t="str">
        <f t="shared" si="18"/>
        <v/>
      </c>
      <c r="AT28" s="24" t="str">
        <f t="shared" si="19"/>
        <v/>
      </c>
      <c r="AU28" s="21" t="str">
        <f>IF($C28="","",F28*'Assumptions &amp; Ref'!$D$28/1000)</f>
        <v/>
      </c>
      <c r="AV28" s="21" t="str">
        <f>IF($C28="","",AM28*AU28*(1-'Assumptions &amp; Ref'!$D$31))</f>
        <v/>
      </c>
      <c r="AW28" s="23" t="str">
        <f>IF($C28="","",AT28*AV28*'Assumptions &amp; Ref'!$D$30/1000*INDEX($C$5:$I$5,MATCH(M28,$C$4:$I$4,0)))</f>
        <v/>
      </c>
      <c r="AX28" s="20" t="str">
        <f>IF($C28="","",'Assumptions &amp; Ref'!$C$95+F28*'Assumptions &amp; Ref'!$C$96+'Assumptions &amp; Ref'!$C$97)</f>
        <v/>
      </c>
      <c r="AY28" s="20" t="str">
        <f t="shared" si="20"/>
        <v/>
      </c>
      <c r="AZ28" s="20" t="str">
        <f>IF($C28="","",Y28*AY28/'Assumptions &amp; Ref'!$C$98)</f>
        <v/>
      </c>
      <c r="BA28" s="20" t="str">
        <f>IF($C28="","",'Assumptions &amp; Ref'!$C$71+AZ28*'Assumptions &amp; Ref'!$C$72)</f>
        <v/>
      </c>
      <c r="BB28" s="23" t="str">
        <f>IF($C28="","",AB28*(AD28*0.6)*'Assumptions &amp; Ref'!$C$81/1000*$G$5)</f>
        <v/>
      </c>
      <c r="BC28" s="20" t="str">
        <f t="shared" si="21"/>
        <v/>
      </c>
      <c r="BD28" s="20" t="str">
        <f t="shared" si="22"/>
        <v/>
      </c>
      <c r="BE28" s="20" t="str">
        <f t="shared" si="23"/>
        <v/>
      </c>
      <c r="BF28" s="20" t="str">
        <f>IF($C28="","",AH28*'Assumptions &amp; Ref'!$C$79+(AS28+AW28)*'Assumptions &amp; Ref'!$C$80)</f>
        <v/>
      </c>
      <c r="BG28" s="20" t="str">
        <f>IF($C28="","",'Assumptions &amp; Ref'!$C$84*(BD28+BE28+BF28))</f>
        <v/>
      </c>
      <c r="BH28" s="20" t="str">
        <f>IF($C28="","",'Assumptions &amp; Ref'!$C$85*(BD28+BE28+BF28+BG28))</f>
        <v/>
      </c>
      <c r="BI28" s="20" t="str">
        <f t="shared" si="24"/>
        <v/>
      </c>
      <c r="BK28" s="17" t="str">
        <f t="shared" si="25"/>
        <v/>
      </c>
      <c r="BL28" s="17" t="str">
        <f t="shared" si="26"/>
        <v/>
      </c>
      <c r="BM28" s="17" t="str">
        <f t="shared" si="27"/>
        <v/>
      </c>
    </row>
    <row r="29" spans="2:65" ht="15" customHeight="1" x14ac:dyDescent="0.25">
      <c r="B29" s="12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5" t="str">
        <f t="shared" si="0"/>
        <v/>
      </c>
      <c r="O29" s="16" t="str">
        <f t="shared" si="1"/>
        <v/>
      </c>
      <c r="P29" s="17" t="str">
        <f t="shared" si="2"/>
        <v/>
      </c>
      <c r="Q29" s="16" t="str">
        <f t="shared" si="3"/>
        <v/>
      </c>
      <c r="R29" s="16" t="str">
        <f t="shared" si="4"/>
        <v/>
      </c>
      <c r="S29" s="16" t="str">
        <f t="shared" si="5"/>
        <v/>
      </c>
      <c r="T29" s="16" t="str">
        <f t="shared" si="6"/>
        <v/>
      </c>
      <c r="U29" s="16" t="str">
        <f t="shared" si="7"/>
        <v/>
      </c>
      <c r="V29" s="17" t="str">
        <f t="shared" si="8"/>
        <v/>
      </c>
      <c r="X29" s="20" t="str">
        <f>IF($C29="","",C29*'Assumptions &amp; Ref'!$C$10)</f>
        <v/>
      </c>
      <c r="Y29" s="21" t="str">
        <f t="shared" si="9"/>
        <v/>
      </c>
      <c r="Z29" s="21" t="str">
        <f>IF($C29="","",Y29/'Assumptions &amp; Ref'!$C$7)</f>
        <v/>
      </c>
      <c r="AA29" s="21" t="str">
        <f>IF($C29="","",Z29/'Assumptions &amp; Ref'!$C$8)</f>
        <v/>
      </c>
      <c r="AB29" s="21" t="str">
        <f>IF($C29="","",SQRT(AA29*'Assumptions &amp; Ref'!$C$9))</f>
        <v/>
      </c>
      <c r="AC29" s="21" t="str">
        <f>IF($C29="","",SQRT(AA29/'Assumptions &amp; Ref'!$C$9))</f>
        <v/>
      </c>
      <c r="AD29" s="21" t="str">
        <f>IF($C29="","",IFERROR(INDEX('Assumptions &amp; Ref'!$C$89:$C$92,MATCH(E29,'Assumptions &amp; Ref'!$B$89:$B$92,0)),0.6))</f>
        <v/>
      </c>
      <c r="AE29" s="21" t="str">
        <f t="shared" si="10"/>
        <v/>
      </c>
      <c r="AF29" s="20" t="str">
        <f t="shared" si="11"/>
        <v/>
      </c>
      <c r="AG29" s="23" t="str">
        <f t="shared" si="12"/>
        <v/>
      </c>
      <c r="AH29" s="23" t="str">
        <f>IF($C29="","",AE29*I29/1000*AF29*(1+'Assumptions &amp; Ref'!$C$75))</f>
        <v/>
      </c>
      <c r="AI29" s="20" t="str">
        <f t="shared" si="13"/>
        <v/>
      </c>
      <c r="AJ29" s="23" t="str">
        <f t="shared" si="14"/>
        <v/>
      </c>
      <c r="AK29" s="21" t="str">
        <f t="shared" si="15"/>
        <v/>
      </c>
      <c r="AL29" s="23" t="str">
        <f t="shared" si="16"/>
        <v/>
      </c>
      <c r="AM29" s="21" t="str">
        <f>IF($C29="","",SQRT(Z29/'Assumptions &amp; Ref'!$C$9))</f>
        <v/>
      </c>
      <c r="AN29" s="21" t="str">
        <f>IF($C29="","",SQRT(Z29*'Assumptions &amp; Ref'!$C$9))</f>
        <v/>
      </c>
      <c r="AO29" s="24" t="str">
        <f>IF($C29="","",AM29*1000/'Assumptions &amp; Ref'!$D$27)</f>
        <v/>
      </c>
      <c r="AP29" s="24" t="str">
        <f t="shared" si="17"/>
        <v/>
      </c>
      <c r="AQ29" s="24" t="str">
        <f>IF($C29="","",AP29*AN29*(1+'Assumptions &amp; Ref'!$D$29))</f>
        <v/>
      </c>
      <c r="AR29" s="25" t="str">
        <f>IF($C29="","",PI()*('Assumptions &amp; Ref'!$D$25-'Assumptions &amp; Ref'!$D$26)/1000*'Assumptions &amp; Ref'!$D$26/1000*$C$5)</f>
        <v/>
      </c>
      <c r="AS29" s="23" t="str">
        <f t="shared" si="18"/>
        <v/>
      </c>
      <c r="AT29" s="24" t="str">
        <f t="shared" si="19"/>
        <v/>
      </c>
      <c r="AU29" s="21" t="str">
        <f>IF($C29="","",F29*'Assumptions &amp; Ref'!$D$28/1000)</f>
        <v/>
      </c>
      <c r="AV29" s="21" t="str">
        <f>IF($C29="","",AM29*AU29*(1-'Assumptions &amp; Ref'!$D$31))</f>
        <v/>
      </c>
      <c r="AW29" s="23" t="str">
        <f>IF($C29="","",AT29*AV29*'Assumptions &amp; Ref'!$D$30/1000*INDEX($C$5:$I$5,MATCH(M29,$C$4:$I$4,0)))</f>
        <v/>
      </c>
      <c r="AX29" s="20" t="str">
        <f>IF($C29="","",'Assumptions &amp; Ref'!$C$95+F29*'Assumptions &amp; Ref'!$C$96+'Assumptions &amp; Ref'!$C$97)</f>
        <v/>
      </c>
      <c r="AY29" s="20" t="str">
        <f t="shared" si="20"/>
        <v/>
      </c>
      <c r="AZ29" s="20" t="str">
        <f>IF($C29="","",Y29*AY29/'Assumptions &amp; Ref'!$C$98)</f>
        <v/>
      </c>
      <c r="BA29" s="20" t="str">
        <f>IF($C29="","",'Assumptions &amp; Ref'!$C$71+AZ29*'Assumptions &amp; Ref'!$C$72)</f>
        <v/>
      </c>
      <c r="BB29" s="23" t="str">
        <f>IF($C29="","",AB29*(AD29*0.6)*'Assumptions &amp; Ref'!$C$81/1000*$G$5)</f>
        <v/>
      </c>
      <c r="BC29" s="20" t="str">
        <f t="shared" si="21"/>
        <v/>
      </c>
      <c r="BD29" s="20" t="str">
        <f t="shared" si="22"/>
        <v/>
      </c>
      <c r="BE29" s="20" t="str">
        <f t="shared" si="23"/>
        <v/>
      </c>
      <c r="BF29" s="20" t="str">
        <f>IF($C29="","",AH29*'Assumptions &amp; Ref'!$C$79+(AS29+AW29)*'Assumptions &amp; Ref'!$C$80)</f>
        <v/>
      </c>
      <c r="BG29" s="20" t="str">
        <f>IF($C29="","",'Assumptions &amp; Ref'!$C$84*(BD29+BE29+BF29))</f>
        <v/>
      </c>
      <c r="BH29" s="20" t="str">
        <f>IF($C29="","",'Assumptions &amp; Ref'!$C$85*(BD29+BE29+BF29+BG29))</f>
        <v/>
      </c>
      <c r="BI29" s="20" t="str">
        <f t="shared" si="24"/>
        <v/>
      </c>
    </row>
    <row r="30" spans="2:65" ht="15" customHeight="1" x14ac:dyDescent="0.25">
      <c r="B30" s="12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5" t="str">
        <f t="shared" si="0"/>
        <v/>
      </c>
      <c r="O30" s="16" t="str">
        <f t="shared" si="1"/>
        <v/>
      </c>
      <c r="P30" s="17" t="str">
        <f t="shared" si="2"/>
        <v/>
      </c>
      <c r="Q30" s="16" t="str">
        <f t="shared" si="3"/>
        <v/>
      </c>
      <c r="R30" s="16" t="str">
        <f t="shared" si="4"/>
        <v/>
      </c>
      <c r="S30" s="16" t="str">
        <f t="shared" si="5"/>
        <v/>
      </c>
      <c r="T30" s="16" t="str">
        <f t="shared" si="6"/>
        <v/>
      </c>
      <c r="U30" s="16" t="str">
        <f t="shared" si="7"/>
        <v/>
      </c>
      <c r="V30" s="17" t="str">
        <f t="shared" si="8"/>
        <v/>
      </c>
      <c r="X30" s="20" t="str">
        <f>IF($C30="","",C30*'Assumptions &amp; Ref'!$C$10)</f>
        <v/>
      </c>
      <c r="Y30" s="21" t="str">
        <f t="shared" si="9"/>
        <v/>
      </c>
      <c r="Z30" s="21" t="str">
        <f>IF($C30="","",Y30/'Assumptions &amp; Ref'!$C$7)</f>
        <v/>
      </c>
      <c r="AA30" s="21" t="str">
        <f>IF($C30="","",Z30/'Assumptions &amp; Ref'!$C$8)</f>
        <v/>
      </c>
      <c r="AB30" s="21" t="str">
        <f>IF($C30="","",SQRT(AA30*'Assumptions &amp; Ref'!$C$9))</f>
        <v/>
      </c>
      <c r="AC30" s="21" t="str">
        <f>IF($C30="","",SQRT(AA30/'Assumptions &amp; Ref'!$C$9))</f>
        <v/>
      </c>
      <c r="AD30" s="21" t="str">
        <f>IF($C30="","",IFERROR(INDEX('Assumptions &amp; Ref'!$C$89:$C$92,MATCH(E30,'Assumptions &amp; Ref'!$B$89:$B$92,0)),0.6))</f>
        <v/>
      </c>
      <c r="AE30" s="21" t="str">
        <f t="shared" si="10"/>
        <v/>
      </c>
      <c r="AF30" s="20" t="str">
        <f t="shared" si="11"/>
        <v/>
      </c>
      <c r="AG30" s="23" t="str">
        <f t="shared" si="12"/>
        <v/>
      </c>
      <c r="AH30" s="23" t="str">
        <f>IF($C30="","",AE30*I30/1000*AF30*(1+'Assumptions &amp; Ref'!$C$75))</f>
        <v/>
      </c>
      <c r="AI30" s="20" t="str">
        <f t="shared" si="13"/>
        <v/>
      </c>
      <c r="AJ30" s="23" t="str">
        <f t="shared" si="14"/>
        <v/>
      </c>
      <c r="AK30" s="21" t="str">
        <f t="shared" si="15"/>
        <v/>
      </c>
      <c r="AL30" s="23" t="str">
        <f t="shared" si="16"/>
        <v/>
      </c>
      <c r="AM30" s="21" t="str">
        <f>IF($C30="","",SQRT(Z30/'Assumptions &amp; Ref'!$C$9))</f>
        <v/>
      </c>
      <c r="AN30" s="21" t="str">
        <f>IF($C30="","",SQRT(Z30*'Assumptions &amp; Ref'!$C$9))</f>
        <v/>
      </c>
      <c r="AO30" s="24" t="str">
        <f>IF($C30="","",AM30*1000/'Assumptions &amp; Ref'!$D$27)</f>
        <v/>
      </c>
      <c r="AP30" s="24" t="str">
        <f t="shared" si="17"/>
        <v/>
      </c>
      <c r="AQ30" s="24" t="str">
        <f>IF($C30="","",AP30*AN30*(1+'Assumptions &amp; Ref'!$D$29))</f>
        <v/>
      </c>
      <c r="AR30" s="25" t="str">
        <f>IF($C30="","",PI()*('Assumptions &amp; Ref'!$D$25-'Assumptions &amp; Ref'!$D$26)/1000*'Assumptions &amp; Ref'!$D$26/1000*$C$5)</f>
        <v/>
      </c>
      <c r="AS30" s="23" t="str">
        <f t="shared" si="18"/>
        <v/>
      </c>
      <c r="AT30" s="24" t="str">
        <f t="shared" si="19"/>
        <v/>
      </c>
      <c r="AU30" s="21" t="str">
        <f>IF($C30="","",F30*'Assumptions &amp; Ref'!$D$28/1000)</f>
        <v/>
      </c>
      <c r="AV30" s="21" t="str">
        <f>IF($C30="","",AM30*AU30*(1-'Assumptions &amp; Ref'!$D$31))</f>
        <v/>
      </c>
      <c r="AW30" s="23" t="str">
        <f>IF($C30="","",AT30*AV30*'Assumptions &amp; Ref'!$D$30/1000*INDEX($C$5:$I$5,MATCH(M30,$C$4:$I$4,0)))</f>
        <v/>
      </c>
      <c r="AX30" s="20" t="str">
        <f>IF($C30="","",'Assumptions &amp; Ref'!$C$95+F30*'Assumptions &amp; Ref'!$C$96+'Assumptions &amp; Ref'!$C$97)</f>
        <v/>
      </c>
      <c r="AY30" s="20" t="str">
        <f t="shared" si="20"/>
        <v/>
      </c>
      <c r="AZ30" s="20" t="str">
        <f>IF($C30="","",Y30*AY30/'Assumptions &amp; Ref'!$C$98)</f>
        <v/>
      </c>
      <c r="BA30" s="20" t="str">
        <f>IF($C30="","",'Assumptions &amp; Ref'!$C$71+AZ30*'Assumptions &amp; Ref'!$C$72)</f>
        <v/>
      </c>
      <c r="BB30" s="23" t="str">
        <f>IF($C30="","",AB30*(AD30*0.6)*'Assumptions &amp; Ref'!$C$81/1000*$G$5)</f>
        <v/>
      </c>
      <c r="BC30" s="20" t="str">
        <f t="shared" si="21"/>
        <v/>
      </c>
      <c r="BD30" s="20" t="str">
        <f t="shared" si="22"/>
        <v/>
      </c>
      <c r="BE30" s="20" t="str">
        <f t="shared" si="23"/>
        <v/>
      </c>
      <c r="BF30" s="20" t="str">
        <f>IF($C30="","",AH30*'Assumptions &amp; Ref'!$C$79+(AS30+AW30)*'Assumptions &amp; Ref'!$C$80)</f>
        <v/>
      </c>
      <c r="BG30" s="20" t="str">
        <f>IF($C30="","",'Assumptions &amp; Ref'!$C$84*(BD30+BE30+BF30))</f>
        <v/>
      </c>
      <c r="BH30" s="20" t="str">
        <f>IF($C30="","",'Assumptions &amp; Ref'!$C$85*(BD30+BE30+BF30+BG30))</f>
        <v/>
      </c>
      <c r="BI30" s="20" t="str">
        <f t="shared" si="24"/>
        <v/>
      </c>
    </row>
    <row r="31" spans="2:65" ht="15" customHeight="1" x14ac:dyDescent="0.25">
      <c r="B31" s="12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5" t="str">
        <f t="shared" si="0"/>
        <v/>
      </c>
      <c r="O31" s="16" t="str">
        <f t="shared" si="1"/>
        <v/>
      </c>
      <c r="P31" s="17" t="str">
        <f t="shared" si="2"/>
        <v/>
      </c>
      <c r="Q31" s="16" t="str">
        <f t="shared" si="3"/>
        <v/>
      </c>
      <c r="R31" s="16" t="str">
        <f t="shared" si="4"/>
        <v/>
      </c>
      <c r="S31" s="16" t="str">
        <f t="shared" si="5"/>
        <v/>
      </c>
      <c r="T31" s="16" t="str">
        <f t="shared" si="6"/>
        <v/>
      </c>
      <c r="U31" s="16" t="str">
        <f t="shared" si="7"/>
        <v/>
      </c>
      <c r="V31" s="17" t="str">
        <f t="shared" si="8"/>
        <v/>
      </c>
      <c r="X31" s="20" t="str">
        <f>IF($C31="","",C31*'Assumptions &amp; Ref'!$C$10)</f>
        <v/>
      </c>
      <c r="Y31" s="21" t="str">
        <f t="shared" si="9"/>
        <v/>
      </c>
      <c r="Z31" s="21" t="str">
        <f>IF($C31="","",Y31/'Assumptions &amp; Ref'!$C$7)</f>
        <v/>
      </c>
      <c r="AA31" s="21" t="str">
        <f>IF($C31="","",Z31/'Assumptions &amp; Ref'!$C$8)</f>
        <v/>
      </c>
      <c r="AB31" s="21" t="str">
        <f>IF($C31="","",SQRT(AA31*'Assumptions &amp; Ref'!$C$9))</f>
        <v/>
      </c>
      <c r="AC31" s="21" t="str">
        <f>IF($C31="","",SQRT(AA31/'Assumptions &amp; Ref'!$C$9))</f>
        <v/>
      </c>
      <c r="AD31" s="21" t="str">
        <f>IF($C31="","",IFERROR(INDEX('Assumptions &amp; Ref'!$C$89:$C$92,MATCH(E31,'Assumptions &amp; Ref'!$B$89:$B$92,0)),0.6))</f>
        <v/>
      </c>
      <c r="AE31" s="21" t="str">
        <f t="shared" si="10"/>
        <v/>
      </c>
      <c r="AF31" s="20" t="str">
        <f t="shared" si="11"/>
        <v/>
      </c>
      <c r="AG31" s="23" t="str">
        <f t="shared" si="12"/>
        <v/>
      </c>
      <c r="AH31" s="23" t="str">
        <f>IF($C31="","",AE31*I31/1000*AF31*(1+'Assumptions &amp; Ref'!$C$75))</f>
        <v/>
      </c>
      <c r="AI31" s="20" t="str">
        <f t="shared" si="13"/>
        <v/>
      </c>
      <c r="AJ31" s="23" t="str">
        <f t="shared" si="14"/>
        <v/>
      </c>
      <c r="AK31" s="21" t="str">
        <f t="shared" si="15"/>
        <v/>
      </c>
      <c r="AL31" s="23" t="str">
        <f t="shared" si="16"/>
        <v/>
      </c>
      <c r="AM31" s="21" t="str">
        <f>IF($C31="","",SQRT(Z31/'Assumptions &amp; Ref'!$C$9))</f>
        <v/>
      </c>
      <c r="AN31" s="21" t="str">
        <f>IF($C31="","",SQRT(Z31*'Assumptions &amp; Ref'!$C$9))</f>
        <v/>
      </c>
      <c r="AO31" s="24" t="str">
        <f>IF($C31="","",AM31*1000/'Assumptions &amp; Ref'!$D$27)</f>
        <v/>
      </c>
      <c r="AP31" s="24" t="str">
        <f t="shared" si="17"/>
        <v/>
      </c>
      <c r="AQ31" s="24" t="str">
        <f>IF($C31="","",AP31*AN31*(1+'Assumptions &amp; Ref'!$D$29))</f>
        <v/>
      </c>
      <c r="AR31" s="25" t="str">
        <f>IF($C31="","",PI()*('Assumptions &amp; Ref'!$D$25-'Assumptions &amp; Ref'!$D$26)/1000*'Assumptions &amp; Ref'!$D$26/1000*$C$5)</f>
        <v/>
      </c>
      <c r="AS31" s="23" t="str">
        <f t="shared" si="18"/>
        <v/>
      </c>
      <c r="AT31" s="24" t="str">
        <f t="shared" si="19"/>
        <v/>
      </c>
      <c r="AU31" s="21" t="str">
        <f>IF($C31="","",F31*'Assumptions &amp; Ref'!$D$28/1000)</f>
        <v/>
      </c>
      <c r="AV31" s="21" t="str">
        <f>IF($C31="","",AM31*AU31*(1-'Assumptions &amp; Ref'!$D$31))</f>
        <v/>
      </c>
      <c r="AW31" s="23" t="str">
        <f>IF($C31="","",AT31*AV31*'Assumptions &amp; Ref'!$D$30/1000*INDEX($C$5:$I$5,MATCH(M31,$C$4:$I$4,0)))</f>
        <v/>
      </c>
      <c r="AX31" s="20" t="str">
        <f>IF($C31="","",'Assumptions &amp; Ref'!$C$95+F31*'Assumptions &amp; Ref'!$C$96+'Assumptions &amp; Ref'!$C$97)</f>
        <v/>
      </c>
      <c r="AY31" s="20" t="str">
        <f t="shared" si="20"/>
        <v/>
      </c>
      <c r="AZ31" s="20" t="str">
        <f>IF($C31="","",Y31*AY31/'Assumptions &amp; Ref'!$C$98)</f>
        <v/>
      </c>
      <c r="BA31" s="20" t="str">
        <f>IF($C31="","",'Assumptions &amp; Ref'!$C$71+AZ31*'Assumptions &amp; Ref'!$C$72)</f>
        <v/>
      </c>
      <c r="BB31" s="23" t="str">
        <f>IF($C31="","",AB31*(AD31*0.6)*'Assumptions &amp; Ref'!$C$81/1000*$G$5)</f>
        <v/>
      </c>
      <c r="BC31" s="20" t="str">
        <f t="shared" si="21"/>
        <v/>
      </c>
      <c r="BD31" s="20" t="str">
        <f t="shared" si="22"/>
        <v/>
      </c>
      <c r="BE31" s="20" t="str">
        <f t="shared" si="23"/>
        <v/>
      </c>
      <c r="BF31" s="20" t="str">
        <f>IF($C31="","",AH31*'Assumptions &amp; Ref'!$C$79+(AS31+AW31)*'Assumptions &amp; Ref'!$C$80)</f>
        <v/>
      </c>
      <c r="BG31" s="20" t="str">
        <f>IF($C31="","",'Assumptions &amp; Ref'!$C$84*(BD31+BE31+BF31))</f>
        <v/>
      </c>
      <c r="BH31" s="20" t="str">
        <f>IF($C31="","",'Assumptions &amp; Ref'!$C$85*(BD31+BE31+BF31+BG31))</f>
        <v/>
      </c>
      <c r="BI31" s="20" t="str">
        <f t="shared" si="24"/>
        <v/>
      </c>
    </row>
    <row r="32" spans="2:65" ht="15" customHeight="1" x14ac:dyDescent="0.25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5" t="str">
        <f t="shared" si="0"/>
        <v/>
      </c>
      <c r="O32" s="16" t="str">
        <f t="shared" si="1"/>
        <v/>
      </c>
      <c r="P32" s="17" t="str">
        <f t="shared" si="2"/>
        <v/>
      </c>
      <c r="Q32" s="16" t="str">
        <f t="shared" si="3"/>
        <v/>
      </c>
      <c r="R32" s="16" t="str">
        <f t="shared" si="4"/>
        <v/>
      </c>
      <c r="S32" s="16" t="str">
        <f t="shared" si="5"/>
        <v/>
      </c>
      <c r="T32" s="16" t="str">
        <f t="shared" si="6"/>
        <v/>
      </c>
      <c r="U32" s="16" t="str">
        <f t="shared" si="7"/>
        <v/>
      </c>
      <c r="V32" s="17" t="str">
        <f t="shared" si="8"/>
        <v/>
      </c>
      <c r="X32" s="20" t="str">
        <f>IF($C32="","",C32*'Assumptions &amp; Ref'!$C$10)</f>
        <v/>
      </c>
      <c r="Y32" s="21" t="str">
        <f t="shared" si="9"/>
        <v/>
      </c>
      <c r="Z32" s="21" t="str">
        <f>IF($C32="","",Y32/'Assumptions &amp; Ref'!$C$7)</f>
        <v/>
      </c>
      <c r="AA32" s="21" t="str">
        <f>IF($C32="","",Z32/'Assumptions &amp; Ref'!$C$8)</f>
        <v/>
      </c>
      <c r="AB32" s="21" t="str">
        <f>IF($C32="","",SQRT(AA32*'Assumptions &amp; Ref'!$C$9))</f>
        <v/>
      </c>
      <c r="AC32" s="21" t="str">
        <f>IF($C32="","",SQRT(AA32/'Assumptions &amp; Ref'!$C$9))</f>
        <v/>
      </c>
      <c r="AD32" s="21" t="str">
        <f>IF($C32="","",IFERROR(INDEX('Assumptions &amp; Ref'!$C$89:$C$92,MATCH(E32,'Assumptions &amp; Ref'!$B$89:$B$92,0)),0.6))</f>
        <v/>
      </c>
      <c r="AE32" s="21" t="str">
        <f t="shared" si="10"/>
        <v/>
      </c>
      <c r="AF32" s="20" t="str">
        <f t="shared" si="11"/>
        <v/>
      </c>
      <c r="AG32" s="23" t="str">
        <f t="shared" si="12"/>
        <v/>
      </c>
      <c r="AH32" s="23" t="str">
        <f>IF($C32="","",AE32*I32/1000*AF32*(1+'Assumptions &amp; Ref'!$C$75))</f>
        <v/>
      </c>
      <c r="AI32" s="20" t="str">
        <f t="shared" si="13"/>
        <v/>
      </c>
      <c r="AJ32" s="23" t="str">
        <f t="shared" si="14"/>
        <v/>
      </c>
      <c r="AK32" s="21" t="str">
        <f t="shared" si="15"/>
        <v/>
      </c>
      <c r="AL32" s="23" t="str">
        <f t="shared" si="16"/>
        <v/>
      </c>
      <c r="AM32" s="21" t="str">
        <f>IF($C32="","",SQRT(Z32/'Assumptions &amp; Ref'!$C$9))</f>
        <v/>
      </c>
      <c r="AN32" s="21" t="str">
        <f>IF($C32="","",SQRT(Z32*'Assumptions &amp; Ref'!$C$9))</f>
        <v/>
      </c>
      <c r="AO32" s="24" t="str">
        <f>IF($C32="","",AM32*1000/'Assumptions &amp; Ref'!$D$27)</f>
        <v/>
      </c>
      <c r="AP32" s="24" t="str">
        <f t="shared" si="17"/>
        <v/>
      </c>
      <c r="AQ32" s="24" t="str">
        <f>IF($C32="","",AP32*AN32*(1+'Assumptions &amp; Ref'!$D$29))</f>
        <v/>
      </c>
      <c r="AR32" s="25" t="str">
        <f>IF($C32="","",PI()*('Assumptions &amp; Ref'!$D$25-'Assumptions &amp; Ref'!$D$26)/1000*'Assumptions &amp; Ref'!$D$26/1000*$C$5)</f>
        <v/>
      </c>
      <c r="AS32" s="23" t="str">
        <f t="shared" si="18"/>
        <v/>
      </c>
      <c r="AT32" s="24" t="str">
        <f t="shared" si="19"/>
        <v/>
      </c>
      <c r="AU32" s="21" t="str">
        <f>IF($C32="","",F32*'Assumptions &amp; Ref'!$D$28/1000)</f>
        <v/>
      </c>
      <c r="AV32" s="21" t="str">
        <f>IF($C32="","",AM32*AU32*(1-'Assumptions &amp; Ref'!$D$31))</f>
        <v/>
      </c>
      <c r="AW32" s="23" t="str">
        <f>IF($C32="","",AT32*AV32*'Assumptions &amp; Ref'!$D$30/1000*INDEX($C$5:$I$5,MATCH(M32,$C$4:$I$4,0)))</f>
        <v/>
      </c>
      <c r="AX32" s="20" t="str">
        <f>IF($C32="","",'Assumptions &amp; Ref'!$C$95+F32*'Assumptions &amp; Ref'!$C$96+'Assumptions &amp; Ref'!$C$97)</f>
        <v/>
      </c>
      <c r="AY32" s="20" t="str">
        <f t="shared" si="20"/>
        <v/>
      </c>
      <c r="AZ32" s="20" t="str">
        <f>IF($C32="","",Y32*AY32/'Assumptions &amp; Ref'!$C$98)</f>
        <v/>
      </c>
      <c r="BA32" s="20" t="str">
        <f>IF($C32="","",'Assumptions &amp; Ref'!$C$71+AZ32*'Assumptions &amp; Ref'!$C$72)</f>
        <v/>
      </c>
      <c r="BB32" s="23" t="str">
        <f>IF($C32="","",AB32*(AD32*0.6)*'Assumptions &amp; Ref'!$C$81/1000*$G$5)</f>
        <v/>
      </c>
      <c r="BC32" s="20" t="str">
        <f t="shared" si="21"/>
        <v/>
      </c>
      <c r="BD32" s="20" t="str">
        <f t="shared" si="22"/>
        <v/>
      </c>
      <c r="BE32" s="20" t="str">
        <f t="shared" si="23"/>
        <v/>
      </c>
      <c r="BF32" s="20" t="str">
        <f>IF($C32="","",AH32*'Assumptions &amp; Ref'!$C$79+(AS32+AW32)*'Assumptions &amp; Ref'!$C$80)</f>
        <v/>
      </c>
      <c r="BG32" s="20" t="str">
        <f>IF($C32="","",'Assumptions &amp; Ref'!$C$84*(BD32+BE32+BF32))</f>
        <v/>
      </c>
      <c r="BH32" s="20" t="str">
        <f>IF($C32="","",'Assumptions &amp; Ref'!$C$85*(BD32+BE32+BF32+BG32))</f>
        <v/>
      </c>
      <c r="BI32" s="20" t="str">
        <f t="shared" si="24"/>
        <v/>
      </c>
    </row>
    <row r="33" spans="2:61" ht="15" customHeight="1" x14ac:dyDescent="0.25">
      <c r="B33" s="12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5" t="str">
        <f t="shared" si="0"/>
        <v/>
      </c>
      <c r="O33" s="16" t="str">
        <f t="shared" si="1"/>
        <v/>
      </c>
      <c r="P33" s="17" t="str">
        <f t="shared" si="2"/>
        <v/>
      </c>
      <c r="Q33" s="16" t="str">
        <f t="shared" si="3"/>
        <v/>
      </c>
      <c r="R33" s="16" t="str">
        <f t="shared" si="4"/>
        <v/>
      </c>
      <c r="S33" s="16" t="str">
        <f t="shared" si="5"/>
        <v/>
      </c>
      <c r="T33" s="16" t="str">
        <f t="shared" si="6"/>
        <v/>
      </c>
      <c r="U33" s="16" t="str">
        <f t="shared" si="7"/>
        <v/>
      </c>
      <c r="V33" s="17" t="str">
        <f t="shared" si="8"/>
        <v/>
      </c>
      <c r="X33" s="20" t="str">
        <f>IF($C33="","",C33*'Assumptions &amp; Ref'!$C$10)</f>
        <v/>
      </c>
      <c r="Y33" s="21" t="str">
        <f t="shared" si="9"/>
        <v/>
      </c>
      <c r="Z33" s="21" t="str">
        <f>IF($C33="","",Y33/'Assumptions &amp; Ref'!$C$7)</f>
        <v/>
      </c>
      <c r="AA33" s="21" t="str">
        <f>IF($C33="","",Z33/'Assumptions &amp; Ref'!$C$8)</f>
        <v/>
      </c>
      <c r="AB33" s="21" t="str">
        <f>IF($C33="","",SQRT(AA33*'Assumptions &amp; Ref'!$C$9))</f>
        <v/>
      </c>
      <c r="AC33" s="21" t="str">
        <f>IF($C33="","",SQRT(AA33/'Assumptions &amp; Ref'!$C$9))</f>
        <v/>
      </c>
      <c r="AD33" s="21" t="str">
        <f>IF($C33="","",IFERROR(INDEX('Assumptions &amp; Ref'!$C$89:$C$92,MATCH(E33,'Assumptions &amp; Ref'!$B$89:$B$92,0)),0.6))</f>
        <v/>
      </c>
      <c r="AE33" s="21" t="str">
        <f t="shared" si="10"/>
        <v/>
      </c>
      <c r="AF33" s="20" t="str">
        <f t="shared" si="11"/>
        <v/>
      </c>
      <c r="AG33" s="23" t="str">
        <f t="shared" si="12"/>
        <v/>
      </c>
      <c r="AH33" s="23" t="str">
        <f>IF($C33="","",AE33*I33/1000*AF33*(1+'Assumptions &amp; Ref'!$C$75))</f>
        <v/>
      </c>
      <c r="AI33" s="20" t="str">
        <f t="shared" si="13"/>
        <v/>
      </c>
      <c r="AJ33" s="23" t="str">
        <f t="shared" si="14"/>
        <v/>
      </c>
      <c r="AK33" s="21" t="str">
        <f t="shared" si="15"/>
        <v/>
      </c>
      <c r="AL33" s="23" t="str">
        <f t="shared" si="16"/>
        <v/>
      </c>
      <c r="AM33" s="21" t="str">
        <f>IF($C33="","",SQRT(Z33/'Assumptions &amp; Ref'!$C$9))</f>
        <v/>
      </c>
      <c r="AN33" s="21" t="str">
        <f>IF($C33="","",SQRT(Z33*'Assumptions &amp; Ref'!$C$9))</f>
        <v/>
      </c>
      <c r="AO33" s="24" t="str">
        <f>IF($C33="","",AM33*1000/'Assumptions &amp; Ref'!$D$27)</f>
        <v/>
      </c>
      <c r="AP33" s="24" t="str">
        <f t="shared" si="17"/>
        <v/>
      </c>
      <c r="AQ33" s="24" t="str">
        <f>IF($C33="","",AP33*AN33*(1+'Assumptions &amp; Ref'!$D$29))</f>
        <v/>
      </c>
      <c r="AR33" s="25" t="str">
        <f>IF($C33="","",PI()*('Assumptions &amp; Ref'!$D$25-'Assumptions &amp; Ref'!$D$26)/1000*'Assumptions &amp; Ref'!$D$26/1000*$C$5)</f>
        <v/>
      </c>
      <c r="AS33" s="23" t="str">
        <f t="shared" si="18"/>
        <v/>
      </c>
      <c r="AT33" s="24" t="str">
        <f t="shared" si="19"/>
        <v/>
      </c>
      <c r="AU33" s="21" t="str">
        <f>IF($C33="","",F33*'Assumptions &amp; Ref'!$D$28/1000)</f>
        <v/>
      </c>
      <c r="AV33" s="21" t="str">
        <f>IF($C33="","",AM33*AU33*(1-'Assumptions &amp; Ref'!$D$31))</f>
        <v/>
      </c>
      <c r="AW33" s="23" t="str">
        <f>IF($C33="","",AT33*AV33*'Assumptions &amp; Ref'!$D$30/1000*INDEX($C$5:$I$5,MATCH(M33,$C$4:$I$4,0)))</f>
        <v/>
      </c>
      <c r="AX33" s="20" t="str">
        <f>IF($C33="","",'Assumptions &amp; Ref'!$C$95+F33*'Assumptions &amp; Ref'!$C$96+'Assumptions &amp; Ref'!$C$97)</f>
        <v/>
      </c>
      <c r="AY33" s="20" t="str">
        <f t="shared" si="20"/>
        <v/>
      </c>
      <c r="AZ33" s="20" t="str">
        <f>IF($C33="","",Y33*AY33/'Assumptions &amp; Ref'!$C$98)</f>
        <v/>
      </c>
      <c r="BA33" s="20" t="str">
        <f>IF($C33="","",'Assumptions &amp; Ref'!$C$71+AZ33*'Assumptions &amp; Ref'!$C$72)</f>
        <v/>
      </c>
      <c r="BB33" s="23" t="str">
        <f>IF($C33="","",AB33*(AD33*0.6)*'Assumptions &amp; Ref'!$C$81/1000*$G$5)</f>
        <v/>
      </c>
      <c r="BC33" s="20" t="str">
        <f t="shared" si="21"/>
        <v/>
      </c>
      <c r="BD33" s="20" t="str">
        <f t="shared" si="22"/>
        <v/>
      </c>
      <c r="BE33" s="20" t="str">
        <f t="shared" si="23"/>
        <v/>
      </c>
      <c r="BF33" s="20" t="str">
        <f>IF($C33="","",AH33*'Assumptions &amp; Ref'!$C$79+(AS33+AW33)*'Assumptions &amp; Ref'!$C$80)</f>
        <v/>
      </c>
      <c r="BG33" s="20" t="str">
        <f>IF($C33="","",'Assumptions &amp; Ref'!$C$84*(BD33+BE33+BF33))</f>
        <v/>
      </c>
      <c r="BH33" s="20" t="str">
        <f>IF($C33="","",'Assumptions &amp; Ref'!$C$85*(BD33+BE33+BF33+BG33))</f>
        <v/>
      </c>
      <c r="BI33" s="20" t="str">
        <f t="shared" si="24"/>
        <v/>
      </c>
    </row>
  </sheetData>
  <dataValidations count="4">
    <dataValidation type="list" allowBlank="1" sqref="E9:E33" xr:uid="{00000000-0002-0000-0100-000000000000}">
      <formula1>"Ceiling concealed,Cassette,Ducted,Floor standing"</formula1>
      <formula2>0</formula2>
    </dataValidation>
    <dataValidation type="list" allowBlank="1" sqref="H9:H33" xr:uid="{00000000-0002-0000-0100-000001000000}">
      <formula1>"GI sheet,Pre-coated GI,SS 304"</formula1>
      <formula2>0</formula2>
    </dataValidation>
    <dataValidation type="list" allowBlank="1" sqref="J9:J33" xr:uid="{00000000-0002-0000-0100-000002000000}">
      <formula1>"PUF,Rockwool"</formula1>
      <formula2>0</formula2>
    </dataValidation>
    <dataValidation type="list" allowBlank="1" sqref="M9:M33" xr:uid="{00000000-0002-0000-0100-000003000000}">
      <formula1>"Aluminium fin,Copper tube"</formula1>
      <formula2>0</formula2>
    </dataValidation>
  </dataValidations>
  <hyperlinks>
    <hyperlink ref="C3" r:id="rId1" xr:uid="{00000000-0004-0000-0100-000000000000}"/>
    <hyperlink ref="F3" r:id="rId2" xr:uid="{00000000-0004-0000-0100-000001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98"/>
  <sheetViews>
    <sheetView showGridLines="0" topLeftCell="A52" zoomScaleNormal="100" workbookViewId="0">
      <selection activeCell="I67" sqref="I67"/>
    </sheetView>
  </sheetViews>
  <sheetFormatPr defaultColWidth="8.7109375" defaultRowHeight="15" x14ac:dyDescent="0.25"/>
  <cols>
    <col min="1" max="1" width="2" customWidth="1"/>
    <col min="2" max="2" width="46" customWidth="1"/>
    <col min="3" max="3" width="12" customWidth="1"/>
    <col min="4" max="4" width="13" customWidth="1"/>
    <col min="5" max="6" width="12" customWidth="1"/>
    <col min="7" max="7" width="2" customWidth="1"/>
    <col min="8" max="8" width="54" customWidth="1"/>
    <col min="9" max="9" width="16" bestFit="1" customWidth="1"/>
  </cols>
  <sheetData>
    <row r="1" spans="2:8" ht="15.75" customHeight="1" x14ac:dyDescent="0.25">
      <c r="B1" s="1" t="s">
        <v>142</v>
      </c>
    </row>
    <row r="2" spans="2:8" ht="15" customHeight="1" x14ac:dyDescent="0.25">
      <c r="B2" s="2" t="s">
        <v>143</v>
      </c>
    </row>
    <row r="4" spans="2:8" ht="15" customHeight="1" x14ac:dyDescent="0.25">
      <c r="B4" s="26" t="s">
        <v>144</v>
      </c>
      <c r="C4" s="27"/>
      <c r="D4" s="27"/>
      <c r="E4" s="27"/>
      <c r="F4" s="27"/>
      <c r="H4" s="27"/>
    </row>
    <row r="5" spans="2:8" ht="15" customHeight="1" x14ac:dyDescent="0.25">
      <c r="B5" s="28" t="s">
        <v>145</v>
      </c>
      <c r="C5" s="29" t="s">
        <v>146</v>
      </c>
      <c r="D5" s="29" t="s">
        <v>147</v>
      </c>
      <c r="H5" s="28" t="s">
        <v>148</v>
      </c>
    </row>
    <row r="6" spans="2:8" ht="15" customHeight="1" x14ac:dyDescent="0.25">
      <c r="B6" s="30" t="s">
        <v>149</v>
      </c>
      <c r="C6" s="31">
        <v>2.5</v>
      </c>
      <c r="D6" s="32" t="s">
        <v>150</v>
      </c>
      <c r="H6" s="33" t="s">
        <v>151</v>
      </c>
    </row>
    <row r="7" spans="2:8" ht="15" customHeight="1" x14ac:dyDescent="0.25">
      <c r="B7" s="30" t="s">
        <v>152</v>
      </c>
      <c r="C7" s="31">
        <v>2</v>
      </c>
      <c r="D7" s="32" t="s">
        <v>150</v>
      </c>
      <c r="H7" s="33"/>
    </row>
    <row r="8" spans="2:8" ht="15" customHeight="1" x14ac:dyDescent="0.25">
      <c r="B8" s="30" t="s">
        <v>153</v>
      </c>
      <c r="C8" s="31">
        <v>0.85</v>
      </c>
      <c r="D8" s="32" t="s">
        <v>154</v>
      </c>
      <c r="H8" s="33" t="s">
        <v>155</v>
      </c>
    </row>
    <row r="9" spans="2:8" ht="15" customHeight="1" x14ac:dyDescent="0.25">
      <c r="B9" s="30" t="s">
        <v>156</v>
      </c>
      <c r="C9" s="31">
        <v>1.3</v>
      </c>
      <c r="D9" s="32" t="s">
        <v>154</v>
      </c>
      <c r="H9" s="33" t="s">
        <v>157</v>
      </c>
    </row>
    <row r="10" spans="2:8" ht="15" customHeight="1" x14ac:dyDescent="0.25">
      <c r="B10" s="30" t="s">
        <v>158</v>
      </c>
      <c r="C10" s="31">
        <v>1.6990000000000001</v>
      </c>
      <c r="D10" s="32" t="s">
        <v>154</v>
      </c>
      <c r="H10" s="33" t="s">
        <v>159</v>
      </c>
    </row>
    <row r="12" spans="2:8" ht="15" customHeight="1" x14ac:dyDescent="0.25">
      <c r="B12" s="26" t="s">
        <v>160</v>
      </c>
      <c r="C12" s="27"/>
      <c r="D12" s="27"/>
      <c r="E12" s="27"/>
      <c r="F12" s="27"/>
      <c r="H12" s="27"/>
    </row>
    <row r="13" spans="2:8" ht="15" customHeight="1" x14ac:dyDescent="0.25">
      <c r="B13" s="30" t="s">
        <v>161</v>
      </c>
      <c r="C13" s="31">
        <v>0.6</v>
      </c>
      <c r="D13" s="32" t="s">
        <v>162</v>
      </c>
      <c r="H13" s="33"/>
    </row>
    <row r="14" spans="2:8" ht="15" customHeight="1" x14ac:dyDescent="0.25">
      <c r="B14" s="30" t="s">
        <v>163</v>
      </c>
      <c r="C14" s="31">
        <v>0.3</v>
      </c>
      <c r="D14" s="32" t="s">
        <v>162</v>
      </c>
      <c r="H14" s="33"/>
    </row>
    <row r="15" spans="2:8" ht="15" customHeight="1" x14ac:dyDescent="0.25">
      <c r="B15" s="30" t="s">
        <v>164</v>
      </c>
      <c r="C15" s="31">
        <v>0.45</v>
      </c>
      <c r="D15" s="32" t="s">
        <v>162</v>
      </c>
      <c r="H15" s="33"/>
    </row>
    <row r="16" spans="2:8" ht="15" customHeight="1" x14ac:dyDescent="0.25">
      <c r="B16" s="30" t="s">
        <v>165</v>
      </c>
      <c r="C16" s="31">
        <v>0.5</v>
      </c>
      <c r="D16" s="32" t="s">
        <v>162</v>
      </c>
      <c r="H16" s="33"/>
    </row>
    <row r="17" spans="2:8" ht="15" customHeight="1" x14ac:dyDescent="0.25">
      <c r="B17" s="30" t="s">
        <v>166</v>
      </c>
      <c r="C17" s="31">
        <v>0.45</v>
      </c>
      <c r="D17" s="32" t="s">
        <v>162</v>
      </c>
      <c r="H17" s="33"/>
    </row>
    <row r="18" spans="2:8" ht="15" customHeight="1" x14ac:dyDescent="0.25">
      <c r="B18" s="30" t="s">
        <v>167</v>
      </c>
      <c r="C18" s="31">
        <v>0.05</v>
      </c>
      <c r="D18" s="32" t="s">
        <v>162</v>
      </c>
      <c r="H18" s="33"/>
    </row>
    <row r="19" spans="2:8" ht="15" customHeight="1" x14ac:dyDescent="0.25">
      <c r="B19" s="30" t="s">
        <v>168</v>
      </c>
      <c r="C19" s="31">
        <v>0.4</v>
      </c>
      <c r="D19" s="32" t="s">
        <v>162</v>
      </c>
      <c r="H19" s="33"/>
    </row>
    <row r="20" spans="2:8" ht="15" customHeight="1" x14ac:dyDescent="0.25">
      <c r="B20" s="30" t="s">
        <v>169</v>
      </c>
      <c r="C20" s="31">
        <v>1.1000000000000001</v>
      </c>
      <c r="D20" s="32" t="s">
        <v>162</v>
      </c>
      <c r="H20" s="33"/>
    </row>
    <row r="21" spans="2:8" ht="15" customHeight="1" x14ac:dyDescent="0.25">
      <c r="B21" s="30" t="s">
        <v>170</v>
      </c>
      <c r="C21" s="31">
        <v>0.6</v>
      </c>
      <c r="D21" s="32" t="s">
        <v>162</v>
      </c>
      <c r="H21" s="33"/>
    </row>
    <row r="23" spans="2:8" ht="15" customHeight="1" x14ac:dyDescent="0.25">
      <c r="B23" s="26" t="s">
        <v>171</v>
      </c>
      <c r="C23" s="27"/>
      <c r="D23" s="27"/>
      <c r="E23" s="27"/>
      <c r="F23" s="27"/>
      <c r="H23" s="27"/>
    </row>
    <row r="24" spans="2:8" ht="15" customHeight="1" x14ac:dyDescent="0.25">
      <c r="B24" s="28" t="s">
        <v>145</v>
      </c>
      <c r="C24" s="29" t="s">
        <v>172</v>
      </c>
      <c r="D24" s="29" t="s">
        <v>173</v>
      </c>
      <c r="H24" s="28" t="s">
        <v>174</v>
      </c>
    </row>
    <row r="25" spans="2:8" ht="15" customHeight="1" x14ac:dyDescent="0.25">
      <c r="B25" s="30" t="s">
        <v>175</v>
      </c>
      <c r="C25" s="31">
        <v>12.7</v>
      </c>
      <c r="D25" s="31">
        <v>9.52</v>
      </c>
      <c r="H25" s="33" t="s">
        <v>176</v>
      </c>
    </row>
    <row r="26" spans="2:8" ht="15" customHeight="1" x14ac:dyDescent="0.25">
      <c r="B26" s="30" t="s">
        <v>177</v>
      </c>
      <c r="C26" s="31">
        <v>0.4</v>
      </c>
      <c r="D26" s="31">
        <v>0.32</v>
      </c>
      <c r="H26" s="33"/>
    </row>
    <row r="27" spans="2:8" ht="15" customHeight="1" x14ac:dyDescent="0.25">
      <c r="B27" s="30" t="s">
        <v>178</v>
      </c>
      <c r="C27" s="31">
        <v>25</v>
      </c>
      <c r="D27" s="31">
        <v>25</v>
      </c>
      <c r="H27" s="33" t="s">
        <v>179</v>
      </c>
    </row>
    <row r="28" spans="2:8" ht="15" customHeight="1" x14ac:dyDescent="0.25">
      <c r="B28" s="30" t="s">
        <v>180</v>
      </c>
      <c r="C28" s="31">
        <v>21.65</v>
      </c>
      <c r="D28" s="31">
        <v>21.65</v>
      </c>
      <c r="H28" s="33" t="s">
        <v>181</v>
      </c>
    </row>
    <row r="29" spans="2:8" ht="15" customHeight="1" x14ac:dyDescent="0.25">
      <c r="B29" s="30" t="s">
        <v>182</v>
      </c>
      <c r="C29" s="34">
        <v>0.15</v>
      </c>
      <c r="D29" s="34">
        <v>0.15</v>
      </c>
      <c r="H29" s="33" t="s">
        <v>183</v>
      </c>
    </row>
    <row r="30" spans="2:8" ht="15" customHeight="1" x14ac:dyDescent="0.25">
      <c r="B30" s="30" t="s">
        <v>184</v>
      </c>
      <c r="C30" s="31">
        <v>0.12</v>
      </c>
      <c r="D30" s="31">
        <v>0.105</v>
      </c>
      <c r="H30" s="33"/>
    </row>
    <row r="31" spans="2:8" ht="15" customHeight="1" x14ac:dyDescent="0.25">
      <c r="B31" s="30" t="s">
        <v>185</v>
      </c>
      <c r="C31" s="34">
        <v>0.15</v>
      </c>
      <c r="D31" s="34">
        <v>0.15</v>
      </c>
      <c r="H31" s="33" t="s">
        <v>186</v>
      </c>
    </row>
    <row r="33" spans="2:8" ht="15" customHeight="1" x14ac:dyDescent="0.25">
      <c r="B33" s="26" t="s">
        <v>187</v>
      </c>
      <c r="C33" s="27"/>
      <c r="D33" s="27"/>
      <c r="E33" s="27"/>
      <c r="F33" s="27"/>
      <c r="H33" s="27"/>
    </row>
    <row r="34" spans="2:8" ht="15" customHeight="1" x14ac:dyDescent="0.25">
      <c r="B34" s="30" t="s">
        <v>188</v>
      </c>
      <c r="C34" s="31">
        <v>120</v>
      </c>
      <c r="D34" s="32" t="s">
        <v>189</v>
      </c>
      <c r="H34" s="33"/>
    </row>
    <row r="35" spans="2:8" ht="15" customHeight="1" x14ac:dyDescent="0.25">
      <c r="B35" s="30" t="s">
        <v>190</v>
      </c>
      <c r="C35" s="31">
        <v>22</v>
      </c>
      <c r="D35" s="32" t="s">
        <v>189</v>
      </c>
      <c r="H35" s="33"/>
    </row>
    <row r="36" spans="2:8" ht="15" customHeight="1" x14ac:dyDescent="0.25">
      <c r="B36" s="30" t="s">
        <v>191</v>
      </c>
      <c r="C36" s="31">
        <v>50</v>
      </c>
      <c r="D36" s="32" t="s">
        <v>189</v>
      </c>
      <c r="H36" s="33"/>
    </row>
    <row r="37" spans="2:8" ht="15" customHeight="1" x14ac:dyDescent="0.25">
      <c r="B37" s="30" t="s">
        <v>192</v>
      </c>
      <c r="C37" s="31">
        <v>120</v>
      </c>
      <c r="D37" s="32" t="s">
        <v>189</v>
      </c>
      <c r="H37" s="33"/>
    </row>
    <row r="38" spans="2:8" ht="15" customHeight="1" x14ac:dyDescent="0.25">
      <c r="B38" s="30" t="s">
        <v>193</v>
      </c>
      <c r="C38" s="31">
        <v>250</v>
      </c>
      <c r="D38" s="32" t="s">
        <v>189</v>
      </c>
      <c r="H38" s="33"/>
    </row>
    <row r="39" spans="2:8" ht="15" customHeight="1" x14ac:dyDescent="0.25">
      <c r="B39" s="30" t="s">
        <v>194</v>
      </c>
      <c r="C39" s="34">
        <v>0.68</v>
      </c>
      <c r="D39" s="32" t="s">
        <v>154</v>
      </c>
      <c r="H39" s="33"/>
    </row>
    <row r="40" spans="2:8" ht="15" customHeight="1" x14ac:dyDescent="0.25">
      <c r="B40" s="30" t="s">
        <v>195</v>
      </c>
      <c r="C40" s="34">
        <v>0.62</v>
      </c>
      <c r="D40" s="32" t="s">
        <v>154</v>
      </c>
      <c r="H40" s="33" t="s">
        <v>196</v>
      </c>
    </row>
    <row r="41" spans="2:8" ht="15" customHeight="1" x14ac:dyDescent="0.25">
      <c r="B41" s="30" t="s">
        <v>197</v>
      </c>
      <c r="C41" s="34">
        <v>0.9</v>
      </c>
      <c r="D41" s="32" t="s">
        <v>154</v>
      </c>
      <c r="H41" s="33" t="s">
        <v>198</v>
      </c>
    </row>
    <row r="43" spans="2:8" ht="15" customHeight="1" x14ac:dyDescent="0.25">
      <c r="B43" s="26" t="s">
        <v>199</v>
      </c>
      <c r="C43" s="27"/>
      <c r="D43" s="27"/>
      <c r="E43" s="27"/>
      <c r="F43" s="27"/>
      <c r="H43" s="27"/>
    </row>
    <row r="44" spans="2:8" ht="15" customHeight="1" x14ac:dyDescent="0.25">
      <c r="B44" s="35">
        <v>0.37</v>
      </c>
      <c r="H44" s="2" t="s">
        <v>200</v>
      </c>
    </row>
    <row r="45" spans="2:8" ht="15" customHeight="1" x14ac:dyDescent="0.25">
      <c r="B45" s="35">
        <v>0.55000000000000004</v>
      </c>
    </row>
    <row r="46" spans="2:8" ht="15" customHeight="1" x14ac:dyDescent="0.25">
      <c r="B46" s="35">
        <v>0.75</v>
      </c>
    </row>
    <row r="47" spans="2:8" ht="15" customHeight="1" x14ac:dyDescent="0.25">
      <c r="B47" s="35">
        <v>1.1000000000000001</v>
      </c>
    </row>
    <row r="48" spans="2:8" ht="15" customHeight="1" x14ac:dyDescent="0.25">
      <c r="B48" s="35">
        <v>1.5</v>
      </c>
    </row>
    <row r="49" spans="2:10" ht="15" customHeight="1" x14ac:dyDescent="0.25">
      <c r="B49" s="35">
        <v>2.2000000000000002</v>
      </c>
    </row>
    <row r="50" spans="2:10" ht="15" customHeight="1" x14ac:dyDescent="0.25">
      <c r="B50" s="35">
        <v>3.7</v>
      </c>
    </row>
    <row r="51" spans="2:10" ht="15" customHeight="1" x14ac:dyDescent="0.25">
      <c r="B51" s="35">
        <v>5.5</v>
      </c>
    </row>
    <row r="52" spans="2:10" ht="15" customHeight="1" x14ac:dyDescent="0.25">
      <c r="B52" s="35">
        <v>7.5</v>
      </c>
    </row>
    <row r="53" spans="2:10" ht="15" customHeight="1" x14ac:dyDescent="0.25">
      <c r="B53" s="35">
        <v>11</v>
      </c>
    </row>
    <row r="54" spans="2:10" ht="15" customHeight="1" x14ac:dyDescent="0.25">
      <c r="B54" s="35">
        <v>15</v>
      </c>
    </row>
    <row r="55" spans="2:10" ht="15" customHeight="1" x14ac:dyDescent="0.25">
      <c r="B55" s="35">
        <v>18.5</v>
      </c>
    </row>
    <row r="56" spans="2:10" ht="15" customHeight="1" x14ac:dyDescent="0.25">
      <c r="B56" s="35">
        <v>22</v>
      </c>
    </row>
    <row r="57" spans="2:10" ht="15" customHeight="1" x14ac:dyDescent="0.25">
      <c r="B57" s="35">
        <v>30</v>
      </c>
    </row>
    <row r="58" spans="2:10" ht="15" customHeight="1" x14ac:dyDescent="0.25">
      <c r="B58" s="35">
        <v>37</v>
      </c>
    </row>
    <row r="59" spans="2:10" ht="15" customHeight="1" x14ac:dyDescent="0.25">
      <c r="B59" s="35">
        <v>45</v>
      </c>
    </row>
    <row r="60" spans="2:10" ht="15" customHeight="1" x14ac:dyDescent="0.25">
      <c r="B60" s="35">
        <v>55</v>
      </c>
    </row>
    <row r="61" spans="2:10" ht="15" customHeight="1" x14ac:dyDescent="0.25">
      <c r="B61" s="35">
        <v>75</v>
      </c>
    </row>
    <row r="63" spans="2:10" ht="15" customHeight="1" x14ac:dyDescent="0.25">
      <c r="B63" s="26" t="s">
        <v>201</v>
      </c>
      <c r="C63" s="27"/>
      <c r="D63" s="27"/>
      <c r="E63" s="27"/>
      <c r="F63" s="27"/>
      <c r="H63" s="27"/>
    </row>
    <row r="64" spans="2:10" ht="15" customHeight="1" x14ac:dyDescent="0.25">
      <c r="B64" s="30" t="s">
        <v>202</v>
      </c>
      <c r="C64" s="36">
        <v>14500</v>
      </c>
      <c r="D64" s="32" t="s">
        <v>203</v>
      </c>
      <c r="H64" s="37" t="s">
        <v>204</v>
      </c>
      <c r="I64" t="s">
        <v>291</v>
      </c>
      <c r="J64" t="s">
        <v>290</v>
      </c>
    </row>
    <row r="65" spans="2:9" ht="15" customHeight="1" x14ac:dyDescent="0.25">
      <c r="B65" s="30" t="s">
        <v>205</v>
      </c>
      <c r="C65" s="36">
        <v>11000</v>
      </c>
      <c r="D65" s="32" t="s">
        <v>203</v>
      </c>
      <c r="H65" s="37"/>
    </row>
    <row r="66" spans="2:9" ht="15" customHeight="1" x14ac:dyDescent="0.25">
      <c r="B66" s="30" t="s">
        <v>27</v>
      </c>
      <c r="C66" s="36">
        <v>7500</v>
      </c>
      <c r="D66" s="32" t="s">
        <v>203</v>
      </c>
      <c r="H66" s="37"/>
      <c r="I66" t="s">
        <v>292</v>
      </c>
    </row>
    <row r="67" spans="2:9" ht="15" customHeight="1" x14ac:dyDescent="0.25">
      <c r="B67" s="30" t="s">
        <v>206</v>
      </c>
      <c r="C67" s="36">
        <v>1400</v>
      </c>
      <c r="D67" s="32" t="s">
        <v>207</v>
      </c>
      <c r="H67" s="37"/>
    </row>
    <row r="68" spans="2:9" ht="15" customHeight="1" x14ac:dyDescent="0.25">
      <c r="B68" s="30" t="s">
        <v>208</v>
      </c>
      <c r="C68" s="36">
        <v>3200</v>
      </c>
      <c r="D68" s="32" t="s">
        <v>207</v>
      </c>
      <c r="H68" s="37"/>
    </row>
    <row r="69" spans="2:9" ht="15" customHeight="1" x14ac:dyDescent="0.25">
      <c r="B69" s="30" t="s">
        <v>209</v>
      </c>
      <c r="C69" s="36">
        <v>14000</v>
      </c>
      <c r="D69" s="32" t="s">
        <v>207</v>
      </c>
      <c r="H69" s="37"/>
    </row>
    <row r="70" spans="2:9" ht="15" customHeight="1" x14ac:dyDescent="0.25">
      <c r="B70" s="30" t="s">
        <v>210</v>
      </c>
      <c r="C70" s="36">
        <v>5200</v>
      </c>
      <c r="D70" s="32" t="s">
        <v>207</v>
      </c>
      <c r="H70" s="37"/>
    </row>
    <row r="71" spans="2:9" ht="15" customHeight="1" x14ac:dyDescent="0.25">
      <c r="B71" s="30" t="s">
        <v>211</v>
      </c>
      <c r="C71" s="36">
        <v>1800</v>
      </c>
      <c r="D71" s="32" t="s">
        <v>212</v>
      </c>
      <c r="H71" s="37" t="s">
        <v>213</v>
      </c>
    </row>
    <row r="72" spans="2:9" ht="15" customHeight="1" x14ac:dyDescent="0.25">
      <c r="B72" s="30" t="s">
        <v>214</v>
      </c>
      <c r="C72" s="38">
        <v>45</v>
      </c>
      <c r="D72" s="32" t="s">
        <v>215</v>
      </c>
      <c r="H72" s="37" t="s">
        <v>216</v>
      </c>
    </row>
    <row r="74" spans="2:9" ht="15" customHeight="1" x14ac:dyDescent="0.25">
      <c r="B74" s="26" t="s">
        <v>217</v>
      </c>
      <c r="C74" s="27"/>
      <c r="D74" s="27"/>
      <c r="E74" s="27"/>
      <c r="F74" s="27"/>
      <c r="H74" s="27"/>
    </row>
    <row r="75" spans="2:9" ht="15" customHeight="1" x14ac:dyDescent="0.25">
      <c r="B75" s="30" t="s">
        <v>218</v>
      </c>
      <c r="C75" s="34">
        <v>0.12</v>
      </c>
      <c r="D75" s="32" t="s">
        <v>219</v>
      </c>
      <c r="H75" s="33" t="s">
        <v>220</v>
      </c>
    </row>
    <row r="76" spans="2:9" ht="15" customHeight="1" x14ac:dyDescent="0.25">
      <c r="B76" s="30" t="s">
        <v>221</v>
      </c>
      <c r="C76" s="31">
        <v>1.85</v>
      </c>
      <c r="D76" s="32" t="s">
        <v>222</v>
      </c>
      <c r="H76" s="33" t="s">
        <v>223</v>
      </c>
    </row>
    <row r="77" spans="2:9" ht="15" customHeight="1" x14ac:dyDescent="0.25">
      <c r="B77" s="30" t="s">
        <v>224</v>
      </c>
      <c r="C77" s="36">
        <v>340</v>
      </c>
      <c r="D77" s="32" t="s">
        <v>225</v>
      </c>
      <c r="H77" s="33"/>
    </row>
    <row r="78" spans="2:9" ht="15" customHeight="1" x14ac:dyDescent="0.25">
      <c r="B78" s="30" t="s">
        <v>226</v>
      </c>
      <c r="C78" s="36">
        <v>95</v>
      </c>
      <c r="D78" s="32" t="s">
        <v>225</v>
      </c>
      <c r="H78" s="37" t="s">
        <v>227</v>
      </c>
    </row>
    <row r="79" spans="2:9" ht="15" customHeight="1" x14ac:dyDescent="0.25">
      <c r="B79" s="30" t="s">
        <v>228</v>
      </c>
      <c r="C79" s="36">
        <v>120</v>
      </c>
      <c r="D79" s="32" t="s">
        <v>225</v>
      </c>
      <c r="H79" s="37"/>
    </row>
    <row r="80" spans="2:9" ht="15" customHeight="1" x14ac:dyDescent="0.25">
      <c r="B80" s="30" t="s">
        <v>229</v>
      </c>
      <c r="C80" s="36">
        <v>85</v>
      </c>
      <c r="D80" s="32" t="s">
        <v>225</v>
      </c>
      <c r="H80" s="37" t="s">
        <v>230</v>
      </c>
    </row>
    <row r="81" spans="2:8" ht="15" customHeight="1" x14ac:dyDescent="0.25">
      <c r="B81" s="30" t="s">
        <v>231</v>
      </c>
      <c r="C81" s="31">
        <v>1</v>
      </c>
      <c r="D81" s="32" t="s">
        <v>232</v>
      </c>
      <c r="H81" s="33" t="s">
        <v>233</v>
      </c>
    </row>
    <row r="83" spans="2:8" ht="15" customHeight="1" x14ac:dyDescent="0.25">
      <c r="B83" s="26" t="s">
        <v>234</v>
      </c>
      <c r="C83" s="27"/>
      <c r="D83" s="27"/>
      <c r="E83" s="27"/>
      <c r="F83" s="27"/>
      <c r="H83" s="27"/>
    </row>
    <row r="84" spans="2:8" ht="15" customHeight="1" x14ac:dyDescent="0.25">
      <c r="B84" s="30" t="s">
        <v>235</v>
      </c>
      <c r="C84" s="34">
        <v>0.1</v>
      </c>
      <c r="D84" s="32" t="s">
        <v>236</v>
      </c>
      <c r="H84" s="33"/>
    </row>
    <row r="85" spans="2:8" ht="15" customHeight="1" x14ac:dyDescent="0.25">
      <c r="B85" s="30" t="s">
        <v>237</v>
      </c>
      <c r="C85" s="34">
        <v>0.12</v>
      </c>
      <c r="D85" s="32" t="s">
        <v>238</v>
      </c>
      <c r="H85" s="33"/>
    </row>
    <row r="87" spans="2:8" ht="15" customHeight="1" x14ac:dyDescent="0.25">
      <c r="B87" s="26" t="s">
        <v>239</v>
      </c>
      <c r="C87" s="27"/>
      <c r="D87" s="27"/>
      <c r="E87" s="27"/>
      <c r="F87" s="27"/>
      <c r="H87" s="27"/>
    </row>
    <row r="88" spans="2:8" ht="15" customHeight="1" x14ac:dyDescent="0.25">
      <c r="B88" s="29" t="s">
        <v>126</v>
      </c>
      <c r="C88" s="29" t="s">
        <v>240</v>
      </c>
      <c r="D88" s="29" t="s">
        <v>241</v>
      </c>
    </row>
    <row r="89" spans="2:8" ht="15" customHeight="1" x14ac:dyDescent="0.25">
      <c r="B89" s="35" t="s">
        <v>133</v>
      </c>
      <c r="C89" s="31">
        <v>0.6</v>
      </c>
      <c r="D89" s="35" t="s">
        <v>107</v>
      </c>
    </row>
    <row r="90" spans="2:8" ht="15" customHeight="1" x14ac:dyDescent="0.25">
      <c r="B90" s="35" t="s">
        <v>136</v>
      </c>
      <c r="C90" s="31">
        <v>0.85</v>
      </c>
      <c r="D90" s="35" t="s">
        <v>107</v>
      </c>
    </row>
    <row r="91" spans="2:8" ht="15" customHeight="1" x14ac:dyDescent="0.25">
      <c r="B91" s="35" t="s">
        <v>138</v>
      </c>
      <c r="C91" s="31">
        <v>0.75</v>
      </c>
      <c r="D91" s="35" t="s">
        <v>103</v>
      </c>
    </row>
    <row r="92" spans="2:8" ht="15" customHeight="1" x14ac:dyDescent="0.25">
      <c r="B92" s="35" t="s">
        <v>140</v>
      </c>
      <c r="C92" s="31">
        <v>0.7</v>
      </c>
      <c r="D92" s="35" t="s">
        <v>107</v>
      </c>
    </row>
    <row r="94" spans="2:8" ht="15" customHeight="1" x14ac:dyDescent="0.25">
      <c r="B94" s="39" t="s">
        <v>242</v>
      </c>
      <c r="C94" s="27"/>
      <c r="D94" s="27"/>
      <c r="E94" s="27"/>
      <c r="F94" s="27"/>
      <c r="H94" s="27"/>
    </row>
    <row r="95" spans="2:8" ht="15" customHeight="1" x14ac:dyDescent="0.25">
      <c r="B95" s="40" t="s">
        <v>243</v>
      </c>
      <c r="C95" s="41">
        <v>35</v>
      </c>
      <c r="D95" s="42" t="s">
        <v>189</v>
      </c>
      <c r="H95" s="43"/>
    </row>
    <row r="96" spans="2:8" ht="15" customHeight="1" x14ac:dyDescent="0.25">
      <c r="B96" s="40" t="s">
        <v>244</v>
      </c>
      <c r="C96" s="41">
        <v>14</v>
      </c>
      <c r="D96" s="42" t="s">
        <v>189</v>
      </c>
      <c r="H96" s="43"/>
    </row>
    <row r="97" spans="2:8" ht="15" customHeight="1" x14ac:dyDescent="0.25">
      <c r="B97" s="40" t="s">
        <v>245</v>
      </c>
      <c r="C97" s="41">
        <v>30</v>
      </c>
      <c r="D97" s="42" t="s">
        <v>189</v>
      </c>
      <c r="H97" s="43" t="s">
        <v>246</v>
      </c>
    </row>
    <row r="98" spans="2:8" ht="15" customHeight="1" x14ac:dyDescent="0.25">
      <c r="B98" s="40" t="s">
        <v>247</v>
      </c>
      <c r="C98" s="44">
        <v>0.35</v>
      </c>
      <c r="D98" s="42" t="s">
        <v>154</v>
      </c>
      <c r="H98" s="43" t="s">
        <v>248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32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122" customWidth="1"/>
  </cols>
  <sheetData>
    <row r="1" spans="2:2" ht="16.5" x14ac:dyDescent="0.25">
      <c r="B1" s="45" t="s">
        <v>249</v>
      </c>
    </row>
    <row r="2" spans="2:2" x14ac:dyDescent="0.25">
      <c r="B2" s="46" t="s">
        <v>250</v>
      </c>
    </row>
    <row r="4" spans="2:2" x14ac:dyDescent="0.25">
      <c r="B4" s="47" t="s">
        <v>251</v>
      </c>
    </row>
    <row r="5" spans="2:2" ht="25.5" x14ac:dyDescent="0.25">
      <c r="B5" s="48" t="s">
        <v>252</v>
      </c>
    </row>
    <row r="6" spans="2:2" x14ac:dyDescent="0.25">
      <c r="B6" s="48" t="s">
        <v>253</v>
      </c>
    </row>
    <row r="7" spans="2:2" ht="25.5" x14ac:dyDescent="0.25">
      <c r="B7" s="48" t="s">
        <v>254</v>
      </c>
    </row>
    <row r="8" spans="2:2" x14ac:dyDescent="0.25">
      <c r="B8" s="48" t="s">
        <v>255</v>
      </c>
    </row>
    <row r="10" spans="2:2" x14ac:dyDescent="0.25">
      <c r="B10" s="47" t="s">
        <v>256</v>
      </c>
    </row>
    <row r="11" spans="2:2" ht="38.25" x14ac:dyDescent="0.25">
      <c r="B11" s="48" t="s">
        <v>257</v>
      </c>
    </row>
    <row r="13" spans="2:2" x14ac:dyDescent="0.25">
      <c r="B13" s="47" t="s">
        <v>258</v>
      </c>
    </row>
    <row r="14" spans="2:2" ht="25.5" x14ac:dyDescent="0.25">
      <c r="B14" s="48" t="s">
        <v>259</v>
      </c>
    </row>
    <row r="15" spans="2:2" ht="25.5" x14ac:dyDescent="0.25">
      <c r="B15" s="48" t="s">
        <v>260</v>
      </c>
    </row>
    <row r="16" spans="2:2" x14ac:dyDescent="0.25">
      <c r="B16" s="48" t="s">
        <v>261</v>
      </c>
    </row>
    <row r="17" spans="2:2" ht="25.5" x14ac:dyDescent="0.25">
      <c r="B17" s="48" t="s">
        <v>262</v>
      </c>
    </row>
    <row r="18" spans="2:2" ht="25.5" x14ac:dyDescent="0.25">
      <c r="B18" s="48" t="s">
        <v>263</v>
      </c>
    </row>
    <row r="20" spans="2:2" x14ac:dyDescent="0.25">
      <c r="B20" s="47" t="s">
        <v>264</v>
      </c>
    </row>
    <row r="21" spans="2:2" ht="38.25" x14ac:dyDescent="0.25">
      <c r="B21" s="48" t="s">
        <v>265</v>
      </c>
    </row>
    <row r="23" spans="2:2" x14ac:dyDescent="0.25">
      <c r="B23" s="47" t="s">
        <v>266</v>
      </c>
    </row>
    <row r="24" spans="2:2" ht="38.25" x14ac:dyDescent="0.25">
      <c r="B24" s="49" t="s">
        <v>267</v>
      </c>
    </row>
    <row r="26" spans="2:2" x14ac:dyDescent="0.25">
      <c r="B26" s="47" t="s">
        <v>268</v>
      </c>
    </row>
    <row r="27" spans="2:2" ht="25.5" x14ac:dyDescent="0.25">
      <c r="B27" s="48" t="s">
        <v>269</v>
      </c>
    </row>
    <row r="28" spans="2:2" x14ac:dyDescent="0.25">
      <c r="B28" s="48" t="s">
        <v>270</v>
      </c>
    </row>
    <row r="29" spans="2:2" x14ac:dyDescent="0.25">
      <c r="B29" s="48" t="s">
        <v>271</v>
      </c>
    </row>
    <row r="30" spans="2:2" x14ac:dyDescent="0.25">
      <c r="B30" s="48" t="s">
        <v>272</v>
      </c>
    </row>
    <row r="32" spans="2:2" x14ac:dyDescent="0.25">
      <c r="B32" s="50" t="s">
        <v>273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D537FC6EEFA3469C67318615635BCD" ma:contentTypeVersion="15" ma:contentTypeDescription="Create a new document." ma:contentTypeScope="" ma:versionID="477fc19a782d09aa75c3c7510055fafc">
  <xsd:schema xmlns:xsd="http://www.w3.org/2001/XMLSchema" xmlns:xs="http://www.w3.org/2001/XMLSchema" xmlns:p="http://schemas.microsoft.com/office/2006/metadata/properties" xmlns:ns2="937d96c5-689a-445c-b497-c26898801115" xmlns:ns3="66e154ca-c873-43d1-adfc-28c8beb208b8" targetNamespace="http://schemas.microsoft.com/office/2006/metadata/properties" ma:root="true" ma:fieldsID="aa484b9a09f85fc0eec517f46bbdb829" ns2:_="" ns3:_="">
    <xsd:import namespace="937d96c5-689a-445c-b497-c26898801115"/>
    <xsd:import namespace="66e154ca-c873-43d1-adfc-28c8beb208b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7d96c5-689a-445c-b497-c26898801115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89be9f9-5296-4597-8f73-1ef66ab783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e154ca-c873-43d1-adfc-28c8beb208b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4b9c3baa-e231-45e7-b610-86feff5dadb7}" ma:internalName="TaxCatchAll" ma:showField="CatchAllData" ma:web="66e154ca-c873-43d1-adfc-28c8beb208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7d96c5-689a-445c-b497-c26898801115">
      <Terms xmlns="http://schemas.microsoft.com/office/infopath/2007/PartnerControls"/>
    </lcf76f155ced4ddcb4097134ff3c332f>
    <TaxCatchAll xmlns="66e154ca-c873-43d1-adfc-28c8beb208b8" xsi:nil="true"/>
  </documentManagement>
</p:properties>
</file>

<file path=customXml/itemProps1.xml><?xml version="1.0" encoding="utf-8"?>
<ds:datastoreItem xmlns:ds="http://schemas.openxmlformats.org/officeDocument/2006/customXml" ds:itemID="{06297964-6A7F-474E-8AE5-AC6BB83920F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AEA2AD8-AF78-4FC9-94FE-9BEA6CB516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7d96c5-689a-445c-b497-c26898801115"/>
    <ds:schemaRef ds:uri="66e154ca-c873-43d1-adfc-28c8beb208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C07B6A-CC80-4594-BC26-FAE813E94F4B}">
  <ds:schemaRefs>
    <ds:schemaRef ds:uri="http://schemas.microsoft.com/office/2006/metadata/properties"/>
    <ds:schemaRef ds:uri="http://schemas.microsoft.com/office/infopath/2007/PartnerControls"/>
    <ds:schemaRef ds:uri="937d96c5-689a-445c-b497-c26898801115"/>
    <ds:schemaRef ds:uri="66e154ca-c873-43d1-adfc-28c8beb208b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Figure</vt:lpstr>
      <vt:lpstr>AHU Batch Calculator</vt:lpstr>
      <vt:lpstr>FCU Batch Calculator</vt:lpstr>
      <vt:lpstr>Assumptions &amp; Ref</vt:lpstr>
      <vt:lpstr>Read 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Ketan Katkar</cp:lastModifiedBy>
  <cp:revision>0</cp:revision>
  <dcterms:created xsi:type="dcterms:W3CDTF">2026-08-10T06:20:22Z</dcterms:created>
  <dcterms:modified xsi:type="dcterms:W3CDTF">2026-09-24T03:42:13Z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0x010100DAD537FC6EEFA3469C67318615635BCD</vt:lpwstr>
  </property>
  <property fmtid="{D5CDD505-2E9C-101B-9397-08002B2CF9AE}" pid="3" name="MSIP_Label_950a0aea-e2df-4107-a6d1-9debf081f9fd_Enabled">
    <vt:lpwstr>true</vt:lpwstr>
  </property>
  <property fmtid="{D5CDD505-2E9C-101B-9397-08002B2CF9AE}" pid="4" name="MSIP_Label_950a0aea-e2df-4107-a6d1-9debf081f9fd_SetDate">
    <vt:lpwstr>2026-08-10T06:56:34Z</vt:lpwstr>
  </property>
  <property fmtid="{D5CDD505-2E9C-101B-9397-08002B2CF9AE}" pid="5" name="MSIP_Label_950a0aea-e2df-4107-a6d1-9debf081f9fd_Method">
    <vt:lpwstr>Standard</vt:lpwstr>
  </property>
  <property fmtid="{D5CDD505-2E9C-101B-9397-08002B2CF9AE}" pid="6" name="MSIP_Label_950a0aea-e2df-4107-a6d1-9debf081f9fd_Name">
    <vt:lpwstr>Confidential</vt:lpwstr>
  </property>
  <property fmtid="{D5CDD505-2E9C-101B-9397-08002B2CF9AE}" pid="7" name="MSIP_Label_950a0aea-e2df-4107-a6d1-9debf081f9fd_SiteId">
    <vt:lpwstr>133a87f2-d3d7-47b2-af96-67b2b21bd714</vt:lpwstr>
  </property>
  <property fmtid="{D5CDD505-2E9C-101B-9397-08002B2CF9AE}" pid="8" name="MSIP_Label_950a0aea-e2df-4107-a6d1-9debf081f9fd_ActionId">
    <vt:lpwstr>74f27730-45a2-4e2b-bfe5-b54ce2c224c0</vt:lpwstr>
  </property>
  <property fmtid="{D5CDD505-2E9C-101B-9397-08002B2CF9AE}" pid="9" name="MSIP_Label_950a0aea-e2df-4107-a6d1-9debf081f9fd_ContentBits">
    <vt:lpwstr>0</vt:lpwstr>
  </property>
  <property fmtid="{D5CDD505-2E9C-101B-9397-08002B2CF9AE}" pid="10" name="MSIP_Label_950a0aea-e2df-4107-a6d1-9debf081f9fd_Tag">
    <vt:lpwstr>10, 3, 0, 1</vt:lpwstr>
  </property>
  <property fmtid="{D5CDD505-2E9C-101B-9397-08002B2CF9AE}" pid="11" name="MediaServiceImageTags">
    <vt:lpwstr/>
  </property>
</Properties>
</file>