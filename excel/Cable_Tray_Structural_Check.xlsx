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 Me" sheetId="1" state="visible" r:id="rId3"/>
    <sheet name="Inputs" sheetId="2" state="visible" r:id="rId4"/>
    <sheet name="Summary" sheetId="3" state="visible" r:id="rId5"/>
    <sheet name="Calc" sheetId="4" state="visible" r:id="rId6"/>
    <sheet name="Span curve" sheetId="5" state="visible" r:id="rId7"/>
    <sheet name="Parameters" sheetId="6" state="visible" r:id="rId8"/>
  </sheets>
  <definedNames>
    <definedName function="false" hidden="false" name="p_cant" vbProcedure="false">Parameters!$B$15</definedName>
    <definedName function="false" hidden="false" name="p_collar" vbProcedure="false">Parameters!$B$18</definedName>
    <definedName function="false" hidden="false" name="p_E" vbProcedure="false">Parameters!$B$7</definedName>
    <definedName function="false" hidden="false" name="p_flS" vbProcedure="false">Parameters!$B$13</definedName>
    <definedName function="false" hidden="false" name="p_fs" vbProcedure="false">Parameters!$B$8</definedName>
    <definedName function="false" hidden="false" name="p_fy" vbProcedure="false">Parameters!$B$6</definedName>
    <definedName function="false" hidden="false" name="p_g" vbProcedure="false">Parameters!$B$11</definedName>
    <definedName function="false" hidden="false" name="p_lip" vbProcedure="false">Parameters!$B$37</definedName>
    <definedName function="false" hidden="false" name="p_perfL" vbProcedure="false">Parameters!$B$26</definedName>
    <definedName function="false" hidden="false" name="p_perfN" vbProcedure="false">Parameters!$B$25</definedName>
    <definedName function="false" hidden="false" name="p_perfSp" vbProcedure="false">Parameters!$B$28</definedName>
    <definedName function="false" hidden="false" name="p_perfW" vbProcedure="false">Parameters!$B$27</definedName>
    <definedName function="false" hidden="false" name="p_plS" vbProcedure="false">Parameters!$B$14</definedName>
    <definedName function="false" hidden="false" name="p_rA" vbProcedure="false">Parameters!$B$48</definedName>
    <definedName function="false" hidden="false" name="p_rA1" vbProcedure="false">Parameters!$B$46</definedName>
    <definedName function="false" hidden="false" name="p_rA2" vbProcedure="false">Parameters!$B$47</definedName>
    <definedName function="false" hidden="false" name="p_rI" vbProcedure="false">Parameters!$B$50</definedName>
    <definedName function="false" hidden="false" name="p_rungH" vbProcedure="false">Parameters!$B$20</definedName>
    <definedName function="false" hidden="false" name="p_rungN" vbProcedure="false">Parameters!$B$22</definedName>
    <definedName function="false" hidden="false" name="p_rungT" vbProcedure="false">Parameters!$B$21</definedName>
    <definedName function="false" hidden="false" name="p_rungW" vbProcedure="false">Parameters!$B$19</definedName>
    <definedName function="false" hidden="false" name="p_rungZ" vbProcedure="false">Parameters!$B$51</definedName>
    <definedName function="false" hidden="false" name="p_rYb" vbProcedure="false">Parameters!$B$49</definedName>
    <definedName function="false" hidden="false" name="p_shear" vbProcedure="false">Parameters!$B$10</definedName>
    <definedName function="false" hidden="false" name="p_splice" vbProcedure="false">Parameters!$B$9</definedName>
    <definedName function="false" hidden="false" name="p_trL" vbProcedure="false">Parameters!$B$32</definedName>
    <definedName function="false" hidden="false" name="p_trN" vbProcedure="false">Parameters!$B$31</definedName>
    <definedName function="false" hidden="false" name="p_trSp" vbProcedure="false">Parameters!$B$34</definedName>
    <definedName function="false" hidden="false" name="p_trW" vbProcedure="false">Parameters!$B$33</definedName>
    <definedName function="false" hidden="false" name="p_webS" vbProcedure="false">Parameters!$B$12</definedName>
    <definedName function="false" hidden="false" name="sup_dp" vbProcedure="false">Parameters!$E$41:$E$42</definedName>
    <definedName function="false" hidden="false" name="sup_dw" vbProcedure="false">Parameters!$D$41:$D$42</definedName>
    <definedName function="false" hidden="false" name="sup_kp" vbProcedure="false">Parameters!$C$41:$C$42</definedName>
    <definedName function="false" hidden="false" name="sup_kv" vbProcedure="false">Parameters!$F$41:$F$42</definedName>
    <definedName function="false" hidden="false" name="sup_kw" vbProcedure="false">Parameters!$B$41:$B$42</definedName>
    <definedName function="false" hidden="false" name="sup_names" vbProcedure="false">Parameters!$A$41:$A$42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<sst xmlns="http://schemas.openxmlformats.org/spreadsheetml/2006/main" count="363" uniqueCount="225">
  <si>
    <t xml:space="preserve">Cable tray structural check</t>
  </si>
  <si>
    <t xml:space="preserve">Strength, shear and deflection of ladder, perforated and trough trays, trapeze channels and cantilever arms. Standalone, formula-driven.</t>
  </si>
  <si>
    <t xml:space="preserve">Purpose</t>
  </si>
  <si>
    <t xml:space="preserve">Check whether a cable tray, a trapeze channel or a cantilever arm carries a given cable load over a given support spacing, and find the safe working load (SWL) and the longest span that still carries the load.</t>
  </si>
  <si>
    <t xml:space="preserve">How to use</t>
  </si>
  <si>
    <t xml:space="preserve">Enter one tray per row on Inputs (yellow cells): type, width, depth, steel thickness, the cable load in kg/m, the support span in m, the support condition and the concentrated load. Calc does the work row by row. Summary shows one row in detail (change the row number in its yellow cell), the verdict for every row, and a chart of SWL against span.</t>
  </si>
  <si>
    <t xml:space="preserve">Method</t>
  </si>
  <si>
    <t xml:space="preserve">1) Section: thin-wall rectangular parts give area, neutral axis, second moment I and section moduli (perforation holes reduce the base plate of perforated and trough trays). 2) Straight tray or channel as a beam: bending M = kw·w·L² + kp·P·L, shear V = kv·(w·L + P), deflection d = dw·w·L⁴/EI + dp·P·L³/EI, with coefficients for a simple or a continuous span; the moment capacity is allowable stress × the smaller section modulus × a splice efficiency for the coupler joint. 3) Ladder rungs are checked separately as simply supported beams across the width. 4) Cantilever arm: the cable and tray load of one support spacing acts at mid-length of the arm plus an installer load at the tip, checked for bending, shear and tip deflection (limit = arm length / 100). 5) SWL is the cable load at which the first of bending, shear or deflection governs, after deducting the tray self-weight.</t>
  </si>
  <si>
    <t xml:space="preserve">Verdict</t>
  </si>
  <si>
    <t xml:space="preserve">PASS when every utilisation (applied ÷ capacity) is at most 100%. The governing check is the one with the smallest SWL.</t>
  </si>
  <si>
    <t xml:space="preserve">Self-weight</t>
  </si>
  <si>
    <t xml:space="preserve">Type the tray weight in kg/m if you know it (for example from the cost model or a catalogue). Leave it blank to use the estimate computed from the section area and, for ladders, the rungs.</t>
  </si>
  <si>
    <t xml:space="preserve">Conventions</t>
  </si>
  <si>
    <t xml:space="preserve">Yellow fill = input.  Blue font = a typed assumption (Parameters).  Black = formula.  Green fill = key output.  Units: mm, N and MPa inside the calculation; kg, kg/m and m on the sheets that you read.</t>
  </si>
  <si>
    <t xml:space="preserve">Origin</t>
  </si>
  <si>
    <t xml:space="preserve">This workbook mirrors the structural check in the Should-Cost dashboards (cable-trays.html, tab Structural check) and reproduces its results; the dashboard model is an own calculation, not taken from a vendor or code workbook. The sample rows on Inputs are the cases used to verify the workbook against the dashboard.</t>
  </si>
  <si>
    <t xml:space="preserve">Limits</t>
  </si>
  <si>
    <t xml:space="preserve">Elastic design with a single factor of safety on yield; no web-crippling, lateral-torsional or local-buckling design (slenderness flags only); no seismic or wind load; fittings (bends, tees, crosses) are not checked here: check the straight tray they connect to and keep their support spacing to about half the straight-run span. This is a screening check, not a certified design: confirm against the manufacturer's load-span table or NEMA VE 1 / IEC 61537 type test data before relying on it.</t>
  </si>
  <si>
    <t xml:space="preserve">Inputs: one tray per row</t>
  </si>
  <si>
    <t xml:space="preserve">Yellow cells are inputs. Kinds: ladder, perf (perforated), trough, channel, arm (cantilever arm). Clear a row's Kind to leave it out.</t>
  </si>
  <si>
    <t xml:space="preserve">Tag</t>
  </si>
  <si>
    <t xml:space="preserve">Kind</t>
  </si>
  <si>
    <t xml:space="preserve">Width</t>
  </si>
  <si>
    <t xml:space="preserve">Depth</t>
  </si>
  <si>
    <t xml:space="preserve">Thickness</t>
  </si>
  <si>
    <t xml:space="preserve">Arm length</t>
  </si>
  <si>
    <t xml:space="preserve">Self-weight (blank = estimate)</t>
  </si>
  <si>
    <t xml:space="preserve">Cable load</t>
  </si>
  <si>
    <t xml:space="preserve">Support span / arm spacing</t>
  </si>
  <si>
    <t xml:space="preserve">Support</t>
  </si>
  <si>
    <t xml:space="preserve">Point load</t>
  </si>
  <si>
    <t xml:space="preserve">Deflection limit</t>
  </si>
  <si>
    <t xml:space="preserve">Channel span</t>
  </si>
  <si>
    <t xml:space="preserve">Supported tray weight</t>
  </si>
  <si>
    <t xml:space="preserve">mm</t>
  </si>
  <si>
    <t xml:space="preserve">mm (arm)</t>
  </si>
  <si>
    <t xml:space="preserve">kg/m</t>
  </si>
  <si>
    <t xml:space="preserve">m</t>
  </si>
  <si>
    <t xml:space="preserve">simple / continuous</t>
  </si>
  <si>
    <t xml:space="preserve">kg</t>
  </si>
  <si>
    <t xml:space="preserve">L / x</t>
  </si>
  <si>
    <t xml:space="preserve">mm (channel)</t>
  </si>
  <si>
    <t xml:space="preserve">kg/m (arm, channel)</t>
  </si>
  <si>
    <t xml:space="preserve">Ladder 600 x 100 x 2.0, simple span</t>
  </si>
  <si>
    <t xml:space="preserve">ladder</t>
  </si>
  <si>
    <t xml:space="preserve">simple</t>
  </si>
  <si>
    <t xml:space="preserve">Ladder 300 x 75 x 2.0, continuous</t>
  </si>
  <si>
    <t xml:space="preserve">continuous</t>
  </si>
  <si>
    <t xml:space="preserve">Ladder 600 x 100 x 2.0, overloaded</t>
  </si>
  <si>
    <t xml:space="preserve">Perforated 300 x 100 x 2.0</t>
  </si>
  <si>
    <t xml:space="preserve">perf</t>
  </si>
  <si>
    <t xml:space="preserve">Trough 150 x 50 x 2.5</t>
  </si>
  <si>
    <t xml:space="preserve">trough</t>
  </si>
  <si>
    <t xml:space="preserve">Cantilever arm 620 mm, 41 x 41 x 2.5</t>
  </si>
  <si>
    <t xml:space="preserve">arm</t>
  </si>
  <si>
    <t xml:space="preserve">Cantilever arm 320 mm, 41 x 41 x 2.5</t>
  </si>
  <si>
    <t xml:space="preserve">Channel 41 x 41 x 2.5, trapeze 600 mm</t>
  </si>
  <si>
    <t xml:space="preserve">channel</t>
  </si>
  <si>
    <t xml:space="preserve">Arm: enter the arm length in "Arm length", the arm spacing along the run in "Support span / arm spacing", and the weight of tray supported per metre in the last column.</t>
  </si>
  <si>
    <t xml:space="preserve">Channel: the channel span is the trapeze length between its two hangers; the cable and tray load of one support spacing acts on it as a uniform load.</t>
  </si>
  <si>
    <t xml:space="preserve">Straight tray (ladder, perf, trough): "Support span" is the distance between supports; support condition simple or continuous over several spans.</t>
  </si>
  <si>
    <t xml:space="preserve">Summary</t>
  </si>
  <si>
    <t xml:space="preserve">Pick a row to see it in detail. The table below lists every row.</t>
  </si>
  <si>
    <t xml:space="preserve">Row to show (1-20)</t>
  </si>
  <si>
    <t xml:space="preserve">Tray</t>
  </si>
  <si>
    <t xml:space="preserve">Width x depth x thickness (mm)</t>
  </si>
  <si>
    <t xml:space="preserve">Result</t>
  </si>
  <si>
    <t xml:space="preserve">VERDICT</t>
  </si>
  <si>
    <t xml:space="preserve">Safe working load</t>
  </si>
  <si>
    <t xml:space="preserve">Governing check</t>
  </si>
  <si>
    <t xml:space="preserve">Governing utilisation</t>
  </si>
  <si>
    <t xml:space="preserve">Load margin (SWL / load - 1)</t>
  </si>
  <si>
    <t xml:space="preserve">Safe working load per arm</t>
  </si>
  <si>
    <t xml:space="preserve">Utilisation (applied / capacity)</t>
  </si>
  <si>
    <t xml:space="preserve">Bending</t>
  </si>
  <si>
    <t xml:space="preserve">Shear in the webs</t>
  </si>
  <si>
    <t xml:space="preserve">Deflection</t>
  </si>
  <si>
    <t xml:space="preserve">Rung bending (ladder)</t>
  </si>
  <si>
    <t xml:space="preserve">Section</t>
  </si>
  <si>
    <t xml:space="preserve">Section area</t>
  </si>
  <si>
    <t xml:space="preserve">mm²</t>
  </si>
  <si>
    <t xml:space="preserve">Neutral axis from base</t>
  </si>
  <si>
    <t xml:space="preserve">Second moment I</t>
  </si>
  <si>
    <t xml:space="preserve">mm⁴</t>
  </si>
  <si>
    <t xml:space="preserve">Section modulus, base</t>
  </si>
  <si>
    <t xml:space="preserve">mm³</t>
  </si>
  <si>
    <t xml:space="preserve">Section modulus, top</t>
  </si>
  <si>
    <t xml:space="preserve">Self-weight used</t>
  </si>
  <si>
    <t xml:space="preserve">Slenderness flags</t>
  </si>
  <si>
    <t xml:space="preserve">Longest span that carries the load</t>
  </si>
  <si>
    <t xml:space="preserve">Resolution 0.1 m with linear interpolation between grid points. Channels have no span curve (the channel span is fixed).</t>
  </si>
  <si>
    <t xml:space="preserve">Row / tag</t>
  </si>
  <si>
    <t xml:space="preserve">SWL kg/m</t>
  </si>
  <si>
    <t xml:space="preserve">Load kg/m</t>
  </si>
  <si>
    <t xml:space="preserve">Utilisation</t>
  </si>
  <si>
    <t xml:space="preserve">Governing</t>
  </si>
  <si>
    <t xml:space="preserve">Calculation: one row per tray</t>
  </si>
  <si>
    <t xml:space="preserve">Same row numbers as Inputs. Section (1), beam check (2), arm check (3), result (4).</t>
  </si>
  <si>
    <t xml:space="preserve">Perforation ratio</t>
  </si>
  <si>
    <t xml:space="preserve">Return width</t>
  </si>
  <si>
    <t xml:space="preserve">Part 1 area</t>
  </si>
  <si>
    <t xml:space="preserve">Part 1 centroid</t>
  </si>
  <si>
    <t xml:space="preserve">Part 1 own I</t>
  </si>
  <si>
    <t xml:space="preserve">Part 2 area</t>
  </si>
  <si>
    <t xml:space="preserve">Part 2 centroid</t>
  </si>
  <si>
    <t xml:space="preserve">Part 2 own I</t>
  </si>
  <si>
    <t xml:space="preserve">Part 3 area</t>
  </si>
  <si>
    <t xml:space="preserve">Part 3 centroid</t>
  </si>
  <si>
    <t xml:space="preserve">Part 3 own I</t>
  </si>
  <si>
    <t xml:space="preserve">Z, base</t>
  </si>
  <si>
    <t xml:space="preserve">Z, top</t>
  </si>
  <si>
    <t xml:space="preserve">Web area</t>
  </si>
  <si>
    <t xml:space="preserve">Self-weight estimate</t>
  </si>
  <si>
    <t xml:space="preserve">Web depth / t</t>
  </si>
  <si>
    <t xml:space="preserve">Return / t</t>
  </si>
  <si>
    <t xml:space="preserve">Base width / t</t>
  </si>
  <si>
    <t xml:space="preserve">kw</t>
  </si>
  <si>
    <t xml:space="preserve">kp</t>
  </si>
  <si>
    <t xml:space="preserve">dw</t>
  </si>
  <si>
    <t xml:space="preserve">dp</t>
  </si>
  <si>
    <t xml:space="preserve">kv</t>
  </si>
  <si>
    <t xml:space="preserve">Allowable stress</t>
  </si>
  <si>
    <t xml:space="preserve">EI</t>
  </si>
  <si>
    <t xml:space="preserve">Shear capacity</t>
  </si>
  <si>
    <t xml:space="preserve">Beam span L</t>
  </si>
  <si>
    <t xml:space="preserve">Cable line load</t>
  </si>
  <si>
    <t xml:space="preserve">Moment capacity (beam)</t>
  </si>
  <si>
    <t xml:space="preserve">Self load</t>
  </si>
  <si>
    <t xml:space="preserve">Applied moment</t>
  </si>
  <si>
    <t xml:space="preserve">Applied shear</t>
  </si>
  <si>
    <t xml:space="preserve">SWL, bending</t>
  </si>
  <si>
    <t xml:space="preserve">SWL, shear</t>
  </si>
  <si>
    <t xml:space="preserve">SWL, deflection</t>
  </si>
  <si>
    <t xml:space="preserve">SWL (beam)</t>
  </si>
  <si>
    <t xml:space="preserve">Governing (beam)</t>
  </si>
  <si>
    <t xml:space="preserve">Rung utilisation</t>
  </si>
  <si>
    <t xml:space="preserve">Moment capacity (arm)</t>
  </si>
  <si>
    <t xml:space="preserve">Tip deflection limit</t>
  </si>
  <si>
    <t xml:space="preserve">Cable load on one arm</t>
  </si>
  <si>
    <t xml:space="preserve">Cable + tray on one arm</t>
  </si>
  <si>
    <t xml:space="preserve">Tip load</t>
  </si>
  <si>
    <t xml:space="preserve">Tip deflection</t>
  </si>
  <si>
    <t xml:space="preserve">Arm capacity, bending</t>
  </si>
  <si>
    <t xml:space="preserve">Arm capacity, shear</t>
  </si>
  <si>
    <t xml:space="preserve">Arm capacity, deflection</t>
  </si>
  <si>
    <t xml:space="preserve">SWL per arm</t>
  </si>
  <si>
    <t xml:space="preserve">SWL (arm)</t>
  </si>
  <si>
    <t xml:space="preserve">Governing (arm)</t>
  </si>
  <si>
    <t xml:space="preserve">Moment capacity</t>
  </si>
  <si>
    <t xml:space="preserve">Bending utilisation</t>
  </si>
  <si>
    <t xml:space="preserve">Shear utilisation</t>
  </si>
  <si>
    <t xml:space="preserve">Deflection utilisation</t>
  </si>
  <si>
    <t xml:space="preserve">SAFE WORKING LOAD</t>
  </si>
  <si>
    <t xml:space="preserve">Load margin</t>
  </si>
  <si>
    <t xml:space="preserve">MPa</t>
  </si>
  <si>
    <t xml:space="preserve">N</t>
  </si>
  <si>
    <t xml:space="preserve">N·mm²</t>
  </si>
  <si>
    <t xml:space="preserve">N·mm</t>
  </si>
  <si>
    <t xml:space="preserve">N/mm</t>
  </si>
  <si>
    <t xml:space="preserve">%</t>
  </si>
  <si>
    <t xml:space="preserve">Safe working load against span (row selected on Summary)</t>
  </si>
  <si>
    <t xml:space="preserve">Straight trays and arms. For an arm the "span" is the arm spacing along the run.</t>
  </si>
  <si>
    <t xml:space="preserve">Cable load (kg/m)</t>
  </si>
  <si>
    <t xml:space="preserve">Longest span carrying the load (m)</t>
  </si>
  <si>
    <t xml:space="preserve">Note</t>
  </si>
  <si>
    <t xml:space="preserve">Selected row (helper values)</t>
  </si>
  <si>
    <t xml:space="preserve">Span (m)</t>
  </si>
  <si>
    <t xml:space="preserve">SWL (kg/m)</t>
  </si>
  <si>
    <t xml:space="preserve">Load (kg/m)</t>
  </si>
  <si>
    <t xml:space="preserve">Carries load?</t>
  </si>
  <si>
    <t xml:space="preserve">kind</t>
  </si>
  <si>
    <t xml:space="preserve">load</t>
  </si>
  <si>
    <t xml:space="preserve">pt</t>
  </si>
  <si>
    <t xml:space="preserve">defl</t>
  </si>
  <si>
    <t xml:space="preserve">trayKg</t>
  </si>
  <si>
    <t xml:space="preserve">La</t>
  </si>
  <si>
    <t xml:space="preserve">sigma</t>
  </si>
  <si>
    <t xml:space="preserve">P</t>
  </si>
  <si>
    <t xml:space="preserve">Vall</t>
  </si>
  <si>
    <t xml:space="preserve">Mallb</t>
  </si>
  <si>
    <t xml:space="preserve">Malla</t>
  </si>
  <si>
    <t xml:space="preserve">self</t>
  </si>
  <si>
    <t xml:space="preserve">wS</t>
  </si>
  <si>
    <t xml:space="preserve">Parameters</t>
  </si>
  <si>
    <t xml:space="preserve">Blue on yellow = assumption you can change. Each value is a named cell (p_...).</t>
  </si>
  <si>
    <t xml:space="preserve">Material and limits</t>
  </si>
  <si>
    <t xml:space="preserve">Yield strength</t>
  </si>
  <si>
    <t xml:space="preserve">Mild steel sheet</t>
  </si>
  <si>
    <t xml:space="preserve">Elastic modulus</t>
  </si>
  <si>
    <t xml:space="preserve">Factor of safety on bending</t>
  </si>
  <si>
    <t xml:space="preserve">Allowable stress = fy / factor</t>
  </si>
  <si>
    <t xml:space="preserve">Splice efficiency on moment capacity</t>
  </si>
  <si>
    <t xml:space="preserve">Coupler joint; applies to straight trays and channels, not to arms</t>
  </si>
  <si>
    <t xml:space="preserve">Shear allowable, share of fy</t>
  </si>
  <si>
    <t xml:space="preserve">Applied to the web area</t>
  </si>
  <si>
    <t xml:space="preserve">Gravity</t>
  </si>
  <si>
    <t xml:space="preserve">m/s²</t>
  </si>
  <si>
    <t xml:space="preserve">Web depth / thickness limit</t>
  </si>
  <si>
    <t xml:space="preserve">Flag only</t>
  </si>
  <si>
    <t xml:space="preserve">Flange return / thickness limit</t>
  </si>
  <si>
    <t xml:space="preserve">Base plate width / thickness limit</t>
  </si>
  <si>
    <t xml:space="preserve">Cantilever tip deflection limit (arm length / x)</t>
  </si>
  <si>
    <t xml:space="preserve">Ladder tray</t>
  </si>
  <si>
    <t xml:space="preserve">Side-rail return (collar) width</t>
  </si>
  <si>
    <t xml:space="preserve">Rung width</t>
  </si>
  <si>
    <t xml:space="preserve">Rung height</t>
  </si>
  <si>
    <t xml:space="preserve">Rung thickness</t>
  </si>
  <si>
    <t xml:space="preserve">Rungs per 2.5 m length</t>
  </si>
  <si>
    <t xml:space="preserve">nos</t>
  </si>
  <si>
    <t xml:space="preserve">Perforated tray (perforations in the base)</t>
  </si>
  <si>
    <t xml:space="preserve">Holes per row</t>
  </si>
  <si>
    <t xml:space="preserve">Hole length</t>
  </si>
  <si>
    <t xml:space="preserve">Hole width</t>
  </si>
  <si>
    <t xml:space="preserve">Row spacing</t>
  </si>
  <si>
    <t xml:space="preserve">Trough tray</t>
  </si>
  <si>
    <t xml:space="preserve">Channel and cantilever arm</t>
  </si>
  <si>
    <t xml:space="preserve">Return lip width</t>
  </si>
  <si>
    <t xml:space="preserve">Beam coefficients (M = kw·w·L² + kp·P·L; V = kv·(w·L + P); d = dw·w·L⁴/EI + dp·P·L³/EI)</t>
  </si>
  <si>
    <t xml:space="preserve">Support condition</t>
  </si>
  <si>
    <t xml:space="preserve">Ladder rung section (derived)</t>
  </si>
  <si>
    <t xml:space="preserve">Rung base area</t>
  </si>
  <si>
    <t xml:space="preserve">Rung side area (two legs)</t>
  </si>
  <si>
    <t xml:space="preserve">Rung section area</t>
  </si>
  <si>
    <t xml:space="preserve">Second moment of the rung</t>
  </si>
  <si>
    <t xml:space="preserve">Rung section modulus (smaller)</t>
  </si>
</sst>
</file>

<file path=xl/styles.xml><?xml version="1.0" encoding="utf-8"?>
<styleSheet xmlns="http://schemas.openxmlformats.org/spreadsheetml/2006/main">
  <numFmts count="13">
    <numFmt numFmtId="164" formatCode="General"/>
    <numFmt numFmtId="165" formatCode="0.00"/>
    <numFmt numFmtId="166" formatCode="0.0"/>
    <numFmt numFmtId="167" formatCode="@"/>
    <numFmt numFmtId="168" formatCode="#,##0.0"/>
    <numFmt numFmtId="169" formatCode="0%"/>
    <numFmt numFmtId="170" formatCode="#,##0"/>
    <numFmt numFmtId="171" formatCode="0.000"/>
    <numFmt numFmtId="172" formatCode="0"/>
    <numFmt numFmtId="173" formatCode="0.000000"/>
    <numFmt numFmtId="174" formatCode="0.000E+00"/>
    <numFmt numFmtId="175" formatCode="0.0000"/>
    <numFmt numFmtId="176" formatCode="#,##0.00"/>
  </numFmts>
  <fonts count="15">
    <font>
      <sz val="11"/>
      <color theme="1"/>
      <name val="Calibri"/>
      <family val="2"/>
      <charset val="1"/>
    </font>
    <font>
      <sz val="10"/>
      <name val="Arial"/>
      <family val="0"/>
    </font>
    <font>
      <sz val="10"/>
      <name val="Arial"/>
      <family val="0"/>
    </font>
    <font>
      <sz val="10"/>
      <name val="Arial"/>
      <family val="0"/>
    </font>
    <font>
      <b val="true"/>
      <sz val="15"/>
      <color rgb="FF1F3A5F"/>
      <name val="Cambria"/>
      <family val="0"/>
      <charset val="1"/>
    </font>
    <font>
      <i val="true"/>
      <sz val="11"/>
      <color rgb="FF6B7482"/>
      <name val="Cambria"/>
      <family val="0"/>
      <charset val="1"/>
    </font>
    <font>
      <b val="true"/>
      <sz val="11"/>
      <name val="Cambria"/>
      <family val="0"/>
      <charset val="1"/>
    </font>
    <font>
      <b val="true"/>
      <sz val="11"/>
      <color rgb="FFFFFFFF"/>
      <name val="Cambria"/>
      <family val="0"/>
      <charset val="1"/>
    </font>
    <font>
      <i val="true"/>
      <sz val="9"/>
      <color rgb="FF6B7482"/>
      <name val="Cambria"/>
      <family val="0"/>
      <charset val="1"/>
    </font>
    <font>
      <sz val="11"/>
      <color rgb="FF1F4FBF"/>
      <name val="Cambria"/>
      <family val="0"/>
      <charset val="1"/>
    </font>
    <font>
      <sz val="11"/>
      <color rgb="FF6B7482"/>
      <name val="Cambria"/>
      <family val="0"/>
      <charset val="1"/>
    </font>
    <font>
      <b val="true"/>
      <sz val="18"/>
      <color rgb="FF000000"/>
      <name val="Calibri"/>
      <family val="2"/>
    </font>
    <font>
      <sz val="10"/>
      <color rgb="FF000000"/>
      <name val="Calibri"/>
      <family val="2"/>
    </font>
    <font>
      <b val="true"/>
      <sz val="10"/>
      <color rgb="FF000000"/>
      <name val="Calibri"/>
      <family val="2"/>
    </font>
    <font>
      <sz val="9"/>
      <color rgb="FF6B7482"/>
      <name val="Cambria"/>
      <family val="0"/>
      <charset val="1"/>
    </font>
  </fonts>
  <fills count="6">
    <fill>
      <patternFill patternType="none"/>
    </fill>
    <fill>
      <patternFill patternType="gray125"/>
    </fill>
    <fill>
      <patternFill patternType="solid">
        <fgColor rgb="FF1F3A5F"/>
        <bgColor rgb="FF333333"/>
      </patternFill>
    </fill>
    <fill>
      <patternFill patternType="solid">
        <fgColor rgb="FFFFF7D6"/>
        <bgColor rgb="FFEEF1F5"/>
      </patternFill>
    </fill>
    <fill>
      <patternFill patternType="solid">
        <fgColor rgb="FFE3F1E7"/>
        <bgColor rgb="FFD7F0DF"/>
      </patternFill>
    </fill>
    <fill>
      <patternFill patternType="solid">
        <fgColor rgb="FFEEF1F5"/>
        <bgColor rgb="FFE3F1E7"/>
      </patternFill>
    </fill>
  </fills>
  <borders count="2">
    <border diagonalUp="false" diagonalDown="false">
      <left/>
      <right/>
      <top/>
      <bottom/>
      <diagonal/>
    </border>
    <border diagonalUp="false" diagonalDown="false">
      <left style="thin">
        <color rgb="FFC9CFD8"/>
      </left>
      <right style="thin">
        <color rgb="FFC9CFD8"/>
      </right>
      <top style="thin">
        <color rgb="FFC9CFD8"/>
      </top>
      <bottom style="thin">
        <color rgb="FFC9CF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6" fillId="4" borderId="0" xfId="0" applyFont="true" applyBorder="false" applyAlignment="false" applyProtection="false">
      <alignment horizontal="general" vertical="bottom" textRotation="0" wrapText="false" indent="0" shrinkToFit="false"/>
      <protection locked="true" hidden="false"/>
    </xf>
    <xf numFmtId="168" fontId="6" fillId="4" borderId="0" xfId="0" applyFont="true" applyBorder="false" applyAlignment="false" applyProtection="false">
      <alignment horizontal="general" vertical="bottom" textRotation="0" wrapText="false" indent="0" shrinkToFit="false"/>
      <protection locked="true" hidden="false"/>
    </xf>
    <xf numFmtId="169" fontId="6" fillId="4"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5" fontId="6" fillId="4"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xf numFmtId="171" fontId="6" fillId="4"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73" fontId="9" fillId="3" borderId="0" xfId="0" applyFont="tru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D7F0DF"/>
        </patternFill>
      </fill>
    </dxf>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BE4B48"/>
      <rgbColor rgb="FFFFF7D6"/>
      <rgbColor rgb="FFE3F1E7"/>
      <rgbColor rgb="FF660066"/>
      <rgbColor rgb="FFFF8080"/>
      <rgbColor rgb="FF1F4FBF"/>
      <rgbColor rgb="FFC9CFD8"/>
      <rgbColor rgb="FF000080"/>
      <rgbColor rgb="FFFF00FF"/>
      <rgbColor rgb="FFFFFF00"/>
      <rgbColor rgb="FF00FFFF"/>
      <rgbColor rgb="FF800080"/>
      <rgbColor rgb="FF800000"/>
      <rgbColor rgb="FF008080"/>
      <rgbColor rgb="FF0000FF"/>
      <rgbColor rgb="FF00CCFF"/>
      <rgbColor rgb="FFEEF1F5"/>
      <rgbColor rgb="FFD7F0DF"/>
      <rgbColor rgb="FFFFFF99"/>
      <rgbColor rgb="FF99CCFF"/>
      <rgbColor rgb="FFFF99CC"/>
      <rgbColor rgb="FFCC99FF"/>
      <rgbColor rgb="FFF8D7DA"/>
      <rgbColor rgb="FF4A7EBB"/>
      <rgbColor rgb="FF33CCCC"/>
      <rgbColor rgb="FF99CC00"/>
      <rgbColor rgb="FFFFCC00"/>
      <rgbColor rgb="FFFF9900"/>
      <rgbColor rgb="FFFF6600"/>
      <rgbColor rgb="FF6B7482"/>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Safe working load against span</a:t>
            </a:r>
          </a:p>
        </c:rich>
      </c:tx>
      <c:overlay val="0"/>
      <c:spPr>
        <a:noFill/>
        <a:ln w="0">
          <a:noFill/>
        </a:ln>
      </c:spPr>
    </c:title>
    <c:autoTitleDeleted val="0"/>
    <c:plotArea>
      <c:lineChart>
        <c:grouping val="standard"/>
        <c:varyColors val="0"/>
        <c:ser>
          <c:idx val="0"/>
          <c:order val="0"/>
          <c:tx>
            <c:strRef>
              <c:f>'Span curve'!B11</c:f>
              <c:strCache>
                <c:ptCount val="1"/>
                <c:pt idx="0">
                  <c:v>SWL (kg/m)</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'Span curve'!$A$12:$A$72</c:f>
              <c:strCache>
                <c:ptCount val="61"/>
                <c:pt idx="0">
                  <c:v>0.5</c:v>
                </c:pt>
                <c:pt idx="1">
                  <c:v>0.6</c:v>
                </c:pt>
                <c:pt idx="2">
                  <c:v>0.7</c:v>
                </c:pt>
                <c:pt idx="3">
                  <c:v>0.8</c:v>
                </c:pt>
                <c:pt idx="4">
                  <c:v>0.9</c:v>
                </c:pt>
                <c:pt idx="5">
                  <c:v>1.0</c:v>
                </c:pt>
                <c:pt idx="6">
                  <c:v>1.1</c:v>
                </c:pt>
                <c:pt idx="7">
                  <c:v>1.2</c:v>
                </c:pt>
                <c:pt idx="8">
                  <c:v>1.3</c:v>
                </c:pt>
                <c:pt idx="9">
                  <c:v>1.4</c:v>
                </c:pt>
                <c:pt idx="10">
                  <c:v>1.5</c:v>
                </c:pt>
                <c:pt idx="11">
                  <c:v>1.6</c:v>
                </c:pt>
                <c:pt idx="12">
                  <c:v>1.7</c:v>
                </c:pt>
                <c:pt idx="13">
                  <c:v>1.8</c:v>
                </c:pt>
                <c:pt idx="14">
                  <c:v>1.9</c:v>
                </c:pt>
                <c:pt idx="15">
                  <c:v>2.0</c:v>
                </c:pt>
                <c:pt idx="16">
                  <c:v>2.1</c:v>
                </c:pt>
                <c:pt idx="17">
                  <c:v>2.2</c:v>
                </c:pt>
                <c:pt idx="18">
                  <c:v>2.3</c:v>
                </c:pt>
                <c:pt idx="19">
                  <c:v>2.4</c:v>
                </c:pt>
                <c:pt idx="20">
                  <c:v>2.5</c:v>
                </c:pt>
                <c:pt idx="21">
                  <c:v>2.6</c:v>
                </c:pt>
                <c:pt idx="22">
                  <c:v>2.7</c:v>
                </c:pt>
                <c:pt idx="23">
                  <c:v>2.8</c:v>
                </c:pt>
                <c:pt idx="24">
                  <c:v>2.9</c:v>
                </c:pt>
                <c:pt idx="25">
                  <c:v>3.0</c:v>
                </c:pt>
                <c:pt idx="26">
                  <c:v>3.1</c:v>
                </c:pt>
                <c:pt idx="27">
                  <c:v>3.2</c:v>
                </c:pt>
                <c:pt idx="28">
                  <c:v>3.3</c:v>
                </c:pt>
                <c:pt idx="29">
                  <c:v>3.4</c:v>
                </c:pt>
                <c:pt idx="30">
                  <c:v>3.5</c:v>
                </c:pt>
                <c:pt idx="31">
                  <c:v>3.6</c:v>
                </c:pt>
                <c:pt idx="32">
                  <c:v>3.7</c:v>
                </c:pt>
                <c:pt idx="33">
                  <c:v>3.8</c:v>
                </c:pt>
                <c:pt idx="34">
                  <c:v>3.9</c:v>
                </c:pt>
                <c:pt idx="35">
                  <c:v>4.0</c:v>
                </c:pt>
                <c:pt idx="36">
                  <c:v>4.1</c:v>
                </c:pt>
                <c:pt idx="37">
                  <c:v>4.2</c:v>
                </c:pt>
                <c:pt idx="38">
                  <c:v>4.3</c:v>
                </c:pt>
                <c:pt idx="39">
                  <c:v>4.4</c:v>
                </c:pt>
                <c:pt idx="40">
                  <c:v>4.5</c:v>
                </c:pt>
                <c:pt idx="41">
                  <c:v>4.6</c:v>
                </c:pt>
                <c:pt idx="42">
                  <c:v>4.7</c:v>
                </c:pt>
                <c:pt idx="43">
                  <c:v>4.8</c:v>
                </c:pt>
                <c:pt idx="44">
                  <c:v>4.9</c:v>
                </c:pt>
                <c:pt idx="45">
                  <c:v>5.0</c:v>
                </c:pt>
                <c:pt idx="46">
                  <c:v>5.1</c:v>
                </c:pt>
                <c:pt idx="47">
                  <c:v>5.2</c:v>
                </c:pt>
                <c:pt idx="48">
                  <c:v>5.3</c:v>
                </c:pt>
                <c:pt idx="49">
                  <c:v>5.4</c:v>
                </c:pt>
                <c:pt idx="50">
                  <c:v>5.5</c:v>
                </c:pt>
                <c:pt idx="51">
                  <c:v>5.6</c:v>
                </c:pt>
                <c:pt idx="52">
                  <c:v>5.7</c:v>
                </c:pt>
                <c:pt idx="53">
                  <c:v>5.8</c:v>
                </c:pt>
                <c:pt idx="54">
                  <c:v>5.9</c:v>
                </c:pt>
                <c:pt idx="55">
                  <c:v>6.0</c:v>
                </c:pt>
                <c:pt idx="56">
                  <c:v>6.1</c:v>
                </c:pt>
                <c:pt idx="57">
                  <c:v>6.2</c:v>
                </c:pt>
                <c:pt idx="58">
                  <c:v>6.3</c:v>
                </c:pt>
                <c:pt idx="59">
                  <c:v>6.4</c:v>
                </c:pt>
                <c:pt idx="60">
                  <c:v>6.5</c:v>
                </c:pt>
              </c:strCache>
            </c:strRef>
          </c:cat>
          <c:val>
            <c:numRef>
              <c:f>'Span curve'!$B$12:$B$72</c:f>
              <c:numCache>
                <c:formatCode>#,##0.0</c:formatCode>
                <c:ptCount val="61"/>
                <c:pt idx="0">
                  <c:v>4001.70863703785</c:v>
                </c:pt>
                <c:pt idx="1">
                  <c:v>2726.34877572073</c:v>
                </c:pt>
                <c:pt idx="2">
                  <c:v>1964.02603930503</c:v>
                </c:pt>
                <c:pt idx="3">
                  <c:v>1473.57618634291</c:v>
                </c:pt>
                <c:pt idx="4">
                  <c:v>1140.28834476477</c:v>
                </c:pt>
                <c:pt idx="5">
                  <c:v>904.007159259463</c:v>
                </c:pt>
                <c:pt idx="6">
                  <c:v>730.751701867324</c:v>
                </c:pt>
                <c:pt idx="7">
                  <c:v>600.167193930182</c:v>
                </c:pt>
                <c:pt idx="8">
                  <c:v>499.467904887256</c:v>
                </c:pt>
                <c:pt idx="9">
                  <c:v>420.300795540542</c:v>
                </c:pt>
                <c:pt idx="10">
                  <c:v>357.025404115317</c:v>
                </c:pt>
                <c:pt idx="11">
                  <c:v>305.724046585728</c:v>
                </c:pt>
                <c:pt idx="12">
                  <c:v>263.608567217807</c:v>
                </c:pt>
                <c:pt idx="13">
                  <c:v>228.652086191192</c:v>
                </c:pt>
                <c:pt idx="14">
                  <c:v>199.353340515087</c:v>
                </c:pt>
                <c:pt idx="15">
                  <c:v>174.581789814866</c:v>
                </c:pt>
                <c:pt idx="16">
                  <c:v>153.47336944659</c:v>
                </c:pt>
                <c:pt idx="17">
                  <c:v>135.35883455774</c:v>
                </c:pt>
                <c:pt idx="18">
                  <c:v>119.713565077403</c:v>
                </c:pt>
                <c:pt idx="19">
                  <c:v>106.121798482546</c:v>
                </c:pt>
                <c:pt idx="20">
                  <c:v>94.250745481514</c:v>
                </c:pt>
                <c:pt idx="21">
                  <c:v>83.8315916064294</c:v>
                </c:pt>
                <c:pt idx="22">
                  <c:v>74.6453716405299</c:v>
                </c:pt>
                <c:pt idx="23">
                  <c:v>66.5123417422784</c:v>
                </c:pt>
                <c:pt idx="24">
                  <c:v>59.2838952746091</c:v>
                </c:pt>
                <c:pt idx="25">
                  <c:v>52.8363510288292</c:v>
                </c:pt>
                <c:pt idx="26">
                  <c:v>47.0661351986954</c:v>
                </c:pt>
                <c:pt idx="27">
                  <c:v>41.8860116464319</c:v>
                </c:pt>
                <c:pt idx="28">
                  <c:v>37.2221082882886</c:v>
                </c:pt>
                <c:pt idx="29">
                  <c:v>33.0115535691577</c:v>
                </c:pt>
                <c:pt idx="30">
                  <c:v>29.2005844293439</c:v>
                </c:pt>
                <c:pt idx="31">
                  <c:v>25.743021547798</c:v>
                </c:pt>
                <c:pt idx="32">
                  <c:v>22.5990328166152</c:v>
                </c:pt>
                <c:pt idx="33">
                  <c:v>19.7341246024559</c:v>
                </c:pt>
                <c:pt idx="34">
                  <c:v>17.1183142182421</c:v>
                </c:pt>
                <c:pt idx="35">
                  <c:v>14.7254474537164</c:v>
                </c:pt>
                <c:pt idx="36">
                  <c:v>12.5326329125201</c:v>
                </c:pt>
                <c:pt idx="37">
                  <c:v>10.5197709330761</c:v>
                </c:pt>
                <c:pt idx="38">
                  <c:v>8.66915950564968</c:v>
                </c:pt>
                <c:pt idx="39">
                  <c:v>6.9651631848896</c:v>
                </c:pt>
                <c:pt idx="40">
                  <c:v>5.39393379059074</c:v>
                </c:pt>
                <c:pt idx="41">
                  <c:v>3.94317387804643</c:v>
                </c:pt>
                <c:pt idx="42">
                  <c:v>2.60193568399559</c:v>
                </c:pt>
                <c:pt idx="43">
                  <c:v>1.3604496206364</c:v>
                </c:pt>
                <c:pt idx="44">
                  <c:v>0.209977478528223</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val>
          <c:smooth val="1"/>
        </c:ser>
        <c:ser>
          <c:idx val="1"/>
          <c:order val="1"/>
          <c:tx>
            <c:strRef>
              <c:f>'Span curve'!C11</c:f>
              <c:strCache>
                <c:ptCount val="1"/>
                <c:pt idx="0">
                  <c:v>Load (kg/m)</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'Span curve'!$A$12:$A$72</c:f>
              <c:strCache>
                <c:ptCount val="61"/>
                <c:pt idx="0">
                  <c:v>0.5</c:v>
                </c:pt>
                <c:pt idx="1">
                  <c:v>0.6</c:v>
                </c:pt>
                <c:pt idx="2">
                  <c:v>0.7</c:v>
                </c:pt>
                <c:pt idx="3">
                  <c:v>0.8</c:v>
                </c:pt>
                <c:pt idx="4">
                  <c:v>0.9</c:v>
                </c:pt>
                <c:pt idx="5">
                  <c:v>1.0</c:v>
                </c:pt>
                <c:pt idx="6">
                  <c:v>1.1</c:v>
                </c:pt>
                <c:pt idx="7">
                  <c:v>1.2</c:v>
                </c:pt>
                <c:pt idx="8">
                  <c:v>1.3</c:v>
                </c:pt>
                <c:pt idx="9">
                  <c:v>1.4</c:v>
                </c:pt>
                <c:pt idx="10">
                  <c:v>1.5</c:v>
                </c:pt>
                <c:pt idx="11">
                  <c:v>1.6</c:v>
                </c:pt>
                <c:pt idx="12">
                  <c:v>1.7</c:v>
                </c:pt>
                <c:pt idx="13">
                  <c:v>1.8</c:v>
                </c:pt>
                <c:pt idx="14">
                  <c:v>1.9</c:v>
                </c:pt>
                <c:pt idx="15">
                  <c:v>2.0</c:v>
                </c:pt>
                <c:pt idx="16">
                  <c:v>2.1</c:v>
                </c:pt>
                <c:pt idx="17">
                  <c:v>2.2</c:v>
                </c:pt>
                <c:pt idx="18">
                  <c:v>2.3</c:v>
                </c:pt>
                <c:pt idx="19">
                  <c:v>2.4</c:v>
                </c:pt>
                <c:pt idx="20">
                  <c:v>2.5</c:v>
                </c:pt>
                <c:pt idx="21">
                  <c:v>2.6</c:v>
                </c:pt>
                <c:pt idx="22">
                  <c:v>2.7</c:v>
                </c:pt>
                <c:pt idx="23">
                  <c:v>2.8</c:v>
                </c:pt>
                <c:pt idx="24">
                  <c:v>2.9</c:v>
                </c:pt>
                <c:pt idx="25">
                  <c:v>3.0</c:v>
                </c:pt>
                <c:pt idx="26">
                  <c:v>3.1</c:v>
                </c:pt>
                <c:pt idx="27">
                  <c:v>3.2</c:v>
                </c:pt>
                <c:pt idx="28">
                  <c:v>3.3</c:v>
                </c:pt>
                <c:pt idx="29">
                  <c:v>3.4</c:v>
                </c:pt>
                <c:pt idx="30">
                  <c:v>3.5</c:v>
                </c:pt>
                <c:pt idx="31">
                  <c:v>3.6</c:v>
                </c:pt>
                <c:pt idx="32">
                  <c:v>3.7</c:v>
                </c:pt>
                <c:pt idx="33">
                  <c:v>3.8</c:v>
                </c:pt>
                <c:pt idx="34">
                  <c:v>3.9</c:v>
                </c:pt>
                <c:pt idx="35">
                  <c:v>4.0</c:v>
                </c:pt>
                <c:pt idx="36">
                  <c:v>4.1</c:v>
                </c:pt>
                <c:pt idx="37">
                  <c:v>4.2</c:v>
                </c:pt>
                <c:pt idx="38">
                  <c:v>4.3</c:v>
                </c:pt>
                <c:pt idx="39">
                  <c:v>4.4</c:v>
                </c:pt>
                <c:pt idx="40">
                  <c:v>4.5</c:v>
                </c:pt>
                <c:pt idx="41">
                  <c:v>4.6</c:v>
                </c:pt>
                <c:pt idx="42">
                  <c:v>4.7</c:v>
                </c:pt>
                <c:pt idx="43">
                  <c:v>4.8</c:v>
                </c:pt>
                <c:pt idx="44">
                  <c:v>4.9</c:v>
                </c:pt>
                <c:pt idx="45">
                  <c:v>5.0</c:v>
                </c:pt>
                <c:pt idx="46">
                  <c:v>5.1</c:v>
                </c:pt>
                <c:pt idx="47">
                  <c:v>5.2</c:v>
                </c:pt>
                <c:pt idx="48">
                  <c:v>5.3</c:v>
                </c:pt>
                <c:pt idx="49">
                  <c:v>5.4</c:v>
                </c:pt>
                <c:pt idx="50">
                  <c:v>5.5</c:v>
                </c:pt>
                <c:pt idx="51">
                  <c:v>5.6</c:v>
                </c:pt>
                <c:pt idx="52">
                  <c:v>5.7</c:v>
                </c:pt>
                <c:pt idx="53">
                  <c:v>5.8</c:v>
                </c:pt>
                <c:pt idx="54">
                  <c:v>5.9</c:v>
                </c:pt>
                <c:pt idx="55">
                  <c:v>6.0</c:v>
                </c:pt>
                <c:pt idx="56">
                  <c:v>6.1</c:v>
                </c:pt>
                <c:pt idx="57">
                  <c:v>6.2</c:v>
                </c:pt>
                <c:pt idx="58">
                  <c:v>6.3</c:v>
                </c:pt>
                <c:pt idx="59">
                  <c:v>6.4</c:v>
                </c:pt>
                <c:pt idx="60">
                  <c:v>6.5</c:v>
                </c:pt>
              </c:strCache>
            </c:strRef>
          </c:cat>
          <c:val>
            <c:numRef>
              <c:f>'Span curve'!$C$12:$C$72</c:f>
              <c:numCache>
                <c:formatCode>0.0</c:formatCode>
                <c:ptCount val="61"/>
                <c:pt idx="0">
                  <c:v>40</c:v>
                </c:pt>
                <c:pt idx="1">
                  <c:v>40</c:v>
                </c:pt>
                <c:pt idx="2">
                  <c:v>40</c:v>
                </c:pt>
                <c:pt idx="3">
                  <c:v>40</c:v>
                </c:pt>
                <c:pt idx="4">
                  <c:v>40</c:v>
                </c:pt>
                <c:pt idx="5">
                  <c:v>40</c:v>
                </c:pt>
                <c:pt idx="6">
                  <c:v>40</c:v>
                </c:pt>
                <c:pt idx="7">
                  <c:v>40</c:v>
                </c:pt>
                <c:pt idx="8">
                  <c:v>40</c:v>
                </c:pt>
                <c:pt idx="9">
                  <c:v>40</c:v>
                </c:pt>
                <c:pt idx="10">
                  <c:v>40</c:v>
                </c:pt>
                <c:pt idx="11">
                  <c:v>40</c:v>
                </c:pt>
                <c:pt idx="12">
                  <c:v>40</c:v>
                </c:pt>
                <c:pt idx="13">
                  <c:v>40</c:v>
                </c:pt>
                <c:pt idx="14">
                  <c:v>40</c:v>
                </c:pt>
                <c:pt idx="15">
                  <c:v>40</c:v>
                </c:pt>
                <c:pt idx="16">
                  <c:v>40</c:v>
                </c:pt>
                <c:pt idx="17">
                  <c:v>40</c:v>
                </c:pt>
                <c:pt idx="18">
                  <c:v>40</c:v>
                </c:pt>
                <c:pt idx="19">
                  <c:v>40</c:v>
                </c:pt>
                <c:pt idx="20">
                  <c:v>40</c:v>
                </c:pt>
                <c:pt idx="21">
                  <c:v>40</c:v>
                </c:pt>
                <c:pt idx="22">
                  <c:v>40</c:v>
                </c:pt>
                <c:pt idx="23">
                  <c:v>40</c:v>
                </c:pt>
                <c:pt idx="24">
                  <c:v>40</c:v>
                </c:pt>
                <c:pt idx="25">
                  <c:v>40</c:v>
                </c:pt>
                <c:pt idx="26">
                  <c:v>40</c:v>
                </c:pt>
                <c:pt idx="27">
                  <c:v>40</c:v>
                </c:pt>
                <c:pt idx="28">
                  <c:v>40</c:v>
                </c:pt>
                <c:pt idx="29">
                  <c:v>40</c:v>
                </c:pt>
                <c:pt idx="30">
                  <c:v>40</c:v>
                </c:pt>
                <c:pt idx="31">
                  <c:v>40</c:v>
                </c:pt>
                <c:pt idx="32">
                  <c:v>40</c:v>
                </c:pt>
                <c:pt idx="33">
                  <c:v>40</c:v>
                </c:pt>
                <c:pt idx="34">
                  <c:v>40</c:v>
                </c:pt>
                <c:pt idx="35">
                  <c:v>40</c:v>
                </c:pt>
                <c:pt idx="36">
                  <c:v>40</c:v>
                </c:pt>
                <c:pt idx="37">
                  <c:v>40</c:v>
                </c:pt>
                <c:pt idx="38">
                  <c:v>40</c:v>
                </c:pt>
                <c:pt idx="39">
                  <c:v>40</c:v>
                </c:pt>
                <c:pt idx="40">
                  <c:v>40</c:v>
                </c:pt>
                <c:pt idx="41">
                  <c:v>40</c:v>
                </c:pt>
                <c:pt idx="42">
                  <c:v>40</c:v>
                </c:pt>
                <c:pt idx="43">
                  <c:v>40</c:v>
                </c:pt>
                <c:pt idx="44">
                  <c:v>40</c:v>
                </c:pt>
                <c:pt idx="45">
                  <c:v>40</c:v>
                </c:pt>
                <c:pt idx="46">
                  <c:v>40</c:v>
                </c:pt>
                <c:pt idx="47">
                  <c:v>40</c:v>
                </c:pt>
                <c:pt idx="48">
                  <c:v>40</c:v>
                </c:pt>
                <c:pt idx="49">
                  <c:v>40</c:v>
                </c:pt>
                <c:pt idx="50">
                  <c:v>40</c:v>
                </c:pt>
                <c:pt idx="51">
                  <c:v>40</c:v>
                </c:pt>
                <c:pt idx="52">
                  <c:v>40</c:v>
                </c:pt>
                <c:pt idx="53">
                  <c:v>40</c:v>
                </c:pt>
                <c:pt idx="54">
                  <c:v>40</c:v>
                </c:pt>
                <c:pt idx="55">
                  <c:v>40</c:v>
                </c:pt>
                <c:pt idx="56">
                  <c:v>40</c:v>
                </c:pt>
                <c:pt idx="57">
                  <c:v>40</c:v>
                </c:pt>
                <c:pt idx="58">
                  <c:v>40</c:v>
                </c:pt>
                <c:pt idx="59">
                  <c:v>40</c:v>
                </c:pt>
                <c:pt idx="60">
                  <c:v>40</c:v>
                </c:pt>
              </c:numCache>
            </c:numRef>
          </c:val>
          <c:smooth val="1"/>
        </c:ser>
        <c:hiLowLines>
          <c:spPr>
            <a:ln w="0">
              <a:noFill/>
            </a:ln>
          </c:spPr>
        </c:hiLowLines>
        <c:marker val="0"/>
        <c:axId val="8841597"/>
        <c:axId val="98730903"/>
      </c:lineChart>
      <c:catAx>
        <c:axId val="884159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span, m</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730903"/>
        <c:crosses val="autoZero"/>
        <c:auto val="1"/>
        <c:lblAlgn val="ctr"/>
        <c:lblOffset val="100"/>
        <c:noMultiLvlLbl val="0"/>
      </c:catAx>
      <c:valAx>
        <c:axId val="9873090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kg/m</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4159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9</xdr:row>
      <xdr:rowOff>145440</xdr:rowOff>
    </xdr:from>
    <xdr:to>
      <xdr:col>19</xdr:col>
      <xdr:colOff>364320</xdr:colOff>
      <xdr:row>25</xdr:row>
      <xdr:rowOff>127800</xdr:rowOff>
    </xdr:to>
    <xdr:graphicFrame>
      <xdr:nvGraphicFramePr>
        <xdr:cNvPr id="0" name="Chart 1"/>
        <xdr:cNvGraphicFramePr/>
      </xdr:nvGraphicFramePr>
      <xdr:xfrm>
        <a:off x="9681120" y="190512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4"/>
  </cols>
  <sheetData>
    <row r="1" customFormat="false" ht="18.55" hidden="false" customHeight="false" outlineLevel="0" collapsed="false">
      <c r="A1" s="1" t="s">
        <v>0</v>
      </c>
    </row>
    <row r="2" customFormat="false" ht="15" hidden="false" customHeight="false" outlineLevel="0" collapsed="false">
      <c r="A2" s="2" t="s">
        <v>1</v>
      </c>
    </row>
    <row r="4" customFormat="false" ht="55.5" hidden="false" customHeight="true" outlineLevel="0" collapsed="false">
      <c r="A4" s="3" t="s">
        <v>2</v>
      </c>
      <c r="B4" s="4" t="s">
        <v>3</v>
      </c>
    </row>
    <row r="5" customFormat="false" ht="55.5" hidden="false" customHeight="true" outlineLevel="0" collapsed="false">
      <c r="A5" s="3" t="s">
        <v>4</v>
      </c>
      <c r="B5" s="4" t="s">
        <v>5</v>
      </c>
    </row>
    <row r="6" customFormat="false" ht="96" hidden="false" customHeight="true" outlineLevel="0" collapsed="false">
      <c r="A6" s="3" t="s">
        <v>6</v>
      </c>
      <c r="B6" s="4" t="s">
        <v>7</v>
      </c>
    </row>
    <row r="7" customFormat="false" ht="55.5" hidden="false" customHeight="true" outlineLevel="0" collapsed="false">
      <c r="A7" s="3" t="s">
        <v>8</v>
      </c>
      <c r="B7" s="4" t="s">
        <v>9</v>
      </c>
    </row>
    <row r="8" customFormat="false" ht="55.5" hidden="false" customHeight="true" outlineLevel="0" collapsed="false">
      <c r="A8" s="3" t="s">
        <v>10</v>
      </c>
      <c r="B8" s="4" t="s">
        <v>11</v>
      </c>
    </row>
    <row r="9" customFormat="false" ht="55.5" hidden="false" customHeight="true" outlineLevel="0" collapsed="false">
      <c r="A9" s="3" t="s">
        <v>12</v>
      </c>
      <c r="B9" s="4" t="s">
        <v>13</v>
      </c>
    </row>
    <row r="10" customFormat="false" ht="55.5" hidden="false" customHeight="true" outlineLevel="0" collapsed="false">
      <c r="A10" s="3" t="s">
        <v>14</v>
      </c>
      <c r="B10" s="4" t="s">
        <v>15</v>
      </c>
    </row>
    <row r="11" customFormat="false" ht="96" hidden="false" customHeight="true" outlineLevel="0" collapsed="false">
      <c r="A11" s="3" t="s">
        <v>16</v>
      </c>
      <c r="B11" s="4"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5" min="3" style="0" width="11"/>
    <col collapsed="false" customWidth="true" hidden="false" outlineLevel="0" max="6" min="6" style="0" width="12"/>
    <col collapsed="false" customWidth="true" hidden="false" outlineLevel="0" max="7" min="7" style="0" width="13"/>
    <col collapsed="false" customWidth="true" hidden="false" outlineLevel="0" max="9" min="8" style="0" width="12"/>
    <col collapsed="false" customWidth="true" hidden="false" outlineLevel="0" max="10" min="10" style="0" width="13"/>
    <col collapsed="false" customWidth="true" hidden="false" outlineLevel="0" max="11" min="11" style="0" width="11"/>
    <col collapsed="false" customWidth="true" hidden="false" outlineLevel="0" max="13" min="12" style="0" width="12"/>
    <col collapsed="false" customWidth="true" hidden="false" outlineLevel="0" max="14" min="14" style="0" width="14"/>
  </cols>
  <sheetData>
    <row r="1" customFormat="false" ht="18.55" hidden="false" customHeight="false" outlineLevel="0" collapsed="false">
      <c r="A1" s="1" t="s">
        <v>18</v>
      </c>
    </row>
    <row r="2" customFormat="false" ht="15" hidden="false" customHeight="false" outlineLevel="0" collapsed="false">
      <c r="A2" s="2" t="s">
        <v>19</v>
      </c>
    </row>
    <row r="4" customFormat="false" ht="31.5" hidden="false" customHeight="true" outlineLevel="0" collapsed="false">
      <c r="A4" s="5" t="s">
        <v>20</v>
      </c>
      <c r="B4" s="6" t="s">
        <v>21</v>
      </c>
      <c r="C4" s="6" t="s">
        <v>22</v>
      </c>
      <c r="D4" s="6" t="s">
        <v>23</v>
      </c>
      <c r="E4" s="6" t="s">
        <v>24</v>
      </c>
      <c r="F4" s="6" t="s">
        <v>25</v>
      </c>
      <c r="G4" s="6" t="s">
        <v>26</v>
      </c>
      <c r="H4" s="6" t="s">
        <v>27</v>
      </c>
      <c r="I4" s="6" t="s">
        <v>28</v>
      </c>
      <c r="J4" s="6" t="s">
        <v>29</v>
      </c>
      <c r="K4" s="6" t="s">
        <v>30</v>
      </c>
      <c r="L4" s="6" t="s">
        <v>31</v>
      </c>
      <c r="M4" s="6" t="s">
        <v>32</v>
      </c>
      <c r="N4" s="6" t="s">
        <v>33</v>
      </c>
    </row>
    <row r="5" customFormat="false" ht="15" hidden="false" customHeight="false" outlineLevel="0" collapsed="false">
      <c r="A5" s="7"/>
      <c r="B5" s="7"/>
      <c r="C5" s="7" t="s">
        <v>34</v>
      </c>
      <c r="D5" s="7" t="s">
        <v>34</v>
      </c>
      <c r="E5" s="7" t="s">
        <v>34</v>
      </c>
      <c r="F5" s="7" t="s">
        <v>35</v>
      </c>
      <c r="G5" s="7" t="s">
        <v>36</v>
      </c>
      <c r="H5" s="7" t="s">
        <v>36</v>
      </c>
      <c r="I5" s="7" t="s">
        <v>37</v>
      </c>
      <c r="J5" s="7" t="s">
        <v>38</v>
      </c>
      <c r="K5" s="7" t="s">
        <v>39</v>
      </c>
      <c r="L5" s="7" t="s">
        <v>40</v>
      </c>
      <c r="M5" s="7" t="s">
        <v>41</v>
      </c>
      <c r="N5" s="7" t="s">
        <v>42</v>
      </c>
    </row>
    <row r="6" customFormat="false" ht="15" hidden="false" customHeight="false" outlineLevel="0" collapsed="false">
      <c r="A6" s="8" t="s">
        <v>43</v>
      </c>
      <c r="B6" s="8" t="s">
        <v>44</v>
      </c>
      <c r="C6" s="8" t="n">
        <v>600</v>
      </c>
      <c r="D6" s="8" t="n">
        <v>100</v>
      </c>
      <c r="E6" s="8" t="n">
        <v>2</v>
      </c>
      <c r="F6" s="8"/>
      <c r="G6" s="9" t="n">
        <v>8.56</v>
      </c>
      <c r="H6" s="9" t="n">
        <v>40</v>
      </c>
      <c r="I6" s="9" t="n">
        <v>2.5</v>
      </c>
      <c r="J6" s="8" t="s">
        <v>45</v>
      </c>
      <c r="K6" s="9" t="n">
        <v>90</v>
      </c>
      <c r="L6" s="8" t="n">
        <v>200</v>
      </c>
      <c r="M6" s="8"/>
      <c r="N6" s="9"/>
    </row>
    <row r="7" customFormat="false" ht="15" hidden="false" customHeight="false" outlineLevel="0" collapsed="false">
      <c r="A7" s="8" t="s">
        <v>46</v>
      </c>
      <c r="B7" s="8" t="s">
        <v>44</v>
      </c>
      <c r="C7" s="8" t="n">
        <v>300</v>
      </c>
      <c r="D7" s="8" t="n">
        <v>75</v>
      </c>
      <c r="E7" s="8" t="n">
        <v>2</v>
      </c>
      <c r="F7" s="8"/>
      <c r="G7" s="9" t="n">
        <v>6.079</v>
      </c>
      <c r="H7" s="9" t="n">
        <v>30</v>
      </c>
      <c r="I7" s="9" t="n">
        <v>3</v>
      </c>
      <c r="J7" s="8" t="s">
        <v>47</v>
      </c>
      <c r="K7" s="9" t="n">
        <v>90</v>
      </c>
      <c r="L7" s="8" t="n">
        <v>200</v>
      </c>
      <c r="M7" s="8"/>
      <c r="N7" s="9"/>
    </row>
    <row r="8" customFormat="false" ht="15" hidden="false" customHeight="false" outlineLevel="0" collapsed="false">
      <c r="A8" s="8" t="s">
        <v>48</v>
      </c>
      <c r="B8" s="8" t="s">
        <v>44</v>
      </c>
      <c r="C8" s="8" t="n">
        <v>600</v>
      </c>
      <c r="D8" s="8" t="n">
        <v>100</v>
      </c>
      <c r="E8" s="8" t="n">
        <v>2</v>
      </c>
      <c r="F8" s="8"/>
      <c r="G8" s="9" t="n">
        <v>8.56</v>
      </c>
      <c r="H8" s="9" t="n">
        <v>400</v>
      </c>
      <c r="I8" s="9" t="n">
        <v>2.5</v>
      </c>
      <c r="J8" s="8" t="s">
        <v>45</v>
      </c>
      <c r="K8" s="9" t="n">
        <v>90</v>
      </c>
      <c r="L8" s="8" t="n">
        <v>200</v>
      </c>
      <c r="M8" s="8"/>
      <c r="N8" s="9"/>
    </row>
    <row r="9" customFormat="false" ht="15" hidden="false" customHeight="false" outlineLevel="0" collapsed="false">
      <c r="A9" s="8" t="s">
        <v>49</v>
      </c>
      <c r="B9" s="8" t="s">
        <v>50</v>
      </c>
      <c r="C9" s="8" t="n">
        <v>300</v>
      </c>
      <c r="D9" s="8" t="n">
        <v>100</v>
      </c>
      <c r="E9" s="8" t="n">
        <v>2</v>
      </c>
      <c r="F9" s="8"/>
      <c r="G9" s="9" t="n">
        <v>9.028</v>
      </c>
      <c r="H9" s="9" t="n">
        <v>25</v>
      </c>
      <c r="I9" s="9" t="n">
        <v>2</v>
      </c>
      <c r="J9" s="8" t="s">
        <v>45</v>
      </c>
      <c r="K9" s="9" t="n">
        <v>90</v>
      </c>
      <c r="L9" s="8" t="n">
        <v>200</v>
      </c>
      <c r="M9" s="8"/>
      <c r="N9" s="9"/>
    </row>
    <row r="10" customFormat="false" ht="15" hidden="false" customHeight="false" outlineLevel="0" collapsed="false">
      <c r="A10" s="8" t="s">
        <v>51</v>
      </c>
      <c r="B10" s="8" t="s">
        <v>52</v>
      </c>
      <c r="C10" s="8" t="n">
        <v>150</v>
      </c>
      <c r="D10" s="8" t="n">
        <v>50</v>
      </c>
      <c r="E10" s="8" t="n">
        <v>2.5</v>
      </c>
      <c r="F10" s="8"/>
      <c r="G10" s="9" t="n">
        <v>5.403</v>
      </c>
      <c r="H10" s="9" t="n">
        <v>10</v>
      </c>
      <c r="I10" s="9" t="n">
        <v>1.5</v>
      </c>
      <c r="J10" s="8" t="s">
        <v>45</v>
      </c>
      <c r="K10" s="9" t="n">
        <v>60</v>
      </c>
      <c r="L10" s="8" t="n">
        <v>200</v>
      </c>
      <c r="M10" s="8"/>
      <c r="N10" s="9"/>
    </row>
    <row r="11" customFormat="false" ht="15" hidden="false" customHeight="false" outlineLevel="0" collapsed="false">
      <c r="A11" s="8" t="s">
        <v>53</v>
      </c>
      <c r="B11" s="8" t="s">
        <v>54</v>
      </c>
      <c r="C11" s="8" t="n">
        <v>41</v>
      </c>
      <c r="D11" s="8" t="n">
        <v>41</v>
      </c>
      <c r="E11" s="8" t="n">
        <v>2.5</v>
      </c>
      <c r="F11" s="8" t="n">
        <v>620</v>
      </c>
      <c r="G11" s="9" t="n">
        <v>2.796</v>
      </c>
      <c r="H11" s="9" t="n">
        <v>20</v>
      </c>
      <c r="I11" s="9" t="n">
        <v>2</v>
      </c>
      <c r="J11" s="8" t="s">
        <v>45</v>
      </c>
      <c r="K11" s="9" t="n">
        <v>90</v>
      </c>
      <c r="L11" s="8" t="n">
        <v>200</v>
      </c>
      <c r="M11" s="8"/>
      <c r="N11" s="9" t="n">
        <v>8</v>
      </c>
    </row>
    <row r="12" customFormat="false" ht="15" hidden="false" customHeight="false" outlineLevel="0" collapsed="false">
      <c r="A12" s="8" t="s">
        <v>55</v>
      </c>
      <c r="B12" s="8" t="s">
        <v>54</v>
      </c>
      <c r="C12" s="8" t="n">
        <v>41</v>
      </c>
      <c r="D12" s="8" t="n">
        <v>41</v>
      </c>
      <c r="E12" s="8" t="n">
        <v>2.5</v>
      </c>
      <c r="F12" s="8" t="n">
        <v>320</v>
      </c>
      <c r="G12" s="9" t="n">
        <v>2.8</v>
      </c>
      <c r="H12" s="9" t="n">
        <v>20</v>
      </c>
      <c r="I12" s="9" t="n">
        <v>2</v>
      </c>
      <c r="J12" s="8" t="s">
        <v>45</v>
      </c>
      <c r="K12" s="9" t="n">
        <v>90</v>
      </c>
      <c r="L12" s="8" t="n">
        <v>200</v>
      </c>
      <c r="M12" s="8"/>
      <c r="N12" s="9" t="n">
        <v>8</v>
      </c>
    </row>
    <row r="13" customFormat="false" ht="15" hidden="false" customHeight="false" outlineLevel="0" collapsed="false">
      <c r="A13" s="8" t="s">
        <v>56</v>
      </c>
      <c r="B13" s="8" t="s">
        <v>57</v>
      </c>
      <c r="C13" s="8" t="n">
        <v>41</v>
      </c>
      <c r="D13" s="8" t="n">
        <v>41</v>
      </c>
      <c r="E13" s="8" t="n">
        <v>2.5</v>
      </c>
      <c r="F13" s="8"/>
      <c r="G13" s="9" t="n">
        <v>2.791</v>
      </c>
      <c r="H13" s="9" t="n">
        <v>20</v>
      </c>
      <c r="I13" s="9" t="n">
        <v>2</v>
      </c>
      <c r="J13" s="8" t="s">
        <v>45</v>
      </c>
      <c r="K13" s="9" t="n">
        <v>90</v>
      </c>
      <c r="L13" s="8" t="n">
        <v>200</v>
      </c>
      <c r="M13" s="8" t="n">
        <v>600</v>
      </c>
      <c r="N13" s="9" t="n">
        <v>8</v>
      </c>
    </row>
    <row r="14" customFormat="false" ht="15" hidden="false" customHeight="false" outlineLevel="0" collapsed="false">
      <c r="A14" s="8"/>
      <c r="B14" s="8"/>
      <c r="C14" s="8"/>
      <c r="D14" s="8"/>
      <c r="E14" s="8"/>
      <c r="F14" s="8"/>
      <c r="G14" s="9"/>
      <c r="H14" s="9"/>
      <c r="I14" s="9"/>
      <c r="J14" s="8"/>
      <c r="K14" s="9"/>
      <c r="L14" s="8"/>
      <c r="M14" s="8"/>
      <c r="N14" s="9"/>
    </row>
    <row r="15" customFormat="false" ht="15" hidden="false" customHeight="false" outlineLevel="0" collapsed="false">
      <c r="A15" s="8"/>
      <c r="B15" s="8"/>
      <c r="C15" s="8"/>
      <c r="D15" s="8"/>
      <c r="E15" s="8"/>
      <c r="F15" s="8"/>
      <c r="G15" s="9"/>
      <c r="H15" s="9"/>
      <c r="I15" s="9"/>
      <c r="J15" s="8"/>
      <c r="K15" s="9"/>
      <c r="L15" s="8"/>
      <c r="M15" s="8"/>
      <c r="N15" s="9"/>
    </row>
    <row r="16" customFormat="false" ht="15" hidden="false" customHeight="false" outlineLevel="0" collapsed="false">
      <c r="A16" s="8"/>
      <c r="B16" s="8"/>
      <c r="C16" s="8"/>
      <c r="D16" s="8"/>
      <c r="E16" s="8"/>
      <c r="F16" s="8"/>
      <c r="G16" s="9"/>
      <c r="H16" s="9"/>
      <c r="I16" s="9"/>
      <c r="J16" s="8"/>
      <c r="K16" s="9"/>
      <c r="L16" s="8"/>
      <c r="M16" s="8"/>
      <c r="N16" s="9"/>
    </row>
    <row r="17" customFormat="false" ht="15" hidden="false" customHeight="false" outlineLevel="0" collapsed="false">
      <c r="A17" s="8"/>
      <c r="B17" s="8"/>
      <c r="C17" s="8"/>
      <c r="D17" s="8"/>
      <c r="E17" s="8"/>
      <c r="F17" s="8"/>
      <c r="G17" s="9"/>
      <c r="H17" s="9"/>
      <c r="I17" s="9"/>
      <c r="J17" s="8"/>
      <c r="K17" s="9"/>
      <c r="L17" s="8"/>
      <c r="M17" s="8"/>
      <c r="N17" s="9"/>
    </row>
    <row r="18" customFormat="false" ht="15" hidden="false" customHeight="false" outlineLevel="0" collapsed="false">
      <c r="A18" s="8"/>
      <c r="B18" s="8"/>
      <c r="C18" s="8"/>
      <c r="D18" s="8"/>
      <c r="E18" s="8"/>
      <c r="F18" s="8"/>
      <c r="G18" s="9"/>
      <c r="H18" s="9"/>
      <c r="I18" s="9"/>
      <c r="J18" s="8"/>
      <c r="K18" s="9"/>
      <c r="L18" s="8"/>
      <c r="M18" s="8"/>
      <c r="N18" s="9"/>
    </row>
    <row r="19" customFormat="false" ht="15" hidden="false" customHeight="false" outlineLevel="0" collapsed="false">
      <c r="A19" s="8"/>
      <c r="B19" s="8"/>
      <c r="C19" s="8"/>
      <c r="D19" s="8"/>
      <c r="E19" s="8"/>
      <c r="F19" s="8"/>
      <c r="G19" s="9"/>
      <c r="H19" s="9"/>
      <c r="I19" s="9"/>
      <c r="J19" s="8"/>
      <c r="K19" s="9"/>
      <c r="L19" s="8"/>
      <c r="M19" s="8"/>
      <c r="N19" s="9"/>
    </row>
    <row r="20" customFormat="false" ht="15" hidden="false" customHeight="false" outlineLevel="0" collapsed="false">
      <c r="A20" s="8"/>
      <c r="B20" s="8"/>
      <c r="C20" s="8"/>
      <c r="D20" s="8"/>
      <c r="E20" s="8"/>
      <c r="F20" s="8"/>
      <c r="G20" s="9"/>
      <c r="H20" s="9"/>
      <c r="I20" s="9"/>
      <c r="J20" s="8"/>
      <c r="K20" s="9"/>
      <c r="L20" s="8"/>
      <c r="M20" s="8"/>
      <c r="N20" s="9"/>
    </row>
    <row r="21" customFormat="false" ht="15" hidden="false" customHeight="false" outlineLevel="0" collapsed="false">
      <c r="A21" s="8"/>
      <c r="B21" s="8"/>
      <c r="C21" s="8"/>
      <c r="D21" s="8"/>
      <c r="E21" s="8"/>
      <c r="F21" s="8"/>
      <c r="G21" s="9"/>
      <c r="H21" s="9"/>
      <c r="I21" s="9"/>
      <c r="J21" s="8"/>
      <c r="K21" s="9"/>
      <c r="L21" s="8"/>
      <c r="M21" s="8"/>
      <c r="N21" s="9"/>
    </row>
    <row r="22" customFormat="false" ht="15" hidden="false" customHeight="false" outlineLevel="0" collapsed="false">
      <c r="A22" s="8"/>
      <c r="B22" s="8"/>
      <c r="C22" s="8"/>
      <c r="D22" s="8"/>
      <c r="E22" s="8"/>
      <c r="F22" s="8"/>
      <c r="G22" s="9"/>
      <c r="H22" s="9"/>
      <c r="I22" s="9"/>
      <c r="J22" s="8"/>
      <c r="K22" s="9"/>
      <c r="L22" s="8"/>
      <c r="M22" s="8"/>
      <c r="N22" s="9"/>
    </row>
    <row r="23" customFormat="false" ht="15" hidden="false" customHeight="false" outlineLevel="0" collapsed="false">
      <c r="A23" s="8"/>
      <c r="B23" s="8"/>
      <c r="C23" s="8"/>
      <c r="D23" s="8"/>
      <c r="E23" s="8"/>
      <c r="F23" s="8"/>
      <c r="G23" s="9"/>
      <c r="H23" s="9"/>
      <c r="I23" s="9"/>
      <c r="J23" s="8"/>
      <c r="K23" s="9"/>
      <c r="L23" s="8"/>
      <c r="M23" s="8"/>
      <c r="N23" s="9"/>
    </row>
    <row r="24" customFormat="false" ht="15" hidden="false" customHeight="false" outlineLevel="0" collapsed="false">
      <c r="A24" s="8"/>
      <c r="B24" s="8"/>
      <c r="C24" s="8"/>
      <c r="D24" s="8"/>
      <c r="E24" s="8"/>
      <c r="F24" s="8"/>
      <c r="G24" s="9"/>
      <c r="H24" s="9"/>
      <c r="I24" s="9"/>
      <c r="J24" s="8"/>
      <c r="K24" s="9"/>
      <c r="L24" s="8"/>
      <c r="M24" s="8"/>
      <c r="N24" s="9"/>
    </row>
    <row r="25" customFormat="false" ht="15" hidden="false" customHeight="false" outlineLevel="0" collapsed="false">
      <c r="A25" s="8"/>
      <c r="B25" s="8"/>
      <c r="C25" s="8"/>
      <c r="D25" s="8"/>
      <c r="E25" s="8"/>
      <c r="F25" s="8"/>
      <c r="G25" s="9"/>
      <c r="H25" s="9"/>
      <c r="I25" s="9"/>
      <c r="J25" s="8"/>
      <c r="K25" s="9"/>
      <c r="L25" s="8"/>
      <c r="M25" s="8"/>
      <c r="N25" s="9"/>
    </row>
    <row r="27" customFormat="false" ht="15" hidden="false" customHeight="false" outlineLevel="0" collapsed="false">
      <c r="A27" s="10" t="s">
        <v>58</v>
      </c>
    </row>
    <row r="28" customFormat="false" ht="15" hidden="false" customHeight="false" outlineLevel="0" collapsed="false">
      <c r="A28" s="10" t="s">
        <v>59</v>
      </c>
    </row>
    <row r="29" customFormat="false" ht="15" hidden="false" customHeight="false" outlineLevel="0" collapsed="false">
      <c r="A29" s="10" t="s">
        <v>60</v>
      </c>
    </row>
  </sheetData>
  <dataValidations count="3">
    <dataValidation allowBlank="true" errorStyle="stop" operator="between" showDropDown="false" showErrorMessage="false" showInputMessage="false" sqref="B6:B25" type="list">
      <formula1>"ladder,perf,trough,channel,arm"</formula1>
      <formula2>0</formula2>
    </dataValidation>
    <dataValidation allowBlank="true" errorStyle="stop" operator="between" showDropDown="false" showErrorMessage="false" showInputMessage="false" sqref="J6:J25" type="list">
      <formula1>"simple,continuous"</formula1>
      <formula2>0</formula2>
    </dataValidation>
    <dataValidation allowBlank="true" errorStyle="stop" operator="between" showDropDown="false" showErrorMessage="false" showInputMessage="false" sqref="L6:L25" type="list">
      <formula1>"100,150,200,300"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0"/>
    <col collapsed="false" customWidth="true" hidden="false" outlineLevel="0" max="3" min="3" style="0" width="18"/>
    <col collapsed="false" customWidth="true" hidden="false" outlineLevel="0" max="7" min="4" style="0" width="16"/>
  </cols>
  <sheetData>
    <row r="1" customFormat="false" ht="18.55" hidden="false" customHeight="false" outlineLevel="0" collapsed="false">
      <c r="A1" s="1" t="s">
        <v>61</v>
      </c>
    </row>
    <row r="2" customFormat="false" ht="15" hidden="false" customHeight="false" outlineLevel="0" collapsed="false">
      <c r="A2" s="2" t="s">
        <v>62</v>
      </c>
    </row>
    <row r="3" customFormat="false" ht="15" hidden="false" customHeight="false" outlineLevel="0" collapsed="false">
      <c r="A3" s="3" t="s">
        <v>63</v>
      </c>
      <c r="B3" s="8" t="n">
        <v>1</v>
      </c>
    </row>
    <row r="5" customFormat="false" ht="15" hidden="false" customHeight="false" outlineLevel="0" collapsed="false">
      <c r="A5" s="3" t="s">
        <v>64</v>
      </c>
    </row>
    <row r="6" customFormat="false" ht="15" hidden="false" customHeight="false" outlineLevel="0" collapsed="false">
      <c r="A6" s="0" t="s">
        <v>20</v>
      </c>
      <c r="B6" s="0" t="str">
        <f aca="false">INDEX(Inputs!$A$6:$A$25,$B$3)</f>
        <v>Ladder 600 x 100 x 2.0, simple span</v>
      </c>
    </row>
    <row r="7" customFormat="false" ht="15" hidden="false" customHeight="false" outlineLevel="0" collapsed="false">
      <c r="A7" s="0" t="s">
        <v>21</v>
      </c>
      <c r="B7" s="0" t="str">
        <f aca="false">INDEX(Inputs!$B$6:$B$25,$B$3)</f>
        <v>ladder</v>
      </c>
    </row>
    <row r="8" customFormat="false" ht="15" hidden="false" customHeight="false" outlineLevel="0" collapsed="false">
      <c r="A8" s="0" t="s">
        <v>65</v>
      </c>
      <c r="B8" s="0" t="str">
        <f aca="false">INDEX(Inputs!$C$6:$C$25,$B$3)&amp;" x "&amp;INDEX(Inputs!$D$6:$D$25,$B$3)&amp;" x "&amp;INDEX(Inputs!$E$6:$E$25,$B$3)</f>
        <v>600 x 100 x 2</v>
      </c>
    </row>
    <row r="9" customFormat="false" ht="15" hidden="false" customHeight="false" outlineLevel="0" collapsed="false">
      <c r="A9" s="0" t="s">
        <v>27</v>
      </c>
      <c r="B9" s="11" t="n">
        <f aca="false">INDEX(Inputs!$H$6:$H$25,$B$3)</f>
        <v>40</v>
      </c>
      <c r="C9" s="12" t="s">
        <v>36</v>
      </c>
    </row>
    <row r="10" customFormat="false" ht="15" hidden="false" customHeight="false" outlineLevel="0" collapsed="false">
      <c r="A10" s="0" t="s">
        <v>28</v>
      </c>
      <c r="B10" s="13" t="n">
        <f aca="false">INDEX(Inputs!$I$6:$I$25,$B$3)</f>
        <v>2.5</v>
      </c>
      <c r="C10" s="14" t="s">
        <v>37</v>
      </c>
    </row>
    <row r="12" customFormat="false" ht="15" hidden="false" customHeight="false" outlineLevel="0" collapsed="false">
      <c r="A12" s="3" t="s">
        <v>66</v>
      </c>
    </row>
    <row r="13" customFormat="false" ht="15" hidden="false" customHeight="false" outlineLevel="0" collapsed="false">
      <c r="A13" s="0" t="s">
        <v>67</v>
      </c>
      <c r="B13" s="15" t="str">
        <f aca="false">INDEX(Calc!$BW$6:$BW$25,$B$3)</f>
        <v>PASS</v>
      </c>
      <c r="C13" s="12"/>
    </row>
    <row r="14" customFormat="false" ht="15" hidden="false" customHeight="false" outlineLevel="0" collapsed="false">
      <c r="A14" s="0" t="s">
        <v>68</v>
      </c>
      <c r="B14" s="16" t="n">
        <f aca="false">INDEX(Calc!$BU$6:$BU$25,$B$3)</f>
        <v>94.250745481514</v>
      </c>
      <c r="C14" s="12" t="s">
        <v>36</v>
      </c>
    </row>
    <row r="15" customFormat="false" ht="15" hidden="false" customHeight="false" outlineLevel="0" collapsed="false">
      <c r="A15" s="0" t="s">
        <v>69</v>
      </c>
      <c r="B15" s="15" t="str">
        <f aca="false">INDEX(Calc!$BV$6:$BV$25,$B$3)</f>
        <v>bending</v>
      </c>
      <c r="C15" s="12"/>
    </row>
    <row r="16" customFormat="false" ht="15" hidden="false" customHeight="false" outlineLevel="0" collapsed="false">
      <c r="A16" s="0" t="s">
        <v>70</v>
      </c>
      <c r="B16" s="17" t="n">
        <f aca="false">INDEX(Calc!$BT$6:$BT$25,$B$3)</f>
        <v>0.819135</v>
      </c>
      <c r="C16" s="12"/>
    </row>
    <row r="17" customFormat="false" ht="15" hidden="false" customHeight="false" outlineLevel="0" collapsed="false">
      <c r="A17" s="0" t="s">
        <v>71</v>
      </c>
      <c r="B17" s="18" t="n">
        <f aca="false">INDEX(Calc!$BX$6:$BX$25,$B$3)</f>
        <v>1.35626863703785</v>
      </c>
      <c r="C17" s="12"/>
    </row>
    <row r="18" customFormat="false" ht="15" hidden="false" customHeight="false" outlineLevel="0" collapsed="false">
      <c r="A18" s="0" t="s">
        <v>72</v>
      </c>
      <c r="B18" s="19" t="str">
        <f aca="false">IF(B7="arm",INDEX(Calc!$BI$6:$BI$25,$B$3),"n/a")</f>
        <v>n/a</v>
      </c>
      <c r="C18" s="14" t="s">
        <v>39</v>
      </c>
    </row>
    <row r="20" customFormat="false" ht="15" hidden="false" customHeight="false" outlineLevel="0" collapsed="false">
      <c r="A20" s="3" t="s">
        <v>73</v>
      </c>
    </row>
    <row r="21" customFormat="false" ht="15" hidden="false" customHeight="false" outlineLevel="0" collapsed="false">
      <c r="A21" s="0" t="s">
        <v>74</v>
      </c>
      <c r="B21" s="18" t="n">
        <f aca="false">INDEX(Calc!$BQ$6:$BQ$25,$B$3)</f>
        <v>0.689660121681416</v>
      </c>
      <c r="C21" s="12"/>
    </row>
    <row r="22" customFormat="false" ht="15" hidden="false" customHeight="false" outlineLevel="0" collapsed="false">
      <c r="A22" s="0" t="s">
        <v>75</v>
      </c>
      <c r="B22" s="18" t="n">
        <f aca="false">INDEX(Calc!$BR$6:$BR$25,$B$3)</f>
        <v>0.025922925</v>
      </c>
      <c r="C22" s="12"/>
    </row>
    <row r="23" customFormat="false" ht="15" hidden="false" customHeight="false" outlineLevel="0" collapsed="false">
      <c r="A23" s="0" t="s">
        <v>76</v>
      </c>
      <c r="B23" s="18" t="n">
        <f aca="false">INDEX(Calc!$BS$6:$BS$25,$B$3)</f>
        <v>0.260422068007928</v>
      </c>
      <c r="C23" s="12"/>
    </row>
    <row r="24" customFormat="false" ht="15" hidden="false" customHeight="false" outlineLevel="0" collapsed="false">
      <c r="A24" s="0" t="s">
        <v>77</v>
      </c>
      <c r="B24" s="18" t="n">
        <f aca="false">IF(B7="ladder",INDEX(Calc!$AW$6:$AW$25,$B$3),"n/a")</f>
        <v>0.819135</v>
      </c>
    </row>
    <row r="26" customFormat="false" ht="15" hidden="false" customHeight="false" outlineLevel="0" collapsed="false">
      <c r="A26" s="3" t="s">
        <v>78</v>
      </c>
    </row>
    <row r="27" customFormat="false" ht="15" hidden="false" customHeight="false" outlineLevel="0" collapsed="false">
      <c r="A27" s="0" t="s">
        <v>79</v>
      </c>
      <c r="B27" s="20" t="n">
        <f aca="false">INDEX(Calc!$N$6:$N$25,$B$3)</f>
        <v>600</v>
      </c>
      <c r="C27" s="12" t="s">
        <v>80</v>
      </c>
    </row>
    <row r="28" customFormat="false" ht="15" hidden="false" customHeight="false" outlineLevel="0" collapsed="false">
      <c r="A28" s="0" t="s">
        <v>81</v>
      </c>
      <c r="B28" s="11" t="n">
        <f aca="false">INDEX(Calc!$O$6:$O$25,$B$3)</f>
        <v>50</v>
      </c>
      <c r="C28" s="12" t="s">
        <v>34</v>
      </c>
    </row>
    <row r="29" customFormat="false" ht="15" hidden="false" customHeight="false" outlineLevel="0" collapsed="false">
      <c r="A29" s="0" t="s">
        <v>82</v>
      </c>
      <c r="B29" s="20" t="n">
        <f aca="false">INDEX(Calc!$P$6:$P$25,$B$3)</f>
        <v>813600</v>
      </c>
      <c r="C29" s="12" t="s">
        <v>83</v>
      </c>
    </row>
    <row r="30" customFormat="false" ht="15" hidden="false" customHeight="false" outlineLevel="0" collapsed="false">
      <c r="A30" s="0" t="s">
        <v>84</v>
      </c>
      <c r="B30" s="20" t="n">
        <f aca="false">INDEX(Calc!$Q$6:$Q$25,$B$3)</f>
        <v>16272</v>
      </c>
      <c r="C30" s="12" t="s">
        <v>85</v>
      </c>
    </row>
    <row r="31" customFormat="false" ht="15" hidden="false" customHeight="false" outlineLevel="0" collapsed="false">
      <c r="A31" s="0" t="s">
        <v>86</v>
      </c>
      <c r="B31" s="20" t="n">
        <f aca="false">INDEX(Calc!$R$6:$R$25,$B$3)</f>
        <v>16272</v>
      </c>
      <c r="C31" s="12" t="s">
        <v>85</v>
      </c>
    </row>
    <row r="32" customFormat="false" ht="15" hidden="false" customHeight="false" outlineLevel="0" collapsed="false">
      <c r="A32" s="0" t="s">
        <v>87</v>
      </c>
      <c r="B32" s="13" t="n">
        <f aca="false">INDEX(Calc!$U$6:$U$25,$B$3)</f>
        <v>8.56</v>
      </c>
      <c r="C32" s="12" t="s">
        <v>36</v>
      </c>
    </row>
    <row r="33" customFormat="false" ht="15" hidden="false" customHeight="false" outlineLevel="0" collapsed="false">
      <c r="A33" s="0" t="s">
        <v>88</v>
      </c>
      <c r="B33" s="21" t="str">
        <f aca="false">INDEX(Calc!$Y$6:$Y$25,$B$3)</f>
        <v/>
      </c>
      <c r="C33" s="12"/>
    </row>
    <row r="35" customFormat="false" ht="15" hidden="false" customHeight="false" outlineLevel="0" collapsed="false">
      <c r="A35" s="3" t="s">
        <v>89</v>
      </c>
      <c r="B35" s="22" t="n">
        <f aca="false">'Span curve'!B7</f>
        <v>3.24043848042303</v>
      </c>
      <c r="C35" s="14" t="s">
        <v>37</v>
      </c>
      <c r="D35" s="0" t="str">
        <f aca="false">'Span curve'!B8</f>
        <v/>
      </c>
    </row>
    <row r="36" customFormat="false" ht="15" hidden="false" customHeight="false" outlineLevel="0" collapsed="false">
      <c r="A36" s="10" t="s">
        <v>90</v>
      </c>
    </row>
    <row r="38" customFormat="false" ht="31.5" hidden="false" customHeight="true" outlineLevel="0" collapsed="false">
      <c r="A38" s="5" t="s">
        <v>91</v>
      </c>
      <c r="B38" s="6" t="s">
        <v>21</v>
      </c>
      <c r="C38" s="6" t="s">
        <v>92</v>
      </c>
      <c r="D38" s="6" t="s">
        <v>93</v>
      </c>
      <c r="E38" s="6" t="s">
        <v>94</v>
      </c>
      <c r="F38" s="6" t="s">
        <v>95</v>
      </c>
      <c r="G38" s="6" t="s">
        <v>8</v>
      </c>
    </row>
    <row r="39" customFormat="false" ht="15" hidden="false" customHeight="false" outlineLevel="0" collapsed="false">
      <c r="A39" s="0" t="str">
        <f aca="false">IF(Inputs!B6="","",1&amp;"  "&amp;Inputs!A6)</f>
        <v>1  Ladder 600 x 100 x 2.0, simple span</v>
      </c>
      <c r="B39" s="0" t="str">
        <f aca="false">IF(Inputs!B6="","",Inputs!B6)</f>
        <v>ladder</v>
      </c>
      <c r="C39" s="19" t="n">
        <f aca="false">IF(Inputs!B6="","",Calc!BU6)</f>
        <v>94.250745481514</v>
      </c>
      <c r="D39" s="11" t="n">
        <f aca="false">IF(Inputs!B6="","",Inputs!H6)</f>
        <v>40</v>
      </c>
      <c r="E39" s="18" t="n">
        <f aca="false">IF(Inputs!B6="","",Calc!BT6)</f>
        <v>0.819135</v>
      </c>
      <c r="F39" s="0" t="str">
        <f aca="false">IF(Inputs!B6="","",Calc!BV6)</f>
        <v>bending</v>
      </c>
      <c r="G39" s="0" t="str">
        <f aca="false">IF(Inputs!B6="","",Calc!BW6)</f>
        <v>PASS</v>
      </c>
    </row>
    <row r="40" customFormat="false" ht="15" hidden="false" customHeight="false" outlineLevel="0" collapsed="false">
      <c r="A40" s="0" t="str">
        <f aca="false">IF(Inputs!B7="","",2&amp;"  "&amp;Inputs!A7)</f>
        <v>2  Ladder 300 x 75 x 2.0, continuous</v>
      </c>
      <c r="B40" s="0" t="str">
        <f aca="false">IF(Inputs!B7="","",Inputs!B7)</f>
        <v>ladder</v>
      </c>
      <c r="C40" s="19" t="n">
        <f aca="false">IF(Inputs!B7="","",Calc!BU7)</f>
        <v>35.1695920295174</v>
      </c>
      <c r="D40" s="11" t="n">
        <f aca="false">IF(Inputs!B7="","",Inputs!H7)</f>
        <v>30</v>
      </c>
      <c r="E40" s="18" t="n">
        <f aca="false">IF(Inputs!B7="","",Calc!BT7)</f>
        <v>0.948941590930861</v>
      </c>
      <c r="F40" s="0" t="str">
        <f aca="false">IF(Inputs!B7="","",Calc!BV7)</f>
        <v>bending</v>
      </c>
      <c r="G40" s="0" t="str">
        <f aca="false">IF(Inputs!B7="","",Calc!BW7)</f>
        <v>PASS</v>
      </c>
    </row>
    <row r="41" customFormat="false" ht="15" hidden="false" customHeight="false" outlineLevel="0" collapsed="false">
      <c r="A41" s="0" t="str">
        <f aca="false">IF(Inputs!B8="","",3&amp;"  "&amp;Inputs!A8)</f>
        <v>3  Ladder 600 x 100 x 2.0, overloaded</v>
      </c>
      <c r="B41" s="0" t="str">
        <f aca="false">IF(Inputs!B8="","",Inputs!B8)</f>
        <v>ladder</v>
      </c>
      <c r="C41" s="19" t="n">
        <f aca="false">IF(Inputs!B8="","",Calc!BU8)</f>
        <v>94.250745481514</v>
      </c>
      <c r="D41" s="11" t="n">
        <f aca="false">IF(Inputs!B8="","",Inputs!H8)</f>
        <v>400</v>
      </c>
      <c r="E41" s="18" t="n">
        <f aca="false">IF(Inputs!B8="","",Calc!BT8)</f>
        <v>2.74903009352373</v>
      </c>
      <c r="F41" s="0" t="str">
        <f aca="false">IF(Inputs!B8="","",Calc!BV8)</f>
        <v>bending</v>
      </c>
      <c r="G41" s="0" t="str">
        <f aca="false">IF(Inputs!B8="","",Calc!BW8)</f>
        <v>FAIL</v>
      </c>
    </row>
    <row r="42" customFormat="false" ht="15" hidden="false" customHeight="false" outlineLevel="0" collapsed="false">
      <c r="A42" s="0" t="str">
        <f aca="false">IF(Inputs!B9="","",4&amp;"  "&amp;Inputs!A9)</f>
        <v>4  Perforated 300 x 100 x 2.0</v>
      </c>
      <c r="B42" s="0" t="str">
        <f aca="false">IF(Inputs!B9="","",Inputs!B9)</f>
        <v>perf</v>
      </c>
      <c r="C42" s="19" t="n">
        <f aca="false">IF(Inputs!B9="","",Calc!BU9)</f>
        <v>181.062781081986</v>
      </c>
      <c r="D42" s="11" t="n">
        <f aca="false">IF(Inputs!B9="","",Inputs!H9)</f>
        <v>25</v>
      </c>
      <c r="E42" s="18" t="n">
        <f aca="false">IF(Inputs!B9="","",Calc!BT9)</f>
        <v>0.442813574659195</v>
      </c>
      <c r="F42" s="0" t="str">
        <f aca="false">IF(Inputs!B9="","",Calc!BV9)</f>
        <v>bending</v>
      </c>
      <c r="G42" s="0" t="str">
        <f aca="false">IF(Inputs!B9="","",Calc!BW9)</f>
        <v>PASS</v>
      </c>
    </row>
    <row r="43" customFormat="false" ht="15" hidden="false" customHeight="false" outlineLevel="0" collapsed="false">
      <c r="A43" s="0" t="str">
        <f aca="false">IF(Inputs!B10="","",5&amp;"  "&amp;Inputs!A10)</f>
        <v>5  Trough 150 x 50 x 2.5</v>
      </c>
      <c r="B43" s="0" t="str">
        <f aca="false">IF(Inputs!B10="","",Inputs!B10)</f>
        <v>trough</v>
      </c>
      <c r="C43" s="19" t="n">
        <f aca="false">IF(Inputs!B10="","",Calc!BU10)</f>
        <v>18.0657290490012</v>
      </c>
      <c r="D43" s="11" t="n">
        <f aca="false">IF(Inputs!B10="","",Inputs!H10)</f>
        <v>10</v>
      </c>
      <c r="E43" s="18" t="n">
        <f aca="false">IF(Inputs!B10="","",Calc!BT10)</f>
        <v>0.922046698329682</v>
      </c>
      <c r="F43" s="0" t="str">
        <f aca="false">IF(Inputs!B10="","",Calc!BV10)</f>
        <v>bending</v>
      </c>
      <c r="G43" s="0" t="str">
        <f aca="false">IF(Inputs!B10="","",Calc!BW10)</f>
        <v>PASS</v>
      </c>
    </row>
    <row r="44" customFormat="false" ht="15" hidden="false" customHeight="false" outlineLevel="0" collapsed="false">
      <c r="A44" s="0" t="str">
        <f aca="false">IF(Inputs!B11="","",6&amp;"  "&amp;Inputs!A11)</f>
        <v>6  Cantilever arm 620 mm, 41 x 41 x 2.5</v>
      </c>
      <c r="B44" s="0" t="str">
        <f aca="false">IF(Inputs!B11="","",Inputs!B11)</f>
        <v>arm</v>
      </c>
      <c r="C44" s="19" t="n">
        <f aca="false">IF(Inputs!B11="","",Calc!BU11)</f>
        <v>45.2673761085021</v>
      </c>
      <c r="D44" s="11" t="n">
        <f aca="false">IF(Inputs!B11="","",Inputs!H11)</f>
        <v>20</v>
      </c>
      <c r="E44" s="18" t="n">
        <f aca="false">IF(Inputs!B11="","",Calc!BT11)</f>
        <v>0.69655131109719</v>
      </c>
      <c r="F44" s="0" t="str">
        <f aca="false">IF(Inputs!B11="","",Calc!BV11)</f>
        <v>bending</v>
      </c>
      <c r="G44" s="0" t="str">
        <f aca="false">IF(Inputs!B11="","",Calc!BW11)</f>
        <v>PASS</v>
      </c>
    </row>
    <row r="45" customFormat="false" ht="15" hidden="false" customHeight="false" outlineLevel="0" collapsed="false">
      <c r="A45" s="0" t="str">
        <f aca="false">IF(Inputs!B12="","",7&amp;"  "&amp;Inputs!A12)</f>
        <v>7  Cantilever arm 320 mm, 41 x 41 x 2.5</v>
      </c>
      <c r="B45" s="0" t="str">
        <f aca="false">IF(Inputs!B12="","",Inputs!B12)</f>
        <v>arm</v>
      </c>
      <c r="C45" s="19" t="n">
        <f aca="false">IF(Inputs!B12="","",Calc!BU12)</f>
        <v>123.330541210223</v>
      </c>
      <c r="D45" s="11" t="n">
        <f aca="false">IF(Inputs!B12="","",Inputs!H12)</f>
        <v>20</v>
      </c>
      <c r="E45" s="18" t="n">
        <f aca="false">IF(Inputs!B12="","",Calc!BT12)</f>
        <v>0.359510354114679</v>
      </c>
      <c r="F45" s="0" t="str">
        <f aca="false">IF(Inputs!B12="","",Calc!BV12)</f>
        <v>bending</v>
      </c>
      <c r="G45" s="0" t="str">
        <f aca="false">IF(Inputs!B12="","",Calc!BW12)</f>
        <v>PASS</v>
      </c>
    </row>
    <row r="46" customFormat="false" ht="15" hidden="false" customHeight="false" outlineLevel="0" collapsed="false">
      <c r="A46" s="0" t="str">
        <f aca="false">IF(Inputs!B13="","",8&amp;"  "&amp;Inputs!A13)</f>
        <v>8  Channel 41 x 41 x 2.5, trapeze 600 mm</v>
      </c>
      <c r="B46" s="0" t="str">
        <f aca="false">IF(Inputs!B13="","",Inputs!B13)</f>
        <v>channel</v>
      </c>
      <c r="C46" s="19" t="n">
        <f aca="false">IF(Inputs!B13="","",Calc!BU13)</f>
        <v>328.190672288872</v>
      </c>
      <c r="D46" s="11" t="n">
        <f aca="false">IF(Inputs!B13="","",Inputs!H13)</f>
        <v>20</v>
      </c>
      <c r="E46" s="18" t="n">
        <f aca="false">IF(Inputs!B13="","",Calc!BT13)</f>
        <v>0.627790553561407</v>
      </c>
      <c r="F46" s="0" t="str">
        <f aca="false">IF(Inputs!B13="","",Calc!BV13)</f>
        <v>bending</v>
      </c>
      <c r="G46" s="0" t="str">
        <f aca="false">IF(Inputs!B13="","",Calc!BW13)</f>
        <v>PASS</v>
      </c>
    </row>
    <row r="47" customFormat="false" ht="15" hidden="false" customHeight="false" outlineLevel="0" collapsed="false">
      <c r="A47" s="0" t="str">
        <f aca="false">IF(Inputs!B14="","",9&amp;"  "&amp;Inputs!A14)</f>
        <v/>
      </c>
      <c r="B47" s="0" t="str">
        <f aca="false">IF(Inputs!B14="","",Inputs!B14)</f>
        <v/>
      </c>
      <c r="C47" s="19" t="str">
        <f aca="false">IF(Inputs!B14="","",Calc!BU14)</f>
        <v/>
      </c>
      <c r="D47" s="11" t="str">
        <f aca="false">IF(Inputs!B14="","",Inputs!H14)</f>
        <v/>
      </c>
      <c r="E47" s="18" t="str">
        <f aca="false">IF(Inputs!B14="","",Calc!BT14)</f>
        <v/>
      </c>
      <c r="F47" s="0" t="str">
        <f aca="false">IF(Inputs!B14="","",Calc!BV14)</f>
        <v/>
      </c>
      <c r="G47" s="0" t="str">
        <f aca="false">IF(Inputs!B14="","",Calc!BW14)</f>
        <v/>
      </c>
    </row>
    <row r="48" customFormat="false" ht="15" hidden="false" customHeight="false" outlineLevel="0" collapsed="false">
      <c r="A48" s="0" t="str">
        <f aca="false">IF(Inputs!B15="","",10&amp;"  "&amp;Inputs!A15)</f>
        <v/>
      </c>
      <c r="B48" s="0" t="str">
        <f aca="false">IF(Inputs!B15="","",Inputs!B15)</f>
        <v/>
      </c>
      <c r="C48" s="19" t="str">
        <f aca="false">IF(Inputs!B15="","",Calc!BU15)</f>
        <v/>
      </c>
      <c r="D48" s="11" t="str">
        <f aca="false">IF(Inputs!B15="","",Inputs!H15)</f>
        <v/>
      </c>
      <c r="E48" s="18" t="str">
        <f aca="false">IF(Inputs!B15="","",Calc!BT15)</f>
        <v/>
      </c>
      <c r="F48" s="0" t="str">
        <f aca="false">IF(Inputs!B15="","",Calc!BV15)</f>
        <v/>
      </c>
      <c r="G48" s="0" t="str">
        <f aca="false">IF(Inputs!B15="","",Calc!BW15)</f>
        <v/>
      </c>
    </row>
    <row r="49" customFormat="false" ht="15" hidden="false" customHeight="false" outlineLevel="0" collapsed="false">
      <c r="A49" s="0" t="str">
        <f aca="false">IF(Inputs!B16="","",11&amp;"  "&amp;Inputs!A16)</f>
        <v/>
      </c>
      <c r="B49" s="0" t="str">
        <f aca="false">IF(Inputs!B16="","",Inputs!B16)</f>
        <v/>
      </c>
      <c r="C49" s="19" t="str">
        <f aca="false">IF(Inputs!B16="","",Calc!BU16)</f>
        <v/>
      </c>
      <c r="D49" s="11" t="str">
        <f aca="false">IF(Inputs!B16="","",Inputs!H16)</f>
        <v/>
      </c>
      <c r="E49" s="18" t="str">
        <f aca="false">IF(Inputs!B16="","",Calc!BT16)</f>
        <v/>
      </c>
      <c r="F49" s="0" t="str">
        <f aca="false">IF(Inputs!B16="","",Calc!BV16)</f>
        <v/>
      </c>
      <c r="G49" s="0" t="str">
        <f aca="false">IF(Inputs!B16="","",Calc!BW16)</f>
        <v/>
      </c>
    </row>
    <row r="50" customFormat="false" ht="15" hidden="false" customHeight="false" outlineLevel="0" collapsed="false">
      <c r="A50" s="0" t="str">
        <f aca="false">IF(Inputs!B17="","",12&amp;"  "&amp;Inputs!A17)</f>
        <v/>
      </c>
      <c r="B50" s="0" t="str">
        <f aca="false">IF(Inputs!B17="","",Inputs!B17)</f>
        <v/>
      </c>
      <c r="C50" s="19" t="str">
        <f aca="false">IF(Inputs!B17="","",Calc!BU17)</f>
        <v/>
      </c>
      <c r="D50" s="11" t="str">
        <f aca="false">IF(Inputs!B17="","",Inputs!H17)</f>
        <v/>
      </c>
      <c r="E50" s="18" t="str">
        <f aca="false">IF(Inputs!B17="","",Calc!BT17)</f>
        <v/>
      </c>
      <c r="F50" s="0" t="str">
        <f aca="false">IF(Inputs!B17="","",Calc!BV17)</f>
        <v/>
      </c>
      <c r="G50" s="0" t="str">
        <f aca="false">IF(Inputs!B17="","",Calc!BW17)</f>
        <v/>
      </c>
    </row>
    <row r="51" customFormat="false" ht="15" hidden="false" customHeight="false" outlineLevel="0" collapsed="false">
      <c r="A51" s="0" t="str">
        <f aca="false">IF(Inputs!B18="","",13&amp;"  "&amp;Inputs!A18)</f>
        <v/>
      </c>
      <c r="B51" s="0" t="str">
        <f aca="false">IF(Inputs!B18="","",Inputs!B18)</f>
        <v/>
      </c>
      <c r="C51" s="19" t="str">
        <f aca="false">IF(Inputs!B18="","",Calc!BU18)</f>
        <v/>
      </c>
      <c r="D51" s="11" t="str">
        <f aca="false">IF(Inputs!B18="","",Inputs!H18)</f>
        <v/>
      </c>
      <c r="E51" s="18" t="str">
        <f aca="false">IF(Inputs!B18="","",Calc!BT18)</f>
        <v/>
      </c>
      <c r="F51" s="0" t="str">
        <f aca="false">IF(Inputs!B18="","",Calc!BV18)</f>
        <v/>
      </c>
      <c r="G51" s="0" t="str">
        <f aca="false">IF(Inputs!B18="","",Calc!BW18)</f>
        <v/>
      </c>
    </row>
    <row r="52" customFormat="false" ht="15" hidden="false" customHeight="false" outlineLevel="0" collapsed="false">
      <c r="A52" s="0" t="str">
        <f aca="false">IF(Inputs!B19="","",14&amp;"  "&amp;Inputs!A19)</f>
        <v/>
      </c>
      <c r="B52" s="0" t="str">
        <f aca="false">IF(Inputs!B19="","",Inputs!B19)</f>
        <v/>
      </c>
      <c r="C52" s="19" t="str">
        <f aca="false">IF(Inputs!B19="","",Calc!BU19)</f>
        <v/>
      </c>
      <c r="D52" s="11" t="str">
        <f aca="false">IF(Inputs!B19="","",Inputs!H19)</f>
        <v/>
      </c>
      <c r="E52" s="18" t="str">
        <f aca="false">IF(Inputs!B19="","",Calc!BT19)</f>
        <v/>
      </c>
      <c r="F52" s="0" t="str">
        <f aca="false">IF(Inputs!B19="","",Calc!BV19)</f>
        <v/>
      </c>
      <c r="G52" s="0" t="str">
        <f aca="false">IF(Inputs!B19="","",Calc!BW19)</f>
        <v/>
      </c>
    </row>
    <row r="53" customFormat="false" ht="15" hidden="false" customHeight="false" outlineLevel="0" collapsed="false">
      <c r="A53" s="0" t="str">
        <f aca="false">IF(Inputs!B20="","",15&amp;"  "&amp;Inputs!A20)</f>
        <v/>
      </c>
      <c r="B53" s="0" t="str">
        <f aca="false">IF(Inputs!B20="","",Inputs!B20)</f>
        <v/>
      </c>
      <c r="C53" s="19" t="str">
        <f aca="false">IF(Inputs!B20="","",Calc!BU20)</f>
        <v/>
      </c>
      <c r="D53" s="11" t="str">
        <f aca="false">IF(Inputs!B20="","",Inputs!H20)</f>
        <v/>
      </c>
      <c r="E53" s="18" t="str">
        <f aca="false">IF(Inputs!B20="","",Calc!BT20)</f>
        <v/>
      </c>
      <c r="F53" s="0" t="str">
        <f aca="false">IF(Inputs!B20="","",Calc!BV20)</f>
        <v/>
      </c>
      <c r="G53" s="0" t="str">
        <f aca="false">IF(Inputs!B20="","",Calc!BW20)</f>
        <v/>
      </c>
    </row>
    <row r="54" customFormat="false" ht="15" hidden="false" customHeight="false" outlineLevel="0" collapsed="false">
      <c r="A54" s="0" t="str">
        <f aca="false">IF(Inputs!B21="","",16&amp;"  "&amp;Inputs!A21)</f>
        <v/>
      </c>
      <c r="B54" s="0" t="str">
        <f aca="false">IF(Inputs!B21="","",Inputs!B21)</f>
        <v/>
      </c>
      <c r="C54" s="19" t="str">
        <f aca="false">IF(Inputs!B21="","",Calc!BU21)</f>
        <v/>
      </c>
      <c r="D54" s="11" t="str">
        <f aca="false">IF(Inputs!B21="","",Inputs!H21)</f>
        <v/>
      </c>
      <c r="E54" s="18" t="str">
        <f aca="false">IF(Inputs!B21="","",Calc!BT21)</f>
        <v/>
      </c>
      <c r="F54" s="0" t="str">
        <f aca="false">IF(Inputs!B21="","",Calc!BV21)</f>
        <v/>
      </c>
      <c r="G54" s="0" t="str">
        <f aca="false">IF(Inputs!B21="","",Calc!BW21)</f>
        <v/>
      </c>
    </row>
    <row r="55" customFormat="false" ht="15" hidden="false" customHeight="false" outlineLevel="0" collapsed="false">
      <c r="A55" s="0" t="str">
        <f aca="false">IF(Inputs!B22="","",17&amp;"  "&amp;Inputs!A22)</f>
        <v/>
      </c>
      <c r="B55" s="0" t="str">
        <f aca="false">IF(Inputs!B22="","",Inputs!B22)</f>
        <v/>
      </c>
      <c r="C55" s="19" t="str">
        <f aca="false">IF(Inputs!B22="","",Calc!BU22)</f>
        <v/>
      </c>
      <c r="D55" s="11" t="str">
        <f aca="false">IF(Inputs!B22="","",Inputs!H22)</f>
        <v/>
      </c>
      <c r="E55" s="18" t="str">
        <f aca="false">IF(Inputs!B22="","",Calc!BT22)</f>
        <v/>
      </c>
      <c r="F55" s="0" t="str">
        <f aca="false">IF(Inputs!B22="","",Calc!BV22)</f>
        <v/>
      </c>
      <c r="G55" s="0" t="str">
        <f aca="false">IF(Inputs!B22="","",Calc!BW22)</f>
        <v/>
      </c>
    </row>
    <row r="56" customFormat="false" ht="15" hidden="false" customHeight="false" outlineLevel="0" collapsed="false">
      <c r="A56" s="0" t="str">
        <f aca="false">IF(Inputs!B23="","",18&amp;"  "&amp;Inputs!A23)</f>
        <v/>
      </c>
      <c r="B56" s="0" t="str">
        <f aca="false">IF(Inputs!B23="","",Inputs!B23)</f>
        <v/>
      </c>
      <c r="C56" s="19" t="str">
        <f aca="false">IF(Inputs!B23="","",Calc!BU23)</f>
        <v/>
      </c>
      <c r="D56" s="11" t="str">
        <f aca="false">IF(Inputs!B23="","",Inputs!H23)</f>
        <v/>
      </c>
      <c r="E56" s="18" t="str">
        <f aca="false">IF(Inputs!B23="","",Calc!BT23)</f>
        <v/>
      </c>
      <c r="F56" s="0" t="str">
        <f aca="false">IF(Inputs!B23="","",Calc!BV23)</f>
        <v/>
      </c>
      <c r="G56" s="0" t="str">
        <f aca="false">IF(Inputs!B23="","",Calc!BW23)</f>
        <v/>
      </c>
    </row>
    <row r="57" customFormat="false" ht="15" hidden="false" customHeight="false" outlineLevel="0" collapsed="false">
      <c r="A57" s="0" t="str">
        <f aca="false">IF(Inputs!B24="","",19&amp;"  "&amp;Inputs!A24)</f>
        <v/>
      </c>
      <c r="B57" s="0" t="str">
        <f aca="false">IF(Inputs!B24="","",Inputs!B24)</f>
        <v/>
      </c>
      <c r="C57" s="19" t="str">
        <f aca="false">IF(Inputs!B24="","",Calc!BU24)</f>
        <v/>
      </c>
      <c r="D57" s="11" t="str">
        <f aca="false">IF(Inputs!B24="","",Inputs!H24)</f>
        <v/>
      </c>
      <c r="E57" s="18" t="str">
        <f aca="false">IF(Inputs!B24="","",Calc!BT24)</f>
        <v/>
      </c>
      <c r="F57" s="0" t="str">
        <f aca="false">IF(Inputs!B24="","",Calc!BV24)</f>
        <v/>
      </c>
      <c r="G57" s="0" t="str">
        <f aca="false">IF(Inputs!B24="","",Calc!BW24)</f>
        <v/>
      </c>
    </row>
    <row r="58" customFormat="false" ht="15" hidden="false" customHeight="false" outlineLevel="0" collapsed="false">
      <c r="A58" s="0" t="str">
        <f aca="false">IF(Inputs!B25="","",20&amp;"  "&amp;Inputs!A25)</f>
        <v/>
      </c>
      <c r="B58" s="0" t="str">
        <f aca="false">IF(Inputs!B25="","",Inputs!B25)</f>
        <v/>
      </c>
      <c r="C58" s="19" t="str">
        <f aca="false">IF(Inputs!B25="","",Calc!BU25)</f>
        <v/>
      </c>
      <c r="D58" s="11" t="str">
        <f aca="false">IF(Inputs!B25="","",Inputs!H25)</f>
        <v/>
      </c>
      <c r="E58" s="18" t="str">
        <f aca="false">IF(Inputs!B25="","",Calc!BT25)</f>
        <v/>
      </c>
      <c r="F58" s="0" t="str">
        <f aca="false">IF(Inputs!B25="","",Calc!BV25)</f>
        <v/>
      </c>
      <c r="G58" s="0" t="str">
        <f aca="false">IF(Inputs!B25="","",Calc!BW25)</f>
        <v/>
      </c>
    </row>
  </sheetData>
  <conditionalFormatting sqref="B13">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conditionalFormatting sqref="G39:G58">
    <cfRule type="cellIs" priority="4" operator="equal" aboveAverage="0" equalAverage="0" bottom="0" percent="0" rank="0" text="" dxfId="0">
      <formula>"PASS"</formula>
    </cfRule>
    <cfRule type="cellIs" priority="5" operator="equal" aboveAverage="0" equalAverage="0" bottom="0" percent="0" rank="0" text="" dxfId="1">
      <formula>"FAIL"</formula>
    </cfRule>
  </conditionalFormatting>
  <dataValidations count="1">
    <dataValidation allowBlank="false" errorStyle="stop" operator="between" showDropDown="false" showErrorMessage="false" showInputMessage="false" sqref="B3" type="whole">
      <formula1>1</formula1>
      <formula2>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9"/>
    <col collapsed="false" customWidth="true" hidden="false" outlineLevel="0" max="82" min="3" style="0" width="12"/>
  </cols>
  <sheetData>
    <row r="1" customFormat="false" ht="18.55" hidden="false" customHeight="false" outlineLevel="0" collapsed="false">
      <c r="A1" s="1" t="s">
        <v>96</v>
      </c>
    </row>
    <row r="2" customFormat="false" ht="15" hidden="false" customHeight="false" outlineLevel="0" collapsed="false">
      <c r="A2" s="2" t="s">
        <v>97</v>
      </c>
    </row>
    <row r="4" customFormat="false" ht="31.5" hidden="false" customHeight="true" outlineLevel="0" collapsed="false">
      <c r="A4" s="5" t="s">
        <v>20</v>
      </c>
      <c r="B4" s="6" t="s">
        <v>21</v>
      </c>
      <c r="C4" s="6" t="s">
        <v>98</v>
      </c>
      <c r="D4" s="6" t="s">
        <v>99</v>
      </c>
      <c r="E4" s="6" t="s">
        <v>100</v>
      </c>
      <c r="F4" s="6" t="s">
        <v>101</v>
      </c>
      <c r="G4" s="6" t="s">
        <v>102</v>
      </c>
      <c r="H4" s="6" t="s">
        <v>103</v>
      </c>
      <c r="I4" s="6" t="s">
        <v>104</v>
      </c>
      <c r="J4" s="6" t="s">
        <v>105</v>
      </c>
      <c r="K4" s="6" t="s">
        <v>106</v>
      </c>
      <c r="L4" s="6" t="s">
        <v>107</v>
      </c>
      <c r="M4" s="6" t="s">
        <v>108</v>
      </c>
      <c r="N4" s="6" t="s">
        <v>79</v>
      </c>
      <c r="O4" s="6" t="s">
        <v>81</v>
      </c>
      <c r="P4" s="6" t="s">
        <v>82</v>
      </c>
      <c r="Q4" s="6" t="s">
        <v>109</v>
      </c>
      <c r="R4" s="6" t="s">
        <v>110</v>
      </c>
      <c r="S4" s="6" t="s">
        <v>111</v>
      </c>
      <c r="T4" s="6" t="s">
        <v>112</v>
      </c>
      <c r="U4" s="6" t="s">
        <v>87</v>
      </c>
      <c r="V4" s="6" t="s">
        <v>113</v>
      </c>
      <c r="W4" s="6" t="s">
        <v>114</v>
      </c>
      <c r="X4" s="6" t="s">
        <v>115</v>
      </c>
      <c r="Y4" s="6" t="s">
        <v>88</v>
      </c>
      <c r="Z4" s="6" t="s">
        <v>116</v>
      </c>
      <c r="AA4" s="6" t="s">
        <v>117</v>
      </c>
      <c r="AB4" s="6" t="s">
        <v>118</v>
      </c>
      <c r="AC4" s="6" t="s">
        <v>119</v>
      </c>
      <c r="AD4" s="6" t="s">
        <v>120</v>
      </c>
      <c r="AE4" s="6" t="s">
        <v>121</v>
      </c>
      <c r="AF4" s="6" t="s">
        <v>30</v>
      </c>
      <c r="AG4" s="6" t="s">
        <v>122</v>
      </c>
      <c r="AH4" s="6" t="s">
        <v>123</v>
      </c>
      <c r="AI4" s="6" t="s">
        <v>124</v>
      </c>
      <c r="AJ4" s="6" t="s">
        <v>125</v>
      </c>
      <c r="AK4" s="6" t="s">
        <v>126</v>
      </c>
      <c r="AL4" s="6" t="s">
        <v>31</v>
      </c>
      <c r="AM4" s="6" t="s">
        <v>127</v>
      </c>
      <c r="AN4" s="6" t="s">
        <v>27</v>
      </c>
      <c r="AO4" s="6" t="s">
        <v>128</v>
      </c>
      <c r="AP4" s="6" t="s">
        <v>129</v>
      </c>
      <c r="AQ4" s="6" t="s">
        <v>76</v>
      </c>
      <c r="AR4" s="6" t="s">
        <v>130</v>
      </c>
      <c r="AS4" s="6" t="s">
        <v>131</v>
      </c>
      <c r="AT4" s="6" t="s">
        <v>132</v>
      </c>
      <c r="AU4" s="6" t="s">
        <v>133</v>
      </c>
      <c r="AV4" s="6" t="s">
        <v>134</v>
      </c>
      <c r="AW4" s="6" t="s">
        <v>135</v>
      </c>
      <c r="AX4" s="6" t="s">
        <v>136</v>
      </c>
      <c r="AY4" s="6" t="s">
        <v>137</v>
      </c>
      <c r="AZ4" s="6" t="s">
        <v>138</v>
      </c>
      <c r="BA4" s="6" t="s">
        <v>139</v>
      </c>
      <c r="BB4" s="6" t="s">
        <v>140</v>
      </c>
      <c r="BC4" s="6" t="s">
        <v>128</v>
      </c>
      <c r="BD4" s="6" t="s">
        <v>129</v>
      </c>
      <c r="BE4" s="6" t="s">
        <v>141</v>
      </c>
      <c r="BF4" s="6" t="s">
        <v>142</v>
      </c>
      <c r="BG4" s="6" t="s">
        <v>143</v>
      </c>
      <c r="BH4" s="6" t="s">
        <v>144</v>
      </c>
      <c r="BI4" s="6" t="s">
        <v>145</v>
      </c>
      <c r="BJ4" s="6" t="s">
        <v>146</v>
      </c>
      <c r="BK4" s="6" t="s">
        <v>147</v>
      </c>
      <c r="BL4" s="6" t="s">
        <v>148</v>
      </c>
      <c r="BM4" s="6" t="s">
        <v>128</v>
      </c>
      <c r="BN4" s="6" t="s">
        <v>129</v>
      </c>
      <c r="BO4" s="6" t="s">
        <v>76</v>
      </c>
      <c r="BP4" s="6" t="s">
        <v>31</v>
      </c>
      <c r="BQ4" s="6" t="s">
        <v>149</v>
      </c>
      <c r="BR4" s="6" t="s">
        <v>150</v>
      </c>
      <c r="BS4" s="6" t="s">
        <v>151</v>
      </c>
      <c r="BT4" s="6" t="s">
        <v>70</v>
      </c>
      <c r="BU4" s="6" t="s">
        <v>152</v>
      </c>
      <c r="BV4" s="6" t="s">
        <v>69</v>
      </c>
      <c r="BW4" s="6" t="s">
        <v>67</v>
      </c>
      <c r="BX4" s="6" t="s">
        <v>153</v>
      </c>
    </row>
    <row r="5" customFormat="false" ht="15" hidden="false" customHeight="false" outlineLevel="0" collapsed="false">
      <c r="B5" s="7"/>
      <c r="C5" s="7"/>
      <c r="D5" s="7" t="s">
        <v>34</v>
      </c>
      <c r="E5" s="7" t="s">
        <v>80</v>
      </c>
      <c r="F5" s="7" t="s">
        <v>34</v>
      </c>
      <c r="G5" s="7" t="s">
        <v>83</v>
      </c>
      <c r="H5" s="7" t="s">
        <v>80</v>
      </c>
      <c r="I5" s="7" t="s">
        <v>34</v>
      </c>
      <c r="J5" s="7" t="s">
        <v>83</v>
      </c>
      <c r="K5" s="7" t="s">
        <v>80</v>
      </c>
      <c r="L5" s="7" t="s">
        <v>34</v>
      </c>
      <c r="M5" s="7" t="s">
        <v>83</v>
      </c>
      <c r="N5" s="7" t="s">
        <v>80</v>
      </c>
      <c r="O5" s="7" t="s">
        <v>34</v>
      </c>
      <c r="P5" s="7" t="s">
        <v>83</v>
      </c>
      <c r="Q5" s="7" t="s">
        <v>85</v>
      </c>
      <c r="R5" s="7" t="s">
        <v>85</v>
      </c>
      <c r="S5" s="7" t="s">
        <v>80</v>
      </c>
      <c r="T5" s="7" t="s">
        <v>36</v>
      </c>
      <c r="U5" s="7" t="s">
        <v>36</v>
      </c>
      <c r="V5" s="7"/>
      <c r="W5" s="7"/>
      <c r="X5" s="7"/>
      <c r="Y5" s="7"/>
      <c r="Z5" s="7"/>
      <c r="AA5" s="7"/>
      <c r="AB5" s="7"/>
      <c r="AC5" s="7"/>
      <c r="AD5" s="7"/>
      <c r="AE5" s="7" t="s">
        <v>154</v>
      </c>
      <c r="AF5" s="7" t="s">
        <v>155</v>
      </c>
      <c r="AG5" s="7" t="s">
        <v>156</v>
      </c>
      <c r="AH5" s="7" t="s">
        <v>155</v>
      </c>
      <c r="AI5" s="7" t="s">
        <v>34</v>
      </c>
      <c r="AJ5" s="7" t="s">
        <v>36</v>
      </c>
      <c r="AK5" s="7" t="s">
        <v>157</v>
      </c>
      <c r="AL5" s="7" t="s">
        <v>34</v>
      </c>
      <c r="AM5" s="7" t="s">
        <v>158</v>
      </c>
      <c r="AN5" s="7" t="s">
        <v>158</v>
      </c>
      <c r="AO5" s="7" t="s">
        <v>157</v>
      </c>
      <c r="AP5" s="7" t="s">
        <v>155</v>
      </c>
      <c r="AQ5" s="7" t="s">
        <v>34</v>
      </c>
      <c r="AR5" s="7" t="s">
        <v>36</v>
      </c>
      <c r="AS5" s="7" t="s">
        <v>36</v>
      </c>
      <c r="AT5" s="7" t="s">
        <v>36</v>
      </c>
      <c r="AU5" s="7" t="s">
        <v>36</v>
      </c>
      <c r="AV5" s="7"/>
      <c r="AW5" s="7"/>
      <c r="AX5" s="7" t="s">
        <v>157</v>
      </c>
      <c r="AY5" s="7" t="s">
        <v>34</v>
      </c>
      <c r="AZ5" s="7" t="s">
        <v>155</v>
      </c>
      <c r="BA5" s="7" t="s">
        <v>155</v>
      </c>
      <c r="BB5" s="7" t="s">
        <v>155</v>
      </c>
      <c r="BC5" s="7" t="s">
        <v>157</v>
      </c>
      <c r="BD5" s="7" t="s">
        <v>155</v>
      </c>
      <c r="BE5" s="7" t="s">
        <v>34</v>
      </c>
      <c r="BF5" s="7" t="s">
        <v>39</v>
      </c>
      <c r="BG5" s="7" t="s">
        <v>39</v>
      </c>
      <c r="BH5" s="7" t="s">
        <v>39</v>
      </c>
      <c r="BI5" s="7" t="s">
        <v>39</v>
      </c>
      <c r="BJ5" s="7" t="s">
        <v>36</v>
      </c>
      <c r="BK5" s="7"/>
      <c r="BL5" s="7" t="s">
        <v>157</v>
      </c>
      <c r="BM5" s="7" t="s">
        <v>157</v>
      </c>
      <c r="BN5" s="7" t="s">
        <v>155</v>
      </c>
      <c r="BO5" s="7" t="s">
        <v>34</v>
      </c>
      <c r="BP5" s="7" t="s">
        <v>34</v>
      </c>
      <c r="BQ5" s="7"/>
      <c r="BR5" s="7"/>
      <c r="BS5" s="7"/>
      <c r="BT5" s="7"/>
      <c r="BU5" s="7" t="s">
        <v>36</v>
      </c>
      <c r="BV5" s="7"/>
      <c r="BW5" s="7"/>
      <c r="BX5" s="7" t="s">
        <v>159</v>
      </c>
    </row>
    <row r="6" customFormat="false" ht="15" hidden="false" customHeight="false" outlineLevel="0" collapsed="false">
      <c r="A6" s="0" t="str">
        <f aca="false">IF(Inputs!A6="","",Inputs!A6)</f>
        <v>Ladder 600 x 100 x 2.0, simple span</v>
      </c>
      <c r="B6" s="21" t="str">
        <f aca="false">IF(Inputs!$B6="","",Inputs!$B6)</f>
        <v>ladder</v>
      </c>
      <c r="C6" s="23" t="n">
        <f aca="false">IF(Inputs!$B6="","",IF(OR(Inputs!$B6="perf",Inputs!$B6="trough"),MIN(0.5,IF(Inputs!$B6="perf",p_perfN*p_perfL*p_perfW/(p_perfSp*Inputs!$C6),p_trN*p_trL*p_trW/(p_trSp*Inputs!$C6))),0))</f>
        <v>0</v>
      </c>
      <c r="D6" s="11" t="n">
        <f aca="false">IF(Inputs!$B6="","",IF(Inputs!$B6="ladder",p_collar,IF(Inputs!$B6="perf",IF(AND(Inputs!$C6&gt;=300,Inputs!$D6&gt;=100),15,0),IF(Inputs!$B6="trough",0,p_lip))))</f>
        <v>25</v>
      </c>
      <c r="E6" s="19" t="n">
        <f aca="false">IF(Inputs!$B6="","",IF(Inputs!$B6="ladder",2*Inputs!$E6*Inputs!$D6,IF(OR(Inputs!$B6="perf",Inputs!$B6="trough"),(Inputs!$C6+4)*Inputs!$E6*(1-C6),Inputs!$C6*Inputs!$E6)))</f>
        <v>400</v>
      </c>
      <c r="F6" s="19" t="n">
        <f aca="false">IF(Inputs!$B6="","",IF(Inputs!$B6="ladder",Inputs!$D6/2,Inputs!$E6/2))</f>
        <v>50</v>
      </c>
      <c r="G6" s="20" t="n">
        <f aca="false">IF(Inputs!$B6="","",IF(Inputs!$B6="ladder",2*Inputs!$E6*Inputs!$D6^3/12,IF(OR(Inputs!$B6="perf",Inputs!$B6="trough"),0,Inputs!$C6*Inputs!$E6^3/12)))</f>
        <v>333333.333333333</v>
      </c>
      <c r="H6" s="19" t="n">
        <f aca="false">IF(Inputs!$B6="","",IF(Inputs!$B6="ladder",2*D6*Inputs!$E6,2*Inputs!$E6*Inputs!$D6))</f>
        <v>100</v>
      </c>
      <c r="I6" s="19" t="n">
        <f aca="false">IF(Inputs!$B6="","",IF(Inputs!$B6="ladder",Inputs!$E6/2,Inputs!$D6/2))</f>
        <v>1</v>
      </c>
      <c r="J6" s="20" t="n">
        <f aca="false">IF(Inputs!$B6="","",IF(Inputs!$B6="ladder",2*D6*Inputs!$E6^3/12,2*Inputs!$E6*Inputs!$D6^3/12))</f>
        <v>33.3333333333333</v>
      </c>
      <c r="K6" s="19" t="n">
        <f aca="false">IF(Inputs!$B6="","",2*D6*Inputs!$E6)</f>
        <v>100</v>
      </c>
      <c r="L6" s="19" t="n">
        <f aca="false">IF(Inputs!$B6="","",Inputs!$D6-Inputs!$E6/2)</f>
        <v>99</v>
      </c>
      <c r="M6" s="20" t="n">
        <f aca="false">IF(Inputs!$B6="","",2*D6*Inputs!$E6^3/12)</f>
        <v>33.3333333333333</v>
      </c>
      <c r="N6" s="19" t="n">
        <f aca="false">IF(Inputs!$B6="","",E6+H6+K6)</f>
        <v>600</v>
      </c>
      <c r="O6" s="13" t="n">
        <f aca="false">IF(Inputs!$B6="","",(E6*F6+H6*I6+K6*L6)/N6)</f>
        <v>50</v>
      </c>
      <c r="P6" s="20" t="n">
        <f aca="false">IF(Inputs!$B6="","",(G6+E6*(F6-O6)^2)+(J6+H6*(I6-O6)^2)+(M6+K6*(L6-O6)^2))</f>
        <v>813600</v>
      </c>
      <c r="Q6" s="20" t="n">
        <f aca="false">IF(Inputs!$B6="","",P6/O6)</f>
        <v>16272</v>
      </c>
      <c r="R6" s="20" t="n">
        <f aca="false">IF(Inputs!$B6="","",P6/(Inputs!$D6-O6))</f>
        <v>16272</v>
      </c>
      <c r="S6" s="19" t="n">
        <f aca="false">IF(Inputs!$B6="","",2*Inputs!$D6*Inputs!$E6)</f>
        <v>400</v>
      </c>
      <c r="T6" s="13" t="n">
        <f aca="false">IF(Inputs!$B6="","",N6*0.00785+IF(Inputs!$B6="ladder",p_rungN/2.5*(p_rungW*p_rungT+2*p_rungT*p_rungH)*Inputs!$C6*0.00000785,0))</f>
        <v>8.1012</v>
      </c>
      <c r="U6" s="13" t="n">
        <f aca="false">IF(Inputs!$B6="","",IF(Inputs!$G6="",T6,Inputs!$G6))</f>
        <v>8.56</v>
      </c>
      <c r="V6" s="24" t="n">
        <f aca="false">IF(Inputs!$B6="","",Inputs!$D6/Inputs!$E6)</f>
        <v>50</v>
      </c>
      <c r="W6" s="24" t="n">
        <f aca="false">IF(Inputs!$B6="","",IF(D6&gt;0,D6/Inputs!$E6,0))</f>
        <v>12.5</v>
      </c>
      <c r="X6" s="24" t="n">
        <f aca="false">IF(Inputs!$B6="","",IF(OR(Inputs!$B6="perf",Inputs!$B6="trough"),(Inputs!$C6+4)/Inputs!$E6,IF(OR(Inputs!$B6="channel",Inputs!$B6="arm"),Inputs!$C6/Inputs!$E6,0)))</f>
        <v>0</v>
      </c>
      <c r="Y6" s="21" t="str">
        <f aca="false">IF(Inputs!$B6="","",IF(V6&gt;p_webS,"web; ","")&amp;IF(W6&gt;p_flS,"flange; ","")&amp;IF(X6&gt;p_plS,"base plate; ",""))</f>
        <v/>
      </c>
      <c r="Z6" s="25" t="n">
        <f aca="false">IF(Inputs!$B6="","",IFERROR(INDEX(sup_kw,MATCH(Inputs!$J6,sup_names,0)),INDEX(sup_kw,1)))</f>
        <v>0.125</v>
      </c>
      <c r="AA6" s="25" t="n">
        <f aca="false">IF(Inputs!$B6="","",IFERROR(INDEX(sup_kp,MATCH(Inputs!$J6,sup_names,0)),INDEX(sup_kp,1)))</f>
        <v>0.25</v>
      </c>
      <c r="AB6" s="25" t="n">
        <f aca="false">IF(Inputs!$B6="","",IFERROR(INDEX(sup_dw,MATCH(Inputs!$J6,sup_names,0)),INDEX(sup_dw,1)))</f>
        <v>0.0130208333333333</v>
      </c>
      <c r="AC6" s="25" t="n">
        <f aca="false">IF(Inputs!$B6="","",IFERROR(INDEX(sup_dp,MATCH(Inputs!$J6,sup_names,0)),INDEX(sup_dp,1)))</f>
        <v>0.0208333333333333</v>
      </c>
      <c r="AD6" s="25" t="n">
        <f aca="false">IF(Inputs!$B6="","",IFERROR(INDEX(sup_kv,MATCH(Inputs!$J6,sup_names,0)),INDEX(sup_kv,1)))</f>
        <v>0.5</v>
      </c>
      <c r="AE6" s="11" t="n">
        <f aca="false">IF(Inputs!$B6="","",p_fy/p_fs)</f>
        <v>149.700598802395</v>
      </c>
      <c r="AF6" s="19" t="n">
        <f aca="false">IF(Inputs!$B6="","",Inputs!$K6*p_g)</f>
        <v>882.9</v>
      </c>
      <c r="AG6" s="26" t="n">
        <f aca="false">IF(Inputs!$B6="","",p_E*P6)</f>
        <v>162720000000</v>
      </c>
      <c r="AH6" s="20" t="n">
        <f aca="false">IF(Inputs!$B6="","",p_shear*p_fy*S6)</f>
        <v>40000</v>
      </c>
      <c r="AI6" s="20" t="n">
        <f aca="false">IF(Inputs!$B6="","",IF(Inputs!$B6="channel",Inputs!$M6,Inputs!$I6*1000))</f>
        <v>2500</v>
      </c>
      <c r="AJ6" s="13" t="n">
        <f aca="false">IF(Inputs!$B6="","",IF(Inputs!$B6="channel",(Inputs!$H6+Inputs!$N6)*Inputs!$I6/(AI6/1000),Inputs!$H6))</f>
        <v>40</v>
      </c>
      <c r="AK6" s="20" t="n">
        <f aca="false">IF(Inputs!$B6="","",AE6*MIN(Q6,R6)*p_splice)</f>
        <v>1339760.47904192</v>
      </c>
      <c r="AL6" s="13" t="n">
        <f aca="false">IF(Inputs!$B6="","",AI6/Inputs!$L6)</f>
        <v>12.5</v>
      </c>
      <c r="AM6" s="27" t="n">
        <f aca="false">IF(Inputs!$B6="","",U6*p_g/1000)</f>
        <v>0.0839736</v>
      </c>
      <c r="AN6" s="27" t="n">
        <f aca="false">IF(Inputs!$B6="","",AJ6*p_g/1000)</f>
        <v>0.3924</v>
      </c>
      <c r="AO6" s="20" t="n">
        <f aca="false">IF(Inputs!$B6="","",Z6*(AM6+AN6)*AI6^2+AA6*AF6*AI6)</f>
        <v>923979.375</v>
      </c>
      <c r="AP6" s="20" t="n">
        <f aca="false">IF(Inputs!$B6="","",AD6*((AM6+AN6)*AI6+AF6))</f>
        <v>1036.917</v>
      </c>
      <c r="AQ6" s="13" t="n">
        <f aca="false">IF(Inputs!$B6="","",AB6*(AM6+AN6)*AI6^4/AG6+AC6*AF6*AI6^3/AG6)</f>
        <v>3.2552758500991</v>
      </c>
      <c r="AR6" s="19" t="n">
        <f aca="false">IF(Inputs!$B6="","",MAX(0,(AK6-AA6*AF6*AI6)/(Z6*AI6^2)-AM6)*1000/p_g)</f>
        <v>94.250745481514</v>
      </c>
      <c r="AS6" s="19" t="n">
        <f aca="false">IF(Inputs!$B6="","",MAX(0,(AH6-AD6*AF6)/(AD6*AI6)-AM6)*1000/p_g)</f>
        <v>3217.41757390418</v>
      </c>
      <c r="AT6" s="19" t="n">
        <f aca="false">IF(Inputs!$B6="","",MAX(0,(AL6-AC6*AF6*AI6^3/AG6)/(AB6*AI6^4/AG6)-AM6)*1000/p_g)</f>
        <v>341.485944954129</v>
      </c>
      <c r="AU6" s="19" t="n">
        <f aca="false">IF(Inputs!$B6="","",MIN(AR6,AS6,AT6))</f>
        <v>94.250745481514</v>
      </c>
      <c r="AV6" s="21" t="str">
        <f aca="false">IF(Inputs!$B6="","",IF(AU6=AR6,"bending",IF(AU6=AT6,"deflection","shear")))</f>
        <v>bending</v>
      </c>
      <c r="AW6" s="23" t="n">
        <f aca="false">IF(Inputs!$B6="","",IF(Inputs!$B6="ladder",((Inputs!$H6*2500/p_rungN/1000*p_g)*Inputs!$C6/8+(AF6/3)*Inputs!$C6/4)/(p_fy/p_fs*p_rungZ),""))</f>
        <v>0.819135</v>
      </c>
      <c r="AX6" s="20" t="str">
        <f aca="false">IF(Inputs!$B6="","",IF(Inputs!$B6="arm",AE6*MIN(Q6,R6),""))</f>
        <v/>
      </c>
      <c r="AY6" s="13" t="str">
        <f aca="false">IF(Inputs!$B6="","",IF(Inputs!$B6="arm",Inputs!$F6/p_cant,""))</f>
        <v/>
      </c>
      <c r="AZ6" s="20" t="str">
        <f aca="false">IF(Inputs!$B6="","",IF(Inputs!$B6="arm",Inputs!$H6*Inputs!$I6*p_g,""))</f>
        <v/>
      </c>
      <c r="BA6" s="20" t="str">
        <f aca="false">IF(Inputs!$B6="","",IF(Inputs!$B6="arm",AZ6+Inputs!$N6*Inputs!$I6*p_g,""))</f>
        <v/>
      </c>
      <c r="BB6" s="19" t="str">
        <f aca="false">IF(Inputs!$B6="","",IF(Inputs!$B6="arm",AF6/3,""))</f>
        <v/>
      </c>
      <c r="BC6" s="20" t="str">
        <f aca="false">IF(Inputs!$B6="","",IF(Inputs!$B6="arm",BA6*Inputs!$F6/2+BB6*Inputs!$F6,""))</f>
        <v/>
      </c>
      <c r="BD6" s="20" t="str">
        <f aca="false">IF(Inputs!$B6="","",IF(Inputs!$B6="arm",BA6+BB6,""))</f>
        <v/>
      </c>
      <c r="BE6" s="13" t="str">
        <f aca="false">IF(Inputs!$B6="","",IF(Inputs!$B6="arm",BA6*Inputs!$F6^3/(8*AG6)+BB6*Inputs!$F6^3/(3*AG6),""))</f>
        <v/>
      </c>
      <c r="BF6" s="19" t="str">
        <f aca="false">IF(Inputs!$B6="","",IF(Inputs!$B6="arm",(AX6-BB6*Inputs!$F6)/(Inputs!$F6/2)/p_g-Inputs!$N6*Inputs!$I6,""))</f>
        <v/>
      </c>
      <c r="BG6" s="19" t="str">
        <f aca="false">IF(Inputs!$B6="","",IF(Inputs!$B6="arm",(AH6-BB6)/p_g-Inputs!$N6*Inputs!$I6,""))</f>
        <v/>
      </c>
      <c r="BH6" s="19" t="str">
        <f aca="false">IF(Inputs!$B6="","",IF(Inputs!$B6="arm",(AY6-BB6*Inputs!$F6^3/(3*AG6))/(Inputs!$F6^3/(8*AG6))/p_g-Inputs!$N6*Inputs!$I6,""))</f>
        <v/>
      </c>
      <c r="BI6" s="19" t="str">
        <f aca="false">IF(Inputs!$B6="","",IF(Inputs!$B6="arm",MAX(0,MIN(BF6,BG6,BH6)),""))</f>
        <v/>
      </c>
      <c r="BJ6" s="19" t="str">
        <f aca="false">IF(Inputs!$B6="","",IF(Inputs!$B6="arm",BI6/Inputs!$I6,""))</f>
        <v/>
      </c>
      <c r="BK6" s="21" t="str">
        <f aca="false">IF(Inputs!$B6="","",IF(Inputs!$B6="arm",IF(BI6=MAX(0,BF6),"bending",IF(BI6=MAX(0,BH6),"deflection","shear")),""))</f>
        <v/>
      </c>
      <c r="BL6" s="20" t="n">
        <f aca="false">IF(Inputs!$B6="","",IF(Inputs!$B6="arm",AX6,AK6))</f>
        <v>1339760.47904192</v>
      </c>
      <c r="BM6" s="20" t="n">
        <f aca="false">IF(Inputs!$B6="","",IF(Inputs!$B6="arm",BC6,AO6))</f>
        <v>923979.375</v>
      </c>
      <c r="BN6" s="20" t="n">
        <f aca="false">IF(Inputs!$B6="","",IF(Inputs!$B6="arm",BD6,AP6))</f>
        <v>1036.917</v>
      </c>
      <c r="BO6" s="13" t="n">
        <f aca="false">IF(Inputs!$B6="","",IF(Inputs!$B6="arm",BE6,AQ6))</f>
        <v>3.2552758500991</v>
      </c>
      <c r="BP6" s="13" t="n">
        <f aca="false">IF(Inputs!$B6="","",IF(Inputs!$B6="arm",AY6,AL6))</f>
        <v>12.5</v>
      </c>
      <c r="BQ6" s="23" t="n">
        <f aca="false">IF(Inputs!$B6="","",BM6/BL6)</f>
        <v>0.689660121681416</v>
      </c>
      <c r="BR6" s="23" t="n">
        <f aca="false">IF(Inputs!$B6="","",BN6/AH6)</f>
        <v>0.025922925</v>
      </c>
      <c r="BS6" s="23" t="n">
        <f aca="false">IF(Inputs!$B6="","",BO6/BP6)</f>
        <v>0.260422068007928</v>
      </c>
      <c r="BT6" s="28" t="n">
        <f aca="false">IF(Inputs!$B6="","",MAX(BQ6,BR6,BS6,IF(Inputs!$B6="ladder",AW6,0)))</f>
        <v>0.819135</v>
      </c>
      <c r="BU6" s="16" t="n">
        <f aca="false">IF(Inputs!$B6="","",IF(Inputs!$B6="arm",BJ6,AU6))</f>
        <v>94.250745481514</v>
      </c>
      <c r="BV6" s="15" t="str">
        <f aca="false">IF(Inputs!$B6="","",IF(Inputs!$B6="arm",BK6,AV6))</f>
        <v>bending</v>
      </c>
      <c r="BW6" s="15" t="str">
        <f aca="false">IF(Inputs!$B6="","",IF(BT6&lt;=1,"PASS","FAIL"))</f>
        <v>PASS</v>
      </c>
      <c r="BX6" s="18" t="n">
        <f aca="false">IF(Inputs!$B6="","",IF(Inputs!$H6&gt;0,BU6/Inputs!$H6-1,""))</f>
        <v>1.35626863703785</v>
      </c>
    </row>
    <row r="7" customFormat="false" ht="15" hidden="false" customHeight="false" outlineLevel="0" collapsed="false">
      <c r="A7" s="0" t="str">
        <f aca="false">IF(Inputs!A7="","",Inputs!A7)</f>
        <v>Ladder 300 x 75 x 2.0, continuous</v>
      </c>
      <c r="B7" s="21" t="str">
        <f aca="false">IF(Inputs!$B7="","",Inputs!$B7)</f>
        <v>ladder</v>
      </c>
      <c r="C7" s="23" t="n">
        <f aca="false">IF(Inputs!$B7="","",IF(OR(Inputs!$B7="perf",Inputs!$B7="trough"),MIN(0.5,IF(Inputs!$B7="perf",p_perfN*p_perfL*p_perfW/(p_perfSp*Inputs!$C7),p_trN*p_trL*p_trW/(p_trSp*Inputs!$C7))),0))</f>
        <v>0</v>
      </c>
      <c r="D7" s="11" t="n">
        <f aca="false">IF(Inputs!$B7="","",IF(Inputs!$B7="ladder",p_collar,IF(Inputs!$B7="perf",IF(AND(Inputs!$C7&gt;=300,Inputs!$D7&gt;=100),15,0),IF(Inputs!$B7="trough",0,p_lip))))</f>
        <v>25</v>
      </c>
      <c r="E7" s="19" t="n">
        <f aca="false">IF(Inputs!$B7="","",IF(Inputs!$B7="ladder",2*Inputs!$E7*Inputs!$D7,IF(OR(Inputs!$B7="perf",Inputs!$B7="trough"),(Inputs!$C7+4)*Inputs!$E7*(1-C7),Inputs!$C7*Inputs!$E7)))</f>
        <v>300</v>
      </c>
      <c r="F7" s="19" t="n">
        <f aca="false">IF(Inputs!$B7="","",IF(Inputs!$B7="ladder",Inputs!$D7/2,Inputs!$E7/2))</f>
        <v>37.5</v>
      </c>
      <c r="G7" s="20" t="n">
        <f aca="false">IF(Inputs!$B7="","",IF(Inputs!$B7="ladder",2*Inputs!$E7*Inputs!$D7^3/12,IF(OR(Inputs!$B7="perf",Inputs!$B7="trough"),0,Inputs!$C7*Inputs!$E7^3/12)))</f>
        <v>140625</v>
      </c>
      <c r="H7" s="19" t="n">
        <f aca="false">IF(Inputs!$B7="","",IF(Inputs!$B7="ladder",2*D7*Inputs!$E7,2*Inputs!$E7*Inputs!$D7))</f>
        <v>100</v>
      </c>
      <c r="I7" s="19" t="n">
        <f aca="false">IF(Inputs!$B7="","",IF(Inputs!$B7="ladder",Inputs!$E7/2,Inputs!$D7/2))</f>
        <v>1</v>
      </c>
      <c r="J7" s="20" t="n">
        <f aca="false">IF(Inputs!$B7="","",IF(Inputs!$B7="ladder",2*D7*Inputs!$E7^3/12,2*Inputs!$E7*Inputs!$D7^3/12))</f>
        <v>33.3333333333333</v>
      </c>
      <c r="K7" s="19" t="n">
        <f aca="false">IF(Inputs!$B7="","",2*D7*Inputs!$E7)</f>
        <v>100</v>
      </c>
      <c r="L7" s="19" t="n">
        <f aca="false">IF(Inputs!$B7="","",Inputs!$D7-Inputs!$E7/2)</f>
        <v>74</v>
      </c>
      <c r="M7" s="20" t="n">
        <f aca="false">IF(Inputs!$B7="","",2*D7*Inputs!$E7^3/12)</f>
        <v>33.3333333333333</v>
      </c>
      <c r="N7" s="19" t="n">
        <f aca="false">IF(Inputs!$B7="","",E7+H7+K7)</f>
        <v>500</v>
      </c>
      <c r="O7" s="13" t="n">
        <f aca="false">IF(Inputs!$B7="","",(E7*F7+H7*I7+K7*L7)/N7)</f>
        <v>37.5</v>
      </c>
      <c r="P7" s="20" t="n">
        <f aca="false">IF(Inputs!$B7="","",(G7+E7*(F7-O7)^2)+(J7+H7*(I7-O7)^2)+(M7+K7*(L7-O7)^2))</f>
        <v>407141.666666667</v>
      </c>
      <c r="Q7" s="20" t="n">
        <f aca="false">IF(Inputs!$B7="","",P7/O7)</f>
        <v>10857.1111111111</v>
      </c>
      <c r="R7" s="20" t="n">
        <f aca="false">IF(Inputs!$B7="","",P7/(Inputs!$D7-O7))</f>
        <v>10857.1111111111</v>
      </c>
      <c r="S7" s="19" t="n">
        <f aca="false">IF(Inputs!$B7="","",2*Inputs!$D7*Inputs!$E7)</f>
        <v>300</v>
      </c>
      <c r="T7" s="13" t="n">
        <f aca="false">IF(Inputs!$B7="","",N7*0.00785+IF(Inputs!$B7="ladder",p_rungN/2.5*(p_rungW*p_rungT+2*p_rungT*p_rungH)*Inputs!$C7*0.00000785,0))</f>
        <v>5.6206</v>
      </c>
      <c r="U7" s="13" t="n">
        <f aca="false">IF(Inputs!$B7="","",IF(Inputs!$G7="",T7,Inputs!$G7))</f>
        <v>6.079</v>
      </c>
      <c r="V7" s="24" t="n">
        <f aca="false">IF(Inputs!$B7="","",Inputs!$D7/Inputs!$E7)</f>
        <v>37.5</v>
      </c>
      <c r="W7" s="24" t="n">
        <f aca="false">IF(Inputs!$B7="","",IF(D7&gt;0,D7/Inputs!$E7,0))</f>
        <v>12.5</v>
      </c>
      <c r="X7" s="24" t="n">
        <f aca="false">IF(Inputs!$B7="","",IF(OR(Inputs!$B7="perf",Inputs!$B7="trough"),(Inputs!$C7+4)/Inputs!$E7,IF(OR(Inputs!$B7="channel",Inputs!$B7="arm"),Inputs!$C7/Inputs!$E7,0)))</f>
        <v>0</v>
      </c>
      <c r="Y7" s="21" t="str">
        <f aca="false">IF(Inputs!$B7="","",IF(V7&gt;p_webS,"web; ","")&amp;IF(W7&gt;p_flS,"flange; ","")&amp;IF(X7&gt;p_plS,"base plate; ",""))</f>
        <v/>
      </c>
      <c r="Z7" s="25" t="n">
        <f aca="false">IF(Inputs!$B7="","",IFERROR(INDEX(sup_kw,MATCH(Inputs!$J7,sup_names,0)),INDEX(sup_kw,1)))</f>
        <v>0.1</v>
      </c>
      <c r="AA7" s="25" t="n">
        <f aca="false">IF(Inputs!$B7="","",IFERROR(INDEX(sup_kp,MATCH(Inputs!$J7,sup_names,0)),INDEX(sup_kp,1)))</f>
        <v>0.2</v>
      </c>
      <c r="AB7" s="25" t="n">
        <f aca="false">IF(Inputs!$B7="","",IFERROR(INDEX(sup_dw,MATCH(Inputs!$J7,sup_names,0)),INDEX(sup_dw,1)))</f>
        <v>0.00689655172413793</v>
      </c>
      <c r="AC7" s="25" t="n">
        <f aca="false">IF(Inputs!$B7="","",IFERROR(INDEX(sup_dp,MATCH(Inputs!$J7,sup_names,0)),INDEX(sup_dp,1)))</f>
        <v>0.00943396226415094</v>
      </c>
      <c r="AD7" s="25" t="n">
        <f aca="false">IF(Inputs!$B7="","",IFERROR(INDEX(sup_kv,MATCH(Inputs!$J7,sup_names,0)),INDEX(sup_kv,1)))</f>
        <v>0.6</v>
      </c>
      <c r="AE7" s="11" t="n">
        <f aca="false">IF(Inputs!$B7="","",p_fy/p_fs)</f>
        <v>149.700598802395</v>
      </c>
      <c r="AF7" s="19" t="n">
        <f aca="false">IF(Inputs!$B7="","",Inputs!$K7*p_g)</f>
        <v>882.9</v>
      </c>
      <c r="AG7" s="26" t="n">
        <f aca="false">IF(Inputs!$B7="","",p_E*P7)</f>
        <v>81428333333.3333</v>
      </c>
      <c r="AH7" s="20" t="n">
        <f aca="false">IF(Inputs!$B7="","",p_shear*p_fy*S7)</f>
        <v>30000</v>
      </c>
      <c r="AI7" s="20" t="n">
        <f aca="false">IF(Inputs!$B7="","",IF(Inputs!$B7="channel",Inputs!$M7,Inputs!$I7*1000))</f>
        <v>3000</v>
      </c>
      <c r="AJ7" s="13" t="n">
        <f aca="false">IF(Inputs!$B7="","",IF(Inputs!$B7="channel",(Inputs!$H7+Inputs!$N7)*Inputs!$I7/(AI7/1000),Inputs!$H7))</f>
        <v>30</v>
      </c>
      <c r="AK7" s="20" t="n">
        <f aca="false">IF(Inputs!$B7="","",AE7*MIN(Q7,R7)*p_splice)</f>
        <v>893923.81902861</v>
      </c>
      <c r="AL7" s="13" t="n">
        <f aca="false">IF(Inputs!$B7="","",AI7/Inputs!$L7)</f>
        <v>15</v>
      </c>
      <c r="AM7" s="27" t="n">
        <f aca="false">IF(Inputs!$B7="","",U7*p_g/1000)</f>
        <v>0.05963499</v>
      </c>
      <c r="AN7" s="27" t="n">
        <f aca="false">IF(Inputs!$B7="","",AJ7*p_g/1000)</f>
        <v>0.2943</v>
      </c>
      <c r="AO7" s="20" t="n">
        <f aca="false">IF(Inputs!$B7="","",Z7*(AM7+AN7)*AI7^2+AA7*AF7*AI7)</f>
        <v>848281.491</v>
      </c>
      <c r="AP7" s="20" t="n">
        <f aca="false">IF(Inputs!$B7="","",AD7*((AM7+AN7)*AI7+AF7))</f>
        <v>1166.822982</v>
      </c>
      <c r="AQ7" s="13" t="n">
        <f aca="false">IF(Inputs!$B7="","",AB7*(AM7+AN7)*AI7^4/AG7+AC7*AF7*AI7^3/AG7)</f>
        <v>5.18990151890299</v>
      </c>
      <c r="AR7" s="19" t="n">
        <f aca="false">IF(Inputs!$B7="","",MAX(0,(AK7-AA7*AF7*AI7)/(Z7*AI7^2)-AM7)*1000/p_g)</f>
        <v>35.1695920295174</v>
      </c>
      <c r="AS7" s="19" t="n">
        <f aca="false">IF(Inputs!$B7="","",MAX(0,(AH7-AD7*AF7)/(AD7*AI7)-AM7)*1000/p_g)</f>
        <v>1662.86765307509</v>
      </c>
      <c r="AT7" s="19" t="n">
        <f aca="false">IF(Inputs!$B7="","",MAX(0,(AL7-AC7*AF7*AI7^3/AG7)/(AB7*AI7^4/AG7)-AM7)*1000/p_g)</f>
        <v>175.76823287774</v>
      </c>
      <c r="AU7" s="19" t="n">
        <f aca="false">IF(Inputs!$B7="","",MIN(AR7,AS7,AT7))</f>
        <v>35.1695920295174</v>
      </c>
      <c r="AV7" s="21" t="str">
        <f aca="false">IF(Inputs!$B7="","",IF(AU7=AR7,"bending",IF(AU7=AT7,"deflection","shear")))</f>
        <v>bending</v>
      </c>
      <c r="AW7" s="23" t="n">
        <f aca="false">IF(Inputs!$B7="","",IF(Inputs!$B7="ladder",((Inputs!$H7*2500/p_rungN/1000*p_g)*Inputs!$C7/8+(AF7/3)*Inputs!$C7/4)/(p_fy/p_fs*p_rungZ),""))</f>
        <v>0.394940089285714</v>
      </c>
      <c r="AX7" s="20" t="str">
        <f aca="false">IF(Inputs!$B7="","",IF(Inputs!$B7="arm",AE7*MIN(Q7,R7),""))</f>
        <v/>
      </c>
      <c r="AY7" s="13" t="str">
        <f aca="false">IF(Inputs!$B7="","",IF(Inputs!$B7="arm",Inputs!$F7/p_cant,""))</f>
        <v/>
      </c>
      <c r="AZ7" s="20" t="str">
        <f aca="false">IF(Inputs!$B7="","",IF(Inputs!$B7="arm",Inputs!$H7*Inputs!$I7*p_g,""))</f>
        <v/>
      </c>
      <c r="BA7" s="20" t="str">
        <f aca="false">IF(Inputs!$B7="","",IF(Inputs!$B7="arm",AZ7+Inputs!$N7*Inputs!$I7*p_g,""))</f>
        <v/>
      </c>
      <c r="BB7" s="19" t="str">
        <f aca="false">IF(Inputs!$B7="","",IF(Inputs!$B7="arm",AF7/3,""))</f>
        <v/>
      </c>
      <c r="BC7" s="20" t="str">
        <f aca="false">IF(Inputs!$B7="","",IF(Inputs!$B7="arm",BA7*Inputs!$F7/2+BB7*Inputs!$F7,""))</f>
        <v/>
      </c>
      <c r="BD7" s="20" t="str">
        <f aca="false">IF(Inputs!$B7="","",IF(Inputs!$B7="arm",BA7+BB7,""))</f>
        <v/>
      </c>
      <c r="BE7" s="13" t="str">
        <f aca="false">IF(Inputs!$B7="","",IF(Inputs!$B7="arm",BA7*Inputs!$F7^3/(8*AG7)+BB7*Inputs!$F7^3/(3*AG7),""))</f>
        <v/>
      </c>
      <c r="BF7" s="19" t="str">
        <f aca="false">IF(Inputs!$B7="","",IF(Inputs!$B7="arm",(AX7-BB7*Inputs!$F7)/(Inputs!$F7/2)/p_g-Inputs!$N7*Inputs!$I7,""))</f>
        <v/>
      </c>
      <c r="BG7" s="19" t="str">
        <f aca="false">IF(Inputs!$B7="","",IF(Inputs!$B7="arm",(AH7-BB7)/p_g-Inputs!$N7*Inputs!$I7,""))</f>
        <v/>
      </c>
      <c r="BH7" s="19" t="str">
        <f aca="false">IF(Inputs!$B7="","",IF(Inputs!$B7="arm",(AY7-BB7*Inputs!$F7^3/(3*AG7))/(Inputs!$F7^3/(8*AG7))/p_g-Inputs!$N7*Inputs!$I7,""))</f>
        <v/>
      </c>
      <c r="BI7" s="19" t="str">
        <f aca="false">IF(Inputs!$B7="","",IF(Inputs!$B7="arm",MAX(0,MIN(BF7,BG7,BH7)),""))</f>
        <v/>
      </c>
      <c r="BJ7" s="19" t="str">
        <f aca="false">IF(Inputs!$B7="","",IF(Inputs!$B7="arm",BI7/Inputs!$I7,""))</f>
        <v/>
      </c>
      <c r="BK7" s="21" t="str">
        <f aca="false">IF(Inputs!$B7="","",IF(Inputs!$B7="arm",IF(BI7=MAX(0,BF7),"bending",IF(BI7=MAX(0,BH7),"deflection","shear")),""))</f>
        <v/>
      </c>
      <c r="BL7" s="20" t="n">
        <f aca="false">IF(Inputs!$B7="","",IF(Inputs!$B7="arm",AX7,AK7))</f>
        <v>893923.81902861</v>
      </c>
      <c r="BM7" s="20" t="n">
        <f aca="false">IF(Inputs!$B7="","",IF(Inputs!$B7="arm",BC7,AO7))</f>
        <v>848281.491</v>
      </c>
      <c r="BN7" s="20" t="n">
        <f aca="false">IF(Inputs!$B7="","",IF(Inputs!$B7="arm",BD7,AP7))</f>
        <v>1166.822982</v>
      </c>
      <c r="BO7" s="13" t="n">
        <f aca="false">IF(Inputs!$B7="","",IF(Inputs!$B7="arm",BE7,AQ7))</f>
        <v>5.18990151890299</v>
      </c>
      <c r="BP7" s="13" t="n">
        <f aca="false">IF(Inputs!$B7="","",IF(Inputs!$B7="arm",AY7,AL7))</f>
        <v>15</v>
      </c>
      <c r="BQ7" s="23" t="n">
        <f aca="false">IF(Inputs!$B7="","",BM7/BL7)</f>
        <v>0.948941590930861</v>
      </c>
      <c r="BR7" s="23" t="n">
        <f aca="false">IF(Inputs!$B7="","",BN7/AH7)</f>
        <v>0.0388940994</v>
      </c>
      <c r="BS7" s="23" t="n">
        <f aca="false">IF(Inputs!$B7="","",BO7/BP7)</f>
        <v>0.345993434593533</v>
      </c>
      <c r="BT7" s="28" t="n">
        <f aca="false">IF(Inputs!$B7="","",MAX(BQ7,BR7,BS7,IF(Inputs!$B7="ladder",AW7,0)))</f>
        <v>0.948941590930861</v>
      </c>
      <c r="BU7" s="16" t="n">
        <f aca="false">IF(Inputs!$B7="","",IF(Inputs!$B7="arm",BJ7,AU7))</f>
        <v>35.1695920295174</v>
      </c>
      <c r="BV7" s="15" t="str">
        <f aca="false">IF(Inputs!$B7="","",IF(Inputs!$B7="arm",BK7,AV7))</f>
        <v>bending</v>
      </c>
      <c r="BW7" s="15" t="str">
        <f aca="false">IF(Inputs!$B7="","",IF(BT7&lt;=1,"PASS","FAIL"))</f>
        <v>PASS</v>
      </c>
      <c r="BX7" s="18" t="n">
        <f aca="false">IF(Inputs!$B7="","",IF(Inputs!$H7&gt;0,BU7/Inputs!$H7-1,""))</f>
        <v>0.172319734317248</v>
      </c>
    </row>
    <row r="8" customFormat="false" ht="15" hidden="false" customHeight="false" outlineLevel="0" collapsed="false">
      <c r="A8" s="0" t="str">
        <f aca="false">IF(Inputs!A8="","",Inputs!A8)</f>
        <v>Ladder 600 x 100 x 2.0, overloaded</v>
      </c>
      <c r="B8" s="21" t="str">
        <f aca="false">IF(Inputs!$B8="","",Inputs!$B8)</f>
        <v>ladder</v>
      </c>
      <c r="C8" s="23" t="n">
        <f aca="false">IF(Inputs!$B8="","",IF(OR(Inputs!$B8="perf",Inputs!$B8="trough"),MIN(0.5,IF(Inputs!$B8="perf",p_perfN*p_perfL*p_perfW/(p_perfSp*Inputs!$C8),p_trN*p_trL*p_trW/(p_trSp*Inputs!$C8))),0))</f>
        <v>0</v>
      </c>
      <c r="D8" s="11" t="n">
        <f aca="false">IF(Inputs!$B8="","",IF(Inputs!$B8="ladder",p_collar,IF(Inputs!$B8="perf",IF(AND(Inputs!$C8&gt;=300,Inputs!$D8&gt;=100),15,0),IF(Inputs!$B8="trough",0,p_lip))))</f>
        <v>25</v>
      </c>
      <c r="E8" s="19" t="n">
        <f aca="false">IF(Inputs!$B8="","",IF(Inputs!$B8="ladder",2*Inputs!$E8*Inputs!$D8,IF(OR(Inputs!$B8="perf",Inputs!$B8="trough"),(Inputs!$C8+4)*Inputs!$E8*(1-C8),Inputs!$C8*Inputs!$E8)))</f>
        <v>400</v>
      </c>
      <c r="F8" s="19" t="n">
        <f aca="false">IF(Inputs!$B8="","",IF(Inputs!$B8="ladder",Inputs!$D8/2,Inputs!$E8/2))</f>
        <v>50</v>
      </c>
      <c r="G8" s="20" t="n">
        <f aca="false">IF(Inputs!$B8="","",IF(Inputs!$B8="ladder",2*Inputs!$E8*Inputs!$D8^3/12,IF(OR(Inputs!$B8="perf",Inputs!$B8="trough"),0,Inputs!$C8*Inputs!$E8^3/12)))</f>
        <v>333333.333333333</v>
      </c>
      <c r="H8" s="19" t="n">
        <f aca="false">IF(Inputs!$B8="","",IF(Inputs!$B8="ladder",2*D8*Inputs!$E8,2*Inputs!$E8*Inputs!$D8))</f>
        <v>100</v>
      </c>
      <c r="I8" s="19" t="n">
        <f aca="false">IF(Inputs!$B8="","",IF(Inputs!$B8="ladder",Inputs!$E8/2,Inputs!$D8/2))</f>
        <v>1</v>
      </c>
      <c r="J8" s="20" t="n">
        <f aca="false">IF(Inputs!$B8="","",IF(Inputs!$B8="ladder",2*D8*Inputs!$E8^3/12,2*Inputs!$E8*Inputs!$D8^3/12))</f>
        <v>33.3333333333333</v>
      </c>
      <c r="K8" s="19" t="n">
        <f aca="false">IF(Inputs!$B8="","",2*D8*Inputs!$E8)</f>
        <v>100</v>
      </c>
      <c r="L8" s="19" t="n">
        <f aca="false">IF(Inputs!$B8="","",Inputs!$D8-Inputs!$E8/2)</f>
        <v>99</v>
      </c>
      <c r="M8" s="20" t="n">
        <f aca="false">IF(Inputs!$B8="","",2*D8*Inputs!$E8^3/12)</f>
        <v>33.3333333333333</v>
      </c>
      <c r="N8" s="19" t="n">
        <f aca="false">IF(Inputs!$B8="","",E8+H8+K8)</f>
        <v>600</v>
      </c>
      <c r="O8" s="13" t="n">
        <f aca="false">IF(Inputs!$B8="","",(E8*F8+H8*I8+K8*L8)/N8)</f>
        <v>50</v>
      </c>
      <c r="P8" s="20" t="n">
        <f aca="false">IF(Inputs!$B8="","",(G8+E8*(F8-O8)^2)+(J8+H8*(I8-O8)^2)+(M8+K8*(L8-O8)^2))</f>
        <v>813600</v>
      </c>
      <c r="Q8" s="20" t="n">
        <f aca="false">IF(Inputs!$B8="","",P8/O8)</f>
        <v>16272</v>
      </c>
      <c r="R8" s="20" t="n">
        <f aca="false">IF(Inputs!$B8="","",P8/(Inputs!$D8-O8))</f>
        <v>16272</v>
      </c>
      <c r="S8" s="19" t="n">
        <f aca="false">IF(Inputs!$B8="","",2*Inputs!$D8*Inputs!$E8)</f>
        <v>400</v>
      </c>
      <c r="T8" s="13" t="n">
        <f aca="false">IF(Inputs!$B8="","",N8*0.00785+IF(Inputs!$B8="ladder",p_rungN/2.5*(p_rungW*p_rungT+2*p_rungT*p_rungH)*Inputs!$C8*0.00000785,0))</f>
        <v>8.1012</v>
      </c>
      <c r="U8" s="13" t="n">
        <f aca="false">IF(Inputs!$B8="","",IF(Inputs!$G8="",T8,Inputs!$G8))</f>
        <v>8.56</v>
      </c>
      <c r="V8" s="24" t="n">
        <f aca="false">IF(Inputs!$B8="","",Inputs!$D8/Inputs!$E8)</f>
        <v>50</v>
      </c>
      <c r="W8" s="24" t="n">
        <f aca="false">IF(Inputs!$B8="","",IF(D8&gt;0,D8/Inputs!$E8,0))</f>
        <v>12.5</v>
      </c>
      <c r="X8" s="24" t="n">
        <f aca="false">IF(Inputs!$B8="","",IF(OR(Inputs!$B8="perf",Inputs!$B8="trough"),(Inputs!$C8+4)/Inputs!$E8,IF(OR(Inputs!$B8="channel",Inputs!$B8="arm"),Inputs!$C8/Inputs!$E8,0)))</f>
        <v>0</v>
      </c>
      <c r="Y8" s="21" t="str">
        <f aca="false">IF(Inputs!$B8="","",IF(V8&gt;p_webS,"web; ","")&amp;IF(W8&gt;p_flS,"flange; ","")&amp;IF(X8&gt;p_plS,"base plate; ",""))</f>
        <v/>
      </c>
      <c r="Z8" s="25" t="n">
        <f aca="false">IF(Inputs!$B8="","",IFERROR(INDEX(sup_kw,MATCH(Inputs!$J8,sup_names,0)),INDEX(sup_kw,1)))</f>
        <v>0.125</v>
      </c>
      <c r="AA8" s="25" t="n">
        <f aca="false">IF(Inputs!$B8="","",IFERROR(INDEX(sup_kp,MATCH(Inputs!$J8,sup_names,0)),INDEX(sup_kp,1)))</f>
        <v>0.25</v>
      </c>
      <c r="AB8" s="25" t="n">
        <f aca="false">IF(Inputs!$B8="","",IFERROR(INDEX(sup_dw,MATCH(Inputs!$J8,sup_names,0)),INDEX(sup_dw,1)))</f>
        <v>0.0130208333333333</v>
      </c>
      <c r="AC8" s="25" t="n">
        <f aca="false">IF(Inputs!$B8="","",IFERROR(INDEX(sup_dp,MATCH(Inputs!$J8,sup_names,0)),INDEX(sup_dp,1)))</f>
        <v>0.0208333333333333</v>
      </c>
      <c r="AD8" s="25" t="n">
        <f aca="false">IF(Inputs!$B8="","",IFERROR(INDEX(sup_kv,MATCH(Inputs!$J8,sup_names,0)),INDEX(sup_kv,1)))</f>
        <v>0.5</v>
      </c>
      <c r="AE8" s="11" t="n">
        <f aca="false">IF(Inputs!$B8="","",p_fy/p_fs)</f>
        <v>149.700598802395</v>
      </c>
      <c r="AF8" s="19" t="n">
        <f aca="false">IF(Inputs!$B8="","",Inputs!$K8*p_g)</f>
        <v>882.9</v>
      </c>
      <c r="AG8" s="26" t="n">
        <f aca="false">IF(Inputs!$B8="","",p_E*P8)</f>
        <v>162720000000</v>
      </c>
      <c r="AH8" s="20" t="n">
        <f aca="false">IF(Inputs!$B8="","",p_shear*p_fy*S8)</f>
        <v>40000</v>
      </c>
      <c r="AI8" s="20" t="n">
        <f aca="false">IF(Inputs!$B8="","",IF(Inputs!$B8="channel",Inputs!$M8,Inputs!$I8*1000))</f>
        <v>2500</v>
      </c>
      <c r="AJ8" s="13" t="n">
        <f aca="false">IF(Inputs!$B8="","",IF(Inputs!$B8="channel",(Inputs!$H8+Inputs!$N8)*Inputs!$I8/(AI8/1000),Inputs!$H8))</f>
        <v>400</v>
      </c>
      <c r="AK8" s="20" t="n">
        <f aca="false">IF(Inputs!$B8="","",AE8*MIN(Q8,R8)*p_splice)</f>
        <v>1339760.47904192</v>
      </c>
      <c r="AL8" s="13" t="n">
        <f aca="false">IF(Inputs!$B8="","",AI8/Inputs!$L8)</f>
        <v>12.5</v>
      </c>
      <c r="AM8" s="27" t="n">
        <f aca="false">IF(Inputs!$B8="","",U8*p_g/1000)</f>
        <v>0.0839736</v>
      </c>
      <c r="AN8" s="27" t="n">
        <f aca="false">IF(Inputs!$B8="","",AJ8*p_g/1000)</f>
        <v>3.924</v>
      </c>
      <c r="AO8" s="20" t="n">
        <f aca="false">IF(Inputs!$B8="","",Z8*(AM8+AN8)*AI8^2+AA8*AF8*AI8)</f>
        <v>3683041.875</v>
      </c>
      <c r="AP8" s="20" t="n">
        <f aca="false">IF(Inputs!$B8="","",AD8*((AM8+AN8)*AI8+AF8))</f>
        <v>5451.417</v>
      </c>
      <c r="AQ8" s="13" t="n">
        <f aca="false">IF(Inputs!$B8="","",AB8*(AM8+AN8)*AI8^4/AG8+AC8*AF8*AI8^3/AG8)</f>
        <v>14.2942670523944</v>
      </c>
      <c r="AR8" s="19" t="n">
        <f aca="false">IF(Inputs!$B8="","",MAX(0,(AK8-AA8*AF8*AI8)/(Z8*AI8^2)-AM8)*1000/p_g)</f>
        <v>94.250745481514</v>
      </c>
      <c r="AS8" s="19" t="n">
        <f aca="false">IF(Inputs!$B8="","",MAX(0,(AH8-AD8*AF8)/(AD8*AI8)-AM8)*1000/p_g)</f>
        <v>3217.41757390418</v>
      </c>
      <c r="AT8" s="19" t="n">
        <f aca="false">IF(Inputs!$B8="","",MAX(0,(AL8-AC8*AF8*AI8^3/AG8)/(AB8*AI8^4/AG8)-AM8)*1000/p_g)</f>
        <v>341.485944954129</v>
      </c>
      <c r="AU8" s="19" t="n">
        <f aca="false">IF(Inputs!$B8="","",MIN(AR8,AS8,AT8))</f>
        <v>94.250745481514</v>
      </c>
      <c r="AV8" s="21" t="str">
        <f aca="false">IF(Inputs!$B8="","",IF(AU8=AR8,"bending",IF(AU8=AT8,"deflection","shear")))</f>
        <v>bending</v>
      </c>
      <c r="AW8" s="23" t="n">
        <f aca="false">IF(Inputs!$B8="","",IF(Inputs!$B8="ladder",((Inputs!$H8*2500/p_rungN/1000*p_g)*Inputs!$C8/8+(AF8/3)*Inputs!$C8/4)/(p_fy/p_fs*p_rungZ),""))</f>
        <v>1.87230857142857</v>
      </c>
      <c r="AX8" s="20" t="str">
        <f aca="false">IF(Inputs!$B8="","",IF(Inputs!$B8="arm",AE8*MIN(Q8,R8),""))</f>
        <v/>
      </c>
      <c r="AY8" s="13" t="str">
        <f aca="false">IF(Inputs!$B8="","",IF(Inputs!$B8="arm",Inputs!$F8/p_cant,""))</f>
        <v/>
      </c>
      <c r="AZ8" s="20" t="str">
        <f aca="false">IF(Inputs!$B8="","",IF(Inputs!$B8="arm",Inputs!$H8*Inputs!$I8*p_g,""))</f>
        <v/>
      </c>
      <c r="BA8" s="20" t="str">
        <f aca="false">IF(Inputs!$B8="","",IF(Inputs!$B8="arm",AZ8+Inputs!$N8*Inputs!$I8*p_g,""))</f>
        <v/>
      </c>
      <c r="BB8" s="19" t="str">
        <f aca="false">IF(Inputs!$B8="","",IF(Inputs!$B8="arm",AF8/3,""))</f>
        <v/>
      </c>
      <c r="BC8" s="20" t="str">
        <f aca="false">IF(Inputs!$B8="","",IF(Inputs!$B8="arm",BA8*Inputs!$F8/2+BB8*Inputs!$F8,""))</f>
        <v/>
      </c>
      <c r="BD8" s="20" t="str">
        <f aca="false">IF(Inputs!$B8="","",IF(Inputs!$B8="arm",BA8+BB8,""))</f>
        <v/>
      </c>
      <c r="BE8" s="13" t="str">
        <f aca="false">IF(Inputs!$B8="","",IF(Inputs!$B8="arm",BA8*Inputs!$F8^3/(8*AG8)+BB8*Inputs!$F8^3/(3*AG8),""))</f>
        <v/>
      </c>
      <c r="BF8" s="19" t="str">
        <f aca="false">IF(Inputs!$B8="","",IF(Inputs!$B8="arm",(AX8-BB8*Inputs!$F8)/(Inputs!$F8/2)/p_g-Inputs!$N8*Inputs!$I8,""))</f>
        <v/>
      </c>
      <c r="BG8" s="19" t="str">
        <f aca="false">IF(Inputs!$B8="","",IF(Inputs!$B8="arm",(AH8-BB8)/p_g-Inputs!$N8*Inputs!$I8,""))</f>
        <v/>
      </c>
      <c r="BH8" s="19" t="str">
        <f aca="false">IF(Inputs!$B8="","",IF(Inputs!$B8="arm",(AY8-BB8*Inputs!$F8^3/(3*AG8))/(Inputs!$F8^3/(8*AG8))/p_g-Inputs!$N8*Inputs!$I8,""))</f>
        <v/>
      </c>
      <c r="BI8" s="19" t="str">
        <f aca="false">IF(Inputs!$B8="","",IF(Inputs!$B8="arm",MAX(0,MIN(BF8,BG8,BH8)),""))</f>
        <v/>
      </c>
      <c r="BJ8" s="19" t="str">
        <f aca="false">IF(Inputs!$B8="","",IF(Inputs!$B8="arm",BI8/Inputs!$I8,""))</f>
        <v/>
      </c>
      <c r="BK8" s="21" t="str">
        <f aca="false">IF(Inputs!$B8="","",IF(Inputs!$B8="arm",IF(BI8=MAX(0,BF8),"bending",IF(BI8=MAX(0,BH8),"deflection","shear")),""))</f>
        <v/>
      </c>
      <c r="BL8" s="20" t="n">
        <f aca="false">IF(Inputs!$B8="","",IF(Inputs!$B8="arm",AX8,AK8))</f>
        <v>1339760.47904192</v>
      </c>
      <c r="BM8" s="20" t="n">
        <f aca="false">IF(Inputs!$B8="","",IF(Inputs!$B8="arm",BC8,AO8))</f>
        <v>3683041.875</v>
      </c>
      <c r="BN8" s="20" t="n">
        <f aca="false">IF(Inputs!$B8="","",IF(Inputs!$B8="arm",BD8,AP8))</f>
        <v>5451.417</v>
      </c>
      <c r="BO8" s="13" t="n">
        <f aca="false">IF(Inputs!$B8="","",IF(Inputs!$B8="arm",BE8,AQ8))</f>
        <v>14.2942670523944</v>
      </c>
      <c r="BP8" s="13" t="n">
        <f aca="false">IF(Inputs!$B8="","",IF(Inputs!$B8="arm",AY8,AL8))</f>
        <v>12.5</v>
      </c>
      <c r="BQ8" s="23" t="n">
        <f aca="false">IF(Inputs!$B8="","",BM8/BL8)</f>
        <v>2.74903009352373</v>
      </c>
      <c r="BR8" s="23" t="n">
        <f aca="false">IF(Inputs!$B8="","",BN8/AH8)</f>
        <v>0.136285425</v>
      </c>
      <c r="BS8" s="23" t="n">
        <f aca="false">IF(Inputs!$B8="","",BO8/BP8)</f>
        <v>1.14354136419156</v>
      </c>
      <c r="BT8" s="28" t="n">
        <f aca="false">IF(Inputs!$B8="","",MAX(BQ8,BR8,BS8,IF(Inputs!$B8="ladder",AW8,0)))</f>
        <v>2.74903009352373</v>
      </c>
      <c r="BU8" s="16" t="n">
        <f aca="false">IF(Inputs!$B8="","",IF(Inputs!$B8="arm",BJ8,AU8))</f>
        <v>94.250745481514</v>
      </c>
      <c r="BV8" s="15" t="str">
        <f aca="false">IF(Inputs!$B8="","",IF(Inputs!$B8="arm",BK8,AV8))</f>
        <v>bending</v>
      </c>
      <c r="BW8" s="15" t="str">
        <f aca="false">IF(Inputs!$B8="","",IF(BT8&lt;=1,"PASS","FAIL"))</f>
        <v>FAIL</v>
      </c>
      <c r="BX8" s="18" t="n">
        <f aca="false">IF(Inputs!$B8="","",IF(Inputs!$H8&gt;0,BU8/Inputs!$H8-1,""))</f>
        <v>-0.764373136296215</v>
      </c>
    </row>
    <row r="9" customFormat="false" ht="15" hidden="false" customHeight="false" outlineLevel="0" collapsed="false">
      <c r="A9" s="0" t="str">
        <f aca="false">IF(Inputs!A9="","",Inputs!A9)</f>
        <v>Perforated 300 x 100 x 2.0</v>
      </c>
      <c r="B9" s="21" t="str">
        <f aca="false">IF(Inputs!$B9="","",Inputs!$B9)</f>
        <v>perf</v>
      </c>
      <c r="C9" s="23" t="n">
        <f aca="false">IF(Inputs!$B9="","",IF(OR(Inputs!$B9="perf",Inputs!$B9="trough"),MIN(0.5,IF(Inputs!$B9="perf",p_perfN*p_perfL*p_perfW/(p_perfSp*Inputs!$C9),p_trN*p_trL*p_trW/(p_trSp*Inputs!$C9))),0))</f>
        <v>0.0666666666666667</v>
      </c>
      <c r="D9" s="11" t="n">
        <f aca="false">IF(Inputs!$B9="","",IF(Inputs!$B9="ladder",p_collar,IF(Inputs!$B9="perf",IF(AND(Inputs!$C9&gt;=300,Inputs!$D9&gt;=100),15,0),IF(Inputs!$B9="trough",0,p_lip))))</f>
        <v>15</v>
      </c>
      <c r="E9" s="19" t="n">
        <f aca="false">IF(Inputs!$B9="","",IF(Inputs!$B9="ladder",2*Inputs!$E9*Inputs!$D9,IF(OR(Inputs!$B9="perf",Inputs!$B9="trough"),(Inputs!$C9+4)*Inputs!$E9*(1-C9),Inputs!$C9*Inputs!$E9)))</f>
        <v>567.466666666667</v>
      </c>
      <c r="F9" s="19" t="n">
        <f aca="false">IF(Inputs!$B9="","",IF(Inputs!$B9="ladder",Inputs!$D9/2,Inputs!$E9/2))</f>
        <v>1</v>
      </c>
      <c r="G9" s="20" t="n">
        <f aca="false">IF(Inputs!$B9="","",IF(Inputs!$B9="ladder",2*Inputs!$E9*Inputs!$D9^3/12,IF(OR(Inputs!$B9="perf",Inputs!$B9="trough"),0,Inputs!$C9*Inputs!$E9^3/12)))</f>
        <v>0</v>
      </c>
      <c r="H9" s="19" t="n">
        <f aca="false">IF(Inputs!$B9="","",IF(Inputs!$B9="ladder",2*D9*Inputs!$E9,2*Inputs!$E9*Inputs!$D9))</f>
        <v>400</v>
      </c>
      <c r="I9" s="19" t="n">
        <f aca="false">IF(Inputs!$B9="","",IF(Inputs!$B9="ladder",Inputs!$E9/2,Inputs!$D9/2))</f>
        <v>50</v>
      </c>
      <c r="J9" s="20" t="n">
        <f aca="false">IF(Inputs!$B9="","",IF(Inputs!$B9="ladder",2*D9*Inputs!$E9^3/12,2*Inputs!$E9*Inputs!$D9^3/12))</f>
        <v>333333.333333333</v>
      </c>
      <c r="K9" s="19" t="n">
        <f aca="false">IF(Inputs!$B9="","",2*D9*Inputs!$E9)</f>
        <v>60</v>
      </c>
      <c r="L9" s="19" t="n">
        <f aca="false">IF(Inputs!$B9="","",Inputs!$D9-Inputs!$E9/2)</f>
        <v>99</v>
      </c>
      <c r="M9" s="20" t="n">
        <f aca="false">IF(Inputs!$B9="","",2*D9*Inputs!$E9^3/12)</f>
        <v>20</v>
      </c>
      <c r="N9" s="19" t="n">
        <f aca="false">IF(Inputs!$B9="","",E9+H9+K9)</f>
        <v>1027.46666666667</v>
      </c>
      <c r="O9" s="13" t="n">
        <f aca="false">IF(Inputs!$B9="","",(E9*F9+H9*I9+K9*L9)/N9)</f>
        <v>25.7988580327018</v>
      </c>
      <c r="P9" s="20" t="n">
        <f aca="false">IF(Inputs!$B9="","",(G9+E9*(F9-O9)^2)+(J9+H9*(I9-O9)^2)+(M9+K9*(L9-O9)^2))</f>
        <v>1238118.43066009</v>
      </c>
      <c r="Q9" s="20" t="n">
        <f aca="false">IF(Inputs!$B9="","",P9/O9)</f>
        <v>47991.2106609794</v>
      </c>
      <c r="R9" s="20" t="n">
        <f aca="false">IF(Inputs!$B9="","",P9/(Inputs!$D9-O9))</f>
        <v>16685.9754153885</v>
      </c>
      <c r="S9" s="19" t="n">
        <f aca="false">IF(Inputs!$B9="","",2*Inputs!$D9*Inputs!$E9)</f>
        <v>400</v>
      </c>
      <c r="T9" s="13" t="n">
        <f aca="false">IF(Inputs!$B9="","",N9*0.00785+IF(Inputs!$B9="ladder",p_rungN/2.5*(p_rungW*p_rungT+2*p_rungT*p_rungH)*Inputs!$C9*0.00000785,0))</f>
        <v>8.06561333333333</v>
      </c>
      <c r="U9" s="13" t="n">
        <f aca="false">IF(Inputs!$B9="","",IF(Inputs!$G9="",T9,Inputs!$G9))</f>
        <v>9.028</v>
      </c>
      <c r="V9" s="24" t="n">
        <f aca="false">IF(Inputs!$B9="","",Inputs!$D9/Inputs!$E9)</f>
        <v>50</v>
      </c>
      <c r="W9" s="24" t="n">
        <f aca="false">IF(Inputs!$B9="","",IF(D9&gt;0,D9/Inputs!$E9,0))</f>
        <v>7.5</v>
      </c>
      <c r="X9" s="24" t="n">
        <f aca="false">IF(Inputs!$B9="","",IF(OR(Inputs!$B9="perf",Inputs!$B9="trough"),(Inputs!$C9+4)/Inputs!$E9,IF(OR(Inputs!$B9="channel",Inputs!$B9="arm"),Inputs!$C9/Inputs!$E9,0)))</f>
        <v>152</v>
      </c>
      <c r="Y9" s="21" t="str">
        <f aca="false">IF(Inputs!$B9="","",IF(V9&gt;p_webS,"web; ","")&amp;IF(W9&gt;p_flS,"flange; ","")&amp;IF(X9&gt;p_plS,"base plate; ",""))</f>
        <v/>
      </c>
      <c r="Z9" s="25" t="n">
        <f aca="false">IF(Inputs!$B9="","",IFERROR(INDEX(sup_kw,MATCH(Inputs!$J9,sup_names,0)),INDEX(sup_kw,1)))</f>
        <v>0.125</v>
      </c>
      <c r="AA9" s="25" t="n">
        <f aca="false">IF(Inputs!$B9="","",IFERROR(INDEX(sup_kp,MATCH(Inputs!$J9,sup_names,0)),INDEX(sup_kp,1)))</f>
        <v>0.25</v>
      </c>
      <c r="AB9" s="25" t="n">
        <f aca="false">IF(Inputs!$B9="","",IFERROR(INDEX(sup_dw,MATCH(Inputs!$J9,sup_names,0)),INDEX(sup_dw,1)))</f>
        <v>0.0130208333333333</v>
      </c>
      <c r="AC9" s="25" t="n">
        <f aca="false">IF(Inputs!$B9="","",IFERROR(INDEX(sup_dp,MATCH(Inputs!$J9,sup_names,0)),INDEX(sup_dp,1)))</f>
        <v>0.0208333333333333</v>
      </c>
      <c r="AD9" s="25" t="n">
        <f aca="false">IF(Inputs!$B9="","",IFERROR(INDEX(sup_kv,MATCH(Inputs!$J9,sup_names,0)),INDEX(sup_kv,1)))</f>
        <v>0.5</v>
      </c>
      <c r="AE9" s="11" t="n">
        <f aca="false">IF(Inputs!$B9="","",p_fy/p_fs)</f>
        <v>149.700598802395</v>
      </c>
      <c r="AF9" s="19" t="n">
        <f aca="false">IF(Inputs!$B9="","",Inputs!$K9*p_g)</f>
        <v>882.9</v>
      </c>
      <c r="AG9" s="26" t="n">
        <f aca="false">IF(Inputs!$B9="","",p_E*P9)</f>
        <v>247623686132.018</v>
      </c>
      <c r="AH9" s="20" t="n">
        <f aca="false">IF(Inputs!$B9="","",p_shear*p_fy*S9)</f>
        <v>40000</v>
      </c>
      <c r="AI9" s="20" t="n">
        <f aca="false">IF(Inputs!$B9="","",IF(Inputs!$B9="channel",Inputs!$M9,Inputs!$I9*1000))</f>
        <v>2000</v>
      </c>
      <c r="AJ9" s="13" t="n">
        <f aca="false">IF(Inputs!$B9="","",IF(Inputs!$B9="channel",(Inputs!$H9+Inputs!$N9)*Inputs!$I9/(AI9/1000),Inputs!$H9))</f>
        <v>25</v>
      </c>
      <c r="AK9" s="20" t="n">
        <f aca="false">IF(Inputs!$B9="","",AE9*MIN(Q9,R9)*p_splice)</f>
        <v>1373845.28120714</v>
      </c>
      <c r="AL9" s="13" t="n">
        <f aca="false">IF(Inputs!$B9="","",AI9/Inputs!$L9)</f>
        <v>10</v>
      </c>
      <c r="AM9" s="27" t="n">
        <f aca="false">IF(Inputs!$B9="","",U9*p_g/1000)</f>
        <v>0.08856468</v>
      </c>
      <c r="AN9" s="27" t="n">
        <f aca="false">IF(Inputs!$B9="","",AJ9*p_g/1000)</f>
        <v>0.24525</v>
      </c>
      <c r="AO9" s="20" t="n">
        <f aca="false">IF(Inputs!$B9="","",Z9*(AM9+AN9)*AI9^2+AA9*AF9*AI9)</f>
        <v>608357.34</v>
      </c>
      <c r="AP9" s="20" t="n">
        <f aca="false">IF(Inputs!$B9="","",AD9*((AM9+AN9)*AI9+AF9))</f>
        <v>775.26468</v>
      </c>
      <c r="AQ9" s="13" t="n">
        <f aca="false">IF(Inputs!$B9="","",AB9*(AM9+AN9)*AI9^4/AG9+AC9*AF9*AI9^3/AG9)</f>
        <v>0.875096919785255</v>
      </c>
      <c r="AR9" s="19" t="n">
        <f aca="false">IF(Inputs!$B9="","",MAX(0,(AK9-AA9*AF9*AI9)/(Z9*AI9^2)-AM9)*1000/p_g)</f>
        <v>181.062781081986</v>
      </c>
      <c r="AS9" s="19" t="n">
        <f aca="false">IF(Inputs!$B9="","",MAX(0,(AH9-AD9*AF9)/(AD9*AI9)-AM9)*1000/p_g)</f>
        <v>4023.44396738023</v>
      </c>
      <c r="AT9" s="19" t="n">
        <f aca="false">IF(Inputs!$B9="","",MAX(0,(AL9-AC9*AF9*AI9^3/AG9)/(AB9*AI9^4/AG9)-AM9)*1000/p_g)</f>
        <v>1130.5863663952</v>
      </c>
      <c r="AU9" s="19" t="n">
        <f aca="false">IF(Inputs!$B9="","",MIN(AR9,AS9,AT9))</f>
        <v>181.062781081986</v>
      </c>
      <c r="AV9" s="21" t="str">
        <f aca="false">IF(Inputs!$B9="","",IF(AU9=AR9,"bending",IF(AU9=AT9,"deflection","shear")))</f>
        <v>bending</v>
      </c>
      <c r="AW9" s="23" t="str">
        <f aca="false">IF(Inputs!$B9="","",IF(Inputs!$B9="ladder",((Inputs!$H9*2500/p_rungN/1000*p_g)*Inputs!$C9/8+(AF9/3)*Inputs!$C9/4)/(p_fy/p_fs*p_rungZ),""))</f>
        <v/>
      </c>
      <c r="AX9" s="20" t="str">
        <f aca="false">IF(Inputs!$B9="","",IF(Inputs!$B9="arm",AE9*MIN(Q9,R9),""))</f>
        <v/>
      </c>
      <c r="AY9" s="13" t="str">
        <f aca="false">IF(Inputs!$B9="","",IF(Inputs!$B9="arm",Inputs!$F9/p_cant,""))</f>
        <v/>
      </c>
      <c r="AZ9" s="20" t="str">
        <f aca="false">IF(Inputs!$B9="","",IF(Inputs!$B9="arm",Inputs!$H9*Inputs!$I9*p_g,""))</f>
        <v/>
      </c>
      <c r="BA9" s="20" t="str">
        <f aca="false">IF(Inputs!$B9="","",IF(Inputs!$B9="arm",AZ9+Inputs!$N9*Inputs!$I9*p_g,""))</f>
        <v/>
      </c>
      <c r="BB9" s="19" t="str">
        <f aca="false">IF(Inputs!$B9="","",IF(Inputs!$B9="arm",AF9/3,""))</f>
        <v/>
      </c>
      <c r="BC9" s="20" t="str">
        <f aca="false">IF(Inputs!$B9="","",IF(Inputs!$B9="arm",BA9*Inputs!$F9/2+BB9*Inputs!$F9,""))</f>
        <v/>
      </c>
      <c r="BD9" s="20" t="str">
        <f aca="false">IF(Inputs!$B9="","",IF(Inputs!$B9="arm",BA9+BB9,""))</f>
        <v/>
      </c>
      <c r="BE9" s="13" t="str">
        <f aca="false">IF(Inputs!$B9="","",IF(Inputs!$B9="arm",BA9*Inputs!$F9^3/(8*AG9)+BB9*Inputs!$F9^3/(3*AG9),""))</f>
        <v/>
      </c>
      <c r="BF9" s="19" t="str">
        <f aca="false">IF(Inputs!$B9="","",IF(Inputs!$B9="arm",(AX9-BB9*Inputs!$F9)/(Inputs!$F9/2)/p_g-Inputs!$N9*Inputs!$I9,""))</f>
        <v/>
      </c>
      <c r="BG9" s="19" t="str">
        <f aca="false">IF(Inputs!$B9="","",IF(Inputs!$B9="arm",(AH9-BB9)/p_g-Inputs!$N9*Inputs!$I9,""))</f>
        <v/>
      </c>
      <c r="BH9" s="19" t="str">
        <f aca="false">IF(Inputs!$B9="","",IF(Inputs!$B9="arm",(AY9-BB9*Inputs!$F9^3/(3*AG9))/(Inputs!$F9^3/(8*AG9))/p_g-Inputs!$N9*Inputs!$I9,""))</f>
        <v/>
      </c>
      <c r="BI9" s="19" t="str">
        <f aca="false">IF(Inputs!$B9="","",IF(Inputs!$B9="arm",MAX(0,MIN(BF9,BG9,BH9)),""))</f>
        <v/>
      </c>
      <c r="BJ9" s="19" t="str">
        <f aca="false">IF(Inputs!$B9="","",IF(Inputs!$B9="arm",BI9/Inputs!$I9,""))</f>
        <v/>
      </c>
      <c r="BK9" s="21" t="str">
        <f aca="false">IF(Inputs!$B9="","",IF(Inputs!$B9="arm",IF(BI9=MAX(0,BF9),"bending",IF(BI9=MAX(0,BH9),"deflection","shear")),""))</f>
        <v/>
      </c>
      <c r="BL9" s="20" t="n">
        <f aca="false">IF(Inputs!$B9="","",IF(Inputs!$B9="arm",AX9,AK9))</f>
        <v>1373845.28120714</v>
      </c>
      <c r="BM9" s="20" t="n">
        <f aca="false">IF(Inputs!$B9="","",IF(Inputs!$B9="arm",BC9,AO9))</f>
        <v>608357.34</v>
      </c>
      <c r="BN9" s="20" t="n">
        <f aca="false">IF(Inputs!$B9="","",IF(Inputs!$B9="arm",BD9,AP9))</f>
        <v>775.26468</v>
      </c>
      <c r="BO9" s="13" t="n">
        <f aca="false">IF(Inputs!$B9="","",IF(Inputs!$B9="arm",BE9,AQ9))</f>
        <v>0.875096919785255</v>
      </c>
      <c r="BP9" s="13" t="n">
        <f aca="false">IF(Inputs!$B9="","",IF(Inputs!$B9="arm",AY9,AL9))</f>
        <v>10</v>
      </c>
      <c r="BQ9" s="23" t="n">
        <f aca="false">IF(Inputs!$B9="","",BM9/BL9)</f>
        <v>0.442813574659195</v>
      </c>
      <c r="BR9" s="23" t="n">
        <f aca="false">IF(Inputs!$B9="","",BN9/AH9)</f>
        <v>0.019381617</v>
      </c>
      <c r="BS9" s="23" t="n">
        <f aca="false">IF(Inputs!$B9="","",BO9/BP9)</f>
        <v>0.0875096919785255</v>
      </c>
      <c r="BT9" s="28" t="n">
        <f aca="false">IF(Inputs!$B9="","",MAX(BQ9,BR9,BS9,IF(Inputs!$B9="ladder",AW9,0)))</f>
        <v>0.442813574659195</v>
      </c>
      <c r="BU9" s="16" t="n">
        <f aca="false">IF(Inputs!$B9="","",IF(Inputs!$B9="arm",BJ9,AU9))</f>
        <v>181.062781081986</v>
      </c>
      <c r="BV9" s="15" t="str">
        <f aca="false">IF(Inputs!$B9="","",IF(Inputs!$B9="arm",BK9,AV9))</f>
        <v>bending</v>
      </c>
      <c r="BW9" s="15" t="str">
        <f aca="false">IF(Inputs!$B9="","",IF(BT9&lt;=1,"PASS","FAIL"))</f>
        <v>PASS</v>
      </c>
      <c r="BX9" s="18" t="n">
        <f aca="false">IF(Inputs!$B9="","",IF(Inputs!$H9&gt;0,BU9/Inputs!$H9-1,""))</f>
        <v>6.24251124327942</v>
      </c>
    </row>
    <row r="10" customFormat="false" ht="15" hidden="false" customHeight="false" outlineLevel="0" collapsed="false">
      <c r="A10" s="0" t="str">
        <f aca="false">IF(Inputs!A10="","",Inputs!A10)</f>
        <v>Trough 150 x 50 x 2.5</v>
      </c>
      <c r="B10" s="21" t="str">
        <f aca="false">IF(Inputs!$B10="","",Inputs!$B10)</f>
        <v>trough</v>
      </c>
      <c r="C10" s="23" t="n">
        <f aca="false">IF(Inputs!$B10="","",IF(OR(Inputs!$B10="perf",Inputs!$B10="trough"),MIN(0.5,IF(Inputs!$B10="perf",p_perfN*p_perfL*p_perfW/(p_perfSp*Inputs!$C10),p_trN*p_trL*p_trW/(p_trSp*Inputs!$C10))),0))</f>
        <v>0.0666666666666667</v>
      </c>
      <c r="D10" s="11" t="n">
        <f aca="false">IF(Inputs!$B10="","",IF(Inputs!$B10="ladder",p_collar,IF(Inputs!$B10="perf",IF(AND(Inputs!$C10&gt;=300,Inputs!$D10&gt;=100),15,0),IF(Inputs!$B10="trough",0,p_lip))))</f>
        <v>0</v>
      </c>
      <c r="E10" s="19" t="n">
        <f aca="false">IF(Inputs!$B10="","",IF(Inputs!$B10="ladder",2*Inputs!$E10*Inputs!$D10,IF(OR(Inputs!$B10="perf",Inputs!$B10="trough"),(Inputs!$C10+4)*Inputs!$E10*(1-C10),Inputs!$C10*Inputs!$E10)))</f>
        <v>359.333333333333</v>
      </c>
      <c r="F10" s="19" t="n">
        <f aca="false">IF(Inputs!$B10="","",IF(Inputs!$B10="ladder",Inputs!$D10/2,Inputs!$E10/2))</f>
        <v>1.25</v>
      </c>
      <c r="G10" s="20" t="n">
        <f aca="false">IF(Inputs!$B10="","",IF(Inputs!$B10="ladder",2*Inputs!$E10*Inputs!$D10^3/12,IF(OR(Inputs!$B10="perf",Inputs!$B10="trough"),0,Inputs!$C10*Inputs!$E10^3/12)))</f>
        <v>0</v>
      </c>
      <c r="H10" s="19" t="n">
        <f aca="false">IF(Inputs!$B10="","",IF(Inputs!$B10="ladder",2*D10*Inputs!$E10,2*Inputs!$E10*Inputs!$D10))</f>
        <v>250</v>
      </c>
      <c r="I10" s="19" t="n">
        <f aca="false">IF(Inputs!$B10="","",IF(Inputs!$B10="ladder",Inputs!$E10/2,Inputs!$D10/2))</f>
        <v>25</v>
      </c>
      <c r="J10" s="20" t="n">
        <f aca="false">IF(Inputs!$B10="","",IF(Inputs!$B10="ladder",2*D10*Inputs!$E10^3/12,2*Inputs!$E10*Inputs!$D10^3/12))</f>
        <v>52083.3333333333</v>
      </c>
      <c r="K10" s="19" t="n">
        <f aca="false">IF(Inputs!$B10="","",2*D10*Inputs!$E10)</f>
        <v>0</v>
      </c>
      <c r="L10" s="19" t="n">
        <f aca="false">IF(Inputs!$B10="","",Inputs!$D10-Inputs!$E10/2)</f>
        <v>48.75</v>
      </c>
      <c r="M10" s="20" t="n">
        <f aca="false">IF(Inputs!$B10="","",2*D10*Inputs!$E10^3/12)</f>
        <v>0</v>
      </c>
      <c r="N10" s="19" t="n">
        <f aca="false">IF(Inputs!$B10="","",E10+H10+K10)</f>
        <v>609.333333333333</v>
      </c>
      <c r="O10" s="13" t="n">
        <f aca="false">IF(Inputs!$B10="","",(E10*F10+H10*I10+K10*L10)/N10)</f>
        <v>10.9942560175055</v>
      </c>
      <c r="P10" s="20" t="n">
        <f aca="false">IF(Inputs!$B10="","",(G10+E10*(F10-O10)^2)+(J10+H10*(I10-O10)^2)+(M10+K10*(L10-O10)^2))</f>
        <v>135242.438229395</v>
      </c>
      <c r="Q10" s="20" t="n">
        <f aca="false">IF(Inputs!$B10="","",P10/O10)</f>
        <v>12301.1905502343</v>
      </c>
      <c r="R10" s="20" t="n">
        <f aca="false">IF(Inputs!$B10="","",P10/(Inputs!$D10-O10))</f>
        <v>3467.2441651181</v>
      </c>
      <c r="S10" s="19" t="n">
        <f aca="false">IF(Inputs!$B10="","",2*Inputs!$D10*Inputs!$E10)</f>
        <v>250</v>
      </c>
      <c r="T10" s="13" t="n">
        <f aca="false">IF(Inputs!$B10="","",N10*0.00785+IF(Inputs!$B10="ladder",p_rungN/2.5*(p_rungW*p_rungT+2*p_rungT*p_rungH)*Inputs!$C10*0.00000785,0))</f>
        <v>4.78326666666667</v>
      </c>
      <c r="U10" s="13" t="n">
        <f aca="false">IF(Inputs!$B10="","",IF(Inputs!$G10="",T10,Inputs!$G10))</f>
        <v>5.403</v>
      </c>
      <c r="V10" s="24" t="n">
        <f aca="false">IF(Inputs!$B10="","",Inputs!$D10/Inputs!$E10)</f>
        <v>20</v>
      </c>
      <c r="W10" s="24" t="n">
        <f aca="false">IF(Inputs!$B10="","",IF(D10&gt;0,D10/Inputs!$E10,0))</f>
        <v>0</v>
      </c>
      <c r="X10" s="24" t="n">
        <f aca="false">IF(Inputs!$B10="","",IF(OR(Inputs!$B10="perf",Inputs!$B10="trough"),(Inputs!$C10+4)/Inputs!$E10,IF(OR(Inputs!$B10="channel",Inputs!$B10="arm"),Inputs!$C10/Inputs!$E10,0)))</f>
        <v>61.6</v>
      </c>
      <c r="Y10" s="21" t="str">
        <f aca="false">IF(Inputs!$B10="","",IF(V10&gt;p_webS,"web; ","")&amp;IF(W10&gt;p_flS,"flange; ","")&amp;IF(X10&gt;p_plS,"base plate; ",""))</f>
        <v/>
      </c>
      <c r="Z10" s="25" t="n">
        <f aca="false">IF(Inputs!$B10="","",IFERROR(INDEX(sup_kw,MATCH(Inputs!$J10,sup_names,0)),INDEX(sup_kw,1)))</f>
        <v>0.125</v>
      </c>
      <c r="AA10" s="25" t="n">
        <f aca="false">IF(Inputs!$B10="","",IFERROR(INDEX(sup_kp,MATCH(Inputs!$J10,sup_names,0)),INDEX(sup_kp,1)))</f>
        <v>0.25</v>
      </c>
      <c r="AB10" s="25" t="n">
        <f aca="false">IF(Inputs!$B10="","",IFERROR(INDEX(sup_dw,MATCH(Inputs!$J10,sup_names,0)),INDEX(sup_dw,1)))</f>
        <v>0.0130208333333333</v>
      </c>
      <c r="AC10" s="25" t="n">
        <f aca="false">IF(Inputs!$B10="","",IFERROR(INDEX(sup_dp,MATCH(Inputs!$J10,sup_names,0)),INDEX(sup_dp,1)))</f>
        <v>0.0208333333333333</v>
      </c>
      <c r="AD10" s="25" t="n">
        <f aca="false">IF(Inputs!$B10="","",IFERROR(INDEX(sup_kv,MATCH(Inputs!$J10,sup_names,0)),INDEX(sup_kv,1)))</f>
        <v>0.5</v>
      </c>
      <c r="AE10" s="11" t="n">
        <f aca="false">IF(Inputs!$B10="","",p_fy/p_fs)</f>
        <v>149.700598802395</v>
      </c>
      <c r="AF10" s="19" t="n">
        <f aca="false">IF(Inputs!$B10="","",Inputs!$K10*p_g)</f>
        <v>588.6</v>
      </c>
      <c r="AG10" s="26" t="n">
        <f aca="false">IF(Inputs!$B10="","",p_E*P10)</f>
        <v>27048487645.8789</v>
      </c>
      <c r="AH10" s="20" t="n">
        <f aca="false">IF(Inputs!$B10="","",p_shear*p_fy*S10)</f>
        <v>25000</v>
      </c>
      <c r="AI10" s="20" t="n">
        <f aca="false">IF(Inputs!$B10="","",IF(Inputs!$B10="channel",Inputs!$M10,Inputs!$I10*1000))</f>
        <v>1500</v>
      </c>
      <c r="AJ10" s="13" t="n">
        <f aca="false">IF(Inputs!$B10="","",IF(Inputs!$B10="channel",(Inputs!$H10+Inputs!$N10)*Inputs!$I10/(AI10/1000),Inputs!$H10))</f>
        <v>10</v>
      </c>
      <c r="AK10" s="20" t="n">
        <f aca="false">IF(Inputs!$B10="","",AE10*MIN(Q10,R10)*p_splice)</f>
        <v>285476.69024176</v>
      </c>
      <c r="AL10" s="13" t="n">
        <f aca="false">IF(Inputs!$B10="","",AI10/Inputs!$L10)</f>
        <v>7.5</v>
      </c>
      <c r="AM10" s="27" t="n">
        <f aca="false">IF(Inputs!$B10="","",U10*p_g/1000)</f>
        <v>0.05300343</v>
      </c>
      <c r="AN10" s="27" t="n">
        <f aca="false">IF(Inputs!$B10="","",AJ10*p_g/1000)</f>
        <v>0.0981</v>
      </c>
      <c r="AO10" s="20" t="n">
        <f aca="false">IF(Inputs!$B10="","",Z10*(AM10+AN10)*AI10^2+AA10*AF10*AI10)</f>
        <v>263222.8396875</v>
      </c>
      <c r="AP10" s="20" t="n">
        <f aca="false">IF(Inputs!$B10="","",AD10*((AM10+AN10)*AI10+AF10))</f>
        <v>407.6275725</v>
      </c>
      <c r="AQ10" s="13" t="n">
        <f aca="false">IF(Inputs!$B10="","",AB10*(AM10+AN10)*AI10^4/AG10+AC10*AF10*AI10^3/AG10)</f>
        <v>1.89830830281489</v>
      </c>
      <c r="AR10" s="19" t="n">
        <f aca="false">IF(Inputs!$B10="","",MAX(0,(AK10-AA10*AF10*AI10)/(Z10*AI10^2)-AM10)*1000/p_g)</f>
        <v>18.0657290490012</v>
      </c>
      <c r="AS10" s="19" t="n">
        <f aca="false">IF(Inputs!$B10="","",MAX(0,(AH10-AD10*AF10)/(AD10*AI10)-AM10)*1000/p_g)</f>
        <v>3352.49030615019</v>
      </c>
      <c r="AT10" s="19" t="n">
        <f aca="false">IF(Inputs!$B10="","",MAX(0,(AL10-AC10*AF10*AI10^3/AG10)/(AB10*AI10^4/AG10)-AM10)*1000/p_g)</f>
        <v>244.309213720467</v>
      </c>
      <c r="AU10" s="19" t="n">
        <f aca="false">IF(Inputs!$B10="","",MIN(AR10,AS10,AT10))</f>
        <v>18.0657290490012</v>
      </c>
      <c r="AV10" s="21" t="str">
        <f aca="false">IF(Inputs!$B10="","",IF(AU10=AR10,"bending",IF(AU10=AT10,"deflection","shear")))</f>
        <v>bending</v>
      </c>
      <c r="AW10" s="23" t="str">
        <f aca="false">IF(Inputs!$B10="","",IF(Inputs!$B10="ladder",((Inputs!$H10*2500/p_rungN/1000*p_g)*Inputs!$C10/8+(AF10/3)*Inputs!$C10/4)/(p_fy/p_fs*p_rungZ),""))</f>
        <v/>
      </c>
      <c r="AX10" s="20" t="str">
        <f aca="false">IF(Inputs!$B10="","",IF(Inputs!$B10="arm",AE10*MIN(Q10,R10),""))</f>
        <v/>
      </c>
      <c r="AY10" s="13" t="str">
        <f aca="false">IF(Inputs!$B10="","",IF(Inputs!$B10="arm",Inputs!$F10/p_cant,""))</f>
        <v/>
      </c>
      <c r="AZ10" s="20" t="str">
        <f aca="false">IF(Inputs!$B10="","",IF(Inputs!$B10="arm",Inputs!$H10*Inputs!$I10*p_g,""))</f>
        <v/>
      </c>
      <c r="BA10" s="20" t="str">
        <f aca="false">IF(Inputs!$B10="","",IF(Inputs!$B10="arm",AZ10+Inputs!$N10*Inputs!$I10*p_g,""))</f>
        <v/>
      </c>
      <c r="BB10" s="19" t="str">
        <f aca="false">IF(Inputs!$B10="","",IF(Inputs!$B10="arm",AF10/3,""))</f>
        <v/>
      </c>
      <c r="BC10" s="20" t="str">
        <f aca="false">IF(Inputs!$B10="","",IF(Inputs!$B10="arm",BA10*Inputs!$F10/2+BB10*Inputs!$F10,""))</f>
        <v/>
      </c>
      <c r="BD10" s="20" t="str">
        <f aca="false">IF(Inputs!$B10="","",IF(Inputs!$B10="arm",BA10+BB10,""))</f>
        <v/>
      </c>
      <c r="BE10" s="13" t="str">
        <f aca="false">IF(Inputs!$B10="","",IF(Inputs!$B10="arm",BA10*Inputs!$F10^3/(8*AG10)+BB10*Inputs!$F10^3/(3*AG10),""))</f>
        <v/>
      </c>
      <c r="BF10" s="19" t="str">
        <f aca="false">IF(Inputs!$B10="","",IF(Inputs!$B10="arm",(AX10-BB10*Inputs!$F10)/(Inputs!$F10/2)/p_g-Inputs!$N10*Inputs!$I10,""))</f>
        <v/>
      </c>
      <c r="BG10" s="19" t="str">
        <f aca="false">IF(Inputs!$B10="","",IF(Inputs!$B10="arm",(AH10-BB10)/p_g-Inputs!$N10*Inputs!$I10,""))</f>
        <v/>
      </c>
      <c r="BH10" s="19" t="str">
        <f aca="false">IF(Inputs!$B10="","",IF(Inputs!$B10="arm",(AY10-BB10*Inputs!$F10^3/(3*AG10))/(Inputs!$F10^3/(8*AG10))/p_g-Inputs!$N10*Inputs!$I10,""))</f>
        <v/>
      </c>
      <c r="BI10" s="19" t="str">
        <f aca="false">IF(Inputs!$B10="","",IF(Inputs!$B10="arm",MAX(0,MIN(BF10,BG10,BH10)),""))</f>
        <v/>
      </c>
      <c r="BJ10" s="19" t="str">
        <f aca="false">IF(Inputs!$B10="","",IF(Inputs!$B10="arm",BI10/Inputs!$I10,""))</f>
        <v/>
      </c>
      <c r="BK10" s="21" t="str">
        <f aca="false">IF(Inputs!$B10="","",IF(Inputs!$B10="arm",IF(BI10=MAX(0,BF10),"bending",IF(BI10=MAX(0,BH10),"deflection","shear")),""))</f>
        <v/>
      </c>
      <c r="BL10" s="20" t="n">
        <f aca="false">IF(Inputs!$B10="","",IF(Inputs!$B10="arm",AX10,AK10))</f>
        <v>285476.69024176</v>
      </c>
      <c r="BM10" s="20" t="n">
        <f aca="false">IF(Inputs!$B10="","",IF(Inputs!$B10="arm",BC10,AO10))</f>
        <v>263222.8396875</v>
      </c>
      <c r="BN10" s="20" t="n">
        <f aca="false">IF(Inputs!$B10="","",IF(Inputs!$B10="arm",BD10,AP10))</f>
        <v>407.6275725</v>
      </c>
      <c r="BO10" s="13" t="n">
        <f aca="false">IF(Inputs!$B10="","",IF(Inputs!$B10="arm",BE10,AQ10))</f>
        <v>1.89830830281489</v>
      </c>
      <c r="BP10" s="13" t="n">
        <f aca="false">IF(Inputs!$B10="","",IF(Inputs!$B10="arm",AY10,AL10))</f>
        <v>7.5</v>
      </c>
      <c r="BQ10" s="23" t="n">
        <f aca="false">IF(Inputs!$B10="","",BM10/BL10)</f>
        <v>0.922046698329682</v>
      </c>
      <c r="BR10" s="23" t="n">
        <f aca="false">IF(Inputs!$B10="","",BN10/AH10)</f>
        <v>0.0163051029</v>
      </c>
      <c r="BS10" s="23" t="n">
        <f aca="false">IF(Inputs!$B10="","",BO10/BP10)</f>
        <v>0.253107773708651</v>
      </c>
      <c r="BT10" s="28" t="n">
        <f aca="false">IF(Inputs!$B10="","",MAX(BQ10,BR10,BS10,IF(Inputs!$B10="ladder",AW10,0)))</f>
        <v>0.922046698329682</v>
      </c>
      <c r="BU10" s="16" t="n">
        <f aca="false">IF(Inputs!$B10="","",IF(Inputs!$B10="arm",BJ10,AU10))</f>
        <v>18.0657290490012</v>
      </c>
      <c r="BV10" s="15" t="str">
        <f aca="false">IF(Inputs!$B10="","",IF(Inputs!$B10="arm",BK10,AV10))</f>
        <v>bending</v>
      </c>
      <c r="BW10" s="15" t="str">
        <f aca="false">IF(Inputs!$B10="","",IF(BT10&lt;=1,"PASS","FAIL"))</f>
        <v>PASS</v>
      </c>
      <c r="BX10" s="18" t="n">
        <f aca="false">IF(Inputs!$B10="","",IF(Inputs!$H10&gt;0,BU10/Inputs!$H10-1,""))</f>
        <v>0.806572904900116</v>
      </c>
    </row>
    <row r="11" customFormat="false" ht="15" hidden="false" customHeight="false" outlineLevel="0" collapsed="false">
      <c r="A11" s="0" t="str">
        <f aca="false">IF(Inputs!A11="","",Inputs!A11)</f>
        <v>Cantilever arm 620 mm, 41 x 41 x 2.5</v>
      </c>
      <c r="B11" s="21" t="str">
        <f aca="false">IF(Inputs!$B11="","",Inputs!$B11)</f>
        <v>arm</v>
      </c>
      <c r="C11" s="23" t="n">
        <f aca="false">IF(Inputs!$B11="","",IF(OR(Inputs!$B11="perf",Inputs!$B11="trough"),MIN(0.5,IF(Inputs!$B11="perf",p_perfN*p_perfL*p_perfW/(p_perfSp*Inputs!$C11),p_trN*p_trL*p_trW/(p_trSp*Inputs!$C11))),0))</f>
        <v>0</v>
      </c>
      <c r="D11" s="11" t="n">
        <f aca="false">IF(Inputs!$B11="","",IF(Inputs!$B11="ladder",p_collar,IF(Inputs!$B11="perf",IF(AND(Inputs!$C11&gt;=300,Inputs!$D11&gt;=100),15,0),IF(Inputs!$B11="trough",0,p_lip))))</f>
        <v>9</v>
      </c>
      <c r="E11" s="19" t="n">
        <f aca="false">IF(Inputs!$B11="","",IF(Inputs!$B11="ladder",2*Inputs!$E11*Inputs!$D11,IF(OR(Inputs!$B11="perf",Inputs!$B11="trough"),(Inputs!$C11+4)*Inputs!$E11*(1-C11),Inputs!$C11*Inputs!$E11)))</f>
        <v>102.5</v>
      </c>
      <c r="F11" s="19" t="n">
        <f aca="false">IF(Inputs!$B11="","",IF(Inputs!$B11="ladder",Inputs!$D11/2,Inputs!$E11/2))</f>
        <v>1.25</v>
      </c>
      <c r="G11" s="20" t="n">
        <f aca="false">IF(Inputs!$B11="","",IF(Inputs!$B11="ladder",2*Inputs!$E11*Inputs!$D11^3/12,IF(OR(Inputs!$B11="perf",Inputs!$B11="trough"),0,Inputs!$C11*Inputs!$E11^3/12)))</f>
        <v>53.3854166666667</v>
      </c>
      <c r="H11" s="19" t="n">
        <f aca="false">IF(Inputs!$B11="","",IF(Inputs!$B11="ladder",2*D11*Inputs!$E11,2*Inputs!$E11*Inputs!$D11))</f>
        <v>205</v>
      </c>
      <c r="I11" s="19" t="n">
        <f aca="false">IF(Inputs!$B11="","",IF(Inputs!$B11="ladder",Inputs!$E11/2,Inputs!$D11/2))</f>
        <v>20.5</v>
      </c>
      <c r="J11" s="20" t="n">
        <f aca="false">IF(Inputs!$B11="","",IF(Inputs!$B11="ladder",2*D11*Inputs!$E11^3/12,2*Inputs!$E11*Inputs!$D11^3/12))</f>
        <v>28717.0833333333</v>
      </c>
      <c r="K11" s="19" t="n">
        <f aca="false">IF(Inputs!$B11="","",2*D11*Inputs!$E11)</f>
        <v>45</v>
      </c>
      <c r="L11" s="19" t="n">
        <f aca="false">IF(Inputs!$B11="","",Inputs!$D11-Inputs!$E11/2)</f>
        <v>39.75</v>
      </c>
      <c r="M11" s="20" t="n">
        <f aca="false">IF(Inputs!$B11="","",2*D11*Inputs!$E11^3/12)</f>
        <v>23.4375</v>
      </c>
      <c r="N11" s="19" t="n">
        <f aca="false">IF(Inputs!$B11="","",E11+H11+K11)</f>
        <v>352.5</v>
      </c>
      <c r="O11" s="13" t="n">
        <f aca="false">IF(Inputs!$B11="","",(E11*F11+H11*I11+K11*L11)/N11)</f>
        <v>17.3599290780142</v>
      </c>
      <c r="P11" s="20" t="n">
        <f aca="false">IF(Inputs!$B11="","",(G11+E11*(F11-O11)^2)+(J11+H11*(I11-O11)^2)+(M11+K11*(L11-O11)^2))</f>
        <v>79976.208998227</v>
      </c>
      <c r="Q11" s="20" t="n">
        <f aca="false">IF(Inputs!$B11="","",P11/O11)</f>
        <v>4606.94330252273</v>
      </c>
      <c r="R11" s="20" t="n">
        <f aca="false">IF(Inputs!$B11="","",P11/(Inputs!$D11-O11))</f>
        <v>3383.07821758044</v>
      </c>
      <c r="S11" s="19" t="n">
        <f aca="false">IF(Inputs!$B11="","",2*Inputs!$D11*Inputs!$E11)</f>
        <v>205</v>
      </c>
      <c r="T11" s="13" t="n">
        <f aca="false">IF(Inputs!$B11="","",N11*0.00785+IF(Inputs!$B11="ladder",p_rungN/2.5*(p_rungW*p_rungT+2*p_rungT*p_rungH)*Inputs!$C11*0.00000785,0))</f>
        <v>2.767125</v>
      </c>
      <c r="U11" s="13" t="n">
        <f aca="false">IF(Inputs!$B11="","",IF(Inputs!$G11="",T11,Inputs!$G11))</f>
        <v>2.796</v>
      </c>
      <c r="V11" s="24" t="n">
        <f aca="false">IF(Inputs!$B11="","",Inputs!$D11/Inputs!$E11)</f>
        <v>16.4</v>
      </c>
      <c r="W11" s="24" t="n">
        <f aca="false">IF(Inputs!$B11="","",IF(D11&gt;0,D11/Inputs!$E11,0))</f>
        <v>3.6</v>
      </c>
      <c r="X11" s="24" t="n">
        <f aca="false">IF(Inputs!$B11="","",IF(OR(Inputs!$B11="perf",Inputs!$B11="trough"),(Inputs!$C11+4)/Inputs!$E11,IF(OR(Inputs!$B11="channel",Inputs!$B11="arm"),Inputs!$C11/Inputs!$E11,0)))</f>
        <v>16.4</v>
      </c>
      <c r="Y11" s="21" t="str">
        <f aca="false">IF(Inputs!$B11="","",IF(V11&gt;p_webS,"web; ","")&amp;IF(W11&gt;p_flS,"flange; ","")&amp;IF(X11&gt;p_plS,"base plate; ",""))</f>
        <v/>
      </c>
      <c r="Z11" s="25" t="n">
        <f aca="false">IF(Inputs!$B11="","",IFERROR(INDEX(sup_kw,MATCH(Inputs!$J11,sup_names,0)),INDEX(sup_kw,1)))</f>
        <v>0.125</v>
      </c>
      <c r="AA11" s="25" t="n">
        <f aca="false">IF(Inputs!$B11="","",IFERROR(INDEX(sup_kp,MATCH(Inputs!$J11,sup_names,0)),INDEX(sup_kp,1)))</f>
        <v>0.25</v>
      </c>
      <c r="AB11" s="25" t="n">
        <f aca="false">IF(Inputs!$B11="","",IFERROR(INDEX(sup_dw,MATCH(Inputs!$J11,sup_names,0)),INDEX(sup_dw,1)))</f>
        <v>0.0130208333333333</v>
      </c>
      <c r="AC11" s="25" t="n">
        <f aca="false">IF(Inputs!$B11="","",IFERROR(INDEX(sup_dp,MATCH(Inputs!$J11,sup_names,0)),INDEX(sup_dp,1)))</f>
        <v>0.0208333333333333</v>
      </c>
      <c r="AD11" s="25" t="n">
        <f aca="false">IF(Inputs!$B11="","",IFERROR(INDEX(sup_kv,MATCH(Inputs!$J11,sup_names,0)),INDEX(sup_kv,1)))</f>
        <v>0.5</v>
      </c>
      <c r="AE11" s="11" t="n">
        <f aca="false">IF(Inputs!$B11="","",p_fy/p_fs)</f>
        <v>149.700598802395</v>
      </c>
      <c r="AF11" s="19" t="n">
        <f aca="false">IF(Inputs!$B11="","",Inputs!$K11*p_g)</f>
        <v>882.9</v>
      </c>
      <c r="AG11" s="26" t="n">
        <f aca="false">IF(Inputs!$B11="","",p_E*P11)</f>
        <v>15995241799.6454</v>
      </c>
      <c r="AH11" s="20" t="n">
        <f aca="false">IF(Inputs!$B11="","",p_shear*p_fy*S11)</f>
        <v>20500</v>
      </c>
      <c r="AI11" s="20" t="n">
        <f aca="false">IF(Inputs!$B11="","",IF(Inputs!$B11="channel",Inputs!$M11,Inputs!$I11*1000))</f>
        <v>2000</v>
      </c>
      <c r="AJ11" s="13" t="n">
        <f aca="false">IF(Inputs!$B11="","",IF(Inputs!$B11="channel",(Inputs!$H11+Inputs!$N11)*Inputs!$I11/(AI11/1000),Inputs!$H11))</f>
        <v>20</v>
      </c>
      <c r="AK11" s="20" t="n">
        <f aca="false">IF(Inputs!$B11="","",AE11*MIN(Q11,R11)*p_splice)</f>
        <v>278546.859231922</v>
      </c>
      <c r="AL11" s="13" t="n">
        <f aca="false">IF(Inputs!$B11="","",AI11/Inputs!$L11)</f>
        <v>10</v>
      </c>
      <c r="AM11" s="27" t="n">
        <f aca="false">IF(Inputs!$B11="","",U11*p_g/1000)</f>
        <v>0.02742876</v>
      </c>
      <c r="AN11" s="27" t="n">
        <f aca="false">IF(Inputs!$B11="","",AJ11*p_g/1000)</f>
        <v>0.1962</v>
      </c>
      <c r="AO11" s="20" t="n">
        <f aca="false">IF(Inputs!$B11="","",Z11*(AM11+AN11)*AI11^2+AA11*AF11*AI11)</f>
        <v>553264.38</v>
      </c>
      <c r="AP11" s="20" t="n">
        <f aca="false">IF(Inputs!$B11="","",AD11*((AM11+AN11)*AI11+AF11))</f>
        <v>665.07876</v>
      </c>
      <c r="AQ11" s="13" t="n">
        <f aca="false">IF(Inputs!$B11="","",AB11*(AM11+AN11)*AI11^4/AG11+AC11*AF11*AI11^3/AG11)</f>
        <v>12.1123098623176</v>
      </c>
      <c r="AR11" s="19" t="n">
        <f aca="false">IF(Inputs!$B11="","",MAX(0,(AK11-AA11*AF11*AI11)/(Z11*AI11^2)-AM11)*1000/p_g)</f>
        <v>0</v>
      </c>
      <c r="AS11" s="19" t="n">
        <f aca="false">IF(Inputs!$B11="","",MAX(0,(AH11-AD11*AF11)/(AD11*AI11)-AM11)*1000/p_g)</f>
        <v>2041.90838328236</v>
      </c>
      <c r="AT11" s="19" t="n">
        <f aca="false">IF(Inputs!$B11="","",MAX(0,(AL11-AC11*AF11*AI11^3/AG11)/(AB11*AI11^4/AG11)-AM11)*1000/p_g)</f>
        <v>3.46818005942701</v>
      </c>
      <c r="AU11" s="19" t="n">
        <f aca="false">IF(Inputs!$B11="","",MIN(AR11,AS11,AT11))</f>
        <v>0</v>
      </c>
      <c r="AV11" s="21" t="str">
        <f aca="false">IF(Inputs!$B11="","",IF(AU11=AR11,"bending",IF(AU11=AT11,"deflection","shear")))</f>
        <v>bending</v>
      </c>
      <c r="AW11" s="23" t="str">
        <f aca="false">IF(Inputs!$B11="","",IF(Inputs!$B11="ladder",((Inputs!$H11*2500/p_rungN/1000*p_g)*Inputs!$C11/8+(AF11/3)*Inputs!$C11/4)/(p_fy/p_fs*p_rungZ),""))</f>
        <v/>
      </c>
      <c r="AX11" s="20" t="n">
        <f aca="false">IF(Inputs!$B11="","",IF(Inputs!$B11="arm",AE11*MIN(Q11,R11),""))</f>
        <v>506448.834967132</v>
      </c>
      <c r="AY11" s="13" t="n">
        <f aca="false">IF(Inputs!$B11="","",IF(Inputs!$B11="arm",Inputs!$F11/p_cant,""))</f>
        <v>6.2</v>
      </c>
      <c r="AZ11" s="20" t="n">
        <f aca="false">IF(Inputs!$B11="","",IF(Inputs!$B11="arm",Inputs!$H11*Inputs!$I11*p_g,""))</f>
        <v>392.4</v>
      </c>
      <c r="BA11" s="20" t="n">
        <f aca="false">IF(Inputs!$B11="","",IF(Inputs!$B11="arm",AZ11+Inputs!$N11*Inputs!$I11*p_g,""))</f>
        <v>549.36</v>
      </c>
      <c r="BB11" s="19" t="n">
        <f aca="false">IF(Inputs!$B11="","",IF(Inputs!$B11="arm",AF11/3,""))</f>
        <v>294.3</v>
      </c>
      <c r="BC11" s="20" t="n">
        <f aca="false">IF(Inputs!$B11="","",IF(Inputs!$B11="arm",BA11*Inputs!$F11/2+BB11*Inputs!$F11,""))</f>
        <v>352767.6</v>
      </c>
      <c r="BD11" s="20" t="n">
        <f aca="false">IF(Inputs!$B11="","",IF(Inputs!$B11="arm",BA11+BB11,""))</f>
        <v>843.66</v>
      </c>
      <c r="BE11" s="13" t="n">
        <f aca="false">IF(Inputs!$B11="","",IF(Inputs!$B11="arm",BA11*Inputs!$F11^3/(8*AG11)+BB11*Inputs!$F11^3/(3*AG11),""))</f>
        <v>2.48486150180494</v>
      </c>
      <c r="BF11" s="19" t="n">
        <f aca="false">IF(Inputs!$B11="","",IF(Inputs!$B11="arm",(AX11-BB11*Inputs!$F11)/(Inputs!$F11/2)/p_g-Inputs!$N11*Inputs!$I11,""))</f>
        <v>90.5347522170042</v>
      </c>
      <c r="BG11" s="19" t="n">
        <f aca="false">IF(Inputs!$B11="","",IF(Inputs!$B11="arm",(AH11-BB11)/p_g-Inputs!$N11*Inputs!$I11,""))</f>
        <v>2043.70438328236</v>
      </c>
      <c r="BH11" s="19" t="n">
        <f aca="false">IF(Inputs!$B11="","",IF(Inputs!$B11="arm",(AY11-BB11*Inputs!$F11^3/(3*AG11))/(Inputs!$F11^3/(8*AG11))/p_g-Inputs!$N11*Inputs!$I11,""))</f>
        <v>243.334807749857</v>
      </c>
      <c r="BI11" s="19" t="n">
        <f aca="false">IF(Inputs!$B11="","",IF(Inputs!$B11="arm",MAX(0,MIN(BF11,BG11,BH11)),""))</f>
        <v>90.5347522170042</v>
      </c>
      <c r="BJ11" s="19" t="n">
        <f aca="false">IF(Inputs!$B11="","",IF(Inputs!$B11="arm",BI11/Inputs!$I11,""))</f>
        <v>45.2673761085021</v>
      </c>
      <c r="BK11" s="21" t="str">
        <f aca="false">IF(Inputs!$B11="","",IF(Inputs!$B11="arm",IF(BI11=MAX(0,BF11),"bending",IF(BI11=MAX(0,BH11),"deflection","shear")),""))</f>
        <v>bending</v>
      </c>
      <c r="BL11" s="20" t="n">
        <f aca="false">IF(Inputs!$B11="","",IF(Inputs!$B11="arm",AX11,AK11))</f>
        <v>506448.834967132</v>
      </c>
      <c r="BM11" s="20" t="n">
        <f aca="false">IF(Inputs!$B11="","",IF(Inputs!$B11="arm",BC11,AO11))</f>
        <v>352767.6</v>
      </c>
      <c r="BN11" s="20" t="n">
        <f aca="false">IF(Inputs!$B11="","",IF(Inputs!$B11="arm",BD11,AP11))</f>
        <v>843.66</v>
      </c>
      <c r="BO11" s="13" t="n">
        <f aca="false">IF(Inputs!$B11="","",IF(Inputs!$B11="arm",BE11,AQ11))</f>
        <v>2.48486150180494</v>
      </c>
      <c r="BP11" s="13" t="n">
        <f aca="false">IF(Inputs!$B11="","",IF(Inputs!$B11="arm",AY11,AL11))</f>
        <v>6.2</v>
      </c>
      <c r="BQ11" s="23" t="n">
        <f aca="false">IF(Inputs!$B11="","",BM11/BL11)</f>
        <v>0.69655131109719</v>
      </c>
      <c r="BR11" s="23" t="n">
        <f aca="false">IF(Inputs!$B11="","",BN11/AH11)</f>
        <v>0.0411541463414634</v>
      </c>
      <c r="BS11" s="23" t="n">
        <f aca="false">IF(Inputs!$B11="","",BO11/BP11)</f>
        <v>0.400784113194345</v>
      </c>
      <c r="BT11" s="28" t="n">
        <f aca="false">IF(Inputs!$B11="","",MAX(BQ11,BR11,BS11,IF(Inputs!$B11="ladder",AW11,0)))</f>
        <v>0.69655131109719</v>
      </c>
      <c r="BU11" s="16" t="n">
        <f aca="false">IF(Inputs!$B11="","",IF(Inputs!$B11="arm",BJ11,AU11))</f>
        <v>45.2673761085021</v>
      </c>
      <c r="BV11" s="15" t="str">
        <f aca="false">IF(Inputs!$B11="","",IF(Inputs!$B11="arm",BK11,AV11))</f>
        <v>bending</v>
      </c>
      <c r="BW11" s="15" t="str">
        <f aca="false">IF(Inputs!$B11="","",IF(BT11&lt;=1,"PASS","FAIL"))</f>
        <v>PASS</v>
      </c>
      <c r="BX11" s="18" t="n">
        <f aca="false">IF(Inputs!$B11="","",IF(Inputs!$H11&gt;0,BU11/Inputs!$H11-1,""))</f>
        <v>1.26336880542511</v>
      </c>
    </row>
    <row r="12" customFormat="false" ht="15" hidden="false" customHeight="false" outlineLevel="0" collapsed="false">
      <c r="A12" s="0" t="str">
        <f aca="false">IF(Inputs!A12="","",Inputs!A12)</f>
        <v>Cantilever arm 320 mm, 41 x 41 x 2.5</v>
      </c>
      <c r="B12" s="21" t="str">
        <f aca="false">IF(Inputs!$B12="","",Inputs!$B12)</f>
        <v>arm</v>
      </c>
      <c r="C12" s="23" t="n">
        <f aca="false">IF(Inputs!$B12="","",IF(OR(Inputs!$B12="perf",Inputs!$B12="trough"),MIN(0.5,IF(Inputs!$B12="perf",p_perfN*p_perfL*p_perfW/(p_perfSp*Inputs!$C12),p_trN*p_trL*p_trW/(p_trSp*Inputs!$C12))),0))</f>
        <v>0</v>
      </c>
      <c r="D12" s="11" t="n">
        <f aca="false">IF(Inputs!$B12="","",IF(Inputs!$B12="ladder",p_collar,IF(Inputs!$B12="perf",IF(AND(Inputs!$C12&gt;=300,Inputs!$D12&gt;=100),15,0),IF(Inputs!$B12="trough",0,p_lip))))</f>
        <v>9</v>
      </c>
      <c r="E12" s="19" t="n">
        <f aca="false">IF(Inputs!$B12="","",IF(Inputs!$B12="ladder",2*Inputs!$E12*Inputs!$D12,IF(OR(Inputs!$B12="perf",Inputs!$B12="trough"),(Inputs!$C12+4)*Inputs!$E12*(1-C12),Inputs!$C12*Inputs!$E12)))</f>
        <v>102.5</v>
      </c>
      <c r="F12" s="19" t="n">
        <f aca="false">IF(Inputs!$B12="","",IF(Inputs!$B12="ladder",Inputs!$D12/2,Inputs!$E12/2))</f>
        <v>1.25</v>
      </c>
      <c r="G12" s="20" t="n">
        <f aca="false">IF(Inputs!$B12="","",IF(Inputs!$B12="ladder",2*Inputs!$E12*Inputs!$D12^3/12,IF(OR(Inputs!$B12="perf",Inputs!$B12="trough"),0,Inputs!$C12*Inputs!$E12^3/12)))</f>
        <v>53.3854166666667</v>
      </c>
      <c r="H12" s="19" t="n">
        <f aca="false">IF(Inputs!$B12="","",IF(Inputs!$B12="ladder",2*D12*Inputs!$E12,2*Inputs!$E12*Inputs!$D12))</f>
        <v>205</v>
      </c>
      <c r="I12" s="19" t="n">
        <f aca="false">IF(Inputs!$B12="","",IF(Inputs!$B12="ladder",Inputs!$E12/2,Inputs!$D12/2))</f>
        <v>20.5</v>
      </c>
      <c r="J12" s="20" t="n">
        <f aca="false">IF(Inputs!$B12="","",IF(Inputs!$B12="ladder",2*D12*Inputs!$E12^3/12,2*Inputs!$E12*Inputs!$D12^3/12))</f>
        <v>28717.0833333333</v>
      </c>
      <c r="K12" s="19" t="n">
        <f aca="false">IF(Inputs!$B12="","",2*D12*Inputs!$E12)</f>
        <v>45</v>
      </c>
      <c r="L12" s="19" t="n">
        <f aca="false">IF(Inputs!$B12="","",Inputs!$D12-Inputs!$E12/2)</f>
        <v>39.75</v>
      </c>
      <c r="M12" s="20" t="n">
        <f aca="false">IF(Inputs!$B12="","",2*D12*Inputs!$E12^3/12)</f>
        <v>23.4375</v>
      </c>
      <c r="N12" s="19" t="n">
        <f aca="false">IF(Inputs!$B12="","",E12+H12+K12)</f>
        <v>352.5</v>
      </c>
      <c r="O12" s="13" t="n">
        <f aca="false">IF(Inputs!$B12="","",(E12*F12+H12*I12+K12*L12)/N12)</f>
        <v>17.3599290780142</v>
      </c>
      <c r="P12" s="20" t="n">
        <f aca="false">IF(Inputs!$B12="","",(G12+E12*(F12-O12)^2)+(J12+H12*(I12-O12)^2)+(M12+K12*(L12-O12)^2))</f>
        <v>79976.208998227</v>
      </c>
      <c r="Q12" s="20" t="n">
        <f aca="false">IF(Inputs!$B12="","",P12/O12)</f>
        <v>4606.94330252273</v>
      </c>
      <c r="R12" s="20" t="n">
        <f aca="false">IF(Inputs!$B12="","",P12/(Inputs!$D12-O12))</f>
        <v>3383.07821758044</v>
      </c>
      <c r="S12" s="19" t="n">
        <f aca="false">IF(Inputs!$B12="","",2*Inputs!$D12*Inputs!$E12)</f>
        <v>205</v>
      </c>
      <c r="T12" s="13" t="n">
        <f aca="false">IF(Inputs!$B12="","",N12*0.00785+IF(Inputs!$B12="ladder",p_rungN/2.5*(p_rungW*p_rungT+2*p_rungT*p_rungH)*Inputs!$C12*0.00000785,0))</f>
        <v>2.767125</v>
      </c>
      <c r="U12" s="13" t="n">
        <f aca="false">IF(Inputs!$B12="","",IF(Inputs!$G12="",T12,Inputs!$G12))</f>
        <v>2.8</v>
      </c>
      <c r="V12" s="24" t="n">
        <f aca="false">IF(Inputs!$B12="","",Inputs!$D12/Inputs!$E12)</f>
        <v>16.4</v>
      </c>
      <c r="W12" s="24" t="n">
        <f aca="false">IF(Inputs!$B12="","",IF(D12&gt;0,D12/Inputs!$E12,0))</f>
        <v>3.6</v>
      </c>
      <c r="X12" s="24" t="n">
        <f aca="false">IF(Inputs!$B12="","",IF(OR(Inputs!$B12="perf",Inputs!$B12="trough"),(Inputs!$C12+4)/Inputs!$E12,IF(OR(Inputs!$B12="channel",Inputs!$B12="arm"),Inputs!$C12/Inputs!$E12,0)))</f>
        <v>16.4</v>
      </c>
      <c r="Y12" s="21" t="str">
        <f aca="false">IF(Inputs!$B12="","",IF(V12&gt;p_webS,"web; ","")&amp;IF(W12&gt;p_flS,"flange; ","")&amp;IF(X12&gt;p_plS,"base plate; ",""))</f>
        <v/>
      </c>
      <c r="Z12" s="25" t="n">
        <f aca="false">IF(Inputs!$B12="","",IFERROR(INDEX(sup_kw,MATCH(Inputs!$J12,sup_names,0)),INDEX(sup_kw,1)))</f>
        <v>0.125</v>
      </c>
      <c r="AA12" s="25" t="n">
        <f aca="false">IF(Inputs!$B12="","",IFERROR(INDEX(sup_kp,MATCH(Inputs!$J12,sup_names,0)),INDEX(sup_kp,1)))</f>
        <v>0.25</v>
      </c>
      <c r="AB12" s="25" t="n">
        <f aca="false">IF(Inputs!$B12="","",IFERROR(INDEX(sup_dw,MATCH(Inputs!$J12,sup_names,0)),INDEX(sup_dw,1)))</f>
        <v>0.0130208333333333</v>
      </c>
      <c r="AC12" s="25" t="n">
        <f aca="false">IF(Inputs!$B12="","",IFERROR(INDEX(sup_dp,MATCH(Inputs!$J12,sup_names,0)),INDEX(sup_dp,1)))</f>
        <v>0.0208333333333333</v>
      </c>
      <c r="AD12" s="25" t="n">
        <f aca="false">IF(Inputs!$B12="","",IFERROR(INDEX(sup_kv,MATCH(Inputs!$J12,sup_names,0)),INDEX(sup_kv,1)))</f>
        <v>0.5</v>
      </c>
      <c r="AE12" s="11" t="n">
        <f aca="false">IF(Inputs!$B12="","",p_fy/p_fs)</f>
        <v>149.700598802395</v>
      </c>
      <c r="AF12" s="19" t="n">
        <f aca="false">IF(Inputs!$B12="","",Inputs!$K12*p_g)</f>
        <v>882.9</v>
      </c>
      <c r="AG12" s="26" t="n">
        <f aca="false">IF(Inputs!$B12="","",p_E*P12)</f>
        <v>15995241799.6454</v>
      </c>
      <c r="AH12" s="20" t="n">
        <f aca="false">IF(Inputs!$B12="","",p_shear*p_fy*S12)</f>
        <v>20500</v>
      </c>
      <c r="AI12" s="20" t="n">
        <f aca="false">IF(Inputs!$B12="","",IF(Inputs!$B12="channel",Inputs!$M12,Inputs!$I12*1000))</f>
        <v>2000</v>
      </c>
      <c r="AJ12" s="13" t="n">
        <f aca="false">IF(Inputs!$B12="","",IF(Inputs!$B12="channel",(Inputs!$H12+Inputs!$N12)*Inputs!$I12/(AI12/1000),Inputs!$H12))</f>
        <v>20</v>
      </c>
      <c r="AK12" s="20" t="n">
        <f aca="false">IF(Inputs!$B12="","",AE12*MIN(Q12,R12)*p_splice)</f>
        <v>278546.859231922</v>
      </c>
      <c r="AL12" s="13" t="n">
        <f aca="false">IF(Inputs!$B12="","",AI12/Inputs!$L12)</f>
        <v>10</v>
      </c>
      <c r="AM12" s="27" t="n">
        <f aca="false">IF(Inputs!$B12="","",U12*p_g/1000)</f>
        <v>0.027468</v>
      </c>
      <c r="AN12" s="27" t="n">
        <f aca="false">IF(Inputs!$B12="","",AJ12*p_g/1000)</f>
        <v>0.1962</v>
      </c>
      <c r="AO12" s="20" t="n">
        <f aca="false">IF(Inputs!$B12="","",Z12*(AM12+AN12)*AI12^2+AA12*AF12*AI12)</f>
        <v>553284</v>
      </c>
      <c r="AP12" s="20" t="n">
        <f aca="false">IF(Inputs!$B12="","",AD12*((AM12+AN12)*AI12+AF12))</f>
        <v>665.118</v>
      </c>
      <c r="AQ12" s="13" t="n">
        <f aca="false">IF(Inputs!$B12="","",AB12*(AM12+AN12)*AI12^4/AG12+AC12*AF12*AI12^3/AG12)</f>
        <v>12.1128209518093</v>
      </c>
      <c r="AR12" s="19" t="n">
        <f aca="false">IF(Inputs!$B12="","",MAX(0,(AK12-AA12*AF12*AI12)/(Z12*AI12^2)-AM12)*1000/p_g)</f>
        <v>0</v>
      </c>
      <c r="AS12" s="19" t="n">
        <f aca="false">IF(Inputs!$B12="","",MAX(0,(AH12-AD12*AF12)/(AD12*AI12)-AM12)*1000/p_g)</f>
        <v>2041.90438328237</v>
      </c>
      <c r="AT12" s="19" t="n">
        <f aca="false">IF(Inputs!$B12="","",MAX(0,(AL12-AC12*AF12*AI12^3/AG12)/(AB12*AI12^4/AG12)-AM12)*1000/p_g)</f>
        <v>3.46418005942701</v>
      </c>
      <c r="AU12" s="19" t="n">
        <f aca="false">IF(Inputs!$B12="","",MIN(AR12,AS12,AT12))</f>
        <v>0</v>
      </c>
      <c r="AV12" s="21" t="str">
        <f aca="false">IF(Inputs!$B12="","",IF(AU12=AR12,"bending",IF(AU12=AT12,"deflection","shear")))</f>
        <v>bending</v>
      </c>
      <c r="AW12" s="23" t="str">
        <f aca="false">IF(Inputs!$B12="","",IF(Inputs!$B12="ladder",((Inputs!$H12*2500/p_rungN/1000*p_g)*Inputs!$C12/8+(AF12/3)*Inputs!$C12/4)/(p_fy/p_fs*p_rungZ),""))</f>
        <v/>
      </c>
      <c r="AX12" s="20" t="n">
        <f aca="false">IF(Inputs!$B12="","",IF(Inputs!$B12="arm",AE12*MIN(Q12,R12),""))</f>
        <v>506448.834967132</v>
      </c>
      <c r="AY12" s="13" t="n">
        <f aca="false">IF(Inputs!$B12="","",IF(Inputs!$B12="arm",Inputs!$F12/p_cant,""))</f>
        <v>3.2</v>
      </c>
      <c r="AZ12" s="20" t="n">
        <f aca="false">IF(Inputs!$B12="","",IF(Inputs!$B12="arm",Inputs!$H12*Inputs!$I12*p_g,""))</f>
        <v>392.4</v>
      </c>
      <c r="BA12" s="20" t="n">
        <f aca="false">IF(Inputs!$B12="","",IF(Inputs!$B12="arm",AZ12+Inputs!$N12*Inputs!$I12*p_g,""))</f>
        <v>549.36</v>
      </c>
      <c r="BB12" s="19" t="n">
        <f aca="false">IF(Inputs!$B12="","",IF(Inputs!$B12="arm",AF12/3,""))</f>
        <v>294.3</v>
      </c>
      <c r="BC12" s="20" t="n">
        <f aca="false">IF(Inputs!$B12="","",IF(Inputs!$B12="arm",BA12*Inputs!$F12/2+BB12*Inputs!$F12,""))</f>
        <v>182073.6</v>
      </c>
      <c r="BD12" s="20" t="n">
        <f aca="false">IF(Inputs!$B12="","",IF(Inputs!$B12="arm",BA12+BB12,""))</f>
        <v>843.66</v>
      </c>
      <c r="BE12" s="13" t="n">
        <f aca="false">IF(Inputs!$B12="","",IF(Inputs!$B12="arm",BA12*Inputs!$F12^3/(8*AG12)+BB12*Inputs!$F12^3/(3*AG12),""))</f>
        <v>0.341646561424358</v>
      </c>
      <c r="BF12" s="19" t="n">
        <f aca="false">IF(Inputs!$B12="","",IF(Inputs!$B12="arm",(AX12-BB12*Inputs!$F12)/(Inputs!$F12/2)/p_g-Inputs!$N12*Inputs!$I12,""))</f>
        <v>246.661082420446</v>
      </c>
      <c r="BG12" s="19" t="n">
        <f aca="false">IF(Inputs!$B12="","",IF(Inputs!$B12="arm",(AH12-BB12)/p_g-Inputs!$N12*Inputs!$I12,""))</f>
        <v>2043.70438328236</v>
      </c>
      <c r="BH12" s="19" t="n">
        <f aca="false">IF(Inputs!$B12="","",IF(Inputs!$B12="arm",(AY12-BB12*Inputs!$F12^3/(3*AG12))/(Inputs!$F12^3/(8*AG12))/p_g-Inputs!$N12*Inputs!$I12,""))</f>
        <v>1177.83105565474</v>
      </c>
      <c r="BI12" s="19" t="n">
        <f aca="false">IF(Inputs!$B12="","",IF(Inputs!$B12="arm",MAX(0,MIN(BF12,BG12,BH12)),""))</f>
        <v>246.661082420446</v>
      </c>
      <c r="BJ12" s="19" t="n">
        <f aca="false">IF(Inputs!$B12="","",IF(Inputs!$B12="arm",BI12/Inputs!$I12,""))</f>
        <v>123.330541210223</v>
      </c>
      <c r="BK12" s="21" t="str">
        <f aca="false">IF(Inputs!$B12="","",IF(Inputs!$B12="arm",IF(BI12=MAX(0,BF12),"bending",IF(BI12=MAX(0,BH12),"deflection","shear")),""))</f>
        <v>bending</v>
      </c>
      <c r="BL12" s="20" t="n">
        <f aca="false">IF(Inputs!$B12="","",IF(Inputs!$B12="arm",AX12,AK12))</f>
        <v>506448.834967132</v>
      </c>
      <c r="BM12" s="20" t="n">
        <f aca="false">IF(Inputs!$B12="","",IF(Inputs!$B12="arm",BC12,AO12))</f>
        <v>182073.6</v>
      </c>
      <c r="BN12" s="20" t="n">
        <f aca="false">IF(Inputs!$B12="","",IF(Inputs!$B12="arm",BD12,AP12))</f>
        <v>843.66</v>
      </c>
      <c r="BO12" s="13" t="n">
        <f aca="false">IF(Inputs!$B12="","",IF(Inputs!$B12="arm",BE12,AQ12))</f>
        <v>0.341646561424358</v>
      </c>
      <c r="BP12" s="13" t="n">
        <f aca="false">IF(Inputs!$B12="","",IF(Inputs!$B12="arm",AY12,AL12))</f>
        <v>3.2</v>
      </c>
      <c r="BQ12" s="23" t="n">
        <f aca="false">IF(Inputs!$B12="","",BM12/BL12)</f>
        <v>0.359510354114679</v>
      </c>
      <c r="BR12" s="23" t="n">
        <f aca="false">IF(Inputs!$B12="","",BN12/AH12)</f>
        <v>0.0411541463414634</v>
      </c>
      <c r="BS12" s="23" t="n">
        <f aca="false">IF(Inputs!$B12="","",BO12/BP12)</f>
        <v>0.106764550445112</v>
      </c>
      <c r="BT12" s="28" t="n">
        <f aca="false">IF(Inputs!$B12="","",MAX(BQ12,BR12,BS12,IF(Inputs!$B12="ladder",AW12,0)))</f>
        <v>0.359510354114679</v>
      </c>
      <c r="BU12" s="16" t="n">
        <f aca="false">IF(Inputs!$B12="","",IF(Inputs!$B12="arm",BJ12,AU12))</f>
        <v>123.330541210223</v>
      </c>
      <c r="BV12" s="15" t="str">
        <f aca="false">IF(Inputs!$B12="","",IF(Inputs!$B12="arm",BK12,AV12))</f>
        <v>bending</v>
      </c>
      <c r="BW12" s="15" t="str">
        <f aca="false">IF(Inputs!$B12="","",IF(BT12&lt;=1,"PASS","FAIL"))</f>
        <v>PASS</v>
      </c>
      <c r="BX12" s="18" t="n">
        <f aca="false">IF(Inputs!$B12="","",IF(Inputs!$H12&gt;0,BU12/Inputs!$H12-1,""))</f>
        <v>5.16652706051114</v>
      </c>
    </row>
    <row r="13" customFormat="false" ht="15" hidden="false" customHeight="false" outlineLevel="0" collapsed="false">
      <c r="A13" s="0" t="str">
        <f aca="false">IF(Inputs!A13="","",Inputs!A13)</f>
        <v>Channel 41 x 41 x 2.5, trapeze 600 mm</v>
      </c>
      <c r="B13" s="21" t="str">
        <f aca="false">IF(Inputs!$B13="","",Inputs!$B13)</f>
        <v>channel</v>
      </c>
      <c r="C13" s="23" t="n">
        <f aca="false">IF(Inputs!$B13="","",IF(OR(Inputs!$B13="perf",Inputs!$B13="trough"),MIN(0.5,IF(Inputs!$B13="perf",p_perfN*p_perfL*p_perfW/(p_perfSp*Inputs!$C13),p_trN*p_trL*p_trW/(p_trSp*Inputs!$C13))),0))</f>
        <v>0</v>
      </c>
      <c r="D13" s="11" t="n">
        <f aca="false">IF(Inputs!$B13="","",IF(Inputs!$B13="ladder",p_collar,IF(Inputs!$B13="perf",IF(AND(Inputs!$C13&gt;=300,Inputs!$D13&gt;=100),15,0),IF(Inputs!$B13="trough",0,p_lip))))</f>
        <v>9</v>
      </c>
      <c r="E13" s="19" t="n">
        <f aca="false">IF(Inputs!$B13="","",IF(Inputs!$B13="ladder",2*Inputs!$E13*Inputs!$D13,IF(OR(Inputs!$B13="perf",Inputs!$B13="trough"),(Inputs!$C13+4)*Inputs!$E13*(1-C13),Inputs!$C13*Inputs!$E13)))</f>
        <v>102.5</v>
      </c>
      <c r="F13" s="19" t="n">
        <f aca="false">IF(Inputs!$B13="","",IF(Inputs!$B13="ladder",Inputs!$D13/2,Inputs!$E13/2))</f>
        <v>1.25</v>
      </c>
      <c r="G13" s="20" t="n">
        <f aca="false">IF(Inputs!$B13="","",IF(Inputs!$B13="ladder",2*Inputs!$E13*Inputs!$D13^3/12,IF(OR(Inputs!$B13="perf",Inputs!$B13="trough"),0,Inputs!$C13*Inputs!$E13^3/12)))</f>
        <v>53.3854166666667</v>
      </c>
      <c r="H13" s="19" t="n">
        <f aca="false">IF(Inputs!$B13="","",IF(Inputs!$B13="ladder",2*D13*Inputs!$E13,2*Inputs!$E13*Inputs!$D13))</f>
        <v>205</v>
      </c>
      <c r="I13" s="19" t="n">
        <f aca="false">IF(Inputs!$B13="","",IF(Inputs!$B13="ladder",Inputs!$E13/2,Inputs!$D13/2))</f>
        <v>20.5</v>
      </c>
      <c r="J13" s="20" t="n">
        <f aca="false">IF(Inputs!$B13="","",IF(Inputs!$B13="ladder",2*D13*Inputs!$E13^3/12,2*Inputs!$E13*Inputs!$D13^3/12))</f>
        <v>28717.0833333333</v>
      </c>
      <c r="K13" s="19" t="n">
        <f aca="false">IF(Inputs!$B13="","",2*D13*Inputs!$E13)</f>
        <v>45</v>
      </c>
      <c r="L13" s="19" t="n">
        <f aca="false">IF(Inputs!$B13="","",Inputs!$D13-Inputs!$E13/2)</f>
        <v>39.75</v>
      </c>
      <c r="M13" s="20" t="n">
        <f aca="false">IF(Inputs!$B13="","",2*D13*Inputs!$E13^3/12)</f>
        <v>23.4375</v>
      </c>
      <c r="N13" s="19" t="n">
        <f aca="false">IF(Inputs!$B13="","",E13+H13+K13)</f>
        <v>352.5</v>
      </c>
      <c r="O13" s="13" t="n">
        <f aca="false">IF(Inputs!$B13="","",(E13*F13+H13*I13+K13*L13)/N13)</f>
        <v>17.3599290780142</v>
      </c>
      <c r="P13" s="20" t="n">
        <f aca="false">IF(Inputs!$B13="","",(G13+E13*(F13-O13)^2)+(J13+H13*(I13-O13)^2)+(M13+K13*(L13-O13)^2))</f>
        <v>79976.208998227</v>
      </c>
      <c r="Q13" s="20" t="n">
        <f aca="false">IF(Inputs!$B13="","",P13/O13)</f>
        <v>4606.94330252273</v>
      </c>
      <c r="R13" s="20" t="n">
        <f aca="false">IF(Inputs!$B13="","",P13/(Inputs!$D13-O13))</f>
        <v>3383.07821758044</v>
      </c>
      <c r="S13" s="19" t="n">
        <f aca="false">IF(Inputs!$B13="","",2*Inputs!$D13*Inputs!$E13)</f>
        <v>205</v>
      </c>
      <c r="T13" s="13" t="n">
        <f aca="false">IF(Inputs!$B13="","",N13*0.00785+IF(Inputs!$B13="ladder",p_rungN/2.5*(p_rungW*p_rungT+2*p_rungT*p_rungH)*Inputs!$C13*0.00000785,0))</f>
        <v>2.767125</v>
      </c>
      <c r="U13" s="13" t="n">
        <f aca="false">IF(Inputs!$B13="","",IF(Inputs!$G13="",T13,Inputs!$G13))</f>
        <v>2.791</v>
      </c>
      <c r="V13" s="24" t="n">
        <f aca="false">IF(Inputs!$B13="","",Inputs!$D13/Inputs!$E13)</f>
        <v>16.4</v>
      </c>
      <c r="W13" s="24" t="n">
        <f aca="false">IF(Inputs!$B13="","",IF(D13&gt;0,D13/Inputs!$E13,0))</f>
        <v>3.6</v>
      </c>
      <c r="X13" s="24" t="n">
        <f aca="false">IF(Inputs!$B13="","",IF(OR(Inputs!$B13="perf",Inputs!$B13="trough"),(Inputs!$C13+4)/Inputs!$E13,IF(OR(Inputs!$B13="channel",Inputs!$B13="arm"),Inputs!$C13/Inputs!$E13,0)))</f>
        <v>16.4</v>
      </c>
      <c r="Y13" s="21" t="str">
        <f aca="false">IF(Inputs!$B13="","",IF(V13&gt;p_webS,"web; ","")&amp;IF(W13&gt;p_flS,"flange; ","")&amp;IF(X13&gt;p_plS,"base plate; ",""))</f>
        <v/>
      </c>
      <c r="Z13" s="25" t="n">
        <f aca="false">IF(Inputs!$B13="","",IFERROR(INDEX(sup_kw,MATCH(Inputs!$J13,sup_names,0)),INDEX(sup_kw,1)))</f>
        <v>0.125</v>
      </c>
      <c r="AA13" s="25" t="n">
        <f aca="false">IF(Inputs!$B13="","",IFERROR(INDEX(sup_kp,MATCH(Inputs!$J13,sup_names,0)),INDEX(sup_kp,1)))</f>
        <v>0.25</v>
      </c>
      <c r="AB13" s="25" t="n">
        <f aca="false">IF(Inputs!$B13="","",IFERROR(INDEX(sup_dw,MATCH(Inputs!$J13,sup_names,0)),INDEX(sup_dw,1)))</f>
        <v>0.0130208333333333</v>
      </c>
      <c r="AC13" s="25" t="n">
        <f aca="false">IF(Inputs!$B13="","",IFERROR(INDEX(sup_dp,MATCH(Inputs!$J13,sup_names,0)),INDEX(sup_dp,1)))</f>
        <v>0.0208333333333333</v>
      </c>
      <c r="AD13" s="25" t="n">
        <f aca="false">IF(Inputs!$B13="","",IFERROR(INDEX(sup_kv,MATCH(Inputs!$J13,sup_names,0)),INDEX(sup_kv,1)))</f>
        <v>0.5</v>
      </c>
      <c r="AE13" s="11" t="n">
        <f aca="false">IF(Inputs!$B13="","",p_fy/p_fs)</f>
        <v>149.700598802395</v>
      </c>
      <c r="AF13" s="19" t="n">
        <f aca="false">IF(Inputs!$B13="","",Inputs!$K13*p_g)</f>
        <v>882.9</v>
      </c>
      <c r="AG13" s="26" t="n">
        <f aca="false">IF(Inputs!$B13="","",p_E*P13)</f>
        <v>15995241799.6454</v>
      </c>
      <c r="AH13" s="20" t="n">
        <f aca="false">IF(Inputs!$B13="","",p_shear*p_fy*S13)</f>
        <v>20500</v>
      </c>
      <c r="AI13" s="20" t="n">
        <f aca="false">IF(Inputs!$B13="","",IF(Inputs!$B13="channel",Inputs!$M13,Inputs!$I13*1000))</f>
        <v>600</v>
      </c>
      <c r="AJ13" s="13" t="n">
        <f aca="false">IF(Inputs!$B13="","",IF(Inputs!$B13="channel",(Inputs!$H13+Inputs!$N13)*Inputs!$I13/(AI13/1000),Inputs!$H13))</f>
        <v>93.3333333333333</v>
      </c>
      <c r="AK13" s="20" t="n">
        <f aca="false">IF(Inputs!$B13="","",AE13*MIN(Q13,R13)*p_splice)</f>
        <v>278546.859231922</v>
      </c>
      <c r="AL13" s="13" t="n">
        <f aca="false">IF(Inputs!$B13="","",AI13/Inputs!$L13)</f>
        <v>3</v>
      </c>
      <c r="AM13" s="27" t="n">
        <f aca="false">IF(Inputs!$B13="","",U13*p_g/1000)</f>
        <v>0.02737971</v>
      </c>
      <c r="AN13" s="27" t="n">
        <f aca="false">IF(Inputs!$B13="","",AJ13*p_g/1000)</f>
        <v>0.9156</v>
      </c>
      <c r="AO13" s="20" t="n">
        <f aca="false">IF(Inputs!$B13="","",Z13*(AM13+AN13)*AI13^2+AA13*AF13*AI13)</f>
        <v>174869.08695</v>
      </c>
      <c r="AP13" s="20" t="n">
        <f aca="false">IF(Inputs!$B13="","",AD13*((AM13+AN13)*AI13+AF13))</f>
        <v>724.343913</v>
      </c>
      <c r="AQ13" s="13" t="n">
        <f aca="false">IF(Inputs!$B13="","",AB13*(AM13+AN13)*AI13^4/AG13+AC13*AF13*AI13^3/AG13)</f>
        <v>0.347873969666927</v>
      </c>
      <c r="AR13" s="19" t="n">
        <f aca="false">IF(Inputs!$B13="","",MAX(0,(AK13-AA13*AF13*AI13)/(Z13*AI13^2)-AM13)*1000/p_g)</f>
        <v>328.190672288872</v>
      </c>
      <c r="AS13" s="19" t="n">
        <f aca="false">IF(Inputs!$B13="","",MAX(0,(AH13-AD13*AF13)/(AD13*AI13)-AM13)*1000/p_g)</f>
        <v>6812.89027760788</v>
      </c>
      <c r="AT13" s="19" t="n">
        <f aca="false">IF(Inputs!$B13="","",MAX(0,(AL13-AC13*AF13*AI13^3/AG13)/(AB13*AI13^4/AG13)-AM13)*1000/p_g)</f>
        <v>2655.88233553433</v>
      </c>
      <c r="AU13" s="19" t="n">
        <f aca="false">IF(Inputs!$B13="","",MIN(AR13,AS13,AT13))</f>
        <v>328.190672288872</v>
      </c>
      <c r="AV13" s="21" t="str">
        <f aca="false">IF(Inputs!$B13="","",IF(AU13=AR13,"bending",IF(AU13=AT13,"deflection","shear")))</f>
        <v>bending</v>
      </c>
      <c r="AW13" s="23" t="str">
        <f aca="false">IF(Inputs!$B13="","",IF(Inputs!$B13="ladder",((Inputs!$H13*2500/p_rungN/1000*p_g)*Inputs!$C13/8+(AF13/3)*Inputs!$C13/4)/(p_fy/p_fs*p_rungZ),""))</f>
        <v/>
      </c>
      <c r="AX13" s="20" t="str">
        <f aca="false">IF(Inputs!$B13="","",IF(Inputs!$B13="arm",AE13*MIN(Q13,R13),""))</f>
        <v/>
      </c>
      <c r="AY13" s="13" t="str">
        <f aca="false">IF(Inputs!$B13="","",IF(Inputs!$B13="arm",Inputs!$F13/p_cant,""))</f>
        <v/>
      </c>
      <c r="AZ13" s="20" t="str">
        <f aca="false">IF(Inputs!$B13="","",IF(Inputs!$B13="arm",Inputs!$H13*Inputs!$I13*p_g,""))</f>
        <v/>
      </c>
      <c r="BA13" s="20" t="str">
        <f aca="false">IF(Inputs!$B13="","",IF(Inputs!$B13="arm",AZ13+Inputs!$N13*Inputs!$I13*p_g,""))</f>
        <v/>
      </c>
      <c r="BB13" s="19" t="str">
        <f aca="false">IF(Inputs!$B13="","",IF(Inputs!$B13="arm",AF13/3,""))</f>
        <v/>
      </c>
      <c r="BC13" s="20" t="str">
        <f aca="false">IF(Inputs!$B13="","",IF(Inputs!$B13="arm",BA13*Inputs!$F13/2+BB13*Inputs!$F13,""))</f>
        <v/>
      </c>
      <c r="BD13" s="20" t="str">
        <f aca="false">IF(Inputs!$B13="","",IF(Inputs!$B13="arm",BA13+BB13,""))</f>
        <v/>
      </c>
      <c r="BE13" s="13" t="str">
        <f aca="false">IF(Inputs!$B13="","",IF(Inputs!$B13="arm",BA13*Inputs!$F13^3/(8*AG13)+BB13*Inputs!$F13^3/(3*AG13),""))</f>
        <v/>
      </c>
      <c r="BF13" s="19" t="str">
        <f aca="false">IF(Inputs!$B13="","",IF(Inputs!$B13="arm",(AX13-BB13*Inputs!$F13)/(Inputs!$F13/2)/p_g-Inputs!$N13*Inputs!$I13,""))</f>
        <v/>
      </c>
      <c r="BG13" s="19" t="str">
        <f aca="false">IF(Inputs!$B13="","",IF(Inputs!$B13="arm",(AH13-BB13)/p_g-Inputs!$N13*Inputs!$I13,""))</f>
        <v/>
      </c>
      <c r="BH13" s="19" t="str">
        <f aca="false">IF(Inputs!$B13="","",IF(Inputs!$B13="arm",(AY13-BB13*Inputs!$F13^3/(3*AG13))/(Inputs!$F13^3/(8*AG13))/p_g-Inputs!$N13*Inputs!$I13,""))</f>
        <v/>
      </c>
      <c r="BI13" s="19" t="str">
        <f aca="false">IF(Inputs!$B13="","",IF(Inputs!$B13="arm",MAX(0,MIN(BF13,BG13,BH13)),""))</f>
        <v/>
      </c>
      <c r="BJ13" s="19" t="str">
        <f aca="false">IF(Inputs!$B13="","",IF(Inputs!$B13="arm",BI13/Inputs!$I13,""))</f>
        <v/>
      </c>
      <c r="BK13" s="21" t="str">
        <f aca="false">IF(Inputs!$B13="","",IF(Inputs!$B13="arm",IF(BI13=MAX(0,BF13),"bending",IF(BI13=MAX(0,BH13),"deflection","shear")),""))</f>
        <v/>
      </c>
      <c r="BL13" s="20" t="n">
        <f aca="false">IF(Inputs!$B13="","",IF(Inputs!$B13="arm",AX13,AK13))</f>
        <v>278546.859231922</v>
      </c>
      <c r="BM13" s="20" t="n">
        <f aca="false">IF(Inputs!$B13="","",IF(Inputs!$B13="arm",BC13,AO13))</f>
        <v>174869.08695</v>
      </c>
      <c r="BN13" s="20" t="n">
        <f aca="false">IF(Inputs!$B13="","",IF(Inputs!$B13="arm",BD13,AP13))</f>
        <v>724.343913</v>
      </c>
      <c r="BO13" s="13" t="n">
        <f aca="false">IF(Inputs!$B13="","",IF(Inputs!$B13="arm",BE13,AQ13))</f>
        <v>0.347873969666927</v>
      </c>
      <c r="BP13" s="13" t="n">
        <f aca="false">IF(Inputs!$B13="","",IF(Inputs!$B13="arm",AY13,AL13))</f>
        <v>3</v>
      </c>
      <c r="BQ13" s="23" t="n">
        <f aca="false">IF(Inputs!$B13="","",BM13/BL13)</f>
        <v>0.627790553561407</v>
      </c>
      <c r="BR13" s="23" t="n">
        <f aca="false">IF(Inputs!$B13="","",BN13/AH13)</f>
        <v>0.0353338494146342</v>
      </c>
      <c r="BS13" s="23" t="n">
        <f aca="false">IF(Inputs!$B13="","",BO13/BP13)</f>
        <v>0.115957989888976</v>
      </c>
      <c r="BT13" s="28" t="n">
        <f aca="false">IF(Inputs!$B13="","",MAX(BQ13,BR13,BS13,IF(Inputs!$B13="ladder",AW13,0)))</f>
        <v>0.627790553561407</v>
      </c>
      <c r="BU13" s="16" t="n">
        <f aca="false">IF(Inputs!$B13="","",IF(Inputs!$B13="arm",BJ13,AU13))</f>
        <v>328.190672288872</v>
      </c>
      <c r="BV13" s="15" t="str">
        <f aca="false">IF(Inputs!$B13="","",IF(Inputs!$B13="arm",BK13,AV13))</f>
        <v>bending</v>
      </c>
      <c r="BW13" s="15" t="str">
        <f aca="false">IF(Inputs!$B13="","",IF(BT13&lt;=1,"PASS","FAIL"))</f>
        <v>PASS</v>
      </c>
      <c r="BX13" s="18" t="n">
        <f aca="false">IF(Inputs!$B13="","",IF(Inputs!$H13&gt;0,BU13/Inputs!$H13-1,""))</f>
        <v>15.4095336144436</v>
      </c>
    </row>
    <row r="14" customFormat="false" ht="15" hidden="false" customHeight="false" outlineLevel="0" collapsed="false">
      <c r="A14" s="0" t="str">
        <f aca="false">IF(Inputs!A14="","",Inputs!A14)</f>
        <v/>
      </c>
      <c r="B14" s="21" t="str">
        <f aca="false">IF(Inputs!$B14="","",Inputs!$B14)</f>
        <v/>
      </c>
      <c r="C14" s="23" t="str">
        <f aca="false">IF(Inputs!$B14="","",IF(OR(Inputs!$B14="perf",Inputs!$B14="trough"),MIN(0.5,IF(Inputs!$B14="perf",p_perfN*p_perfL*p_perfW/(p_perfSp*Inputs!$C14),p_trN*p_trL*p_trW/(p_trSp*Inputs!$C14))),0))</f>
        <v/>
      </c>
      <c r="D14" s="11" t="str">
        <f aca="false">IF(Inputs!$B14="","",IF(Inputs!$B14="ladder",p_collar,IF(Inputs!$B14="perf",IF(AND(Inputs!$C14&gt;=300,Inputs!$D14&gt;=100),15,0),IF(Inputs!$B14="trough",0,p_lip))))</f>
        <v/>
      </c>
      <c r="E14" s="19" t="str">
        <f aca="false">IF(Inputs!$B14="","",IF(Inputs!$B14="ladder",2*Inputs!$E14*Inputs!$D14,IF(OR(Inputs!$B14="perf",Inputs!$B14="trough"),(Inputs!$C14+4)*Inputs!$E14*(1-C14),Inputs!$C14*Inputs!$E14)))</f>
        <v/>
      </c>
      <c r="F14" s="19" t="str">
        <f aca="false">IF(Inputs!$B14="","",IF(Inputs!$B14="ladder",Inputs!$D14/2,Inputs!$E14/2))</f>
        <v/>
      </c>
      <c r="G14" s="20" t="str">
        <f aca="false">IF(Inputs!$B14="","",IF(Inputs!$B14="ladder",2*Inputs!$E14*Inputs!$D14^3/12,IF(OR(Inputs!$B14="perf",Inputs!$B14="trough"),0,Inputs!$C14*Inputs!$E14^3/12)))</f>
        <v/>
      </c>
      <c r="H14" s="19" t="str">
        <f aca="false">IF(Inputs!$B14="","",IF(Inputs!$B14="ladder",2*D14*Inputs!$E14,2*Inputs!$E14*Inputs!$D14))</f>
        <v/>
      </c>
      <c r="I14" s="19" t="str">
        <f aca="false">IF(Inputs!$B14="","",IF(Inputs!$B14="ladder",Inputs!$E14/2,Inputs!$D14/2))</f>
        <v/>
      </c>
      <c r="J14" s="20" t="str">
        <f aca="false">IF(Inputs!$B14="","",IF(Inputs!$B14="ladder",2*D14*Inputs!$E14^3/12,2*Inputs!$E14*Inputs!$D14^3/12))</f>
        <v/>
      </c>
      <c r="K14" s="19" t="str">
        <f aca="false">IF(Inputs!$B14="","",2*D14*Inputs!$E14)</f>
        <v/>
      </c>
      <c r="L14" s="19" t="str">
        <f aca="false">IF(Inputs!$B14="","",Inputs!$D14-Inputs!$E14/2)</f>
        <v/>
      </c>
      <c r="M14" s="20" t="str">
        <f aca="false">IF(Inputs!$B14="","",2*D14*Inputs!$E14^3/12)</f>
        <v/>
      </c>
      <c r="N14" s="19" t="str">
        <f aca="false">IF(Inputs!$B14="","",E14+H14+K14)</f>
        <v/>
      </c>
      <c r="O14" s="13" t="str">
        <f aca="false">IF(Inputs!$B14="","",(E14*F14+H14*I14+K14*L14)/N14)</f>
        <v/>
      </c>
      <c r="P14" s="20" t="str">
        <f aca="false">IF(Inputs!$B14="","",(G14+E14*(F14-O14)^2)+(J14+H14*(I14-O14)^2)+(M14+K14*(L14-O14)^2))</f>
        <v/>
      </c>
      <c r="Q14" s="20" t="str">
        <f aca="false">IF(Inputs!$B14="","",P14/O14)</f>
        <v/>
      </c>
      <c r="R14" s="20" t="str">
        <f aca="false">IF(Inputs!$B14="","",P14/(Inputs!$D14-O14))</f>
        <v/>
      </c>
      <c r="S14" s="19" t="str">
        <f aca="false">IF(Inputs!$B14="","",2*Inputs!$D14*Inputs!$E14)</f>
        <v/>
      </c>
      <c r="T14" s="13" t="str">
        <f aca="false">IF(Inputs!$B14="","",N14*0.00785+IF(Inputs!$B14="ladder",p_rungN/2.5*(p_rungW*p_rungT+2*p_rungT*p_rungH)*Inputs!$C14*0.00000785,0))</f>
        <v/>
      </c>
      <c r="U14" s="13" t="str">
        <f aca="false">IF(Inputs!$B14="","",IF(Inputs!$G14="",T14,Inputs!$G14))</f>
        <v/>
      </c>
      <c r="V14" s="24" t="str">
        <f aca="false">IF(Inputs!$B14="","",Inputs!$D14/Inputs!$E14)</f>
        <v/>
      </c>
      <c r="W14" s="24" t="str">
        <f aca="false">IF(Inputs!$B14="","",IF(D14&gt;0,D14/Inputs!$E14,0))</f>
        <v/>
      </c>
      <c r="X14" s="24" t="str">
        <f aca="false">IF(Inputs!$B14="","",IF(OR(Inputs!$B14="perf",Inputs!$B14="trough"),(Inputs!$C14+4)/Inputs!$E14,IF(OR(Inputs!$B14="channel",Inputs!$B14="arm"),Inputs!$C14/Inputs!$E14,0)))</f>
        <v/>
      </c>
      <c r="Y14" s="21" t="str">
        <f aca="false">IF(Inputs!$B14="","",IF(V14&gt;p_webS,"web; ","")&amp;IF(W14&gt;p_flS,"flange; ","")&amp;IF(X14&gt;p_plS,"base plate; ",""))</f>
        <v/>
      </c>
      <c r="Z14" s="25" t="str">
        <f aca="false">IF(Inputs!$B14="","",IFERROR(INDEX(sup_kw,MATCH(Inputs!$J14,sup_names,0)),INDEX(sup_kw,1)))</f>
        <v/>
      </c>
      <c r="AA14" s="25" t="str">
        <f aca="false">IF(Inputs!$B14="","",IFERROR(INDEX(sup_kp,MATCH(Inputs!$J14,sup_names,0)),INDEX(sup_kp,1)))</f>
        <v/>
      </c>
      <c r="AB14" s="25" t="str">
        <f aca="false">IF(Inputs!$B14="","",IFERROR(INDEX(sup_dw,MATCH(Inputs!$J14,sup_names,0)),INDEX(sup_dw,1)))</f>
        <v/>
      </c>
      <c r="AC14" s="25" t="str">
        <f aca="false">IF(Inputs!$B14="","",IFERROR(INDEX(sup_dp,MATCH(Inputs!$J14,sup_names,0)),INDEX(sup_dp,1)))</f>
        <v/>
      </c>
      <c r="AD14" s="25" t="str">
        <f aca="false">IF(Inputs!$B14="","",IFERROR(INDEX(sup_kv,MATCH(Inputs!$J14,sup_names,0)),INDEX(sup_kv,1)))</f>
        <v/>
      </c>
      <c r="AE14" s="11" t="str">
        <f aca="false">IF(Inputs!$B14="","",p_fy/p_fs)</f>
        <v/>
      </c>
      <c r="AF14" s="19" t="str">
        <f aca="false">IF(Inputs!$B14="","",Inputs!$K14*p_g)</f>
        <v/>
      </c>
      <c r="AG14" s="26" t="str">
        <f aca="false">IF(Inputs!$B14="","",p_E*P14)</f>
        <v/>
      </c>
      <c r="AH14" s="20" t="str">
        <f aca="false">IF(Inputs!$B14="","",p_shear*p_fy*S14)</f>
        <v/>
      </c>
      <c r="AI14" s="20" t="str">
        <f aca="false">IF(Inputs!$B14="","",IF(Inputs!$B14="channel",Inputs!$M14,Inputs!$I14*1000))</f>
        <v/>
      </c>
      <c r="AJ14" s="13" t="str">
        <f aca="false">IF(Inputs!$B14="","",IF(Inputs!$B14="channel",(Inputs!$H14+Inputs!$N14)*Inputs!$I14/(AI14/1000),Inputs!$H14))</f>
        <v/>
      </c>
      <c r="AK14" s="20" t="str">
        <f aca="false">IF(Inputs!$B14="","",AE14*MIN(Q14,R14)*p_splice)</f>
        <v/>
      </c>
      <c r="AL14" s="13" t="str">
        <f aca="false">IF(Inputs!$B14="","",AI14/Inputs!$L14)</f>
        <v/>
      </c>
      <c r="AM14" s="27" t="str">
        <f aca="false">IF(Inputs!$B14="","",U14*p_g/1000)</f>
        <v/>
      </c>
      <c r="AN14" s="27" t="str">
        <f aca="false">IF(Inputs!$B14="","",AJ14*p_g/1000)</f>
        <v/>
      </c>
      <c r="AO14" s="20" t="str">
        <f aca="false">IF(Inputs!$B14="","",Z14*(AM14+AN14)*AI14^2+AA14*AF14*AI14)</f>
        <v/>
      </c>
      <c r="AP14" s="20" t="str">
        <f aca="false">IF(Inputs!$B14="","",AD14*((AM14+AN14)*AI14+AF14))</f>
        <v/>
      </c>
      <c r="AQ14" s="13" t="str">
        <f aca="false">IF(Inputs!$B14="","",AB14*(AM14+AN14)*AI14^4/AG14+AC14*AF14*AI14^3/AG14)</f>
        <v/>
      </c>
      <c r="AR14" s="19" t="str">
        <f aca="false">IF(Inputs!$B14="","",MAX(0,(AK14-AA14*AF14*AI14)/(Z14*AI14^2)-AM14)*1000/p_g)</f>
        <v/>
      </c>
      <c r="AS14" s="19" t="str">
        <f aca="false">IF(Inputs!$B14="","",MAX(0,(AH14-AD14*AF14)/(AD14*AI14)-AM14)*1000/p_g)</f>
        <v/>
      </c>
      <c r="AT14" s="19" t="str">
        <f aca="false">IF(Inputs!$B14="","",MAX(0,(AL14-AC14*AF14*AI14^3/AG14)/(AB14*AI14^4/AG14)-AM14)*1000/p_g)</f>
        <v/>
      </c>
      <c r="AU14" s="19" t="str">
        <f aca="false">IF(Inputs!$B14="","",MIN(AR14,AS14,AT14))</f>
        <v/>
      </c>
      <c r="AV14" s="21" t="str">
        <f aca="false">IF(Inputs!$B14="","",IF(AU14=AR14,"bending",IF(AU14=AT14,"deflection","shear")))</f>
        <v/>
      </c>
      <c r="AW14" s="23" t="str">
        <f aca="false">IF(Inputs!$B14="","",IF(Inputs!$B14="ladder",((Inputs!$H14*2500/p_rungN/1000*p_g)*Inputs!$C14/8+(AF14/3)*Inputs!$C14/4)/(p_fy/p_fs*p_rungZ),""))</f>
        <v/>
      </c>
      <c r="AX14" s="20" t="str">
        <f aca="false">IF(Inputs!$B14="","",IF(Inputs!$B14="arm",AE14*MIN(Q14,R14),""))</f>
        <v/>
      </c>
      <c r="AY14" s="13" t="str">
        <f aca="false">IF(Inputs!$B14="","",IF(Inputs!$B14="arm",Inputs!$F14/p_cant,""))</f>
        <v/>
      </c>
      <c r="AZ14" s="20" t="str">
        <f aca="false">IF(Inputs!$B14="","",IF(Inputs!$B14="arm",Inputs!$H14*Inputs!$I14*p_g,""))</f>
        <v/>
      </c>
      <c r="BA14" s="20" t="str">
        <f aca="false">IF(Inputs!$B14="","",IF(Inputs!$B14="arm",AZ14+Inputs!$N14*Inputs!$I14*p_g,""))</f>
        <v/>
      </c>
      <c r="BB14" s="19" t="str">
        <f aca="false">IF(Inputs!$B14="","",IF(Inputs!$B14="arm",AF14/3,""))</f>
        <v/>
      </c>
      <c r="BC14" s="20" t="str">
        <f aca="false">IF(Inputs!$B14="","",IF(Inputs!$B14="arm",BA14*Inputs!$F14/2+BB14*Inputs!$F14,""))</f>
        <v/>
      </c>
      <c r="BD14" s="20" t="str">
        <f aca="false">IF(Inputs!$B14="","",IF(Inputs!$B14="arm",BA14+BB14,""))</f>
        <v/>
      </c>
      <c r="BE14" s="13" t="str">
        <f aca="false">IF(Inputs!$B14="","",IF(Inputs!$B14="arm",BA14*Inputs!$F14^3/(8*AG14)+BB14*Inputs!$F14^3/(3*AG14),""))</f>
        <v/>
      </c>
      <c r="BF14" s="19" t="str">
        <f aca="false">IF(Inputs!$B14="","",IF(Inputs!$B14="arm",(AX14-BB14*Inputs!$F14)/(Inputs!$F14/2)/p_g-Inputs!$N14*Inputs!$I14,""))</f>
        <v/>
      </c>
      <c r="BG14" s="19" t="str">
        <f aca="false">IF(Inputs!$B14="","",IF(Inputs!$B14="arm",(AH14-BB14)/p_g-Inputs!$N14*Inputs!$I14,""))</f>
        <v/>
      </c>
      <c r="BH14" s="19" t="str">
        <f aca="false">IF(Inputs!$B14="","",IF(Inputs!$B14="arm",(AY14-BB14*Inputs!$F14^3/(3*AG14))/(Inputs!$F14^3/(8*AG14))/p_g-Inputs!$N14*Inputs!$I14,""))</f>
        <v/>
      </c>
      <c r="BI14" s="19" t="str">
        <f aca="false">IF(Inputs!$B14="","",IF(Inputs!$B14="arm",MAX(0,MIN(BF14,BG14,BH14)),""))</f>
        <v/>
      </c>
      <c r="BJ14" s="19" t="str">
        <f aca="false">IF(Inputs!$B14="","",IF(Inputs!$B14="arm",BI14/Inputs!$I14,""))</f>
        <v/>
      </c>
      <c r="BK14" s="21" t="str">
        <f aca="false">IF(Inputs!$B14="","",IF(Inputs!$B14="arm",IF(BI14=MAX(0,BF14),"bending",IF(BI14=MAX(0,BH14),"deflection","shear")),""))</f>
        <v/>
      </c>
      <c r="BL14" s="20" t="str">
        <f aca="false">IF(Inputs!$B14="","",IF(Inputs!$B14="arm",AX14,AK14))</f>
        <v/>
      </c>
      <c r="BM14" s="20" t="str">
        <f aca="false">IF(Inputs!$B14="","",IF(Inputs!$B14="arm",BC14,AO14))</f>
        <v/>
      </c>
      <c r="BN14" s="20" t="str">
        <f aca="false">IF(Inputs!$B14="","",IF(Inputs!$B14="arm",BD14,AP14))</f>
        <v/>
      </c>
      <c r="BO14" s="13" t="str">
        <f aca="false">IF(Inputs!$B14="","",IF(Inputs!$B14="arm",BE14,AQ14))</f>
        <v/>
      </c>
      <c r="BP14" s="13" t="str">
        <f aca="false">IF(Inputs!$B14="","",IF(Inputs!$B14="arm",AY14,AL14))</f>
        <v/>
      </c>
      <c r="BQ14" s="23" t="str">
        <f aca="false">IF(Inputs!$B14="","",BM14/BL14)</f>
        <v/>
      </c>
      <c r="BR14" s="23" t="str">
        <f aca="false">IF(Inputs!$B14="","",BN14/AH14)</f>
        <v/>
      </c>
      <c r="BS14" s="23" t="str">
        <f aca="false">IF(Inputs!$B14="","",BO14/BP14)</f>
        <v/>
      </c>
      <c r="BT14" s="28" t="str">
        <f aca="false">IF(Inputs!$B14="","",MAX(BQ14,BR14,BS14,IF(Inputs!$B14="ladder",AW14,0)))</f>
        <v/>
      </c>
      <c r="BU14" s="16" t="str">
        <f aca="false">IF(Inputs!$B14="","",IF(Inputs!$B14="arm",BJ14,AU14))</f>
        <v/>
      </c>
      <c r="BV14" s="15" t="str">
        <f aca="false">IF(Inputs!$B14="","",IF(Inputs!$B14="arm",BK14,AV14))</f>
        <v/>
      </c>
      <c r="BW14" s="15" t="str">
        <f aca="false">IF(Inputs!$B14="","",IF(BT14&lt;=1,"PASS","FAIL"))</f>
        <v/>
      </c>
      <c r="BX14" s="18" t="str">
        <f aca="false">IF(Inputs!$B14="","",IF(Inputs!$H14&gt;0,BU14/Inputs!$H14-1,""))</f>
        <v/>
      </c>
    </row>
    <row r="15" customFormat="false" ht="15" hidden="false" customHeight="false" outlineLevel="0" collapsed="false">
      <c r="A15" s="0" t="str">
        <f aca="false">IF(Inputs!A15="","",Inputs!A15)</f>
        <v/>
      </c>
      <c r="B15" s="21" t="str">
        <f aca="false">IF(Inputs!$B15="","",Inputs!$B15)</f>
        <v/>
      </c>
      <c r="C15" s="23" t="str">
        <f aca="false">IF(Inputs!$B15="","",IF(OR(Inputs!$B15="perf",Inputs!$B15="trough"),MIN(0.5,IF(Inputs!$B15="perf",p_perfN*p_perfL*p_perfW/(p_perfSp*Inputs!$C15),p_trN*p_trL*p_trW/(p_trSp*Inputs!$C15))),0))</f>
        <v/>
      </c>
      <c r="D15" s="11" t="str">
        <f aca="false">IF(Inputs!$B15="","",IF(Inputs!$B15="ladder",p_collar,IF(Inputs!$B15="perf",IF(AND(Inputs!$C15&gt;=300,Inputs!$D15&gt;=100),15,0),IF(Inputs!$B15="trough",0,p_lip))))</f>
        <v/>
      </c>
      <c r="E15" s="19" t="str">
        <f aca="false">IF(Inputs!$B15="","",IF(Inputs!$B15="ladder",2*Inputs!$E15*Inputs!$D15,IF(OR(Inputs!$B15="perf",Inputs!$B15="trough"),(Inputs!$C15+4)*Inputs!$E15*(1-C15),Inputs!$C15*Inputs!$E15)))</f>
        <v/>
      </c>
      <c r="F15" s="19" t="str">
        <f aca="false">IF(Inputs!$B15="","",IF(Inputs!$B15="ladder",Inputs!$D15/2,Inputs!$E15/2))</f>
        <v/>
      </c>
      <c r="G15" s="20" t="str">
        <f aca="false">IF(Inputs!$B15="","",IF(Inputs!$B15="ladder",2*Inputs!$E15*Inputs!$D15^3/12,IF(OR(Inputs!$B15="perf",Inputs!$B15="trough"),0,Inputs!$C15*Inputs!$E15^3/12)))</f>
        <v/>
      </c>
      <c r="H15" s="19" t="str">
        <f aca="false">IF(Inputs!$B15="","",IF(Inputs!$B15="ladder",2*D15*Inputs!$E15,2*Inputs!$E15*Inputs!$D15))</f>
        <v/>
      </c>
      <c r="I15" s="19" t="str">
        <f aca="false">IF(Inputs!$B15="","",IF(Inputs!$B15="ladder",Inputs!$E15/2,Inputs!$D15/2))</f>
        <v/>
      </c>
      <c r="J15" s="20" t="str">
        <f aca="false">IF(Inputs!$B15="","",IF(Inputs!$B15="ladder",2*D15*Inputs!$E15^3/12,2*Inputs!$E15*Inputs!$D15^3/12))</f>
        <v/>
      </c>
      <c r="K15" s="19" t="str">
        <f aca="false">IF(Inputs!$B15="","",2*D15*Inputs!$E15)</f>
        <v/>
      </c>
      <c r="L15" s="19" t="str">
        <f aca="false">IF(Inputs!$B15="","",Inputs!$D15-Inputs!$E15/2)</f>
        <v/>
      </c>
      <c r="M15" s="20" t="str">
        <f aca="false">IF(Inputs!$B15="","",2*D15*Inputs!$E15^3/12)</f>
        <v/>
      </c>
      <c r="N15" s="19" t="str">
        <f aca="false">IF(Inputs!$B15="","",E15+H15+K15)</f>
        <v/>
      </c>
      <c r="O15" s="13" t="str">
        <f aca="false">IF(Inputs!$B15="","",(E15*F15+H15*I15+K15*L15)/N15)</f>
        <v/>
      </c>
      <c r="P15" s="20" t="str">
        <f aca="false">IF(Inputs!$B15="","",(G15+E15*(F15-O15)^2)+(J15+H15*(I15-O15)^2)+(M15+K15*(L15-O15)^2))</f>
        <v/>
      </c>
      <c r="Q15" s="20" t="str">
        <f aca="false">IF(Inputs!$B15="","",P15/O15)</f>
        <v/>
      </c>
      <c r="R15" s="20" t="str">
        <f aca="false">IF(Inputs!$B15="","",P15/(Inputs!$D15-O15))</f>
        <v/>
      </c>
      <c r="S15" s="19" t="str">
        <f aca="false">IF(Inputs!$B15="","",2*Inputs!$D15*Inputs!$E15)</f>
        <v/>
      </c>
      <c r="T15" s="13" t="str">
        <f aca="false">IF(Inputs!$B15="","",N15*0.00785+IF(Inputs!$B15="ladder",p_rungN/2.5*(p_rungW*p_rungT+2*p_rungT*p_rungH)*Inputs!$C15*0.00000785,0))</f>
        <v/>
      </c>
      <c r="U15" s="13" t="str">
        <f aca="false">IF(Inputs!$B15="","",IF(Inputs!$G15="",T15,Inputs!$G15))</f>
        <v/>
      </c>
      <c r="V15" s="24" t="str">
        <f aca="false">IF(Inputs!$B15="","",Inputs!$D15/Inputs!$E15)</f>
        <v/>
      </c>
      <c r="W15" s="24" t="str">
        <f aca="false">IF(Inputs!$B15="","",IF(D15&gt;0,D15/Inputs!$E15,0))</f>
        <v/>
      </c>
      <c r="X15" s="24" t="str">
        <f aca="false">IF(Inputs!$B15="","",IF(OR(Inputs!$B15="perf",Inputs!$B15="trough"),(Inputs!$C15+4)/Inputs!$E15,IF(OR(Inputs!$B15="channel",Inputs!$B15="arm"),Inputs!$C15/Inputs!$E15,0)))</f>
        <v/>
      </c>
      <c r="Y15" s="21" t="str">
        <f aca="false">IF(Inputs!$B15="","",IF(V15&gt;p_webS,"web; ","")&amp;IF(W15&gt;p_flS,"flange; ","")&amp;IF(X15&gt;p_plS,"base plate; ",""))</f>
        <v/>
      </c>
      <c r="Z15" s="25" t="str">
        <f aca="false">IF(Inputs!$B15="","",IFERROR(INDEX(sup_kw,MATCH(Inputs!$J15,sup_names,0)),INDEX(sup_kw,1)))</f>
        <v/>
      </c>
      <c r="AA15" s="25" t="str">
        <f aca="false">IF(Inputs!$B15="","",IFERROR(INDEX(sup_kp,MATCH(Inputs!$J15,sup_names,0)),INDEX(sup_kp,1)))</f>
        <v/>
      </c>
      <c r="AB15" s="25" t="str">
        <f aca="false">IF(Inputs!$B15="","",IFERROR(INDEX(sup_dw,MATCH(Inputs!$J15,sup_names,0)),INDEX(sup_dw,1)))</f>
        <v/>
      </c>
      <c r="AC15" s="25" t="str">
        <f aca="false">IF(Inputs!$B15="","",IFERROR(INDEX(sup_dp,MATCH(Inputs!$J15,sup_names,0)),INDEX(sup_dp,1)))</f>
        <v/>
      </c>
      <c r="AD15" s="25" t="str">
        <f aca="false">IF(Inputs!$B15="","",IFERROR(INDEX(sup_kv,MATCH(Inputs!$J15,sup_names,0)),INDEX(sup_kv,1)))</f>
        <v/>
      </c>
      <c r="AE15" s="11" t="str">
        <f aca="false">IF(Inputs!$B15="","",p_fy/p_fs)</f>
        <v/>
      </c>
      <c r="AF15" s="19" t="str">
        <f aca="false">IF(Inputs!$B15="","",Inputs!$K15*p_g)</f>
        <v/>
      </c>
      <c r="AG15" s="26" t="str">
        <f aca="false">IF(Inputs!$B15="","",p_E*P15)</f>
        <v/>
      </c>
      <c r="AH15" s="20" t="str">
        <f aca="false">IF(Inputs!$B15="","",p_shear*p_fy*S15)</f>
        <v/>
      </c>
      <c r="AI15" s="20" t="str">
        <f aca="false">IF(Inputs!$B15="","",IF(Inputs!$B15="channel",Inputs!$M15,Inputs!$I15*1000))</f>
        <v/>
      </c>
      <c r="AJ15" s="13" t="str">
        <f aca="false">IF(Inputs!$B15="","",IF(Inputs!$B15="channel",(Inputs!$H15+Inputs!$N15)*Inputs!$I15/(AI15/1000),Inputs!$H15))</f>
        <v/>
      </c>
      <c r="AK15" s="20" t="str">
        <f aca="false">IF(Inputs!$B15="","",AE15*MIN(Q15,R15)*p_splice)</f>
        <v/>
      </c>
      <c r="AL15" s="13" t="str">
        <f aca="false">IF(Inputs!$B15="","",AI15/Inputs!$L15)</f>
        <v/>
      </c>
      <c r="AM15" s="27" t="str">
        <f aca="false">IF(Inputs!$B15="","",U15*p_g/1000)</f>
        <v/>
      </c>
      <c r="AN15" s="27" t="str">
        <f aca="false">IF(Inputs!$B15="","",AJ15*p_g/1000)</f>
        <v/>
      </c>
      <c r="AO15" s="20" t="str">
        <f aca="false">IF(Inputs!$B15="","",Z15*(AM15+AN15)*AI15^2+AA15*AF15*AI15)</f>
        <v/>
      </c>
      <c r="AP15" s="20" t="str">
        <f aca="false">IF(Inputs!$B15="","",AD15*((AM15+AN15)*AI15+AF15))</f>
        <v/>
      </c>
      <c r="AQ15" s="13" t="str">
        <f aca="false">IF(Inputs!$B15="","",AB15*(AM15+AN15)*AI15^4/AG15+AC15*AF15*AI15^3/AG15)</f>
        <v/>
      </c>
      <c r="AR15" s="19" t="str">
        <f aca="false">IF(Inputs!$B15="","",MAX(0,(AK15-AA15*AF15*AI15)/(Z15*AI15^2)-AM15)*1000/p_g)</f>
        <v/>
      </c>
      <c r="AS15" s="19" t="str">
        <f aca="false">IF(Inputs!$B15="","",MAX(0,(AH15-AD15*AF15)/(AD15*AI15)-AM15)*1000/p_g)</f>
        <v/>
      </c>
      <c r="AT15" s="19" t="str">
        <f aca="false">IF(Inputs!$B15="","",MAX(0,(AL15-AC15*AF15*AI15^3/AG15)/(AB15*AI15^4/AG15)-AM15)*1000/p_g)</f>
        <v/>
      </c>
      <c r="AU15" s="19" t="str">
        <f aca="false">IF(Inputs!$B15="","",MIN(AR15,AS15,AT15))</f>
        <v/>
      </c>
      <c r="AV15" s="21" t="str">
        <f aca="false">IF(Inputs!$B15="","",IF(AU15=AR15,"bending",IF(AU15=AT15,"deflection","shear")))</f>
        <v/>
      </c>
      <c r="AW15" s="23" t="str">
        <f aca="false">IF(Inputs!$B15="","",IF(Inputs!$B15="ladder",((Inputs!$H15*2500/p_rungN/1000*p_g)*Inputs!$C15/8+(AF15/3)*Inputs!$C15/4)/(p_fy/p_fs*p_rungZ),""))</f>
        <v/>
      </c>
      <c r="AX15" s="20" t="str">
        <f aca="false">IF(Inputs!$B15="","",IF(Inputs!$B15="arm",AE15*MIN(Q15,R15),""))</f>
        <v/>
      </c>
      <c r="AY15" s="13" t="str">
        <f aca="false">IF(Inputs!$B15="","",IF(Inputs!$B15="arm",Inputs!$F15/p_cant,""))</f>
        <v/>
      </c>
      <c r="AZ15" s="20" t="str">
        <f aca="false">IF(Inputs!$B15="","",IF(Inputs!$B15="arm",Inputs!$H15*Inputs!$I15*p_g,""))</f>
        <v/>
      </c>
      <c r="BA15" s="20" t="str">
        <f aca="false">IF(Inputs!$B15="","",IF(Inputs!$B15="arm",AZ15+Inputs!$N15*Inputs!$I15*p_g,""))</f>
        <v/>
      </c>
      <c r="BB15" s="19" t="str">
        <f aca="false">IF(Inputs!$B15="","",IF(Inputs!$B15="arm",AF15/3,""))</f>
        <v/>
      </c>
      <c r="BC15" s="20" t="str">
        <f aca="false">IF(Inputs!$B15="","",IF(Inputs!$B15="arm",BA15*Inputs!$F15/2+BB15*Inputs!$F15,""))</f>
        <v/>
      </c>
      <c r="BD15" s="20" t="str">
        <f aca="false">IF(Inputs!$B15="","",IF(Inputs!$B15="arm",BA15+BB15,""))</f>
        <v/>
      </c>
      <c r="BE15" s="13" t="str">
        <f aca="false">IF(Inputs!$B15="","",IF(Inputs!$B15="arm",BA15*Inputs!$F15^3/(8*AG15)+BB15*Inputs!$F15^3/(3*AG15),""))</f>
        <v/>
      </c>
      <c r="BF15" s="19" t="str">
        <f aca="false">IF(Inputs!$B15="","",IF(Inputs!$B15="arm",(AX15-BB15*Inputs!$F15)/(Inputs!$F15/2)/p_g-Inputs!$N15*Inputs!$I15,""))</f>
        <v/>
      </c>
      <c r="BG15" s="19" t="str">
        <f aca="false">IF(Inputs!$B15="","",IF(Inputs!$B15="arm",(AH15-BB15)/p_g-Inputs!$N15*Inputs!$I15,""))</f>
        <v/>
      </c>
      <c r="BH15" s="19" t="str">
        <f aca="false">IF(Inputs!$B15="","",IF(Inputs!$B15="arm",(AY15-BB15*Inputs!$F15^3/(3*AG15))/(Inputs!$F15^3/(8*AG15))/p_g-Inputs!$N15*Inputs!$I15,""))</f>
        <v/>
      </c>
      <c r="BI15" s="19" t="str">
        <f aca="false">IF(Inputs!$B15="","",IF(Inputs!$B15="arm",MAX(0,MIN(BF15,BG15,BH15)),""))</f>
        <v/>
      </c>
      <c r="BJ15" s="19" t="str">
        <f aca="false">IF(Inputs!$B15="","",IF(Inputs!$B15="arm",BI15/Inputs!$I15,""))</f>
        <v/>
      </c>
      <c r="BK15" s="21" t="str">
        <f aca="false">IF(Inputs!$B15="","",IF(Inputs!$B15="arm",IF(BI15=MAX(0,BF15),"bending",IF(BI15=MAX(0,BH15),"deflection","shear")),""))</f>
        <v/>
      </c>
      <c r="BL15" s="20" t="str">
        <f aca="false">IF(Inputs!$B15="","",IF(Inputs!$B15="arm",AX15,AK15))</f>
        <v/>
      </c>
      <c r="BM15" s="20" t="str">
        <f aca="false">IF(Inputs!$B15="","",IF(Inputs!$B15="arm",BC15,AO15))</f>
        <v/>
      </c>
      <c r="BN15" s="20" t="str">
        <f aca="false">IF(Inputs!$B15="","",IF(Inputs!$B15="arm",BD15,AP15))</f>
        <v/>
      </c>
      <c r="BO15" s="13" t="str">
        <f aca="false">IF(Inputs!$B15="","",IF(Inputs!$B15="arm",BE15,AQ15))</f>
        <v/>
      </c>
      <c r="BP15" s="13" t="str">
        <f aca="false">IF(Inputs!$B15="","",IF(Inputs!$B15="arm",AY15,AL15))</f>
        <v/>
      </c>
      <c r="BQ15" s="23" t="str">
        <f aca="false">IF(Inputs!$B15="","",BM15/BL15)</f>
        <v/>
      </c>
      <c r="BR15" s="23" t="str">
        <f aca="false">IF(Inputs!$B15="","",BN15/AH15)</f>
        <v/>
      </c>
      <c r="BS15" s="23" t="str">
        <f aca="false">IF(Inputs!$B15="","",BO15/BP15)</f>
        <v/>
      </c>
      <c r="BT15" s="28" t="str">
        <f aca="false">IF(Inputs!$B15="","",MAX(BQ15,BR15,BS15,IF(Inputs!$B15="ladder",AW15,0)))</f>
        <v/>
      </c>
      <c r="BU15" s="16" t="str">
        <f aca="false">IF(Inputs!$B15="","",IF(Inputs!$B15="arm",BJ15,AU15))</f>
        <v/>
      </c>
      <c r="BV15" s="15" t="str">
        <f aca="false">IF(Inputs!$B15="","",IF(Inputs!$B15="arm",BK15,AV15))</f>
        <v/>
      </c>
      <c r="BW15" s="15" t="str">
        <f aca="false">IF(Inputs!$B15="","",IF(BT15&lt;=1,"PASS","FAIL"))</f>
        <v/>
      </c>
      <c r="BX15" s="18" t="str">
        <f aca="false">IF(Inputs!$B15="","",IF(Inputs!$H15&gt;0,BU15/Inputs!$H15-1,""))</f>
        <v/>
      </c>
    </row>
    <row r="16" customFormat="false" ht="15" hidden="false" customHeight="false" outlineLevel="0" collapsed="false">
      <c r="A16" s="0" t="str">
        <f aca="false">IF(Inputs!A16="","",Inputs!A16)</f>
        <v/>
      </c>
      <c r="B16" s="21" t="str">
        <f aca="false">IF(Inputs!$B16="","",Inputs!$B16)</f>
        <v/>
      </c>
      <c r="C16" s="23" t="str">
        <f aca="false">IF(Inputs!$B16="","",IF(OR(Inputs!$B16="perf",Inputs!$B16="trough"),MIN(0.5,IF(Inputs!$B16="perf",p_perfN*p_perfL*p_perfW/(p_perfSp*Inputs!$C16),p_trN*p_trL*p_trW/(p_trSp*Inputs!$C16))),0))</f>
        <v/>
      </c>
      <c r="D16" s="11" t="str">
        <f aca="false">IF(Inputs!$B16="","",IF(Inputs!$B16="ladder",p_collar,IF(Inputs!$B16="perf",IF(AND(Inputs!$C16&gt;=300,Inputs!$D16&gt;=100),15,0),IF(Inputs!$B16="trough",0,p_lip))))</f>
        <v/>
      </c>
      <c r="E16" s="19" t="str">
        <f aca="false">IF(Inputs!$B16="","",IF(Inputs!$B16="ladder",2*Inputs!$E16*Inputs!$D16,IF(OR(Inputs!$B16="perf",Inputs!$B16="trough"),(Inputs!$C16+4)*Inputs!$E16*(1-C16),Inputs!$C16*Inputs!$E16)))</f>
        <v/>
      </c>
      <c r="F16" s="19" t="str">
        <f aca="false">IF(Inputs!$B16="","",IF(Inputs!$B16="ladder",Inputs!$D16/2,Inputs!$E16/2))</f>
        <v/>
      </c>
      <c r="G16" s="20" t="str">
        <f aca="false">IF(Inputs!$B16="","",IF(Inputs!$B16="ladder",2*Inputs!$E16*Inputs!$D16^3/12,IF(OR(Inputs!$B16="perf",Inputs!$B16="trough"),0,Inputs!$C16*Inputs!$E16^3/12)))</f>
        <v/>
      </c>
      <c r="H16" s="19" t="str">
        <f aca="false">IF(Inputs!$B16="","",IF(Inputs!$B16="ladder",2*D16*Inputs!$E16,2*Inputs!$E16*Inputs!$D16))</f>
        <v/>
      </c>
      <c r="I16" s="19" t="str">
        <f aca="false">IF(Inputs!$B16="","",IF(Inputs!$B16="ladder",Inputs!$E16/2,Inputs!$D16/2))</f>
        <v/>
      </c>
      <c r="J16" s="20" t="str">
        <f aca="false">IF(Inputs!$B16="","",IF(Inputs!$B16="ladder",2*D16*Inputs!$E16^3/12,2*Inputs!$E16*Inputs!$D16^3/12))</f>
        <v/>
      </c>
      <c r="K16" s="19" t="str">
        <f aca="false">IF(Inputs!$B16="","",2*D16*Inputs!$E16)</f>
        <v/>
      </c>
      <c r="L16" s="19" t="str">
        <f aca="false">IF(Inputs!$B16="","",Inputs!$D16-Inputs!$E16/2)</f>
        <v/>
      </c>
      <c r="M16" s="20" t="str">
        <f aca="false">IF(Inputs!$B16="","",2*D16*Inputs!$E16^3/12)</f>
        <v/>
      </c>
      <c r="N16" s="19" t="str">
        <f aca="false">IF(Inputs!$B16="","",E16+H16+K16)</f>
        <v/>
      </c>
      <c r="O16" s="13" t="str">
        <f aca="false">IF(Inputs!$B16="","",(E16*F16+H16*I16+K16*L16)/N16)</f>
        <v/>
      </c>
      <c r="P16" s="20" t="str">
        <f aca="false">IF(Inputs!$B16="","",(G16+E16*(F16-O16)^2)+(J16+H16*(I16-O16)^2)+(M16+K16*(L16-O16)^2))</f>
        <v/>
      </c>
      <c r="Q16" s="20" t="str">
        <f aca="false">IF(Inputs!$B16="","",P16/O16)</f>
        <v/>
      </c>
      <c r="R16" s="20" t="str">
        <f aca="false">IF(Inputs!$B16="","",P16/(Inputs!$D16-O16))</f>
        <v/>
      </c>
      <c r="S16" s="19" t="str">
        <f aca="false">IF(Inputs!$B16="","",2*Inputs!$D16*Inputs!$E16)</f>
        <v/>
      </c>
      <c r="T16" s="13" t="str">
        <f aca="false">IF(Inputs!$B16="","",N16*0.00785+IF(Inputs!$B16="ladder",p_rungN/2.5*(p_rungW*p_rungT+2*p_rungT*p_rungH)*Inputs!$C16*0.00000785,0))</f>
        <v/>
      </c>
      <c r="U16" s="13" t="str">
        <f aca="false">IF(Inputs!$B16="","",IF(Inputs!$G16="",T16,Inputs!$G16))</f>
        <v/>
      </c>
      <c r="V16" s="24" t="str">
        <f aca="false">IF(Inputs!$B16="","",Inputs!$D16/Inputs!$E16)</f>
        <v/>
      </c>
      <c r="W16" s="24" t="str">
        <f aca="false">IF(Inputs!$B16="","",IF(D16&gt;0,D16/Inputs!$E16,0))</f>
        <v/>
      </c>
      <c r="X16" s="24" t="str">
        <f aca="false">IF(Inputs!$B16="","",IF(OR(Inputs!$B16="perf",Inputs!$B16="trough"),(Inputs!$C16+4)/Inputs!$E16,IF(OR(Inputs!$B16="channel",Inputs!$B16="arm"),Inputs!$C16/Inputs!$E16,0)))</f>
        <v/>
      </c>
      <c r="Y16" s="21" t="str">
        <f aca="false">IF(Inputs!$B16="","",IF(V16&gt;p_webS,"web; ","")&amp;IF(W16&gt;p_flS,"flange; ","")&amp;IF(X16&gt;p_plS,"base plate; ",""))</f>
        <v/>
      </c>
      <c r="Z16" s="25" t="str">
        <f aca="false">IF(Inputs!$B16="","",IFERROR(INDEX(sup_kw,MATCH(Inputs!$J16,sup_names,0)),INDEX(sup_kw,1)))</f>
        <v/>
      </c>
      <c r="AA16" s="25" t="str">
        <f aca="false">IF(Inputs!$B16="","",IFERROR(INDEX(sup_kp,MATCH(Inputs!$J16,sup_names,0)),INDEX(sup_kp,1)))</f>
        <v/>
      </c>
      <c r="AB16" s="25" t="str">
        <f aca="false">IF(Inputs!$B16="","",IFERROR(INDEX(sup_dw,MATCH(Inputs!$J16,sup_names,0)),INDEX(sup_dw,1)))</f>
        <v/>
      </c>
      <c r="AC16" s="25" t="str">
        <f aca="false">IF(Inputs!$B16="","",IFERROR(INDEX(sup_dp,MATCH(Inputs!$J16,sup_names,0)),INDEX(sup_dp,1)))</f>
        <v/>
      </c>
      <c r="AD16" s="25" t="str">
        <f aca="false">IF(Inputs!$B16="","",IFERROR(INDEX(sup_kv,MATCH(Inputs!$J16,sup_names,0)),INDEX(sup_kv,1)))</f>
        <v/>
      </c>
      <c r="AE16" s="11" t="str">
        <f aca="false">IF(Inputs!$B16="","",p_fy/p_fs)</f>
        <v/>
      </c>
      <c r="AF16" s="19" t="str">
        <f aca="false">IF(Inputs!$B16="","",Inputs!$K16*p_g)</f>
        <v/>
      </c>
      <c r="AG16" s="26" t="str">
        <f aca="false">IF(Inputs!$B16="","",p_E*P16)</f>
        <v/>
      </c>
      <c r="AH16" s="20" t="str">
        <f aca="false">IF(Inputs!$B16="","",p_shear*p_fy*S16)</f>
        <v/>
      </c>
      <c r="AI16" s="20" t="str">
        <f aca="false">IF(Inputs!$B16="","",IF(Inputs!$B16="channel",Inputs!$M16,Inputs!$I16*1000))</f>
        <v/>
      </c>
      <c r="AJ16" s="13" t="str">
        <f aca="false">IF(Inputs!$B16="","",IF(Inputs!$B16="channel",(Inputs!$H16+Inputs!$N16)*Inputs!$I16/(AI16/1000),Inputs!$H16))</f>
        <v/>
      </c>
      <c r="AK16" s="20" t="str">
        <f aca="false">IF(Inputs!$B16="","",AE16*MIN(Q16,R16)*p_splice)</f>
        <v/>
      </c>
      <c r="AL16" s="13" t="str">
        <f aca="false">IF(Inputs!$B16="","",AI16/Inputs!$L16)</f>
        <v/>
      </c>
      <c r="AM16" s="27" t="str">
        <f aca="false">IF(Inputs!$B16="","",U16*p_g/1000)</f>
        <v/>
      </c>
      <c r="AN16" s="27" t="str">
        <f aca="false">IF(Inputs!$B16="","",AJ16*p_g/1000)</f>
        <v/>
      </c>
      <c r="AO16" s="20" t="str">
        <f aca="false">IF(Inputs!$B16="","",Z16*(AM16+AN16)*AI16^2+AA16*AF16*AI16)</f>
        <v/>
      </c>
      <c r="AP16" s="20" t="str">
        <f aca="false">IF(Inputs!$B16="","",AD16*((AM16+AN16)*AI16+AF16))</f>
        <v/>
      </c>
      <c r="AQ16" s="13" t="str">
        <f aca="false">IF(Inputs!$B16="","",AB16*(AM16+AN16)*AI16^4/AG16+AC16*AF16*AI16^3/AG16)</f>
        <v/>
      </c>
      <c r="AR16" s="19" t="str">
        <f aca="false">IF(Inputs!$B16="","",MAX(0,(AK16-AA16*AF16*AI16)/(Z16*AI16^2)-AM16)*1000/p_g)</f>
        <v/>
      </c>
      <c r="AS16" s="19" t="str">
        <f aca="false">IF(Inputs!$B16="","",MAX(0,(AH16-AD16*AF16)/(AD16*AI16)-AM16)*1000/p_g)</f>
        <v/>
      </c>
      <c r="AT16" s="19" t="str">
        <f aca="false">IF(Inputs!$B16="","",MAX(0,(AL16-AC16*AF16*AI16^3/AG16)/(AB16*AI16^4/AG16)-AM16)*1000/p_g)</f>
        <v/>
      </c>
      <c r="AU16" s="19" t="str">
        <f aca="false">IF(Inputs!$B16="","",MIN(AR16,AS16,AT16))</f>
        <v/>
      </c>
      <c r="AV16" s="21" t="str">
        <f aca="false">IF(Inputs!$B16="","",IF(AU16=AR16,"bending",IF(AU16=AT16,"deflection","shear")))</f>
        <v/>
      </c>
      <c r="AW16" s="23" t="str">
        <f aca="false">IF(Inputs!$B16="","",IF(Inputs!$B16="ladder",((Inputs!$H16*2500/p_rungN/1000*p_g)*Inputs!$C16/8+(AF16/3)*Inputs!$C16/4)/(p_fy/p_fs*p_rungZ),""))</f>
        <v/>
      </c>
      <c r="AX16" s="20" t="str">
        <f aca="false">IF(Inputs!$B16="","",IF(Inputs!$B16="arm",AE16*MIN(Q16,R16),""))</f>
        <v/>
      </c>
      <c r="AY16" s="13" t="str">
        <f aca="false">IF(Inputs!$B16="","",IF(Inputs!$B16="arm",Inputs!$F16/p_cant,""))</f>
        <v/>
      </c>
      <c r="AZ16" s="20" t="str">
        <f aca="false">IF(Inputs!$B16="","",IF(Inputs!$B16="arm",Inputs!$H16*Inputs!$I16*p_g,""))</f>
        <v/>
      </c>
      <c r="BA16" s="20" t="str">
        <f aca="false">IF(Inputs!$B16="","",IF(Inputs!$B16="arm",AZ16+Inputs!$N16*Inputs!$I16*p_g,""))</f>
        <v/>
      </c>
      <c r="BB16" s="19" t="str">
        <f aca="false">IF(Inputs!$B16="","",IF(Inputs!$B16="arm",AF16/3,""))</f>
        <v/>
      </c>
      <c r="BC16" s="20" t="str">
        <f aca="false">IF(Inputs!$B16="","",IF(Inputs!$B16="arm",BA16*Inputs!$F16/2+BB16*Inputs!$F16,""))</f>
        <v/>
      </c>
      <c r="BD16" s="20" t="str">
        <f aca="false">IF(Inputs!$B16="","",IF(Inputs!$B16="arm",BA16+BB16,""))</f>
        <v/>
      </c>
      <c r="BE16" s="13" t="str">
        <f aca="false">IF(Inputs!$B16="","",IF(Inputs!$B16="arm",BA16*Inputs!$F16^3/(8*AG16)+BB16*Inputs!$F16^3/(3*AG16),""))</f>
        <v/>
      </c>
      <c r="BF16" s="19" t="str">
        <f aca="false">IF(Inputs!$B16="","",IF(Inputs!$B16="arm",(AX16-BB16*Inputs!$F16)/(Inputs!$F16/2)/p_g-Inputs!$N16*Inputs!$I16,""))</f>
        <v/>
      </c>
      <c r="BG16" s="19" t="str">
        <f aca="false">IF(Inputs!$B16="","",IF(Inputs!$B16="arm",(AH16-BB16)/p_g-Inputs!$N16*Inputs!$I16,""))</f>
        <v/>
      </c>
      <c r="BH16" s="19" t="str">
        <f aca="false">IF(Inputs!$B16="","",IF(Inputs!$B16="arm",(AY16-BB16*Inputs!$F16^3/(3*AG16))/(Inputs!$F16^3/(8*AG16))/p_g-Inputs!$N16*Inputs!$I16,""))</f>
        <v/>
      </c>
      <c r="BI16" s="19" t="str">
        <f aca="false">IF(Inputs!$B16="","",IF(Inputs!$B16="arm",MAX(0,MIN(BF16,BG16,BH16)),""))</f>
        <v/>
      </c>
      <c r="BJ16" s="19" t="str">
        <f aca="false">IF(Inputs!$B16="","",IF(Inputs!$B16="arm",BI16/Inputs!$I16,""))</f>
        <v/>
      </c>
      <c r="BK16" s="21" t="str">
        <f aca="false">IF(Inputs!$B16="","",IF(Inputs!$B16="arm",IF(BI16=MAX(0,BF16),"bending",IF(BI16=MAX(0,BH16),"deflection","shear")),""))</f>
        <v/>
      </c>
      <c r="BL16" s="20" t="str">
        <f aca="false">IF(Inputs!$B16="","",IF(Inputs!$B16="arm",AX16,AK16))</f>
        <v/>
      </c>
      <c r="BM16" s="20" t="str">
        <f aca="false">IF(Inputs!$B16="","",IF(Inputs!$B16="arm",BC16,AO16))</f>
        <v/>
      </c>
      <c r="BN16" s="20" t="str">
        <f aca="false">IF(Inputs!$B16="","",IF(Inputs!$B16="arm",BD16,AP16))</f>
        <v/>
      </c>
      <c r="BO16" s="13" t="str">
        <f aca="false">IF(Inputs!$B16="","",IF(Inputs!$B16="arm",BE16,AQ16))</f>
        <v/>
      </c>
      <c r="BP16" s="13" t="str">
        <f aca="false">IF(Inputs!$B16="","",IF(Inputs!$B16="arm",AY16,AL16))</f>
        <v/>
      </c>
      <c r="BQ16" s="23" t="str">
        <f aca="false">IF(Inputs!$B16="","",BM16/BL16)</f>
        <v/>
      </c>
      <c r="BR16" s="23" t="str">
        <f aca="false">IF(Inputs!$B16="","",BN16/AH16)</f>
        <v/>
      </c>
      <c r="BS16" s="23" t="str">
        <f aca="false">IF(Inputs!$B16="","",BO16/BP16)</f>
        <v/>
      </c>
      <c r="BT16" s="28" t="str">
        <f aca="false">IF(Inputs!$B16="","",MAX(BQ16,BR16,BS16,IF(Inputs!$B16="ladder",AW16,0)))</f>
        <v/>
      </c>
      <c r="BU16" s="16" t="str">
        <f aca="false">IF(Inputs!$B16="","",IF(Inputs!$B16="arm",BJ16,AU16))</f>
        <v/>
      </c>
      <c r="BV16" s="15" t="str">
        <f aca="false">IF(Inputs!$B16="","",IF(Inputs!$B16="arm",BK16,AV16))</f>
        <v/>
      </c>
      <c r="BW16" s="15" t="str">
        <f aca="false">IF(Inputs!$B16="","",IF(BT16&lt;=1,"PASS","FAIL"))</f>
        <v/>
      </c>
      <c r="BX16" s="18" t="str">
        <f aca="false">IF(Inputs!$B16="","",IF(Inputs!$H16&gt;0,BU16/Inputs!$H16-1,""))</f>
        <v/>
      </c>
    </row>
    <row r="17" customFormat="false" ht="15" hidden="false" customHeight="false" outlineLevel="0" collapsed="false">
      <c r="A17" s="0" t="str">
        <f aca="false">IF(Inputs!A17="","",Inputs!A17)</f>
        <v/>
      </c>
      <c r="B17" s="21" t="str">
        <f aca="false">IF(Inputs!$B17="","",Inputs!$B17)</f>
        <v/>
      </c>
      <c r="C17" s="23" t="str">
        <f aca="false">IF(Inputs!$B17="","",IF(OR(Inputs!$B17="perf",Inputs!$B17="trough"),MIN(0.5,IF(Inputs!$B17="perf",p_perfN*p_perfL*p_perfW/(p_perfSp*Inputs!$C17),p_trN*p_trL*p_trW/(p_trSp*Inputs!$C17))),0))</f>
        <v/>
      </c>
      <c r="D17" s="11" t="str">
        <f aca="false">IF(Inputs!$B17="","",IF(Inputs!$B17="ladder",p_collar,IF(Inputs!$B17="perf",IF(AND(Inputs!$C17&gt;=300,Inputs!$D17&gt;=100),15,0),IF(Inputs!$B17="trough",0,p_lip))))</f>
        <v/>
      </c>
      <c r="E17" s="19" t="str">
        <f aca="false">IF(Inputs!$B17="","",IF(Inputs!$B17="ladder",2*Inputs!$E17*Inputs!$D17,IF(OR(Inputs!$B17="perf",Inputs!$B17="trough"),(Inputs!$C17+4)*Inputs!$E17*(1-C17),Inputs!$C17*Inputs!$E17)))</f>
        <v/>
      </c>
      <c r="F17" s="19" t="str">
        <f aca="false">IF(Inputs!$B17="","",IF(Inputs!$B17="ladder",Inputs!$D17/2,Inputs!$E17/2))</f>
        <v/>
      </c>
      <c r="G17" s="20" t="str">
        <f aca="false">IF(Inputs!$B17="","",IF(Inputs!$B17="ladder",2*Inputs!$E17*Inputs!$D17^3/12,IF(OR(Inputs!$B17="perf",Inputs!$B17="trough"),0,Inputs!$C17*Inputs!$E17^3/12)))</f>
        <v/>
      </c>
      <c r="H17" s="19" t="str">
        <f aca="false">IF(Inputs!$B17="","",IF(Inputs!$B17="ladder",2*D17*Inputs!$E17,2*Inputs!$E17*Inputs!$D17))</f>
        <v/>
      </c>
      <c r="I17" s="19" t="str">
        <f aca="false">IF(Inputs!$B17="","",IF(Inputs!$B17="ladder",Inputs!$E17/2,Inputs!$D17/2))</f>
        <v/>
      </c>
      <c r="J17" s="20" t="str">
        <f aca="false">IF(Inputs!$B17="","",IF(Inputs!$B17="ladder",2*D17*Inputs!$E17^3/12,2*Inputs!$E17*Inputs!$D17^3/12))</f>
        <v/>
      </c>
      <c r="K17" s="19" t="str">
        <f aca="false">IF(Inputs!$B17="","",2*D17*Inputs!$E17)</f>
        <v/>
      </c>
      <c r="L17" s="19" t="str">
        <f aca="false">IF(Inputs!$B17="","",Inputs!$D17-Inputs!$E17/2)</f>
        <v/>
      </c>
      <c r="M17" s="20" t="str">
        <f aca="false">IF(Inputs!$B17="","",2*D17*Inputs!$E17^3/12)</f>
        <v/>
      </c>
      <c r="N17" s="19" t="str">
        <f aca="false">IF(Inputs!$B17="","",E17+H17+K17)</f>
        <v/>
      </c>
      <c r="O17" s="13" t="str">
        <f aca="false">IF(Inputs!$B17="","",(E17*F17+H17*I17+K17*L17)/N17)</f>
        <v/>
      </c>
      <c r="P17" s="20" t="str">
        <f aca="false">IF(Inputs!$B17="","",(G17+E17*(F17-O17)^2)+(J17+H17*(I17-O17)^2)+(M17+K17*(L17-O17)^2))</f>
        <v/>
      </c>
      <c r="Q17" s="20" t="str">
        <f aca="false">IF(Inputs!$B17="","",P17/O17)</f>
        <v/>
      </c>
      <c r="R17" s="20" t="str">
        <f aca="false">IF(Inputs!$B17="","",P17/(Inputs!$D17-O17))</f>
        <v/>
      </c>
      <c r="S17" s="19" t="str">
        <f aca="false">IF(Inputs!$B17="","",2*Inputs!$D17*Inputs!$E17)</f>
        <v/>
      </c>
      <c r="T17" s="13" t="str">
        <f aca="false">IF(Inputs!$B17="","",N17*0.00785+IF(Inputs!$B17="ladder",p_rungN/2.5*(p_rungW*p_rungT+2*p_rungT*p_rungH)*Inputs!$C17*0.00000785,0))</f>
        <v/>
      </c>
      <c r="U17" s="13" t="str">
        <f aca="false">IF(Inputs!$B17="","",IF(Inputs!$G17="",T17,Inputs!$G17))</f>
        <v/>
      </c>
      <c r="V17" s="24" t="str">
        <f aca="false">IF(Inputs!$B17="","",Inputs!$D17/Inputs!$E17)</f>
        <v/>
      </c>
      <c r="W17" s="24" t="str">
        <f aca="false">IF(Inputs!$B17="","",IF(D17&gt;0,D17/Inputs!$E17,0))</f>
        <v/>
      </c>
      <c r="X17" s="24" t="str">
        <f aca="false">IF(Inputs!$B17="","",IF(OR(Inputs!$B17="perf",Inputs!$B17="trough"),(Inputs!$C17+4)/Inputs!$E17,IF(OR(Inputs!$B17="channel",Inputs!$B17="arm"),Inputs!$C17/Inputs!$E17,0)))</f>
        <v/>
      </c>
      <c r="Y17" s="21" t="str">
        <f aca="false">IF(Inputs!$B17="","",IF(V17&gt;p_webS,"web; ","")&amp;IF(W17&gt;p_flS,"flange; ","")&amp;IF(X17&gt;p_plS,"base plate; ",""))</f>
        <v/>
      </c>
      <c r="Z17" s="25" t="str">
        <f aca="false">IF(Inputs!$B17="","",IFERROR(INDEX(sup_kw,MATCH(Inputs!$J17,sup_names,0)),INDEX(sup_kw,1)))</f>
        <v/>
      </c>
      <c r="AA17" s="25" t="str">
        <f aca="false">IF(Inputs!$B17="","",IFERROR(INDEX(sup_kp,MATCH(Inputs!$J17,sup_names,0)),INDEX(sup_kp,1)))</f>
        <v/>
      </c>
      <c r="AB17" s="25" t="str">
        <f aca="false">IF(Inputs!$B17="","",IFERROR(INDEX(sup_dw,MATCH(Inputs!$J17,sup_names,0)),INDEX(sup_dw,1)))</f>
        <v/>
      </c>
      <c r="AC17" s="25" t="str">
        <f aca="false">IF(Inputs!$B17="","",IFERROR(INDEX(sup_dp,MATCH(Inputs!$J17,sup_names,0)),INDEX(sup_dp,1)))</f>
        <v/>
      </c>
      <c r="AD17" s="25" t="str">
        <f aca="false">IF(Inputs!$B17="","",IFERROR(INDEX(sup_kv,MATCH(Inputs!$J17,sup_names,0)),INDEX(sup_kv,1)))</f>
        <v/>
      </c>
      <c r="AE17" s="11" t="str">
        <f aca="false">IF(Inputs!$B17="","",p_fy/p_fs)</f>
        <v/>
      </c>
      <c r="AF17" s="19" t="str">
        <f aca="false">IF(Inputs!$B17="","",Inputs!$K17*p_g)</f>
        <v/>
      </c>
      <c r="AG17" s="26" t="str">
        <f aca="false">IF(Inputs!$B17="","",p_E*P17)</f>
        <v/>
      </c>
      <c r="AH17" s="20" t="str">
        <f aca="false">IF(Inputs!$B17="","",p_shear*p_fy*S17)</f>
        <v/>
      </c>
      <c r="AI17" s="20" t="str">
        <f aca="false">IF(Inputs!$B17="","",IF(Inputs!$B17="channel",Inputs!$M17,Inputs!$I17*1000))</f>
        <v/>
      </c>
      <c r="AJ17" s="13" t="str">
        <f aca="false">IF(Inputs!$B17="","",IF(Inputs!$B17="channel",(Inputs!$H17+Inputs!$N17)*Inputs!$I17/(AI17/1000),Inputs!$H17))</f>
        <v/>
      </c>
      <c r="AK17" s="20" t="str">
        <f aca="false">IF(Inputs!$B17="","",AE17*MIN(Q17,R17)*p_splice)</f>
        <v/>
      </c>
      <c r="AL17" s="13" t="str">
        <f aca="false">IF(Inputs!$B17="","",AI17/Inputs!$L17)</f>
        <v/>
      </c>
      <c r="AM17" s="27" t="str">
        <f aca="false">IF(Inputs!$B17="","",U17*p_g/1000)</f>
        <v/>
      </c>
      <c r="AN17" s="27" t="str">
        <f aca="false">IF(Inputs!$B17="","",AJ17*p_g/1000)</f>
        <v/>
      </c>
      <c r="AO17" s="20" t="str">
        <f aca="false">IF(Inputs!$B17="","",Z17*(AM17+AN17)*AI17^2+AA17*AF17*AI17)</f>
        <v/>
      </c>
      <c r="AP17" s="20" t="str">
        <f aca="false">IF(Inputs!$B17="","",AD17*((AM17+AN17)*AI17+AF17))</f>
        <v/>
      </c>
      <c r="AQ17" s="13" t="str">
        <f aca="false">IF(Inputs!$B17="","",AB17*(AM17+AN17)*AI17^4/AG17+AC17*AF17*AI17^3/AG17)</f>
        <v/>
      </c>
      <c r="AR17" s="19" t="str">
        <f aca="false">IF(Inputs!$B17="","",MAX(0,(AK17-AA17*AF17*AI17)/(Z17*AI17^2)-AM17)*1000/p_g)</f>
        <v/>
      </c>
      <c r="AS17" s="19" t="str">
        <f aca="false">IF(Inputs!$B17="","",MAX(0,(AH17-AD17*AF17)/(AD17*AI17)-AM17)*1000/p_g)</f>
        <v/>
      </c>
      <c r="AT17" s="19" t="str">
        <f aca="false">IF(Inputs!$B17="","",MAX(0,(AL17-AC17*AF17*AI17^3/AG17)/(AB17*AI17^4/AG17)-AM17)*1000/p_g)</f>
        <v/>
      </c>
      <c r="AU17" s="19" t="str">
        <f aca="false">IF(Inputs!$B17="","",MIN(AR17,AS17,AT17))</f>
        <v/>
      </c>
      <c r="AV17" s="21" t="str">
        <f aca="false">IF(Inputs!$B17="","",IF(AU17=AR17,"bending",IF(AU17=AT17,"deflection","shear")))</f>
        <v/>
      </c>
      <c r="AW17" s="23" t="str">
        <f aca="false">IF(Inputs!$B17="","",IF(Inputs!$B17="ladder",((Inputs!$H17*2500/p_rungN/1000*p_g)*Inputs!$C17/8+(AF17/3)*Inputs!$C17/4)/(p_fy/p_fs*p_rungZ),""))</f>
        <v/>
      </c>
      <c r="AX17" s="20" t="str">
        <f aca="false">IF(Inputs!$B17="","",IF(Inputs!$B17="arm",AE17*MIN(Q17,R17),""))</f>
        <v/>
      </c>
      <c r="AY17" s="13" t="str">
        <f aca="false">IF(Inputs!$B17="","",IF(Inputs!$B17="arm",Inputs!$F17/p_cant,""))</f>
        <v/>
      </c>
      <c r="AZ17" s="20" t="str">
        <f aca="false">IF(Inputs!$B17="","",IF(Inputs!$B17="arm",Inputs!$H17*Inputs!$I17*p_g,""))</f>
        <v/>
      </c>
      <c r="BA17" s="20" t="str">
        <f aca="false">IF(Inputs!$B17="","",IF(Inputs!$B17="arm",AZ17+Inputs!$N17*Inputs!$I17*p_g,""))</f>
        <v/>
      </c>
      <c r="BB17" s="19" t="str">
        <f aca="false">IF(Inputs!$B17="","",IF(Inputs!$B17="arm",AF17/3,""))</f>
        <v/>
      </c>
      <c r="BC17" s="20" t="str">
        <f aca="false">IF(Inputs!$B17="","",IF(Inputs!$B17="arm",BA17*Inputs!$F17/2+BB17*Inputs!$F17,""))</f>
        <v/>
      </c>
      <c r="BD17" s="20" t="str">
        <f aca="false">IF(Inputs!$B17="","",IF(Inputs!$B17="arm",BA17+BB17,""))</f>
        <v/>
      </c>
      <c r="BE17" s="13" t="str">
        <f aca="false">IF(Inputs!$B17="","",IF(Inputs!$B17="arm",BA17*Inputs!$F17^3/(8*AG17)+BB17*Inputs!$F17^3/(3*AG17),""))</f>
        <v/>
      </c>
      <c r="BF17" s="19" t="str">
        <f aca="false">IF(Inputs!$B17="","",IF(Inputs!$B17="arm",(AX17-BB17*Inputs!$F17)/(Inputs!$F17/2)/p_g-Inputs!$N17*Inputs!$I17,""))</f>
        <v/>
      </c>
      <c r="BG17" s="19" t="str">
        <f aca="false">IF(Inputs!$B17="","",IF(Inputs!$B17="arm",(AH17-BB17)/p_g-Inputs!$N17*Inputs!$I17,""))</f>
        <v/>
      </c>
      <c r="BH17" s="19" t="str">
        <f aca="false">IF(Inputs!$B17="","",IF(Inputs!$B17="arm",(AY17-BB17*Inputs!$F17^3/(3*AG17))/(Inputs!$F17^3/(8*AG17))/p_g-Inputs!$N17*Inputs!$I17,""))</f>
        <v/>
      </c>
      <c r="BI17" s="19" t="str">
        <f aca="false">IF(Inputs!$B17="","",IF(Inputs!$B17="arm",MAX(0,MIN(BF17,BG17,BH17)),""))</f>
        <v/>
      </c>
      <c r="BJ17" s="19" t="str">
        <f aca="false">IF(Inputs!$B17="","",IF(Inputs!$B17="arm",BI17/Inputs!$I17,""))</f>
        <v/>
      </c>
      <c r="BK17" s="21" t="str">
        <f aca="false">IF(Inputs!$B17="","",IF(Inputs!$B17="arm",IF(BI17=MAX(0,BF17),"bending",IF(BI17=MAX(0,BH17),"deflection","shear")),""))</f>
        <v/>
      </c>
      <c r="BL17" s="20" t="str">
        <f aca="false">IF(Inputs!$B17="","",IF(Inputs!$B17="arm",AX17,AK17))</f>
        <v/>
      </c>
      <c r="BM17" s="20" t="str">
        <f aca="false">IF(Inputs!$B17="","",IF(Inputs!$B17="arm",BC17,AO17))</f>
        <v/>
      </c>
      <c r="BN17" s="20" t="str">
        <f aca="false">IF(Inputs!$B17="","",IF(Inputs!$B17="arm",BD17,AP17))</f>
        <v/>
      </c>
      <c r="BO17" s="13" t="str">
        <f aca="false">IF(Inputs!$B17="","",IF(Inputs!$B17="arm",BE17,AQ17))</f>
        <v/>
      </c>
      <c r="BP17" s="13" t="str">
        <f aca="false">IF(Inputs!$B17="","",IF(Inputs!$B17="arm",AY17,AL17))</f>
        <v/>
      </c>
      <c r="BQ17" s="23" t="str">
        <f aca="false">IF(Inputs!$B17="","",BM17/BL17)</f>
        <v/>
      </c>
      <c r="BR17" s="23" t="str">
        <f aca="false">IF(Inputs!$B17="","",BN17/AH17)</f>
        <v/>
      </c>
      <c r="BS17" s="23" t="str">
        <f aca="false">IF(Inputs!$B17="","",BO17/BP17)</f>
        <v/>
      </c>
      <c r="BT17" s="28" t="str">
        <f aca="false">IF(Inputs!$B17="","",MAX(BQ17,BR17,BS17,IF(Inputs!$B17="ladder",AW17,0)))</f>
        <v/>
      </c>
      <c r="BU17" s="16" t="str">
        <f aca="false">IF(Inputs!$B17="","",IF(Inputs!$B17="arm",BJ17,AU17))</f>
        <v/>
      </c>
      <c r="BV17" s="15" t="str">
        <f aca="false">IF(Inputs!$B17="","",IF(Inputs!$B17="arm",BK17,AV17))</f>
        <v/>
      </c>
      <c r="BW17" s="15" t="str">
        <f aca="false">IF(Inputs!$B17="","",IF(BT17&lt;=1,"PASS","FAIL"))</f>
        <v/>
      </c>
      <c r="BX17" s="18" t="str">
        <f aca="false">IF(Inputs!$B17="","",IF(Inputs!$H17&gt;0,BU17/Inputs!$H17-1,""))</f>
        <v/>
      </c>
    </row>
    <row r="18" customFormat="false" ht="15" hidden="false" customHeight="false" outlineLevel="0" collapsed="false">
      <c r="A18" s="0" t="str">
        <f aca="false">IF(Inputs!A18="","",Inputs!A18)</f>
        <v/>
      </c>
      <c r="B18" s="21" t="str">
        <f aca="false">IF(Inputs!$B18="","",Inputs!$B18)</f>
        <v/>
      </c>
      <c r="C18" s="23" t="str">
        <f aca="false">IF(Inputs!$B18="","",IF(OR(Inputs!$B18="perf",Inputs!$B18="trough"),MIN(0.5,IF(Inputs!$B18="perf",p_perfN*p_perfL*p_perfW/(p_perfSp*Inputs!$C18),p_trN*p_trL*p_trW/(p_trSp*Inputs!$C18))),0))</f>
        <v/>
      </c>
      <c r="D18" s="11" t="str">
        <f aca="false">IF(Inputs!$B18="","",IF(Inputs!$B18="ladder",p_collar,IF(Inputs!$B18="perf",IF(AND(Inputs!$C18&gt;=300,Inputs!$D18&gt;=100),15,0),IF(Inputs!$B18="trough",0,p_lip))))</f>
        <v/>
      </c>
      <c r="E18" s="19" t="str">
        <f aca="false">IF(Inputs!$B18="","",IF(Inputs!$B18="ladder",2*Inputs!$E18*Inputs!$D18,IF(OR(Inputs!$B18="perf",Inputs!$B18="trough"),(Inputs!$C18+4)*Inputs!$E18*(1-C18),Inputs!$C18*Inputs!$E18)))</f>
        <v/>
      </c>
      <c r="F18" s="19" t="str">
        <f aca="false">IF(Inputs!$B18="","",IF(Inputs!$B18="ladder",Inputs!$D18/2,Inputs!$E18/2))</f>
        <v/>
      </c>
      <c r="G18" s="20" t="str">
        <f aca="false">IF(Inputs!$B18="","",IF(Inputs!$B18="ladder",2*Inputs!$E18*Inputs!$D18^3/12,IF(OR(Inputs!$B18="perf",Inputs!$B18="trough"),0,Inputs!$C18*Inputs!$E18^3/12)))</f>
        <v/>
      </c>
      <c r="H18" s="19" t="str">
        <f aca="false">IF(Inputs!$B18="","",IF(Inputs!$B18="ladder",2*D18*Inputs!$E18,2*Inputs!$E18*Inputs!$D18))</f>
        <v/>
      </c>
      <c r="I18" s="19" t="str">
        <f aca="false">IF(Inputs!$B18="","",IF(Inputs!$B18="ladder",Inputs!$E18/2,Inputs!$D18/2))</f>
        <v/>
      </c>
      <c r="J18" s="20" t="str">
        <f aca="false">IF(Inputs!$B18="","",IF(Inputs!$B18="ladder",2*D18*Inputs!$E18^3/12,2*Inputs!$E18*Inputs!$D18^3/12))</f>
        <v/>
      </c>
      <c r="K18" s="19" t="str">
        <f aca="false">IF(Inputs!$B18="","",2*D18*Inputs!$E18)</f>
        <v/>
      </c>
      <c r="L18" s="19" t="str">
        <f aca="false">IF(Inputs!$B18="","",Inputs!$D18-Inputs!$E18/2)</f>
        <v/>
      </c>
      <c r="M18" s="20" t="str">
        <f aca="false">IF(Inputs!$B18="","",2*D18*Inputs!$E18^3/12)</f>
        <v/>
      </c>
      <c r="N18" s="19" t="str">
        <f aca="false">IF(Inputs!$B18="","",E18+H18+K18)</f>
        <v/>
      </c>
      <c r="O18" s="13" t="str">
        <f aca="false">IF(Inputs!$B18="","",(E18*F18+H18*I18+K18*L18)/N18)</f>
        <v/>
      </c>
      <c r="P18" s="20" t="str">
        <f aca="false">IF(Inputs!$B18="","",(G18+E18*(F18-O18)^2)+(J18+H18*(I18-O18)^2)+(M18+K18*(L18-O18)^2))</f>
        <v/>
      </c>
      <c r="Q18" s="20" t="str">
        <f aca="false">IF(Inputs!$B18="","",P18/O18)</f>
        <v/>
      </c>
      <c r="R18" s="20" t="str">
        <f aca="false">IF(Inputs!$B18="","",P18/(Inputs!$D18-O18))</f>
        <v/>
      </c>
      <c r="S18" s="19" t="str">
        <f aca="false">IF(Inputs!$B18="","",2*Inputs!$D18*Inputs!$E18)</f>
        <v/>
      </c>
      <c r="T18" s="13" t="str">
        <f aca="false">IF(Inputs!$B18="","",N18*0.00785+IF(Inputs!$B18="ladder",p_rungN/2.5*(p_rungW*p_rungT+2*p_rungT*p_rungH)*Inputs!$C18*0.00000785,0))</f>
        <v/>
      </c>
      <c r="U18" s="13" t="str">
        <f aca="false">IF(Inputs!$B18="","",IF(Inputs!$G18="",T18,Inputs!$G18))</f>
        <v/>
      </c>
      <c r="V18" s="24" t="str">
        <f aca="false">IF(Inputs!$B18="","",Inputs!$D18/Inputs!$E18)</f>
        <v/>
      </c>
      <c r="W18" s="24" t="str">
        <f aca="false">IF(Inputs!$B18="","",IF(D18&gt;0,D18/Inputs!$E18,0))</f>
        <v/>
      </c>
      <c r="X18" s="24" t="str">
        <f aca="false">IF(Inputs!$B18="","",IF(OR(Inputs!$B18="perf",Inputs!$B18="trough"),(Inputs!$C18+4)/Inputs!$E18,IF(OR(Inputs!$B18="channel",Inputs!$B18="arm"),Inputs!$C18/Inputs!$E18,0)))</f>
        <v/>
      </c>
      <c r="Y18" s="21" t="str">
        <f aca="false">IF(Inputs!$B18="","",IF(V18&gt;p_webS,"web; ","")&amp;IF(W18&gt;p_flS,"flange; ","")&amp;IF(X18&gt;p_plS,"base plate; ",""))</f>
        <v/>
      </c>
      <c r="Z18" s="25" t="str">
        <f aca="false">IF(Inputs!$B18="","",IFERROR(INDEX(sup_kw,MATCH(Inputs!$J18,sup_names,0)),INDEX(sup_kw,1)))</f>
        <v/>
      </c>
      <c r="AA18" s="25" t="str">
        <f aca="false">IF(Inputs!$B18="","",IFERROR(INDEX(sup_kp,MATCH(Inputs!$J18,sup_names,0)),INDEX(sup_kp,1)))</f>
        <v/>
      </c>
      <c r="AB18" s="25" t="str">
        <f aca="false">IF(Inputs!$B18="","",IFERROR(INDEX(sup_dw,MATCH(Inputs!$J18,sup_names,0)),INDEX(sup_dw,1)))</f>
        <v/>
      </c>
      <c r="AC18" s="25" t="str">
        <f aca="false">IF(Inputs!$B18="","",IFERROR(INDEX(sup_dp,MATCH(Inputs!$J18,sup_names,0)),INDEX(sup_dp,1)))</f>
        <v/>
      </c>
      <c r="AD18" s="25" t="str">
        <f aca="false">IF(Inputs!$B18="","",IFERROR(INDEX(sup_kv,MATCH(Inputs!$J18,sup_names,0)),INDEX(sup_kv,1)))</f>
        <v/>
      </c>
      <c r="AE18" s="11" t="str">
        <f aca="false">IF(Inputs!$B18="","",p_fy/p_fs)</f>
        <v/>
      </c>
      <c r="AF18" s="19" t="str">
        <f aca="false">IF(Inputs!$B18="","",Inputs!$K18*p_g)</f>
        <v/>
      </c>
      <c r="AG18" s="26" t="str">
        <f aca="false">IF(Inputs!$B18="","",p_E*P18)</f>
        <v/>
      </c>
      <c r="AH18" s="20" t="str">
        <f aca="false">IF(Inputs!$B18="","",p_shear*p_fy*S18)</f>
        <v/>
      </c>
      <c r="AI18" s="20" t="str">
        <f aca="false">IF(Inputs!$B18="","",IF(Inputs!$B18="channel",Inputs!$M18,Inputs!$I18*1000))</f>
        <v/>
      </c>
      <c r="AJ18" s="13" t="str">
        <f aca="false">IF(Inputs!$B18="","",IF(Inputs!$B18="channel",(Inputs!$H18+Inputs!$N18)*Inputs!$I18/(AI18/1000),Inputs!$H18))</f>
        <v/>
      </c>
      <c r="AK18" s="20" t="str">
        <f aca="false">IF(Inputs!$B18="","",AE18*MIN(Q18,R18)*p_splice)</f>
        <v/>
      </c>
      <c r="AL18" s="13" t="str">
        <f aca="false">IF(Inputs!$B18="","",AI18/Inputs!$L18)</f>
        <v/>
      </c>
      <c r="AM18" s="27" t="str">
        <f aca="false">IF(Inputs!$B18="","",U18*p_g/1000)</f>
        <v/>
      </c>
      <c r="AN18" s="27" t="str">
        <f aca="false">IF(Inputs!$B18="","",AJ18*p_g/1000)</f>
        <v/>
      </c>
      <c r="AO18" s="20" t="str">
        <f aca="false">IF(Inputs!$B18="","",Z18*(AM18+AN18)*AI18^2+AA18*AF18*AI18)</f>
        <v/>
      </c>
      <c r="AP18" s="20" t="str">
        <f aca="false">IF(Inputs!$B18="","",AD18*((AM18+AN18)*AI18+AF18))</f>
        <v/>
      </c>
      <c r="AQ18" s="13" t="str">
        <f aca="false">IF(Inputs!$B18="","",AB18*(AM18+AN18)*AI18^4/AG18+AC18*AF18*AI18^3/AG18)</f>
        <v/>
      </c>
      <c r="AR18" s="19" t="str">
        <f aca="false">IF(Inputs!$B18="","",MAX(0,(AK18-AA18*AF18*AI18)/(Z18*AI18^2)-AM18)*1000/p_g)</f>
        <v/>
      </c>
      <c r="AS18" s="19" t="str">
        <f aca="false">IF(Inputs!$B18="","",MAX(0,(AH18-AD18*AF18)/(AD18*AI18)-AM18)*1000/p_g)</f>
        <v/>
      </c>
      <c r="AT18" s="19" t="str">
        <f aca="false">IF(Inputs!$B18="","",MAX(0,(AL18-AC18*AF18*AI18^3/AG18)/(AB18*AI18^4/AG18)-AM18)*1000/p_g)</f>
        <v/>
      </c>
      <c r="AU18" s="19" t="str">
        <f aca="false">IF(Inputs!$B18="","",MIN(AR18,AS18,AT18))</f>
        <v/>
      </c>
      <c r="AV18" s="21" t="str">
        <f aca="false">IF(Inputs!$B18="","",IF(AU18=AR18,"bending",IF(AU18=AT18,"deflection","shear")))</f>
        <v/>
      </c>
      <c r="AW18" s="23" t="str">
        <f aca="false">IF(Inputs!$B18="","",IF(Inputs!$B18="ladder",((Inputs!$H18*2500/p_rungN/1000*p_g)*Inputs!$C18/8+(AF18/3)*Inputs!$C18/4)/(p_fy/p_fs*p_rungZ),""))</f>
        <v/>
      </c>
      <c r="AX18" s="20" t="str">
        <f aca="false">IF(Inputs!$B18="","",IF(Inputs!$B18="arm",AE18*MIN(Q18,R18),""))</f>
        <v/>
      </c>
      <c r="AY18" s="13" t="str">
        <f aca="false">IF(Inputs!$B18="","",IF(Inputs!$B18="arm",Inputs!$F18/p_cant,""))</f>
        <v/>
      </c>
      <c r="AZ18" s="20" t="str">
        <f aca="false">IF(Inputs!$B18="","",IF(Inputs!$B18="arm",Inputs!$H18*Inputs!$I18*p_g,""))</f>
        <v/>
      </c>
      <c r="BA18" s="20" t="str">
        <f aca="false">IF(Inputs!$B18="","",IF(Inputs!$B18="arm",AZ18+Inputs!$N18*Inputs!$I18*p_g,""))</f>
        <v/>
      </c>
      <c r="BB18" s="19" t="str">
        <f aca="false">IF(Inputs!$B18="","",IF(Inputs!$B18="arm",AF18/3,""))</f>
        <v/>
      </c>
      <c r="BC18" s="20" t="str">
        <f aca="false">IF(Inputs!$B18="","",IF(Inputs!$B18="arm",BA18*Inputs!$F18/2+BB18*Inputs!$F18,""))</f>
        <v/>
      </c>
      <c r="BD18" s="20" t="str">
        <f aca="false">IF(Inputs!$B18="","",IF(Inputs!$B18="arm",BA18+BB18,""))</f>
        <v/>
      </c>
      <c r="BE18" s="13" t="str">
        <f aca="false">IF(Inputs!$B18="","",IF(Inputs!$B18="arm",BA18*Inputs!$F18^3/(8*AG18)+BB18*Inputs!$F18^3/(3*AG18),""))</f>
        <v/>
      </c>
      <c r="BF18" s="19" t="str">
        <f aca="false">IF(Inputs!$B18="","",IF(Inputs!$B18="arm",(AX18-BB18*Inputs!$F18)/(Inputs!$F18/2)/p_g-Inputs!$N18*Inputs!$I18,""))</f>
        <v/>
      </c>
      <c r="BG18" s="19" t="str">
        <f aca="false">IF(Inputs!$B18="","",IF(Inputs!$B18="arm",(AH18-BB18)/p_g-Inputs!$N18*Inputs!$I18,""))</f>
        <v/>
      </c>
      <c r="BH18" s="19" t="str">
        <f aca="false">IF(Inputs!$B18="","",IF(Inputs!$B18="arm",(AY18-BB18*Inputs!$F18^3/(3*AG18))/(Inputs!$F18^3/(8*AG18))/p_g-Inputs!$N18*Inputs!$I18,""))</f>
        <v/>
      </c>
      <c r="BI18" s="19" t="str">
        <f aca="false">IF(Inputs!$B18="","",IF(Inputs!$B18="arm",MAX(0,MIN(BF18,BG18,BH18)),""))</f>
        <v/>
      </c>
      <c r="BJ18" s="19" t="str">
        <f aca="false">IF(Inputs!$B18="","",IF(Inputs!$B18="arm",BI18/Inputs!$I18,""))</f>
        <v/>
      </c>
      <c r="BK18" s="21" t="str">
        <f aca="false">IF(Inputs!$B18="","",IF(Inputs!$B18="arm",IF(BI18=MAX(0,BF18),"bending",IF(BI18=MAX(0,BH18),"deflection","shear")),""))</f>
        <v/>
      </c>
      <c r="BL18" s="20" t="str">
        <f aca="false">IF(Inputs!$B18="","",IF(Inputs!$B18="arm",AX18,AK18))</f>
        <v/>
      </c>
      <c r="BM18" s="20" t="str">
        <f aca="false">IF(Inputs!$B18="","",IF(Inputs!$B18="arm",BC18,AO18))</f>
        <v/>
      </c>
      <c r="BN18" s="20" t="str">
        <f aca="false">IF(Inputs!$B18="","",IF(Inputs!$B18="arm",BD18,AP18))</f>
        <v/>
      </c>
      <c r="BO18" s="13" t="str">
        <f aca="false">IF(Inputs!$B18="","",IF(Inputs!$B18="arm",BE18,AQ18))</f>
        <v/>
      </c>
      <c r="BP18" s="13" t="str">
        <f aca="false">IF(Inputs!$B18="","",IF(Inputs!$B18="arm",AY18,AL18))</f>
        <v/>
      </c>
      <c r="BQ18" s="23" t="str">
        <f aca="false">IF(Inputs!$B18="","",BM18/BL18)</f>
        <v/>
      </c>
      <c r="BR18" s="23" t="str">
        <f aca="false">IF(Inputs!$B18="","",BN18/AH18)</f>
        <v/>
      </c>
      <c r="BS18" s="23" t="str">
        <f aca="false">IF(Inputs!$B18="","",BO18/BP18)</f>
        <v/>
      </c>
      <c r="BT18" s="28" t="str">
        <f aca="false">IF(Inputs!$B18="","",MAX(BQ18,BR18,BS18,IF(Inputs!$B18="ladder",AW18,0)))</f>
        <v/>
      </c>
      <c r="BU18" s="16" t="str">
        <f aca="false">IF(Inputs!$B18="","",IF(Inputs!$B18="arm",BJ18,AU18))</f>
        <v/>
      </c>
      <c r="BV18" s="15" t="str">
        <f aca="false">IF(Inputs!$B18="","",IF(Inputs!$B18="arm",BK18,AV18))</f>
        <v/>
      </c>
      <c r="BW18" s="15" t="str">
        <f aca="false">IF(Inputs!$B18="","",IF(BT18&lt;=1,"PASS","FAIL"))</f>
        <v/>
      </c>
      <c r="BX18" s="18" t="str">
        <f aca="false">IF(Inputs!$B18="","",IF(Inputs!$H18&gt;0,BU18/Inputs!$H18-1,""))</f>
        <v/>
      </c>
    </row>
    <row r="19" customFormat="false" ht="15" hidden="false" customHeight="false" outlineLevel="0" collapsed="false">
      <c r="A19" s="0" t="str">
        <f aca="false">IF(Inputs!A19="","",Inputs!A19)</f>
        <v/>
      </c>
      <c r="B19" s="21" t="str">
        <f aca="false">IF(Inputs!$B19="","",Inputs!$B19)</f>
        <v/>
      </c>
      <c r="C19" s="23" t="str">
        <f aca="false">IF(Inputs!$B19="","",IF(OR(Inputs!$B19="perf",Inputs!$B19="trough"),MIN(0.5,IF(Inputs!$B19="perf",p_perfN*p_perfL*p_perfW/(p_perfSp*Inputs!$C19),p_trN*p_trL*p_trW/(p_trSp*Inputs!$C19))),0))</f>
        <v/>
      </c>
      <c r="D19" s="11" t="str">
        <f aca="false">IF(Inputs!$B19="","",IF(Inputs!$B19="ladder",p_collar,IF(Inputs!$B19="perf",IF(AND(Inputs!$C19&gt;=300,Inputs!$D19&gt;=100),15,0),IF(Inputs!$B19="trough",0,p_lip))))</f>
        <v/>
      </c>
      <c r="E19" s="19" t="str">
        <f aca="false">IF(Inputs!$B19="","",IF(Inputs!$B19="ladder",2*Inputs!$E19*Inputs!$D19,IF(OR(Inputs!$B19="perf",Inputs!$B19="trough"),(Inputs!$C19+4)*Inputs!$E19*(1-C19),Inputs!$C19*Inputs!$E19)))</f>
        <v/>
      </c>
      <c r="F19" s="19" t="str">
        <f aca="false">IF(Inputs!$B19="","",IF(Inputs!$B19="ladder",Inputs!$D19/2,Inputs!$E19/2))</f>
        <v/>
      </c>
      <c r="G19" s="20" t="str">
        <f aca="false">IF(Inputs!$B19="","",IF(Inputs!$B19="ladder",2*Inputs!$E19*Inputs!$D19^3/12,IF(OR(Inputs!$B19="perf",Inputs!$B19="trough"),0,Inputs!$C19*Inputs!$E19^3/12)))</f>
        <v/>
      </c>
      <c r="H19" s="19" t="str">
        <f aca="false">IF(Inputs!$B19="","",IF(Inputs!$B19="ladder",2*D19*Inputs!$E19,2*Inputs!$E19*Inputs!$D19))</f>
        <v/>
      </c>
      <c r="I19" s="19" t="str">
        <f aca="false">IF(Inputs!$B19="","",IF(Inputs!$B19="ladder",Inputs!$E19/2,Inputs!$D19/2))</f>
        <v/>
      </c>
      <c r="J19" s="20" t="str">
        <f aca="false">IF(Inputs!$B19="","",IF(Inputs!$B19="ladder",2*D19*Inputs!$E19^3/12,2*Inputs!$E19*Inputs!$D19^3/12))</f>
        <v/>
      </c>
      <c r="K19" s="19" t="str">
        <f aca="false">IF(Inputs!$B19="","",2*D19*Inputs!$E19)</f>
        <v/>
      </c>
      <c r="L19" s="19" t="str">
        <f aca="false">IF(Inputs!$B19="","",Inputs!$D19-Inputs!$E19/2)</f>
        <v/>
      </c>
      <c r="M19" s="20" t="str">
        <f aca="false">IF(Inputs!$B19="","",2*D19*Inputs!$E19^3/12)</f>
        <v/>
      </c>
      <c r="N19" s="19" t="str">
        <f aca="false">IF(Inputs!$B19="","",E19+H19+K19)</f>
        <v/>
      </c>
      <c r="O19" s="13" t="str">
        <f aca="false">IF(Inputs!$B19="","",(E19*F19+H19*I19+K19*L19)/N19)</f>
        <v/>
      </c>
      <c r="P19" s="20" t="str">
        <f aca="false">IF(Inputs!$B19="","",(G19+E19*(F19-O19)^2)+(J19+H19*(I19-O19)^2)+(M19+K19*(L19-O19)^2))</f>
        <v/>
      </c>
      <c r="Q19" s="20" t="str">
        <f aca="false">IF(Inputs!$B19="","",P19/O19)</f>
        <v/>
      </c>
      <c r="R19" s="20" t="str">
        <f aca="false">IF(Inputs!$B19="","",P19/(Inputs!$D19-O19))</f>
        <v/>
      </c>
      <c r="S19" s="19" t="str">
        <f aca="false">IF(Inputs!$B19="","",2*Inputs!$D19*Inputs!$E19)</f>
        <v/>
      </c>
      <c r="T19" s="13" t="str">
        <f aca="false">IF(Inputs!$B19="","",N19*0.00785+IF(Inputs!$B19="ladder",p_rungN/2.5*(p_rungW*p_rungT+2*p_rungT*p_rungH)*Inputs!$C19*0.00000785,0))</f>
        <v/>
      </c>
      <c r="U19" s="13" t="str">
        <f aca="false">IF(Inputs!$B19="","",IF(Inputs!$G19="",T19,Inputs!$G19))</f>
        <v/>
      </c>
      <c r="V19" s="24" t="str">
        <f aca="false">IF(Inputs!$B19="","",Inputs!$D19/Inputs!$E19)</f>
        <v/>
      </c>
      <c r="W19" s="24" t="str">
        <f aca="false">IF(Inputs!$B19="","",IF(D19&gt;0,D19/Inputs!$E19,0))</f>
        <v/>
      </c>
      <c r="X19" s="24" t="str">
        <f aca="false">IF(Inputs!$B19="","",IF(OR(Inputs!$B19="perf",Inputs!$B19="trough"),(Inputs!$C19+4)/Inputs!$E19,IF(OR(Inputs!$B19="channel",Inputs!$B19="arm"),Inputs!$C19/Inputs!$E19,0)))</f>
        <v/>
      </c>
      <c r="Y19" s="21" t="str">
        <f aca="false">IF(Inputs!$B19="","",IF(V19&gt;p_webS,"web; ","")&amp;IF(W19&gt;p_flS,"flange; ","")&amp;IF(X19&gt;p_plS,"base plate; ",""))</f>
        <v/>
      </c>
      <c r="Z19" s="25" t="str">
        <f aca="false">IF(Inputs!$B19="","",IFERROR(INDEX(sup_kw,MATCH(Inputs!$J19,sup_names,0)),INDEX(sup_kw,1)))</f>
        <v/>
      </c>
      <c r="AA19" s="25" t="str">
        <f aca="false">IF(Inputs!$B19="","",IFERROR(INDEX(sup_kp,MATCH(Inputs!$J19,sup_names,0)),INDEX(sup_kp,1)))</f>
        <v/>
      </c>
      <c r="AB19" s="25" t="str">
        <f aca="false">IF(Inputs!$B19="","",IFERROR(INDEX(sup_dw,MATCH(Inputs!$J19,sup_names,0)),INDEX(sup_dw,1)))</f>
        <v/>
      </c>
      <c r="AC19" s="25" t="str">
        <f aca="false">IF(Inputs!$B19="","",IFERROR(INDEX(sup_dp,MATCH(Inputs!$J19,sup_names,0)),INDEX(sup_dp,1)))</f>
        <v/>
      </c>
      <c r="AD19" s="25" t="str">
        <f aca="false">IF(Inputs!$B19="","",IFERROR(INDEX(sup_kv,MATCH(Inputs!$J19,sup_names,0)),INDEX(sup_kv,1)))</f>
        <v/>
      </c>
      <c r="AE19" s="11" t="str">
        <f aca="false">IF(Inputs!$B19="","",p_fy/p_fs)</f>
        <v/>
      </c>
      <c r="AF19" s="19" t="str">
        <f aca="false">IF(Inputs!$B19="","",Inputs!$K19*p_g)</f>
        <v/>
      </c>
      <c r="AG19" s="26" t="str">
        <f aca="false">IF(Inputs!$B19="","",p_E*P19)</f>
        <v/>
      </c>
      <c r="AH19" s="20" t="str">
        <f aca="false">IF(Inputs!$B19="","",p_shear*p_fy*S19)</f>
        <v/>
      </c>
      <c r="AI19" s="20" t="str">
        <f aca="false">IF(Inputs!$B19="","",IF(Inputs!$B19="channel",Inputs!$M19,Inputs!$I19*1000))</f>
        <v/>
      </c>
      <c r="AJ19" s="13" t="str">
        <f aca="false">IF(Inputs!$B19="","",IF(Inputs!$B19="channel",(Inputs!$H19+Inputs!$N19)*Inputs!$I19/(AI19/1000),Inputs!$H19))</f>
        <v/>
      </c>
      <c r="AK19" s="20" t="str">
        <f aca="false">IF(Inputs!$B19="","",AE19*MIN(Q19,R19)*p_splice)</f>
        <v/>
      </c>
      <c r="AL19" s="13" t="str">
        <f aca="false">IF(Inputs!$B19="","",AI19/Inputs!$L19)</f>
        <v/>
      </c>
      <c r="AM19" s="27" t="str">
        <f aca="false">IF(Inputs!$B19="","",U19*p_g/1000)</f>
        <v/>
      </c>
      <c r="AN19" s="27" t="str">
        <f aca="false">IF(Inputs!$B19="","",AJ19*p_g/1000)</f>
        <v/>
      </c>
      <c r="AO19" s="20" t="str">
        <f aca="false">IF(Inputs!$B19="","",Z19*(AM19+AN19)*AI19^2+AA19*AF19*AI19)</f>
        <v/>
      </c>
      <c r="AP19" s="20" t="str">
        <f aca="false">IF(Inputs!$B19="","",AD19*((AM19+AN19)*AI19+AF19))</f>
        <v/>
      </c>
      <c r="AQ19" s="13" t="str">
        <f aca="false">IF(Inputs!$B19="","",AB19*(AM19+AN19)*AI19^4/AG19+AC19*AF19*AI19^3/AG19)</f>
        <v/>
      </c>
      <c r="AR19" s="19" t="str">
        <f aca="false">IF(Inputs!$B19="","",MAX(0,(AK19-AA19*AF19*AI19)/(Z19*AI19^2)-AM19)*1000/p_g)</f>
        <v/>
      </c>
      <c r="AS19" s="19" t="str">
        <f aca="false">IF(Inputs!$B19="","",MAX(0,(AH19-AD19*AF19)/(AD19*AI19)-AM19)*1000/p_g)</f>
        <v/>
      </c>
      <c r="AT19" s="19" t="str">
        <f aca="false">IF(Inputs!$B19="","",MAX(0,(AL19-AC19*AF19*AI19^3/AG19)/(AB19*AI19^4/AG19)-AM19)*1000/p_g)</f>
        <v/>
      </c>
      <c r="AU19" s="19" t="str">
        <f aca="false">IF(Inputs!$B19="","",MIN(AR19,AS19,AT19))</f>
        <v/>
      </c>
      <c r="AV19" s="21" t="str">
        <f aca="false">IF(Inputs!$B19="","",IF(AU19=AR19,"bending",IF(AU19=AT19,"deflection","shear")))</f>
        <v/>
      </c>
      <c r="AW19" s="23" t="str">
        <f aca="false">IF(Inputs!$B19="","",IF(Inputs!$B19="ladder",((Inputs!$H19*2500/p_rungN/1000*p_g)*Inputs!$C19/8+(AF19/3)*Inputs!$C19/4)/(p_fy/p_fs*p_rungZ),""))</f>
        <v/>
      </c>
      <c r="AX19" s="20" t="str">
        <f aca="false">IF(Inputs!$B19="","",IF(Inputs!$B19="arm",AE19*MIN(Q19,R19),""))</f>
        <v/>
      </c>
      <c r="AY19" s="13" t="str">
        <f aca="false">IF(Inputs!$B19="","",IF(Inputs!$B19="arm",Inputs!$F19/p_cant,""))</f>
        <v/>
      </c>
      <c r="AZ19" s="20" t="str">
        <f aca="false">IF(Inputs!$B19="","",IF(Inputs!$B19="arm",Inputs!$H19*Inputs!$I19*p_g,""))</f>
        <v/>
      </c>
      <c r="BA19" s="20" t="str">
        <f aca="false">IF(Inputs!$B19="","",IF(Inputs!$B19="arm",AZ19+Inputs!$N19*Inputs!$I19*p_g,""))</f>
        <v/>
      </c>
      <c r="BB19" s="19" t="str">
        <f aca="false">IF(Inputs!$B19="","",IF(Inputs!$B19="arm",AF19/3,""))</f>
        <v/>
      </c>
      <c r="BC19" s="20" t="str">
        <f aca="false">IF(Inputs!$B19="","",IF(Inputs!$B19="arm",BA19*Inputs!$F19/2+BB19*Inputs!$F19,""))</f>
        <v/>
      </c>
      <c r="BD19" s="20" t="str">
        <f aca="false">IF(Inputs!$B19="","",IF(Inputs!$B19="arm",BA19+BB19,""))</f>
        <v/>
      </c>
      <c r="BE19" s="13" t="str">
        <f aca="false">IF(Inputs!$B19="","",IF(Inputs!$B19="arm",BA19*Inputs!$F19^3/(8*AG19)+BB19*Inputs!$F19^3/(3*AG19),""))</f>
        <v/>
      </c>
      <c r="BF19" s="19" t="str">
        <f aca="false">IF(Inputs!$B19="","",IF(Inputs!$B19="arm",(AX19-BB19*Inputs!$F19)/(Inputs!$F19/2)/p_g-Inputs!$N19*Inputs!$I19,""))</f>
        <v/>
      </c>
      <c r="BG19" s="19" t="str">
        <f aca="false">IF(Inputs!$B19="","",IF(Inputs!$B19="arm",(AH19-BB19)/p_g-Inputs!$N19*Inputs!$I19,""))</f>
        <v/>
      </c>
      <c r="BH19" s="19" t="str">
        <f aca="false">IF(Inputs!$B19="","",IF(Inputs!$B19="arm",(AY19-BB19*Inputs!$F19^3/(3*AG19))/(Inputs!$F19^3/(8*AG19))/p_g-Inputs!$N19*Inputs!$I19,""))</f>
        <v/>
      </c>
      <c r="BI19" s="19" t="str">
        <f aca="false">IF(Inputs!$B19="","",IF(Inputs!$B19="arm",MAX(0,MIN(BF19,BG19,BH19)),""))</f>
        <v/>
      </c>
      <c r="BJ19" s="19" t="str">
        <f aca="false">IF(Inputs!$B19="","",IF(Inputs!$B19="arm",BI19/Inputs!$I19,""))</f>
        <v/>
      </c>
      <c r="BK19" s="21" t="str">
        <f aca="false">IF(Inputs!$B19="","",IF(Inputs!$B19="arm",IF(BI19=MAX(0,BF19),"bending",IF(BI19=MAX(0,BH19),"deflection","shear")),""))</f>
        <v/>
      </c>
      <c r="BL19" s="20" t="str">
        <f aca="false">IF(Inputs!$B19="","",IF(Inputs!$B19="arm",AX19,AK19))</f>
        <v/>
      </c>
      <c r="BM19" s="20" t="str">
        <f aca="false">IF(Inputs!$B19="","",IF(Inputs!$B19="arm",BC19,AO19))</f>
        <v/>
      </c>
      <c r="BN19" s="20" t="str">
        <f aca="false">IF(Inputs!$B19="","",IF(Inputs!$B19="arm",BD19,AP19))</f>
        <v/>
      </c>
      <c r="BO19" s="13" t="str">
        <f aca="false">IF(Inputs!$B19="","",IF(Inputs!$B19="arm",BE19,AQ19))</f>
        <v/>
      </c>
      <c r="BP19" s="13" t="str">
        <f aca="false">IF(Inputs!$B19="","",IF(Inputs!$B19="arm",AY19,AL19))</f>
        <v/>
      </c>
      <c r="BQ19" s="23" t="str">
        <f aca="false">IF(Inputs!$B19="","",BM19/BL19)</f>
        <v/>
      </c>
      <c r="BR19" s="23" t="str">
        <f aca="false">IF(Inputs!$B19="","",BN19/AH19)</f>
        <v/>
      </c>
      <c r="BS19" s="23" t="str">
        <f aca="false">IF(Inputs!$B19="","",BO19/BP19)</f>
        <v/>
      </c>
      <c r="BT19" s="28" t="str">
        <f aca="false">IF(Inputs!$B19="","",MAX(BQ19,BR19,BS19,IF(Inputs!$B19="ladder",AW19,0)))</f>
        <v/>
      </c>
      <c r="BU19" s="16" t="str">
        <f aca="false">IF(Inputs!$B19="","",IF(Inputs!$B19="arm",BJ19,AU19))</f>
        <v/>
      </c>
      <c r="BV19" s="15" t="str">
        <f aca="false">IF(Inputs!$B19="","",IF(Inputs!$B19="arm",BK19,AV19))</f>
        <v/>
      </c>
      <c r="BW19" s="15" t="str">
        <f aca="false">IF(Inputs!$B19="","",IF(BT19&lt;=1,"PASS","FAIL"))</f>
        <v/>
      </c>
      <c r="BX19" s="18" t="str">
        <f aca="false">IF(Inputs!$B19="","",IF(Inputs!$H19&gt;0,BU19/Inputs!$H19-1,""))</f>
        <v/>
      </c>
    </row>
    <row r="20" customFormat="false" ht="15" hidden="false" customHeight="false" outlineLevel="0" collapsed="false">
      <c r="A20" s="0" t="str">
        <f aca="false">IF(Inputs!A20="","",Inputs!A20)</f>
        <v/>
      </c>
      <c r="B20" s="21" t="str">
        <f aca="false">IF(Inputs!$B20="","",Inputs!$B20)</f>
        <v/>
      </c>
      <c r="C20" s="23" t="str">
        <f aca="false">IF(Inputs!$B20="","",IF(OR(Inputs!$B20="perf",Inputs!$B20="trough"),MIN(0.5,IF(Inputs!$B20="perf",p_perfN*p_perfL*p_perfW/(p_perfSp*Inputs!$C20),p_trN*p_trL*p_trW/(p_trSp*Inputs!$C20))),0))</f>
        <v/>
      </c>
      <c r="D20" s="11" t="str">
        <f aca="false">IF(Inputs!$B20="","",IF(Inputs!$B20="ladder",p_collar,IF(Inputs!$B20="perf",IF(AND(Inputs!$C20&gt;=300,Inputs!$D20&gt;=100),15,0),IF(Inputs!$B20="trough",0,p_lip))))</f>
        <v/>
      </c>
      <c r="E20" s="19" t="str">
        <f aca="false">IF(Inputs!$B20="","",IF(Inputs!$B20="ladder",2*Inputs!$E20*Inputs!$D20,IF(OR(Inputs!$B20="perf",Inputs!$B20="trough"),(Inputs!$C20+4)*Inputs!$E20*(1-C20),Inputs!$C20*Inputs!$E20)))</f>
        <v/>
      </c>
      <c r="F20" s="19" t="str">
        <f aca="false">IF(Inputs!$B20="","",IF(Inputs!$B20="ladder",Inputs!$D20/2,Inputs!$E20/2))</f>
        <v/>
      </c>
      <c r="G20" s="20" t="str">
        <f aca="false">IF(Inputs!$B20="","",IF(Inputs!$B20="ladder",2*Inputs!$E20*Inputs!$D20^3/12,IF(OR(Inputs!$B20="perf",Inputs!$B20="trough"),0,Inputs!$C20*Inputs!$E20^3/12)))</f>
        <v/>
      </c>
      <c r="H20" s="19" t="str">
        <f aca="false">IF(Inputs!$B20="","",IF(Inputs!$B20="ladder",2*D20*Inputs!$E20,2*Inputs!$E20*Inputs!$D20))</f>
        <v/>
      </c>
      <c r="I20" s="19" t="str">
        <f aca="false">IF(Inputs!$B20="","",IF(Inputs!$B20="ladder",Inputs!$E20/2,Inputs!$D20/2))</f>
        <v/>
      </c>
      <c r="J20" s="20" t="str">
        <f aca="false">IF(Inputs!$B20="","",IF(Inputs!$B20="ladder",2*D20*Inputs!$E20^3/12,2*Inputs!$E20*Inputs!$D20^3/12))</f>
        <v/>
      </c>
      <c r="K20" s="19" t="str">
        <f aca="false">IF(Inputs!$B20="","",2*D20*Inputs!$E20)</f>
        <v/>
      </c>
      <c r="L20" s="19" t="str">
        <f aca="false">IF(Inputs!$B20="","",Inputs!$D20-Inputs!$E20/2)</f>
        <v/>
      </c>
      <c r="M20" s="20" t="str">
        <f aca="false">IF(Inputs!$B20="","",2*D20*Inputs!$E20^3/12)</f>
        <v/>
      </c>
      <c r="N20" s="19" t="str">
        <f aca="false">IF(Inputs!$B20="","",E20+H20+K20)</f>
        <v/>
      </c>
      <c r="O20" s="13" t="str">
        <f aca="false">IF(Inputs!$B20="","",(E20*F20+H20*I20+K20*L20)/N20)</f>
        <v/>
      </c>
      <c r="P20" s="20" t="str">
        <f aca="false">IF(Inputs!$B20="","",(G20+E20*(F20-O20)^2)+(J20+H20*(I20-O20)^2)+(M20+K20*(L20-O20)^2))</f>
        <v/>
      </c>
      <c r="Q20" s="20" t="str">
        <f aca="false">IF(Inputs!$B20="","",P20/O20)</f>
        <v/>
      </c>
      <c r="R20" s="20" t="str">
        <f aca="false">IF(Inputs!$B20="","",P20/(Inputs!$D20-O20))</f>
        <v/>
      </c>
      <c r="S20" s="19" t="str">
        <f aca="false">IF(Inputs!$B20="","",2*Inputs!$D20*Inputs!$E20)</f>
        <v/>
      </c>
      <c r="T20" s="13" t="str">
        <f aca="false">IF(Inputs!$B20="","",N20*0.00785+IF(Inputs!$B20="ladder",p_rungN/2.5*(p_rungW*p_rungT+2*p_rungT*p_rungH)*Inputs!$C20*0.00000785,0))</f>
        <v/>
      </c>
      <c r="U20" s="13" t="str">
        <f aca="false">IF(Inputs!$B20="","",IF(Inputs!$G20="",T20,Inputs!$G20))</f>
        <v/>
      </c>
      <c r="V20" s="24" t="str">
        <f aca="false">IF(Inputs!$B20="","",Inputs!$D20/Inputs!$E20)</f>
        <v/>
      </c>
      <c r="W20" s="24" t="str">
        <f aca="false">IF(Inputs!$B20="","",IF(D20&gt;0,D20/Inputs!$E20,0))</f>
        <v/>
      </c>
      <c r="X20" s="24" t="str">
        <f aca="false">IF(Inputs!$B20="","",IF(OR(Inputs!$B20="perf",Inputs!$B20="trough"),(Inputs!$C20+4)/Inputs!$E20,IF(OR(Inputs!$B20="channel",Inputs!$B20="arm"),Inputs!$C20/Inputs!$E20,0)))</f>
        <v/>
      </c>
      <c r="Y20" s="21" t="str">
        <f aca="false">IF(Inputs!$B20="","",IF(V20&gt;p_webS,"web; ","")&amp;IF(W20&gt;p_flS,"flange; ","")&amp;IF(X20&gt;p_plS,"base plate; ",""))</f>
        <v/>
      </c>
      <c r="Z20" s="25" t="str">
        <f aca="false">IF(Inputs!$B20="","",IFERROR(INDEX(sup_kw,MATCH(Inputs!$J20,sup_names,0)),INDEX(sup_kw,1)))</f>
        <v/>
      </c>
      <c r="AA20" s="25" t="str">
        <f aca="false">IF(Inputs!$B20="","",IFERROR(INDEX(sup_kp,MATCH(Inputs!$J20,sup_names,0)),INDEX(sup_kp,1)))</f>
        <v/>
      </c>
      <c r="AB20" s="25" t="str">
        <f aca="false">IF(Inputs!$B20="","",IFERROR(INDEX(sup_dw,MATCH(Inputs!$J20,sup_names,0)),INDEX(sup_dw,1)))</f>
        <v/>
      </c>
      <c r="AC20" s="25" t="str">
        <f aca="false">IF(Inputs!$B20="","",IFERROR(INDEX(sup_dp,MATCH(Inputs!$J20,sup_names,0)),INDEX(sup_dp,1)))</f>
        <v/>
      </c>
      <c r="AD20" s="25" t="str">
        <f aca="false">IF(Inputs!$B20="","",IFERROR(INDEX(sup_kv,MATCH(Inputs!$J20,sup_names,0)),INDEX(sup_kv,1)))</f>
        <v/>
      </c>
      <c r="AE20" s="11" t="str">
        <f aca="false">IF(Inputs!$B20="","",p_fy/p_fs)</f>
        <v/>
      </c>
      <c r="AF20" s="19" t="str">
        <f aca="false">IF(Inputs!$B20="","",Inputs!$K20*p_g)</f>
        <v/>
      </c>
      <c r="AG20" s="26" t="str">
        <f aca="false">IF(Inputs!$B20="","",p_E*P20)</f>
        <v/>
      </c>
      <c r="AH20" s="20" t="str">
        <f aca="false">IF(Inputs!$B20="","",p_shear*p_fy*S20)</f>
        <v/>
      </c>
      <c r="AI20" s="20" t="str">
        <f aca="false">IF(Inputs!$B20="","",IF(Inputs!$B20="channel",Inputs!$M20,Inputs!$I20*1000))</f>
        <v/>
      </c>
      <c r="AJ20" s="13" t="str">
        <f aca="false">IF(Inputs!$B20="","",IF(Inputs!$B20="channel",(Inputs!$H20+Inputs!$N20)*Inputs!$I20/(AI20/1000),Inputs!$H20))</f>
        <v/>
      </c>
      <c r="AK20" s="20" t="str">
        <f aca="false">IF(Inputs!$B20="","",AE20*MIN(Q20,R20)*p_splice)</f>
        <v/>
      </c>
      <c r="AL20" s="13" t="str">
        <f aca="false">IF(Inputs!$B20="","",AI20/Inputs!$L20)</f>
        <v/>
      </c>
      <c r="AM20" s="27" t="str">
        <f aca="false">IF(Inputs!$B20="","",U20*p_g/1000)</f>
        <v/>
      </c>
      <c r="AN20" s="27" t="str">
        <f aca="false">IF(Inputs!$B20="","",AJ20*p_g/1000)</f>
        <v/>
      </c>
      <c r="AO20" s="20" t="str">
        <f aca="false">IF(Inputs!$B20="","",Z20*(AM20+AN20)*AI20^2+AA20*AF20*AI20)</f>
        <v/>
      </c>
      <c r="AP20" s="20" t="str">
        <f aca="false">IF(Inputs!$B20="","",AD20*((AM20+AN20)*AI20+AF20))</f>
        <v/>
      </c>
      <c r="AQ20" s="13" t="str">
        <f aca="false">IF(Inputs!$B20="","",AB20*(AM20+AN20)*AI20^4/AG20+AC20*AF20*AI20^3/AG20)</f>
        <v/>
      </c>
      <c r="AR20" s="19" t="str">
        <f aca="false">IF(Inputs!$B20="","",MAX(0,(AK20-AA20*AF20*AI20)/(Z20*AI20^2)-AM20)*1000/p_g)</f>
        <v/>
      </c>
      <c r="AS20" s="19" t="str">
        <f aca="false">IF(Inputs!$B20="","",MAX(0,(AH20-AD20*AF20)/(AD20*AI20)-AM20)*1000/p_g)</f>
        <v/>
      </c>
      <c r="AT20" s="19" t="str">
        <f aca="false">IF(Inputs!$B20="","",MAX(0,(AL20-AC20*AF20*AI20^3/AG20)/(AB20*AI20^4/AG20)-AM20)*1000/p_g)</f>
        <v/>
      </c>
      <c r="AU20" s="19" t="str">
        <f aca="false">IF(Inputs!$B20="","",MIN(AR20,AS20,AT20))</f>
        <v/>
      </c>
      <c r="AV20" s="21" t="str">
        <f aca="false">IF(Inputs!$B20="","",IF(AU20=AR20,"bending",IF(AU20=AT20,"deflection","shear")))</f>
        <v/>
      </c>
      <c r="AW20" s="23" t="str">
        <f aca="false">IF(Inputs!$B20="","",IF(Inputs!$B20="ladder",((Inputs!$H20*2500/p_rungN/1000*p_g)*Inputs!$C20/8+(AF20/3)*Inputs!$C20/4)/(p_fy/p_fs*p_rungZ),""))</f>
        <v/>
      </c>
      <c r="AX20" s="20" t="str">
        <f aca="false">IF(Inputs!$B20="","",IF(Inputs!$B20="arm",AE20*MIN(Q20,R20),""))</f>
        <v/>
      </c>
      <c r="AY20" s="13" t="str">
        <f aca="false">IF(Inputs!$B20="","",IF(Inputs!$B20="arm",Inputs!$F20/p_cant,""))</f>
        <v/>
      </c>
      <c r="AZ20" s="20" t="str">
        <f aca="false">IF(Inputs!$B20="","",IF(Inputs!$B20="arm",Inputs!$H20*Inputs!$I20*p_g,""))</f>
        <v/>
      </c>
      <c r="BA20" s="20" t="str">
        <f aca="false">IF(Inputs!$B20="","",IF(Inputs!$B20="arm",AZ20+Inputs!$N20*Inputs!$I20*p_g,""))</f>
        <v/>
      </c>
      <c r="BB20" s="19" t="str">
        <f aca="false">IF(Inputs!$B20="","",IF(Inputs!$B20="arm",AF20/3,""))</f>
        <v/>
      </c>
      <c r="BC20" s="20" t="str">
        <f aca="false">IF(Inputs!$B20="","",IF(Inputs!$B20="arm",BA20*Inputs!$F20/2+BB20*Inputs!$F20,""))</f>
        <v/>
      </c>
      <c r="BD20" s="20" t="str">
        <f aca="false">IF(Inputs!$B20="","",IF(Inputs!$B20="arm",BA20+BB20,""))</f>
        <v/>
      </c>
      <c r="BE20" s="13" t="str">
        <f aca="false">IF(Inputs!$B20="","",IF(Inputs!$B20="arm",BA20*Inputs!$F20^3/(8*AG20)+BB20*Inputs!$F20^3/(3*AG20),""))</f>
        <v/>
      </c>
      <c r="BF20" s="19" t="str">
        <f aca="false">IF(Inputs!$B20="","",IF(Inputs!$B20="arm",(AX20-BB20*Inputs!$F20)/(Inputs!$F20/2)/p_g-Inputs!$N20*Inputs!$I20,""))</f>
        <v/>
      </c>
      <c r="BG20" s="19" t="str">
        <f aca="false">IF(Inputs!$B20="","",IF(Inputs!$B20="arm",(AH20-BB20)/p_g-Inputs!$N20*Inputs!$I20,""))</f>
        <v/>
      </c>
      <c r="BH20" s="19" t="str">
        <f aca="false">IF(Inputs!$B20="","",IF(Inputs!$B20="arm",(AY20-BB20*Inputs!$F20^3/(3*AG20))/(Inputs!$F20^3/(8*AG20))/p_g-Inputs!$N20*Inputs!$I20,""))</f>
        <v/>
      </c>
      <c r="BI20" s="19" t="str">
        <f aca="false">IF(Inputs!$B20="","",IF(Inputs!$B20="arm",MAX(0,MIN(BF20,BG20,BH20)),""))</f>
        <v/>
      </c>
      <c r="BJ20" s="19" t="str">
        <f aca="false">IF(Inputs!$B20="","",IF(Inputs!$B20="arm",BI20/Inputs!$I20,""))</f>
        <v/>
      </c>
      <c r="BK20" s="21" t="str">
        <f aca="false">IF(Inputs!$B20="","",IF(Inputs!$B20="arm",IF(BI20=MAX(0,BF20),"bending",IF(BI20=MAX(0,BH20),"deflection","shear")),""))</f>
        <v/>
      </c>
      <c r="BL20" s="20" t="str">
        <f aca="false">IF(Inputs!$B20="","",IF(Inputs!$B20="arm",AX20,AK20))</f>
        <v/>
      </c>
      <c r="BM20" s="20" t="str">
        <f aca="false">IF(Inputs!$B20="","",IF(Inputs!$B20="arm",BC20,AO20))</f>
        <v/>
      </c>
      <c r="BN20" s="20" t="str">
        <f aca="false">IF(Inputs!$B20="","",IF(Inputs!$B20="arm",BD20,AP20))</f>
        <v/>
      </c>
      <c r="BO20" s="13" t="str">
        <f aca="false">IF(Inputs!$B20="","",IF(Inputs!$B20="arm",BE20,AQ20))</f>
        <v/>
      </c>
      <c r="BP20" s="13" t="str">
        <f aca="false">IF(Inputs!$B20="","",IF(Inputs!$B20="arm",AY20,AL20))</f>
        <v/>
      </c>
      <c r="BQ20" s="23" t="str">
        <f aca="false">IF(Inputs!$B20="","",BM20/BL20)</f>
        <v/>
      </c>
      <c r="BR20" s="23" t="str">
        <f aca="false">IF(Inputs!$B20="","",BN20/AH20)</f>
        <v/>
      </c>
      <c r="BS20" s="23" t="str">
        <f aca="false">IF(Inputs!$B20="","",BO20/BP20)</f>
        <v/>
      </c>
      <c r="BT20" s="28" t="str">
        <f aca="false">IF(Inputs!$B20="","",MAX(BQ20,BR20,BS20,IF(Inputs!$B20="ladder",AW20,0)))</f>
        <v/>
      </c>
      <c r="BU20" s="16" t="str">
        <f aca="false">IF(Inputs!$B20="","",IF(Inputs!$B20="arm",BJ20,AU20))</f>
        <v/>
      </c>
      <c r="BV20" s="15" t="str">
        <f aca="false">IF(Inputs!$B20="","",IF(Inputs!$B20="arm",BK20,AV20))</f>
        <v/>
      </c>
      <c r="BW20" s="15" t="str">
        <f aca="false">IF(Inputs!$B20="","",IF(BT20&lt;=1,"PASS","FAIL"))</f>
        <v/>
      </c>
      <c r="BX20" s="18" t="str">
        <f aca="false">IF(Inputs!$B20="","",IF(Inputs!$H20&gt;0,BU20/Inputs!$H20-1,""))</f>
        <v/>
      </c>
    </row>
    <row r="21" customFormat="false" ht="15" hidden="false" customHeight="false" outlineLevel="0" collapsed="false">
      <c r="A21" s="0" t="str">
        <f aca="false">IF(Inputs!A21="","",Inputs!A21)</f>
        <v/>
      </c>
      <c r="B21" s="21" t="str">
        <f aca="false">IF(Inputs!$B21="","",Inputs!$B21)</f>
        <v/>
      </c>
      <c r="C21" s="23" t="str">
        <f aca="false">IF(Inputs!$B21="","",IF(OR(Inputs!$B21="perf",Inputs!$B21="trough"),MIN(0.5,IF(Inputs!$B21="perf",p_perfN*p_perfL*p_perfW/(p_perfSp*Inputs!$C21),p_trN*p_trL*p_trW/(p_trSp*Inputs!$C21))),0))</f>
        <v/>
      </c>
      <c r="D21" s="11" t="str">
        <f aca="false">IF(Inputs!$B21="","",IF(Inputs!$B21="ladder",p_collar,IF(Inputs!$B21="perf",IF(AND(Inputs!$C21&gt;=300,Inputs!$D21&gt;=100),15,0),IF(Inputs!$B21="trough",0,p_lip))))</f>
        <v/>
      </c>
      <c r="E21" s="19" t="str">
        <f aca="false">IF(Inputs!$B21="","",IF(Inputs!$B21="ladder",2*Inputs!$E21*Inputs!$D21,IF(OR(Inputs!$B21="perf",Inputs!$B21="trough"),(Inputs!$C21+4)*Inputs!$E21*(1-C21),Inputs!$C21*Inputs!$E21)))</f>
        <v/>
      </c>
      <c r="F21" s="19" t="str">
        <f aca="false">IF(Inputs!$B21="","",IF(Inputs!$B21="ladder",Inputs!$D21/2,Inputs!$E21/2))</f>
        <v/>
      </c>
      <c r="G21" s="20" t="str">
        <f aca="false">IF(Inputs!$B21="","",IF(Inputs!$B21="ladder",2*Inputs!$E21*Inputs!$D21^3/12,IF(OR(Inputs!$B21="perf",Inputs!$B21="trough"),0,Inputs!$C21*Inputs!$E21^3/12)))</f>
        <v/>
      </c>
      <c r="H21" s="19" t="str">
        <f aca="false">IF(Inputs!$B21="","",IF(Inputs!$B21="ladder",2*D21*Inputs!$E21,2*Inputs!$E21*Inputs!$D21))</f>
        <v/>
      </c>
      <c r="I21" s="19" t="str">
        <f aca="false">IF(Inputs!$B21="","",IF(Inputs!$B21="ladder",Inputs!$E21/2,Inputs!$D21/2))</f>
        <v/>
      </c>
      <c r="J21" s="20" t="str">
        <f aca="false">IF(Inputs!$B21="","",IF(Inputs!$B21="ladder",2*D21*Inputs!$E21^3/12,2*Inputs!$E21*Inputs!$D21^3/12))</f>
        <v/>
      </c>
      <c r="K21" s="19" t="str">
        <f aca="false">IF(Inputs!$B21="","",2*D21*Inputs!$E21)</f>
        <v/>
      </c>
      <c r="L21" s="19" t="str">
        <f aca="false">IF(Inputs!$B21="","",Inputs!$D21-Inputs!$E21/2)</f>
        <v/>
      </c>
      <c r="M21" s="20" t="str">
        <f aca="false">IF(Inputs!$B21="","",2*D21*Inputs!$E21^3/12)</f>
        <v/>
      </c>
      <c r="N21" s="19" t="str">
        <f aca="false">IF(Inputs!$B21="","",E21+H21+K21)</f>
        <v/>
      </c>
      <c r="O21" s="13" t="str">
        <f aca="false">IF(Inputs!$B21="","",(E21*F21+H21*I21+K21*L21)/N21)</f>
        <v/>
      </c>
      <c r="P21" s="20" t="str">
        <f aca="false">IF(Inputs!$B21="","",(G21+E21*(F21-O21)^2)+(J21+H21*(I21-O21)^2)+(M21+K21*(L21-O21)^2))</f>
        <v/>
      </c>
      <c r="Q21" s="20" t="str">
        <f aca="false">IF(Inputs!$B21="","",P21/O21)</f>
        <v/>
      </c>
      <c r="R21" s="20" t="str">
        <f aca="false">IF(Inputs!$B21="","",P21/(Inputs!$D21-O21))</f>
        <v/>
      </c>
      <c r="S21" s="19" t="str">
        <f aca="false">IF(Inputs!$B21="","",2*Inputs!$D21*Inputs!$E21)</f>
        <v/>
      </c>
      <c r="T21" s="13" t="str">
        <f aca="false">IF(Inputs!$B21="","",N21*0.00785+IF(Inputs!$B21="ladder",p_rungN/2.5*(p_rungW*p_rungT+2*p_rungT*p_rungH)*Inputs!$C21*0.00000785,0))</f>
        <v/>
      </c>
      <c r="U21" s="13" t="str">
        <f aca="false">IF(Inputs!$B21="","",IF(Inputs!$G21="",T21,Inputs!$G21))</f>
        <v/>
      </c>
      <c r="V21" s="24" t="str">
        <f aca="false">IF(Inputs!$B21="","",Inputs!$D21/Inputs!$E21)</f>
        <v/>
      </c>
      <c r="W21" s="24" t="str">
        <f aca="false">IF(Inputs!$B21="","",IF(D21&gt;0,D21/Inputs!$E21,0))</f>
        <v/>
      </c>
      <c r="X21" s="24" t="str">
        <f aca="false">IF(Inputs!$B21="","",IF(OR(Inputs!$B21="perf",Inputs!$B21="trough"),(Inputs!$C21+4)/Inputs!$E21,IF(OR(Inputs!$B21="channel",Inputs!$B21="arm"),Inputs!$C21/Inputs!$E21,0)))</f>
        <v/>
      </c>
      <c r="Y21" s="21" t="str">
        <f aca="false">IF(Inputs!$B21="","",IF(V21&gt;p_webS,"web; ","")&amp;IF(W21&gt;p_flS,"flange; ","")&amp;IF(X21&gt;p_plS,"base plate; ",""))</f>
        <v/>
      </c>
      <c r="Z21" s="25" t="str">
        <f aca="false">IF(Inputs!$B21="","",IFERROR(INDEX(sup_kw,MATCH(Inputs!$J21,sup_names,0)),INDEX(sup_kw,1)))</f>
        <v/>
      </c>
      <c r="AA21" s="25" t="str">
        <f aca="false">IF(Inputs!$B21="","",IFERROR(INDEX(sup_kp,MATCH(Inputs!$J21,sup_names,0)),INDEX(sup_kp,1)))</f>
        <v/>
      </c>
      <c r="AB21" s="25" t="str">
        <f aca="false">IF(Inputs!$B21="","",IFERROR(INDEX(sup_dw,MATCH(Inputs!$J21,sup_names,0)),INDEX(sup_dw,1)))</f>
        <v/>
      </c>
      <c r="AC21" s="25" t="str">
        <f aca="false">IF(Inputs!$B21="","",IFERROR(INDEX(sup_dp,MATCH(Inputs!$J21,sup_names,0)),INDEX(sup_dp,1)))</f>
        <v/>
      </c>
      <c r="AD21" s="25" t="str">
        <f aca="false">IF(Inputs!$B21="","",IFERROR(INDEX(sup_kv,MATCH(Inputs!$J21,sup_names,0)),INDEX(sup_kv,1)))</f>
        <v/>
      </c>
      <c r="AE21" s="11" t="str">
        <f aca="false">IF(Inputs!$B21="","",p_fy/p_fs)</f>
        <v/>
      </c>
      <c r="AF21" s="19" t="str">
        <f aca="false">IF(Inputs!$B21="","",Inputs!$K21*p_g)</f>
        <v/>
      </c>
      <c r="AG21" s="26" t="str">
        <f aca="false">IF(Inputs!$B21="","",p_E*P21)</f>
        <v/>
      </c>
      <c r="AH21" s="20" t="str">
        <f aca="false">IF(Inputs!$B21="","",p_shear*p_fy*S21)</f>
        <v/>
      </c>
      <c r="AI21" s="20" t="str">
        <f aca="false">IF(Inputs!$B21="","",IF(Inputs!$B21="channel",Inputs!$M21,Inputs!$I21*1000))</f>
        <v/>
      </c>
      <c r="AJ21" s="13" t="str">
        <f aca="false">IF(Inputs!$B21="","",IF(Inputs!$B21="channel",(Inputs!$H21+Inputs!$N21)*Inputs!$I21/(AI21/1000),Inputs!$H21))</f>
        <v/>
      </c>
      <c r="AK21" s="20" t="str">
        <f aca="false">IF(Inputs!$B21="","",AE21*MIN(Q21,R21)*p_splice)</f>
        <v/>
      </c>
      <c r="AL21" s="13" t="str">
        <f aca="false">IF(Inputs!$B21="","",AI21/Inputs!$L21)</f>
        <v/>
      </c>
      <c r="AM21" s="27" t="str">
        <f aca="false">IF(Inputs!$B21="","",U21*p_g/1000)</f>
        <v/>
      </c>
      <c r="AN21" s="27" t="str">
        <f aca="false">IF(Inputs!$B21="","",AJ21*p_g/1000)</f>
        <v/>
      </c>
      <c r="AO21" s="20" t="str">
        <f aca="false">IF(Inputs!$B21="","",Z21*(AM21+AN21)*AI21^2+AA21*AF21*AI21)</f>
        <v/>
      </c>
      <c r="AP21" s="20" t="str">
        <f aca="false">IF(Inputs!$B21="","",AD21*((AM21+AN21)*AI21+AF21))</f>
        <v/>
      </c>
      <c r="AQ21" s="13" t="str">
        <f aca="false">IF(Inputs!$B21="","",AB21*(AM21+AN21)*AI21^4/AG21+AC21*AF21*AI21^3/AG21)</f>
        <v/>
      </c>
      <c r="AR21" s="19" t="str">
        <f aca="false">IF(Inputs!$B21="","",MAX(0,(AK21-AA21*AF21*AI21)/(Z21*AI21^2)-AM21)*1000/p_g)</f>
        <v/>
      </c>
      <c r="AS21" s="19" t="str">
        <f aca="false">IF(Inputs!$B21="","",MAX(0,(AH21-AD21*AF21)/(AD21*AI21)-AM21)*1000/p_g)</f>
        <v/>
      </c>
      <c r="AT21" s="19" t="str">
        <f aca="false">IF(Inputs!$B21="","",MAX(0,(AL21-AC21*AF21*AI21^3/AG21)/(AB21*AI21^4/AG21)-AM21)*1000/p_g)</f>
        <v/>
      </c>
      <c r="AU21" s="19" t="str">
        <f aca="false">IF(Inputs!$B21="","",MIN(AR21,AS21,AT21))</f>
        <v/>
      </c>
      <c r="AV21" s="21" t="str">
        <f aca="false">IF(Inputs!$B21="","",IF(AU21=AR21,"bending",IF(AU21=AT21,"deflection","shear")))</f>
        <v/>
      </c>
      <c r="AW21" s="23" t="str">
        <f aca="false">IF(Inputs!$B21="","",IF(Inputs!$B21="ladder",((Inputs!$H21*2500/p_rungN/1000*p_g)*Inputs!$C21/8+(AF21/3)*Inputs!$C21/4)/(p_fy/p_fs*p_rungZ),""))</f>
        <v/>
      </c>
      <c r="AX21" s="20" t="str">
        <f aca="false">IF(Inputs!$B21="","",IF(Inputs!$B21="arm",AE21*MIN(Q21,R21),""))</f>
        <v/>
      </c>
      <c r="AY21" s="13" t="str">
        <f aca="false">IF(Inputs!$B21="","",IF(Inputs!$B21="arm",Inputs!$F21/p_cant,""))</f>
        <v/>
      </c>
      <c r="AZ21" s="20" t="str">
        <f aca="false">IF(Inputs!$B21="","",IF(Inputs!$B21="arm",Inputs!$H21*Inputs!$I21*p_g,""))</f>
        <v/>
      </c>
      <c r="BA21" s="20" t="str">
        <f aca="false">IF(Inputs!$B21="","",IF(Inputs!$B21="arm",AZ21+Inputs!$N21*Inputs!$I21*p_g,""))</f>
        <v/>
      </c>
      <c r="BB21" s="19" t="str">
        <f aca="false">IF(Inputs!$B21="","",IF(Inputs!$B21="arm",AF21/3,""))</f>
        <v/>
      </c>
      <c r="BC21" s="20" t="str">
        <f aca="false">IF(Inputs!$B21="","",IF(Inputs!$B21="arm",BA21*Inputs!$F21/2+BB21*Inputs!$F21,""))</f>
        <v/>
      </c>
      <c r="BD21" s="20" t="str">
        <f aca="false">IF(Inputs!$B21="","",IF(Inputs!$B21="arm",BA21+BB21,""))</f>
        <v/>
      </c>
      <c r="BE21" s="13" t="str">
        <f aca="false">IF(Inputs!$B21="","",IF(Inputs!$B21="arm",BA21*Inputs!$F21^3/(8*AG21)+BB21*Inputs!$F21^3/(3*AG21),""))</f>
        <v/>
      </c>
      <c r="BF21" s="19" t="str">
        <f aca="false">IF(Inputs!$B21="","",IF(Inputs!$B21="arm",(AX21-BB21*Inputs!$F21)/(Inputs!$F21/2)/p_g-Inputs!$N21*Inputs!$I21,""))</f>
        <v/>
      </c>
      <c r="BG21" s="19" t="str">
        <f aca="false">IF(Inputs!$B21="","",IF(Inputs!$B21="arm",(AH21-BB21)/p_g-Inputs!$N21*Inputs!$I21,""))</f>
        <v/>
      </c>
      <c r="BH21" s="19" t="str">
        <f aca="false">IF(Inputs!$B21="","",IF(Inputs!$B21="arm",(AY21-BB21*Inputs!$F21^3/(3*AG21))/(Inputs!$F21^3/(8*AG21))/p_g-Inputs!$N21*Inputs!$I21,""))</f>
        <v/>
      </c>
      <c r="BI21" s="19" t="str">
        <f aca="false">IF(Inputs!$B21="","",IF(Inputs!$B21="arm",MAX(0,MIN(BF21,BG21,BH21)),""))</f>
        <v/>
      </c>
      <c r="BJ21" s="19" t="str">
        <f aca="false">IF(Inputs!$B21="","",IF(Inputs!$B21="arm",BI21/Inputs!$I21,""))</f>
        <v/>
      </c>
      <c r="BK21" s="21" t="str">
        <f aca="false">IF(Inputs!$B21="","",IF(Inputs!$B21="arm",IF(BI21=MAX(0,BF21),"bending",IF(BI21=MAX(0,BH21),"deflection","shear")),""))</f>
        <v/>
      </c>
      <c r="BL21" s="20" t="str">
        <f aca="false">IF(Inputs!$B21="","",IF(Inputs!$B21="arm",AX21,AK21))</f>
        <v/>
      </c>
      <c r="BM21" s="20" t="str">
        <f aca="false">IF(Inputs!$B21="","",IF(Inputs!$B21="arm",BC21,AO21))</f>
        <v/>
      </c>
      <c r="BN21" s="20" t="str">
        <f aca="false">IF(Inputs!$B21="","",IF(Inputs!$B21="arm",BD21,AP21))</f>
        <v/>
      </c>
      <c r="BO21" s="13" t="str">
        <f aca="false">IF(Inputs!$B21="","",IF(Inputs!$B21="arm",BE21,AQ21))</f>
        <v/>
      </c>
      <c r="BP21" s="13" t="str">
        <f aca="false">IF(Inputs!$B21="","",IF(Inputs!$B21="arm",AY21,AL21))</f>
        <v/>
      </c>
      <c r="BQ21" s="23" t="str">
        <f aca="false">IF(Inputs!$B21="","",BM21/BL21)</f>
        <v/>
      </c>
      <c r="BR21" s="23" t="str">
        <f aca="false">IF(Inputs!$B21="","",BN21/AH21)</f>
        <v/>
      </c>
      <c r="BS21" s="23" t="str">
        <f aca="false">IF(Inputs!$B21="","",BO21/BP21)</f>
        <v/>
      </c>
      <c r="BT21" s="28" t="str">
        <f aca="false">IF(Inputs!$B21="","",MAX(BQ21,BR21,BS21,IF(Inputs!$B21="ladder",AW21,0)))</f>
        <v/>
      </c>
      <c r="BU21" s="16" t="str">
        <f aca="false">IF(Inputs!$B21="","",IF(Inputs!$B21="arm",BJ21,AU21))</f>
        <v/>
      </c>
      <c r="BV21" s="15" t="str">
        <f aca="false">IF(Inputs!$B21="","",IF(Inputs!$B21="arm",BK21,AV21))</f>
        <v/>
      </c>
      <c r="BW21" s="15" t="str">
        <f aca="false">IF(Inputs!$B21="","",IF(BT21&lt;=1,"PASS","FAIL"))</f>
        <v/>
      </c>
      <c r="BX21" s="18" t="str">
        <f aca="false">IF(Inputs!$B21="","",IF(Inputs!$H21&gt;0,BU21/Inputs!$H21-1,""))</f>
        <v/>
      </c>
    </row>
    <row r="22" customFormat="false" ht="15" hidden="false" customHeight="false" outlineLevel="0" collapsed="false">
      <c r="A22" s="0" t="str">
        <f aca="false">IF(Inputs!A22="","",Inputs!A22)</f>
        <v/>
      </c>
      <c r="B22" s="21" t="str">
        <f aca="false">IF(Inputs!$B22="","",Inputs!$B22)</f>
        <v/>
      </c>
      <c r="C22" s="23" t="str">
        <f aca="false">IF(Inputs!$B22="","",IF(OR(Inputs!$B22="perf",Inputs!$B22="trough"),MIN(0.5,IF(Inputs!$B22="perf",p_perfN*p_perfL*p_perfW/(p_perfSp*Inputs!$C22),p_trN*p_trL*p_trW/(p_trSp*Inputs!$C22))),0))</f>
        <v/>
      </c>
      <c r="D22" s="11" t="str">
        <f aca="false">IF(Inputs!$B22="","",IF(Inputs!$B22="ladder",p_collar,IF(Inputs!$B22="perf",IF(AND(Inputs!$C22&gt;=300,Inputs!$D22&gt;=100),15,0),IF(Inputs!$B22="trough",0,p_lip))))</f>
        <v/>
      </c>
      <c r="E22" s="19" t="str">
        <f aca="false">IF(Inputs!$B22="","",IF(Inputs!$B22="ladder",2*Inputs!$E22*Inputs!$D22,IF(OR(Inputs!$B22="perf",Inputs!$B22="trough"),(Inputs!$C22+4)*Inputs!$E22*(1-C22),Inputs!$C22*Inputs!$E22)))</f>
        <v/>
      </c>
      <c r="F22" s="19" t="str">
        <f aca="false">IF(Inputs!$B22="","",IF(Inputs!$B22="ladder",Inputs!$D22/2,Inputs!$E22/2))</f>
        <v/>
      </c>
      <c r="G22" s="20" t="str">
        <f aca="false">IF(Inputs!$B22="","",IF(Inputs!$B22="ladder",2*Inputs!$E22*Inputs!$D22^3/12,IF(OR(Inputs!$B22="perf",Inputs!$B22="trough"),0,Inputs!$C22*Inputs!$E22^3/12)))</f>
        <v/>
      </c>
      <c r="H22" s="19" t="str">
        <f aca="false">IF(Inputs!$B22="","",IF(Inputs!$B22="ladder",2*D22*Inputs!$E22,2*Inputs!$E22*Inputs!$D22))</f>
        <v/>
      </c>
      <c r="I22" s="19" t="str">
        <f aca="false">IF(Inputs!$B22="","",IF(Inputs!$B22="ladder",Inputs!$E22/2,Inputs!$D22/2))</f>
        <v/>
      </c>
      <c r="J22" s="20" t="str">
        <f aca="false">IF(Inputs!$B22="","",IF(Inputs!$B22="ladder",2*D22*Inputs!$E22^3/12,2*Inputs!$E22*Inputs!$D22^3/12))</f>
        <v/>
      </c>
      <c r="K22" s="19" t="str">
        <f aca="false">IF(Inputs!$B22="","",2*D22*Inputs!$E22)</f>
        <v/>
      </c>
      <c r="L22" s="19" t="str">
        <f aca="false">IF(Inputs!$B22="","",Inputs!$D22-Inputs!$E22/2)</f>
        <v/>
      </c>
      <c r="M22" s="20" t="str">
        <f aca="false">IF(Inputs!$B22="","",2*D22*Inputs!$E22^3/12)</f>
        <v/>
      </c>
      <c r="N22" s="19" t="str">
        <f aca="false">IF(Inputs!$B22="","",E22+H22+K22)</f>
        <v/>
      </c>
      <c r="O22" s="13" t="str">
        <f aca="false">IF(Inputs!$B22="","",(E22*F22+H22*I22+K22*L22)/N22)</f>
        <v/>
      </c>
      <c r="P22" s="20" t="str">
        <f aca="false">IF(Inputs!$B22="","",(G22+E22*(F22-O22)^2)+(J22+H22*(I22-O22)^2)+(M22+K22*(L22-O22)^2))</f>
        <v/>
      </c>
      <c r="Q22" s="20" t="str">
        <f aca="false">IF(Inputs!$B22="","",P22/O22)</f>
        <v/>
      </c>
      <c r="R22" s="20" t="str">
        <f aca="false">IF(Inputs!$B22="","",P22/(Inputs!$D22-O22))</f>
        <v/>
      </c>
      <c r="S22" s="19" t="str">
        <f aca="false">IF(Inputs!$B22="","",2*Inputs!$D22*Inputs!$E22)</f>
        <v/>
      </c>
      <c r="T22" s="13" t="str">
        <f aca="false">IF(Inputs!$B22="","",N22*0.00785+IF(Inputs!$B22="ladder",p_rungN/2.5*(p_rungW*p_rungT+2*p_rungT*p_rungH)*Inputs!$C22*0.00000785,0))</f>
        <v/>
      </c>
      <c r="U22" s="13" t="str">
        <f aca="false">IF(Inputs!$B22="","",IF(Inputs!$G22="",T22,Inputs!$G22))</f>
        <v/>
      </c>
      <c r="V22" s="24" t="str">
        <f aca="false">IF(Inputs!$B22="","",Inputs!$D22/Inputs!$E22)</f>
        <v/>
      </c>
      <c r="W22" s="24" t="str">
        <f aca="false">IF(Inputs!$B22="","",IF(D22&gt;0,D22/Inputs!$E22,0))</f>
        <v/>
      </c>
      <c r="X22" s="24" t="str">
        <f aca="false">IF(Inputs!$B22="","",IF(OR(Inputs!$B22="perf",Inputs!$B22="trough"),(Inputs!$C22+4)/Inputs!$E22,IF(OR(Inputs!$B22="channel",Inputs!$B22="arm"),Inputs!$C22/Inputs!$E22,0)))</f>
        <v/>
      </c>
      <c r="Y22" s="21" t="str">
        <f aca="false">IF(Inputs!$B22="","",IF(V22&gt;p_webS,"web; ","")&amp;IF(W22&gt;p_flS,"flange; ","")&amp;IF(X22&gt;p_plS,"base plate; ",""))</f>
        <v/>
      </c>
      <c r="Z22" s="25" t="str">
        <f aca="false">IF(Inputs!$B22="","",IFERROR(INDEX(sup_kw,MATCH(Inputs!$J22,sup_names,0)),INDEX(sup_kw,1)))</f>
        <v/>
      </c>
      <c r="AA22" s="25" t="str">
        <f aca="false">IF(Inputs!$B22="","",IFERROR(INDEX(sup_kp,MATCH(Inputs!$J22,sup_names,0)),INDEX(sup_kp,1)))</f>
        <v/>
      </c>
      <c r="AB22" s="25" t="str">
        <f aca="false">IF(Inputs!$B22="","",IFERROR(INDEX(sup_dw,MATCH(Inputs!$J22,sup_names,0)),INDEX(sup_dw,1)))</f>
        <v/>
      </c>
      <c r="AC22" s="25" t="str">
        <f aca="false">IF(Inputs!$B22="","",IFERROR(INDEX(sup_dp,MATCH(Inputs!$J22,sup_names,0)),INDEX(sup_dp,1)))</f>
        <v/>
      </c>
      <c r="AD22" s="25" t="str">
        <f aca="false">IF(Inputs!$B22="","",IFERROR(INDEX(sup_kv,MATCH(Inputs!$J22,sup_names,0)),INDEX(sup_kv,1)))</f>
        <v/>
      </c>
      <c r="AE22" s="11" t="str">
        <f aca="false">IF(Inputs!$B22="","",p_fy/p_fs)</f>
        <v/>
      </c>
      <c r="AF22" s="19" t="str">
        <f aca="false">IF(Inputs!$B22="","",Inputs!$K22*p_g)</f>
        <v/>
      </c>
      <c r="AG22" s="26" t="str">
        <f aca="false">IF(Inputs!$B22="","",p_E*P22)</f>
        <v/>
      </c>
      <c r="AH22" s="20" t="str">
        <f aca="false">IF(Inputs!$B22="","",p_shear*p_fy*S22)</f>
        <v/>
      </c>
      <c r="AI22" s="20" t="str">
        <f aca="false">IF(Inputs!$B22="","",IF(Inputs!$B22="channel",Inputs!$M22,Inputs!$I22*1000))</f>
        <v/>
      </c>
      <c r="AJ22" s="13" t="str">
        <f aca="false">IF(Inputs!$B22="","",IF(Inputs!$B22="channel",(Inputs!$H22+Inputs!$N22)*Inputs!$I22/(AI22/1000),Inputs!$H22))</f>
        <v/>
      </c>
      <c r="AK22" s="20" t="str">
        <f aca="false">IF(Inputs!$B22="","",AE22*MIN(Q22,R22)*p_splice)</f>
        <v/>
      </c>
      <c r="AL22" s="13" t="str">
        <f aca="false">IF(Inputs!$B22="","",AI22/Inputs!$L22)</f>
        <v/>
      </c>
      <c r="AM22" s="27" t="str">
        <f aca="false">IF(Inputs!$B22="","",U22*p_g/1000)</f>
        <v/>
      </c>
      <c r="AN22" s="27" t="str">
        <f aca="false">IF(Inputs!$B22="","",AJ22*p_g/1000)</f>
        <v/>
      </c>
      <c r="AO22" s="20" t="str">
        <f aca="false">IF(Inputs!$B22="","",Z22*(AM22+AN22)*AI22^2+AA22*AF22*AI22)</f>
        <v/>
      </c>
      <c r="AP22" s="20" t="str">
        <f aca="false">IF(Inputs!$B22="","",AD22*((AM22+AN22)*AI22+AF22))</f>
        <v/>
      </c>
      <c r="AQ22" s="13" t="str">
        <f aca="false">IF(Inputs!$B22="","",AB22*(AM22+AN22)*AI22^4/AG22+AC22*AF22*AI22^3/AG22)</f>
        <v/>
      </c>
      <c r="AR22" s="19" t="str">
        <f aca="false">IF(Inputs!$B22="","",MAX(0,(AK22-AA22*AF22*AI22)/(Z22*AI22^2)-AM22)*1000/p_g)</f>
        <v/>
      </c>
      <c r="AS22" s="19" t="str">
        <f aca="false">IF(Inputs!$B22="","",MAX(0,(AH22-AD22*AF22)/(AD22*AI22)-AM22)*1000/p_g)</f>
        <v/>
      </c>
      <c r="AT22" s="19" t="str">
        <f aca="false">IF(Inputs!$B22="","",MAX(0,(AL22-AC22*AF22*AI22^3/AG22)/(AB22*AI22^4/AG22)-AM22)*1000/p_g)</f>
        <v/>
      </c>
      <c r="AU22" s="19" t="str">
        <f aca="false">IF(Inputs!$B22="","",MIN(AR22,AS22,AT22))</f>
        <v/>
      </c>
      <c r="AV22" s="21" t="str">
        <f aca="false">IF(Inputs!$B22="","",IF(AU22=AR22,"bending",IF(AU22=AT22,"deflection","shear")))</f>
        <v/>
      </c>
      <c r="AW22" s="23" t="str">
        <f aca="false">IF(Inputs!$B22="","",IF(Inputs!$B22="ladder",((Inputs!$H22*2500/p_rungN/1000*p_g)*Inputs!$C22/8+(AF22/3)*Inputs!$C22/4)/(p_fy/p_fs*p_rungZ),""))</f>
        <v/>
      </c>
      <c r="AX22" s="20" t="str">
        <f aca="false">IF(Inputs!$B22="","",IF(Inputs!$B22="arm",AE22*MIN(Q22,R22),""))</f>
        <v/>
      </c>
      <c r="AY22" s="13" t="str">
        <f aca="false">IF(Inputs!$B22="","",IF(Inputs!$B22="arm",Inputs!$F22/p_cant,""))</f>
        <v/>
      </c>
      <c r="AZ22" s="20" t="str">
        <f aca="false">IF(Inputs!$B22="","",IF(Inputs!$B22="arm",Inputs!$H22*Inputs!$I22*p_g,""))</f>
        <v/>
      </c>
      <c r="BA22" s="20" t="str">
        <f aca="false">IF(Inputs!$B22="","",IF(Inputs!$B22="arm",AZ22+Inputs!$N22*Inputs!$I22*p_g,""))</f>
        <v/>
      </c>
      <c r="BB22" s="19" t="str">
        <f aca="false">IF(Inputs!$B22="","",IF(Inputs!$B22="arm",AF22/3,""))</f>
        <v/>
      </c>
      <c r="BC22" s="20" t="str">
        <f aca="false">IF(Inputs!$B22="","",IF(Inputs!$B22="arm",BA22*Inputs!$F22/2+BB22*Inputs!$F22,""))</f>
        <v/>
      </c>
      <c r="BD22" s="20" t="str">
        <f aca="false">IF(Inputs!$B22="","",IF(Inputs!$B22="arm",BA22+BB22,""))</f>
        <v/>
      </c>
      <c r="BE22" s="13" t="str">
        <f aca="false">IF(Inputs!$B22="","",IF(Inputs!$B22="arm",BA22*Inputs!$F22^3/(8*AG22)+BB22*Inputs!$F22^3/(3*AG22),""))</f>
        <v/>
      </c>
      <c r="BF22" s="19" t="str">
        <f aca="false">IF(Inputs!$B22="","",IF(Inputs!$B22="arm",(AX22-BB22*Inputs!$F22)/(Inputs!$F22/2)/p_g-Inputs!$N22*Inputs!$I22,""))</f>
        <v/>
      </c>
      <c r="BG22" s="19" t="str">
        <f aca="false">IF(Inputs!$B22="","",IF(Inputs!$B22="arm",(AH22-BB22)/p_g-Inputs!$N22*Inputs!$I22,""))</f>
        <v/>
      </c>
      <c r="BH22" s="19" t="str">
        <f aca="false">IF(Inputs!$B22="","",IF(Inputs!$B22="arm",(AY22-BB22*Inputs!$F22^3/(3*AG22))/(Inputs!$F22^3/(8*AG22))/p_g-Inputs!$N22*Inputs!$I22,""))</f>
        <v/>
      </c>
      <c r="BI22" s="19" t="str">
        <f aca="false">IF(Inputs!$B22="","",IF(Inputs!$B22="arm",MAX(0,MIN(BF22,BG22,BH22)),""))</f>
        <v/>
      </c>
      <c r="BJ22" s="19" t="str">
        <f aca="false">IF(Inputs!$B22="","",IF(Inputs!$B22="arm",BI22/Inputs!$I22,""))</f>
        <v/>
      </c>
      <c r="BK22" s="21" t="str">
        <f aca="false">IF(Inputs!$B22="","",IF(Inputs!$B22="arm",IF(BI22=MAX(0,BF22),"bending",IF(BI22=MAX(0,BH22),"deflection","shear")),""))</f>
        <v/>
      </c>
      <c r="BL22" s="20" t="str">
        <f aca="false">IF(Inputs!$B22="","",IF(Inputs!$B22="arm",AX22,AK22))</f>
        <v/>
      </c>
      <c r="BM22" s="20" t="str">
        <f aca="false">IF(Inputs!$B22="","",IF(Inputs!$B22="arm",BC22,AO22))</f>
        <v/>
      </c>
      <c r="BN22" s="20" t="str">
        <f aca="false">IF(Inputs!$B22="","",IF(Inputs!$B22="arm",BD22,AP22))</f>
        <v/>
      </c>
      <c r="BO22" s="13" t="str">
        <f aca="false">IF(Inputs!$B22="","",IF(Inputs!$B22="arm",BE22,AQ22))</f>
        <v/>
      </c>
      <c r="BP22" s="13" t="str">
        <f aca="false">IF(Inputs!$B22="","",IF(Inputs!$B22="arm",AY22,AL22))</f>
        <v/>
      </c>
      <c r="BQ22" s="23" t="str">
        <f aca="false">IF(Inputs!$B22="","",BM22/BL22)</f>
        <v/>
      </c>
      <c r="BR22" s="23" t="str">
        <f aca="false">IF(Inputs!$B22="","",BN22/AH22)</f>
        <v/>
      </c>
      <c r="BS22" s="23" t="str">
        <f aca="false">IF(Inputs!$B22="","",BO22/BP22)</f>
        <v/>
      </c>
      <c r="BT22" s="28" t="str">
        <f aca="false">IF(Inputs!$B22="","",MAX(BQ22,BR22,BS22,IF(Inputs!$B22="ladder",AW22,0)))</f>
        <v/>
      </c>
      <c r="BU22" s="16" t="str">
        <f aca="false">IF(Inputs!$B22="","",IF(Inputs!$B22="arm",BJ22,AU22))</f>
        <v/>
      </c>
      <c r="BV22" s="15" t="str">
        <f aca="false">IF(Inputs!$B22="","",IF(Inputs!$B22="arm",BK22,AV22))</f>
        <v/>
      </c>
      <c r="BW22" s="15" t="str">
        <f aca="false">IF(Inputs!$B22="","",IF(BT22&lt;=1,"PASS","FAIL"))</f>
        <v/>
      </c>
      <c r="BX22" s="18" t="str">
        <f aca="false">IF(Inputs!$B22="","",IF(Inputs!$H22&gt;0,BU22/Inputs!$H22-1,""))</f>
        <v/>
      </c>
    </row>
    <row r="23" customFormat="false" ht="15" hidden="false" customHeight="false" outlineLevel="0" collapsed="false">
      <c r="A23" s="0" t="str">
        <f aca="false">IF(Inputs!A23="","",Inputs!A23)</f>
        <v/>
      </c>
      <c r="B23" s="21" t="str">
        <f aca="false">IF(Inputs!$B23="","",Inputs!$B23)</f>
        <v/>
      </c>
      <c r="C23" s="23" t="str">
        <f aca="false">IF(Inputs!$B23="","",IF(OR(Inputs!$B23="perf",Inputs!$B23="trough"),MIN(0.5,IF(Inputs!$B23="perf",p_perfN*p_perfL*p_perfW/(p_perfSp*Inputs!$C23),p_trN*p_trL*p_trW/(p_trSp*Inputs!$C23))),0))</f>
        <v/>
      </c>
      <c r="D23" s="11" t="str">
        <f aca="false">IF(Inputs!$B23="","",IF(Inputs!$B23="ladder",p_collar,IF(Inputs!$B23="perf",IF(AND(Inputs!$C23&gt;=300,Inputs!$D23&gt;=100),15,0),IF(Inputs!$B23="trough",0,p_lip))))</f>
        <v/>
      </c>
      <c r="E23" s="19" t="str">
        <f aca="false">IF(Inputs!$B23="","",IF(Inputs!$B23="ladder",2*Inputs!$E23*Inputs!$D23,IF(OR(Inputs!$B23="perf",Inputs!$B23="trough"),(Inputs!$C23+4)*Inputs!$E23*(1-C23),Inputs!$C23*Inputs!$E23)))</f>
        <v/>
      </c>
      <c r="F23" s="19" t="str">
        <f aca="false">IF(Inputs!$B23="","",IF(Inputs!$B23="ladder",Inputs!$D23/2,Inputs!$E23/2))</f>
        <v/>
      </c>
      <c r="G23" s="20" t="str">
        <f aca="false">IF(Inputs!$B23="","",IF(Inputs!$B23="ladder",2*Inputs!$E23*Inputs!$D23^3/12,IF(OR(Inputs!$B23="perf",Inputs!$B23="trough"),0,Inputs!$C23*Inputs!$E23^3/12)))</f>
        <v/>
      </c>
      <c r="H23" s="19" t="str">
        <f aca="false">IF(Inputs!$B23="","",IF(Inputs!$B23="ladder",2*D23*Inputs!$E23,2*Inputs!$E23*Inputs!$D23))</f>
        <v/>
      </c>
      <c r="I23" s="19" t="str">
        <f aca="false">IF(Inputs!$B23="","",IF(Inputs!$B23="ladder",Inputs!$E23/2,Inputs!$D23/2))</f>
        <v/>
      </c>
      <c r="J23" s="20" t="str">
        <f aca="false">IF(Inputs!$B23="","",IF(Inputs!$B23="ladder",2*D23*Inputs!$E23^3/12,2*Inputs!$E23*Inputs!$D23^3/12))</f>
        <v/>
      </c>
      <c r="K23" s="19" t="str">
        <f aca="false">IF(Inputs!$B23="","",2*D23*Inputs!$E23)</f>
        <v/>
      </c>
      <c r="L23" s="19" t="str">
        <f aca="false">IF(Inputs!$B23="","",Inputs!$D23-Inputs!$E23/2)</f>
        <v/>
      </c>
      <c r="M23" s="20" t="str">
        <f aca="false">IF(Inputs!$B23="","",2*D23*Inputs!$E23^3/12)</f>
        <v/>
      </c>
      <c r="N23" s="19" t="str">
        <f aca="false">IF(Inputs!$B23="","",E23+H23+K23)</f>
        <v/>
      </c>
      <c r="O23" s="13" t="str">
        <f aca="false">IF(Inputs!$B23="","",(E23*F23+H23*I23+K23*L23)/N23)</f>
        <v/>
      </c>
      <c r="P23" s="20" t="str">
        <f aca="false">IF(Inputs!$B23="","",(G23+E23*(F23-O23)^2)+(J23+H23*(I23-O23)^2)+(M23+K23*(L23-O23)^2))</f>
        <v/>
      </c>
      <c r="Q23" s="20" t="str">
        <f aca="false">IF(Inputs!$B23="","",P23/O23)</f>
        <v/>
      </c>
      <c r="R23" s="20" t="str">
        <f aca="false">IF(Inputs!$B23="","",P23/(Inputs!$D23-O23))</f>
        <v/>
      </c>
      <c r="S23" s="19" t="str">
        <f aca="false">IF(Inputs!$B23="","",2*Inputs!$D23*Inputs!$E23)</f>
        <v/>
      </c>
      <c r="T23" s="13" t="str">
        <f aca="false">IF(Inputs!$B23="","",N23*0.00785+IF(Inputs!$B23="ladder",p_rungN/2.5*(p_rungW*p_rungT+2*p_rungT*p_rungH)*Inputs!$C23*0.00000785,0))</f>
        <v/>
      </c>
      <c r="U23" s="13" t="str">
        <f aca="false">IF(Inputs!$B23="","",IF(Inputs!$G23="",T23,Inputs!$G23))</f>
        <v/>
      </c>
      <c r="V23" s="24" t="str">
        <f aca="false">IF(Inputs!$B23="","",Inputs!$D23/Inputs!$E23)</f>
        <v/>
      </c>
      <c r="W23" s="24" t="str">
        <f aca="false">IF(Inputs!$B23="","",IF(D23&gt;0,D23/Inputs!$E23,0))</f>
        <v/>
      </c>
      <c r="X23" s="24" t="str">
        <f aca="false">IF(Inputs!$B23="","",IF(OR(Inputs!$B23="perf",Inputs!$B23="trough"),(Inputs!$C23+4)/Inputs!$E23,IF(OR(Inputs!$B23="channel",Inputs!$B23="arm"),Inputs!$C23/Inputs!$E23,0)))</f>
        <v/>
      </c>
      <c r="Y23" s="21" t="str">
        <f aca="false">IF(Inputs!$B23="","",IF(V23&gt;p_webS,"web; ","")&amp;IF(W23&gt;p_flS,"flange; ","")&amp;IF(X23&gt;p_plS,"base plate; ",""))</f>
        <v/>
      </c>
      <c r="Z23" s="25" t="str">
        <f aca="false">IF(Inputs!$B23="","",IFERROR(INDEX(sup_kw,MATCH(Inputs!$J23,sup_names,0)),INDEX(sup_kw,1)))</f>
        <v/>
      </c>
      <c r="AA23" s="25" t="str">
        <f aca="false">IF(Inputs!$B23="","",IFERROR(INDEX(sup_kp,MATCH(Inputs!$J23,sup_names,0)),INDEX(sup_kp,1)))</f>
        <v/>
      </c>
      <c r="AB23" s="25" t="str">
        <f aca="false">IF(Inputs!$B23="","",IFERROR(INDEX(sup_dw,MATCH(Inputs!$J23,sup_names,0)),INDEX(sup_dw,1)))</f>
        <v/>
      </c>
      <c r="AC23" s="25" t="str">
        <f aca="false">IF(Inputs!$B23="","",IFERROR(INDEX(sup_dp,MATCH(Inputs!$J23,sup_names,0)),INDEX(sup_dp,1)))</f>
        <v/>
      </c>
      <c r="AD23" s="25" t="str">
        <f aca="false">IF(Inputs!$B23="","",IFERROR(INDEX(sup_kv,MATCH(Inputs!$J23,sup_names,0)),INDEX(sup_kv,1)))</f>
        <v/>
      </c>
      <c r="AE23" s="11" t="str">
        <f aca="false">IF(Inputs!$B23="","",p_fy/p_fs)</f>
        <v/>
      </c>
      <c r="AF23" s="19" t="str">
        <f aca="false">IF(Inputs!$B23="","",Inputs!$K23*p_g)</f>
        <v/>
      </c>
      <c r="AG23" s="26" t="str">
        <f aca="false">IF(Inputs!$B23="","",p_E*P23)</f>
        <v/>
      </c>
      <c r="AH23" s="20" t="str">
        <f aca="false">IF(Inputs!$B23="","",p_shear*p_fy*S23)</f>
        <v/>
      </c>
      <c r="AI23" s="20" t="str">
        <f aca="false">IF(Inputs!$B23="","",IF(Inputs!$B23="channel",Inputs!$M23,Inputs!$I23*1000))</f>
        <v/>
      </c>
      <c r="AJ23" s="13" t="str">
        <f aca="false">IF(Inputs!$B23="","",IF(Inputs!$B23="channel",(Inputs!$H23+Inputs!$N23)*Inputs!$I23/(AI23/1000),Inputs!$H23))</f>
        <v/>
      </c>
      <c r="AK23" s="20" t="str">
        <f aca="false">IF(Inputs!$B23="","",AE23*MIN(Q23,R23)*p_splice)</f>
        <v/>
      </c>
      <c r="AL23" s="13" t="str">
        <f aca="false">IF(Inputs!$B23="","",AI23/Inputs!$L23)</f>
        <v/>
      </c>
      <c r="AM23" s="27" t="str">
        <f aca="false">IF(Inputs!$B23="","",U23*p_g/1000)</f>
        <v/>
      </c>
      <c r="AN23" s="27" t="str">
        <f aca="false">IF(Inputs!$B23="","",AJ23*p_g/1000)</f>
        <v/>
      </c>
      <c r="AO23" s="20" t="str">
        <f aca="false">IF(Inputs!$B23="","",Z23*(AM23+AN23)*AI23^2+AA23*AF23*AI23)</f>
        <v/>
      </c>
      <c r="AP23" s="20" t="str">
        <f aca="false">IF(Inputs!$B23="","",AD23*((AM23+AN23)*AI23+AF23))</f>
        <v/>
      </c>
      <c r="AQ23" s="13" t="str">
        <f aca="false">IF(Inputs!$B23="","",AB23*(AM23+AN23)*AI23^4/AG23+AC23*AF23*AI23^3/AG23)</f>
        <v/>
      </c>
      <c r="AR23" s="19" t="str">
        <f aca="false">IF(Inputs!$B23="","",MAX(0,(AK23-AA23*AF23*AI23)/(Z23*AI23^2)-AM23)*1000/p_g)</f>
        <v/>
      </c>
      <c r="AS23" s="19" t="str">
        <f aca="false">IF(Inputs!$B23="","",MAX(0,(AH23-AD23*AF23)/(AD23*AI23)-AM23)*1000/p_g)</f>
        <v/>
      </c>
      <c r="AT23" s="19" t="str">
        <f aca="false">IF(Inputs!$B23="","",MAX(0,(AL23-AC23*AF23*AI23^3/AG23)/(AB23*AI23^4/AG23)-AM23)*1000/p_g)</f>
        <v/>
      </c>
      <c r="AU23" s="19" t="str">
        <f aca="false">IF(Inputs!$B23="","",MIN(AR23,AS23,AT23))</f>
        <v/>
      </c>
      <c r="AV23" s="21" t="str">
        <f aca="false">IF(Inputs!$B23="","",IF(AU23=AR23,"bending",IF(AU23=AT23,"deflection","shear")))</f>
        <v/>
      </c>
      <c r="AW23" s="23" t="str">
        <f aca="false">IF(Inputs!$B23="","",IF(Inputs!$B23="ladder",((Inputs!$H23*2500/p_rungN/1000*p_g)*Inputs!$C23/8+(AF23/3)*Inputs!$C23/4)/(p_fy/p_fs*p_rungZ),""))</f>
        <v/>
      </c>
      <c r="AX23" s="20" t="str">
        <f aca="false">IF(Inputs!$B23="","",IF(Inputs!$B23="arm",AE23*MIN(Q23,R23),""))</f>
        <v/>
      </c>
      <c r="AY23" s="13" t="str">
        <f aca="false">IF(Inputs!$B23="","",IF(Inputs!$B23="arm",Inputs!$F23/p_cant,""))</f>
        <v/>
      </c>
      <c r="AZ23" s="20" t="str">
        <f aca="false">IF(Inputs!$B23="","",IF(Inputs!$B23="arm",Inputs!$H23*Inputs!$I23*p_g,""))</f>
        <v/>
      </c>
      <c r="BA23" s="20" t="str">
        <f aca="false">IF(Inputs!$B23="","",IF(Inputs!$B23="arm",AZ23+Inputs!$N23*Inputs!$I23*p_g,""))</f>
        <v/>
      </c>
      <c r="BB23" s="19" t="str">
        <f aca="false">IF(Inputs!$B23="","",IF(Inputs!$B23="arm",AF23/3,""))</f>
        <v/>
      </c>
      <c r="BC23" s="20" t="str">
        <f aca="false">IF(Inputs!$B23="","",IF(Inputs!$B23="arm",BA23*Inputs!$F23/2+BB23*Inputs!$F23,""))</f>
        <v/>
      </c>
      <c r="BD23" s="20" t="str">
        <f aca="false">IF(Inputs!$B23="","",IF(Inputs!$B23="arm",BA23+BB23,""))</f>
        <v/>
      </c>
      <c r="BE23" s="13" t="str">
        <f aca="false">IF(Inputs!$B23="","",IF(Inputs!$B23="arm",BA23*Inputs!$F23^3/(8*AG23)+BB23*Inputs!$F23^3/(3*AG23),""))</f>
        <v/>
      </c>
      <c r="BF23" s="19" t="str">
        <f aca="false">IF(Inputs!$B23="","",IF(Inputs!$B23="arm",(AX23-BB23*Inputs!$F23)/(Inputs!$F23/2)/p_g-Inputs!$N23*Inputs!$I23,""))</f>
        <v/>
      </c>
      <c r="BG23" s="19" t="str">
        <f aca="false">IF(Inputs!$B23="","",IF(Inputs!$B23="arm",(AH23-BB23)/p_g-Inputs!$N23*Inputs!$I23,""))</f>
        <v/>
      </c>
      <c r="BH23" s="19" t="str">
        <f aca="false">IF(Inputs!$B23="","",IF(Inputs!$B23="arm",(AY23-BB23*Inputs!$F23^3/(3*AG23))/(Inputs!$F23^3/(8*AG23))/p_g-Inputs!$N23*Inputs!$I23,""))</f>
        <v/>
      </c>
      <c r="BI23" s="19" t="str">
        <f aca="false">IF(Inputs!$B23="","",IF(Inputs!$B23="arm",MAX(0,MIN(BF23,BG23,BH23)),""))</f>
        <v/>
      </c>
      <c r="BJ23" s="19" t="str">
        <f aca="false">IF(Inputs!$B23="","",IF(Inputs!$B23="arm",BI23/Inputs!$I23,""))</f>
        <v/>
      </c>
      <c r="BK23" s="21" t="str">
        <f aca="false">IF(Inputs!$B23="","",IF(Inputs!$B23="arm",IF(BI23=MAX(0,BF23),"bending",IF(BI23=MAX(0,BH23),"deflection","shear")),""))</f>
        <v/>
      </c>
      <c r="BL23" s="20" t="str">
        <f aca="false">IF(Inputs!$B23="","",IF(Inputs!$B23="arm",AX23,AK23))</f>
        <v/>
      </c>
      <c r="BM23" s="20" t="str">
        <f aca="false">IF(Inputs!$B23="","",IF(Inputs!$B23="arm",BC23,AO23))</f>
        <v/>
      </c>
      <c r="BN23" s="20" t="str">
        <f aca="false">IF(Inputs!$B23="","",IF(Inputs!$B23="arm",BD23,AP23))</f>
        <v/>
      </c>
      <c r="BO23" s="13" t="str">
        <f aca="false">IF(Inputs!$B23="","",IF(Inputs!$B23="arm",BE23,AQ23))</f>
        <v/>
      </c>
      <c r="BP23" s="13" t="str">
        <f aca="false">IF(Inputs!$B23="","",IF(Inputs!$B23="arm",AY23,AL23))</f>
        <v/>
      </c>
      <c r="BQ23" s="23" t="str">
        <f aca="false">IF(Inputs!$B23="","",BM23/BL23)</f>
        <v/>
      </c>
      <c r="BR23" s="23" t="str">
        <f aca="false">IF(Inputs!$B23="","",BN23/AH23)</f>
        <v/>
      </c>
      <c r="BS23" s="23" t="str">
        <f aca="false">IF(Inputs!$B23="","",BO23/BP23)</f>
        <v/>
      </c>
      <c r="BT23" s="28" t="str">
        <f aca="false">IF(Inputs!$B23="","",MAX(BQ23,BR23,BS23,IF(Inputs!$B23="ladder",AW23,0)))</f>
        <v/>
      </c>
      <c r="BU23" s="16" t="str">
        <f aca="false">IF(Inputs!$B23="","",IF(Inputs!$B23="arm",BJ23,AU23))</f>
        <v/>
      </c>
      <c r="BV23" s="15" t="str">
        <f aca="false">IF(Inputs!$B23="","",IF(Inputs!$B23="arm",BK23,AV23))</f>
        <v/>
      </c>
      <c r="BW23" s="15" t="str">
        <f aca="false">IF(Inputs!$B23="","",IF(BT23&lt;=1,"PASS","FAIL"))</f>
        <v/>
      </c>
      <c r="BX23" s="18" t="str">
        <f aca="false">IF(Inputs!$B23="","",IF(Inputs!$H23&gt;0,BU23/Inputs!$H23-1,""))</f>
        <v/>
      </c>
    </row>
    <row r="24" customFormat="false" ht="15" hidden="false" customHeight="false" outlineLevel="0" collapsed="false">
      <c r="A24" s="0" t="str">
        <f aca="false">IF(Inputs!A24="","",Inputs!A24)</f>
        <v/>
      </c>
      <c r="B24" s="21" t="str">
        <f aca="false">IF(Inputs!$B24="","",Inputs!$B24)</f>
        <v/>
      </c>
      <c r="C24" s="23" t="str">
        <f aca="false">IF(Inputs!$B24="","",IF(OR(Inputs!$B24="perf",Inputs!$B24="trough"),MIN(0.5,IF(Inputs!$B24="perf",p_perfN*p_perfL*p_perfW/(p_perfSp*Inputs!$C24),p_trN*p_trL*p_trW/(p_trSp*Inputs!$C24))),0))</f>
        <v/>
      </c>
      <c r="D24" s="11" t="str">
        <f aca="false">IF(Inputs!$B24="","",IF(Inputs!$B24="ladder",p_collar,IF(Inputs!$B24="perf",IF(AND(Inputs!$C24&gt;=300,Inputs!$D24&gt;=100),15,0),IF(Inputs!$B24="trough",0,p_lip))))</f>
        <v/>
      </c>
      <c r="E24" s="19" t="str">
        <f aca="false">IF(Inputs!$B24="","",IF(Inputs!$B24="ladder",2*Inputs!$E24*Inputs!$D24,IF(OR(Inputs!$B24="perf",Inputs!$B24="trough"),(Inputs!$C24+4)*Inputs!$E24*(1-C24),Inputs!$C24*Inputs!$E24)))</f>
        <v/>
      </c>
      <c r="F24" s="19" t="str">
        <f aca="false">IF(Inputs!$B24="","",IF(Inputs!$B24="ladder",Inputs!$D24/2,Inputs!$E24/2))</f>
        <v/>
      </c>
      <c r="G24" s="20" t="str">
        <f aca="false">IF(Inputs!$B24="","",IF(Inputs!$B24="ladder",2*Inputs!$E24*Inputs!$D24^3/12,IF(OR(Inputs!$B24="perf",Inputs!$B24="trough"),0,Inputs!$C24*Inputs!$E24^3/12)))</f>
        <v/>
      </c>
      <c r="H24" s="19" t="str">
        <f aca="false">IF(Inputs!$B24="","",IF(Inputs!$B24="ladder",2*D24*Inputs!$E24,2*Inputs!$E24*Inputs!$D24))</f>
        <v/>
      </c>
      <c r="I24" s="19" t="str">
        <f aca="false">IF(Inputs!$B24="","",IF(Inputs!$B24="ladder",Inputs!$E24/2,Inputs!$D24/2))</f>
        <v/>
      </c>
      <c r="J24" s="20" t="str">
        <f aca="false">IF(Inputs!$B24="","",IF(Inputs!$B24="ladder",2*D24*Inputs!$E24^3/12,2*Inputs!$E24*Inputs!$D24^3/12))</f>
        <v/>
      </c>
      <c r="K24" s="19" t="str">
        <f aca="false">IF(Inputs!$B24="","",2*D24*Inputs!$E24)</f>
        <v/>
      </c>
      <c r="L24" s="19" t="str">
        <f aca="false">IF(Inputs!$B24="","",Inputs!$D24-Inputs!$E24/2)</f>
        <v/>
      </c>
      <c r="M24" s="20" t="str">
        <f aca="false">IF(Inputs!$B24="","",2*D24*Inputs!$E24^3/12)</f>
        <v/>
      </c>
      <c r="N24" s="19" t="str">
        <f aca="false">IF(Inputs!$B24="","",E24+H24+K24)</f>
        <v/>
      </c>
      <c r="O24" s="13" t="str">
        <f aca="false">IF(Inputs!$B24="","",(E24*F24+H24*I24+K24*L24)/N24)</f>
        <v/>
      </c>
      <c r="P24" s="20" t="str">
        <f aca="false">IF(Inputs!$B24="","",(G24+E24*(F24-O24)^2)+(J24+H24*(I24-O24)^2)+(M24+K24*(L24-O24)^2))</f>
        <v/>
      </c>
      <c r="Q24" s="20" t="str">
        <f aca="false">IF(Inputs!$B24="","",P24/O24)</f>
        <v/>
      </c>
      <c r="R24" s="20" t="str">
        <f aca="false">IF(Inputs!$B24="","",P24/(Inputs!$D24-O24))</f>
        <v/>
      </c>
      <c r="S24" s="19" t="str">
        <f aca="false">IF(Inputs!$B24="","",2*Inputs!$D24*Inputs!$E24)</f>
        <v/>
      </c>
      <c r="T24" s="13" t="str">
        <f aca="false">IF(Inputs!$B24="","",N24*0.00785+IF(Inputs!$B24="ladder",p_rungN/2.5*(p_rungW*p_rungT+2*p_rungT*p_rungH)*Inputs!$C24*0.00000785,0))</f>
        <v/>
      </c>
      <c r="U24" s="13" t="str">
        <f aca="false">IF(Inputs!$B24="","",IF(Inputs!$G24="",T24,Inputs!$G24))</f>
        <v/>
      </c>
      <c r="V24" s="24" t="str">
        <f aca="false">IF(Inputs!$B24="","",Inputs!$D24/Inputs!$E24)</f>
        <v/>
      </c>
      <c r="W24" s="24" t="str">
        <f aca="false">IF(Inputs!$B24="","",IF(D24&gt;0,D24/Inputs!$E24,0))</f>
        <v/>
      </c>
      <c r="X24" s="24" t="str">
        <f aca="false">IF(Inputs!$B24="","",IF(OR(Inputs!$B24="perf",Inputs!$B24="trough"),(Inputs!$C24+4)/Inputs!$E24,IF(OR(Inputs!$B24="channel",Inputs!$B24="arm"),Inputs!$C24/Inputs!$E24,0)))</f>
        <v/>
      </c>
      <c r="Y24" s="21" t="str">
        <f aca="false">IF(Inputs!$B24="","",IF(V24&gt;p_webS,"web; ","")&amp;IF(W24&gt;p_flS,"flange; ","")&amp;IF(X24&gt;p_plS,"base plate; ",""))</f>
        <v/>
      </c>
      <c r="Z24" s="25" t="str">
        <f aca="false">IF(Inputs!$B24="","",IFERROR(INDEX(sup_kw,MATCH(Inputs!$J24,sup_names,0)),INDEX(sup_kw,1)))</f>
        <v/>
      </c>
      <c r="AA24" s="25" t="str">
        <f aca="false">IF(Inputs!$B24="","",IFERROR(INDEX(sup_kp,MATCH(Inputs!$J24,sup_names,0)),INDEX(sup_kp,1)))</f>
        <v/>
      </c>
      <c r="AB24" s="25" t="str">
        <f aca="false">IF(Inputs!$B24="","",IFERROR(INDEX(sup_dw,MATCH(Inputs!$J24,sup_names,0)),INDEX(sup_dw,1)))</f>
        <v/>
      </c>
      <c r="AC24" s="25" t="str">
        <f aca="false">IF(Inputs!$B24="","",IFERROR(INDEX(sup_dp,MATCH(Inputs!$J24,sup_names,0)),INDEX(sup_dp,1)))</f>
        <v/>
      </c>
      <c r="AD24" s="25" t="str">
        <f aca="false">IF(Inputs!$B24="","",IFERROR(INDEX(sup_kv,MATCH(Inputs!$J24,sup_names,0)),INDEX(sup_kv,1)))</f>
        <v/>
      </c>
      <c r="AE24" s="11" t="str">
        <f aca="false">IF(Inputs!$B24="","",p_fy/p_fs)</f>
        <v/>
      </c>
      <c r="AF24" s="19" t="str">
        <f aca="false">IF(Inputs!$B24="","",Inputs!$K24*p_g)</f>
        <v/>
      </c>
      <c r="AG24" s="26" t="str">
        <f aca="false">IF(Inputs!$B24="","",p_E*P24)</f>
        <v/>
      </c>
      <c r="AH24" s="20" t="str">
        <f aca="false">IF(Inputs!$B24="","",p_shear*p_fy*S24)</f>
        <v/>
      </c>
      <c r="AI24" s="20" t="str">
        <f aca="false">IF(Inputs!$B24="","",IF(Inputs!$B24="channel",Inputs!$M24,Inputs!$I24*1000))</f>
        <v/>
      </c>
      <c r="AJ24" s="13" t="str">
        <f aca="false">IF(Inputs!$B24="","",IF(Inputs!$B24="channel",(Inputs!$H24+Inputs!$N24)*Inputs!$I24/(AI24/1000),Inputs!$H24))</f>
        <v/>
      </c>
      <c r="AK24" s="20" t="str">
        <f aca="false">IF(Inputs!$B24="","",AE24*MIN(Q24,R24)*p_splice)</f>
        <v/>
      </c>
      <c r="AL24" s="13" t="str">
        <f aca="false">IF(Inputs!$B24="","",AI24/Inputs!$L24)</f>
        <v/>
      </c>
      <c r="AM24" s="27" t="str">
        <f aca="false">IF(Inputs!$B24="","",U24*p_g/1000)</f>
        <v/>
      </c>
      <c r="AN24" s="27" t="str">
        <f aca="false">IF(Inputs!$B24="","",AJ24*p_g/1000)</f>
        <v/>
      </c>
      <c r="AO24" s="20" t="str">
        <f aca="false">IF(Inputs!$B24="","",Z24*(AM24+AN24)*AI24^2+AA24*AF24*AI24)</f>
        <v/>
      </c>
      <c r="AP24" s="20" t="str">
        <f aca="false">IF(Inputs!$B24="","",AD24*((AM24+AN24)*AI24+AF24))</f>
        <v/>
      </c>
      <c r="AQ24" s="13" t="str">
        <f aca="false">IF(Inputs!$B24="","",AB24*(AM24+AN24)*AI24^4/AG24+AC24*AF24*AI24^3/AG24)</f>
        <v/>
      </c>
      <c r="AR24" s="19" t="str">
        <f aca="false">IF(Inputs!$B24="","",MAX(0,(AK24-AA24*AF24*AI24)/(Z24*AI24^2)-AM24)*1000/p_g)</f>
        <v/>
      </c>
      <c r="AS24" s="19" t="str">
        <f aca="false">IF(Inputs!$B24="","",MAX(0,(AH24-AD24*AF24)/(AD24*AI24)-AM24)*1000/p_g)</f>
        <v/>
      </c>
      <c r="AT24" s="19" t="str">
        <f aca="false">IF(Inputs!$B24="","",MAX(0,(AL24-AC24*AF24*AI24^3/AG24)/(AB24*AI24^4/AG24)-AM24)*1000/p_g)</f>
        <v/>
      </c>
      <c r="AU24" s="19" t="str">
        <f aca="false">IF(Inputs!$B24="","",MIN(AR24,AS24,AT24))</f>
        <v/>
      </c>
      <c r="AV24" s="21" t="str">
        <f aca="false">IF(Inputs!$B24="","",IF(AU24=AR24,"bending",IF(AU24=AT24,"deflection","shear")))</f>
        <v/>
      </c>
      <c r="AW24" s="23" t="str">
        <f aca="false">IF(Inputs!$B24="","",IF(Inputs!$B24="ladder",((Inputs!$H24*2500/p_rungN/1000*p_g)*Inputs!$C24/8+(AF24/3)*Inputs!$C24/4)/(p_fy/p_fs*p_rungZ),""))</f>
        <v/>
      </c>
      <c r="AX24" s="20" t="str">
        <f aca="false">IF(Inputs!$B24="","",IF(Inputs!$B24="arm",AE24*MIN(Q24,R24),""))</f>
        <v/>
      </c>
      <c r="AY24" s="13" t="str">
        <f aca="false">IF(Inputs!$B24="","",IF(Inputs!$B24="arm",Inputs!$F24/p_cant,""))</f>
        <v/>
      </c>
      <c r="AZ24" s="20" t="str">
        <f aca="false">IF(Inputs!$B24="","",IF(Inputs!$B24="arm",Inputs!$H24*Inputs!$I24*p_g,""))</f>
        <v/>
      </c>
      <c r="BA24" s="20" t="str">
        <f aca="false">IF(Inputs!$B24="","",IF(Inputs!$B24="arm",AZ24+Inputs!$N24*Inputs!$I24*p_g,""))</f>
        <v/>
      </c>
      <c r="BB24" s="19" t="str">
        <f aca="false">IF(Inputs!$B24="","",IF(Inputs!$B24="arm",AF24/3,""))</f>
        <v/>
      </c>
      <c r="BC24" s="20" t="str">
        <f aca="false">IF(Inputs!$B24="","",IF(Inputs!$B24="arm",BA24*Inputs!$F24/2+BB24*Inputs!$F24,""))</f>
        <v/>
      </c>
      <c r="BD24" s="20" t="str">
        <f aca="false">IF(Inputs!$B24="","",IF(Inputs!$B24="arm",BA24+BB24,""))</f>
        <v/>
      </c>
      <c r="BE24" s="13" t="str">
        <f aca="false">IF(Inputs!$B24="","",IF(Inputs!$B24="arm",BA24*Inputs!$F24^3/(8*AG24)+BB24*Inputs!$F24^3/(3*AG24),""))</f>
        <v/>
      </c>
      <c r="BF24" s="19" t="str">
        <f aca="false">IF(Inputs!$B24="","",IF(Inputs!$B24="arm",(AX24-BB24*Inputs!$F24)/(Inputs!$F24/2)/p_g-Inputs!$N24*Inputs!$I24,""))</f>
        <v/>
      </c>
      <c r="BG24" s="19" t="str">
        <f aca="false">IF(Inputs!$B24="","",IF(Inputs!$B24="arm",(AH24-BB24)/p_g-Inputs!$N24*Inputs!$I24,""))</f>
        <v/>
      </c>
      <c r="BH24" s="19" t="str">
        <f aca="false">IF(Inputs!$B24="","",IF(Inputs!$B24="arm",(AY24-BB24*Inputs!$F24^3/(3*AG24))/(Inputs!$F24^3/(8*AG24))/p_g-Inputs!$N24*Inputs!$I24,""))</f>
        <v/>
      </c>
      <c r="BI24" s="19" t="str">
        <f aca="false">IF(Inputs!$B24="","",IF(Inputs!$B24="arm",MAX(0,MIN(BF24,BG24,BH24)),""))</f>
        <v/>
      </c>
      <c r="BJ24" s="19" t="str">
        <f aca="false">IF(Inputs!$B24="","",IF(Inputs!$B24="arm",BI24/Inputs!$I24,""))</f>
        <v/>
      </c>
      <c r="BK24" s="21" t="str">
        <f aca="false">IF(Inputs!$B24="","",IF(Inputs!$B24="arm",IF(BI24=MAX(0,BF24),"bending",IF(BI24=MAX(0,BH24),"deflection","shear")),""))</f>
        <v/>
      </c>
      <c r="BL24" s="20" t="str">
        <f aca="false">IF(Inputs!$B24="","",IF(Inputs!$B24="arm",AX24,AK24))</f>
        <v/>
      </c>
      <c r="BM24" s="20" t="str">
        <f aca="false">IF(Inputs!$B24="","",IF(Inputs!$B24="arm",BC24,AO24))</f>
        <v/>
      </c>
      <c r="BN24" s="20" t="str">
        <f aca="false">IF(Inputs!$B24="","",IF(Inputs!$B24="arm",BD24,AP24))</f>
        <v/>
      </c>
      <c r="BO24" s="13" t="str">
        <f aca="false">IF(Inputs!$B24="","",IF(Inputs!$B24="arm",BE24,AQ24))</f>
        <v/>
      </c>
      <c r="BP24" s="13" t="str">
        <f aca="false">IF(Inputs!$B24="","",IF(Inputs!$B24="arm",AY24,AL24))</f>
        <v/>
      </c>
      <c r="BQ24" s="23" t="str">
        <f aca="false">IF(Inputs!$B24="","",BM24/BL24)</f>
        <v/>
      </c>
      <c r="BR24" s="23" t="str">
        <f aca="false">IF(Inputs!$B24="","",BN24/AH24)</f>
        <v/>
      </c>
      <c r="BS24" s="23" t="str">
        <f aca="false">IF(Inputs!$B24="","",BO24/BP24)</f>
        <v/>
      </c>
      <c r="BT24" s="28" t="str">
        <f aca="false">IF(Inputs!$B24="","",MAX(BQ24,BR24,BS24,IF(Inputs!$B24="ladder",AW24,0)))</f>
        <v/>
      </c>
      <c r="BU24" s="16" t="str">
        <f aca="false">IF(Inputs!$B24="","",IF(Inputs!$B24="arm",BJ24,AU24))</f>
        <v/>
      </c>
      <c r="BV24" s="15" t="str">
        <f aca="false">IF(Inputs!$B24="","",IF(Inputs!$B24="arm",BK24,AV24))</f>
        <v/>
      </c>
      <c r="BW24" s="15" t="str">
        <f aca="false">IF(Inputs!$B24="","",IF(BT24&lt;=1,"PASS","FAIL"))</f>
        <v/>
      </c>
      <c r="BX24" s="18" t="str">
        <f aca="false">IF(Inputs!$B24="","",IF(Inputs!$H24&gt;0,BU24/Inputs!$H24-1,""))</f>
        <v/>
      </c>
    </row>
    <row r="25" customFormat="false" ht="15" hidden="false" customHeight="false" outlineLevel="0" collapsed="false">
      <c r="A25" s="0" t="str">
        <f aca="false">IF(Inputs!A25="","",Inputs!A25)</f>
        <v/>
      </c>
      <c r="B25" s="21" t="str">
        <f aca="false">IF(Inputs!$B25="","",Inputs!$B25)</f>
        <v/>
      </c>
      <c r="C25" s="23" t="str">
        <f aca="false">IF(Inputs!$B25="","",IF(OR(Inputs!$B25="perf",Inputs!$B25="trough"),MIN(0.5,IF(Inputs!$B25="perf",p_perfN*p_perfL*p_perfW/(p_perfSp*Inputs!$C25),p_trN*p_trL*p_trW/(p_trSp*Inputs!$C25))),0))</f>
        <v/>
      </c>
      <c r="D25" s="11" t="str">
        <f aca="false">IF(Inputs!$B25="","",IF(Inputs!$B25="ladder",p_collar,IF(Inputs!$B25="perf",IF(AND(Inputs!$C25&gt;=300,Inputs!$D25&gt;=100),15,0),IF(Inputs!$B25="trough",0,p_lip))))</f>
        <v/>
      </c>
      <c r="E25" s="19" t="str">
        <f aca="false">IF(Inputs!$B25="","",IF(Inputs!$B25="ladder",2*Inputs!$E25*Inputs!$D25,IF(OR(Inputs!$B25="perf",Inputs!$B25="trough"),(Inputs!$C25+4)*Inputs!$E25*(1-C25),Inputs!$C25*Inputs!$E25)))</f>
        <v/>
      </c>
      <c r="F25" s="19" t="str">
        <f aca="false">IF(Inputs!$B25="","",IF(Inputs!$B25="ladder",Inputs!$D25/2,Inputs!$E25/2))</f>
        <v/>
      </c>
      <c r="G25" s="20" t="str">
        <f aca="false">IF(Inputs!$B25="","",IF(Inputs!$B25="ladder",2*Inputs!$E25*Inputs!$D25^3/12,IF(OR(Inputs!$B25="perf",Inputs!$B25="trough"),0,Inputs!$C25*Inputs!$E25^3/12)))</f>
        <v/>
      </c>
      <c r="H25" s="19" t="str">
        <f aca="false">IF(Inputs!$B25="","",IF(Inputs!$B25="ladder",2*D25*Inputs!$E25,2*Inputs!$E25*Inputs!$D25))</f>
        <v/>
      </c>
      <c r="I25" s="19" t="str">
        <f aca="false">IF(Inputs!$B25="","",IF(Inputs!$B25="ladder",Inputs!$E25/2,Inputs!$D25/2))</f>
        <v/>
      </c>
      <c r="J25" s="20" t="str">
        <f aca="false">IF(Inputs!$B25="","",IF(Inputs!$B25="ladder",2*D25*Inputs!$E25^3/12,2*Inputs!$E25*Inputs!$D25^3/12))</f>
        <v/>
      </c>
      <c r="K25" s="19" t="str">
        <f aca="false">IF(Inputs!$B25="","",2*D25*Inputs!$E25)</f>
        <v/>
      </c>
      <c r="L25" s="19" t="str">
        <f aca="false">IF(Inputs!$B25="","",Inputs!$D25-Inputs!$E25/2)</f>
        <v/>
      </c>
      <c r="M25" s="20" t="str">
        <f aca="false">IF(Inputs!$B25="","",2*D25*Inputs!$E25^3/12)</f>
        <v/>
      </c>
      <c r="N25" s="19" t="str">
        <f aca="false">IF(Inputs!$B25="","",E25+H25+K25)</f>
        <v/>
      </c>
      <c r="O25" s="13" t="str">
        <f aca="false">IF(Inputs!$B25="","",(E25*F25+H25*I25+K25*L25)/N25)</f>
        <v/>
      </c>
      <c r="P25" s="20" t="str">
        <f aca="false">IF(Inputs!$B25="","",(G25+E25*(F25-O25)^2)+(J25+H25*(I25-O25)^2)+(M25+K25*(L25-O25)^2))</f>
        <v/>
      </c>
      <c r="Q25" s="20" t="str">
        <f aca="false">IF(Inputs!$B25="","",P25/O25)</f>
        <v/>
      </c>
      <c r="R25" s="20" t="str">
        <f aca="false">IF(Inputs!$B25="","",P25/(Inputs!$D25-O25))</f>
        <v/>
      </c>
      <c r="S25" s="19" t="str">
        <f aca="false">IF(Inputs!$B25="","",2*Inputs!$D25*Inputs!$E25)</f>
        <v/>
      </c>
      <c r="T25" s="13" t="str">
        <f aca="false">IF(Inputs!$B25="","",N25*0.00785+IF(Inputs!$B25="ladder",p_rungN/2.5*(p_rungW*p_rungT+2*p_rungT*p_rungH)*Inputs!$C25*0.00000785,0))</f>
        <v/>
      </c>
      <c r="U25" s="13" t="str">
        <f aca="false">IF(Inputs!$B25="","",IF(Inputs!$G25="",T25,Inputs!$G25))</f>
        <v/>
      </c>
      <c r="V25" s="24" t="str">
        <f aca="false">IF(Inputs!$B25="","",Inputs!$D25/Inputs!$E25)</f>
        <v/>
      </c>
      <c r="W25" s="24" t="str">
        <f aca="false">IF(Inputs!$B25="","",IF(D25&gt;0,D25/Inputs!$E25,0))</f>
        <v/>
      </c>
      <c r="X25" s="24" t="str">
        <f aca="false">IF(Inputs!$B25="","",IF(OR(Inputs!$B25="perf",Inputs!$B25="trough"),(Inputs!$C25+4)/Inputs!$E25,IF(OR(Inputs!$B25="channel",Inputs!$B25="arm"),Inputs!$C25/Inputs!$E25,0)))</f>
        <v/>
      </c>
      <c r="Y25" s="21" t="str">
        <f aca="false">IF(Inputs!$B25="","",IF(V25&gt;p_webS,"web; ","")&amp;IF(W25&gt;p_flS,"flange; ","")&amp;IF(X25&gt;p_plS,"base plate; ",""))</f>
        <v/>
      </c>
      <c r="Z25" s="25" t="str">
        <f aca="false">IF(Inputs!$B25="","",IFERROR(INDEX(sup_kw,MATCH(Inputs!$J25,sup_names,0)),INDEX(sup_kw,1)))</f>
        <v/>
      </c>
      <c r="AA25" s="25" t="str">
        <f aca="false">IF(Inputs!$B25="","",IFERROR(INDEX(sup_kp,MATCH(Inputs!$J25,sup_names,0)),INDEX(sup_kp,1)))</f>
        <v/>
      </c>
      <c r="AB25" s="25" t="str">
        <f aca="false">IF(Inputs!$B25="","",IFERROR(INDEX(sup_dw,MATCH(Inputs!$J25,sup_names,0)),INDEX(sup_dw,1)))</f>
        <v/>
      </c>
      <c r="AC25" s="25" t="str">
        <f aca="false">IF(Inputs!$B25="","",IFERROR(INDEX(sup_dp,MATCH(Inputs!$J25,sup_names,0)),INDEX(sup_dp,1)))</f>
        <v/>
      </c>
      <c r="AD25" s="25" t="str">
        <f aca="false">IF(Inputs!$B25="","",IFERROR(INDEX(sup_kv,MATCH(Inputs!$J25,sup_names,0)),INDEX(sup_kv,1)))</f>
        <v/>
      </c>
      <c r="AE25" s="11" t="str">
        <f aca="false">IF(Inputs!$B25="","",p_fy/p_fs)</f>
        <v/>
      </c>
      <c r="AF25" s="19" t="str">
        <f aca="false">IF(Inputs!$B25="","",Inputs!$K25*p_g)</f>
        <v/>
      </c>
      <c r="AG25" s="26" t="str">
        <f aca="false">IF(Inputs!$B25="","",p_E*P25)</f>
        <v/>
      </c>
      <c r="AH25" s="20" t="str">
        <f aca="false">IF(Inputs!$B25="","",p_shear*p_fy*S25)</f>
        <v/>
      </c>
      <c r="AI25" s="20" t="str">
        <f aca="false">IF(Inputs!$B25="","",IF(Inputs!$B25="channel",Inputs!$M25,Inputs!$I25*1000))</f>
        <v/>
      </c>
      <c r="AJ25" s="13" t="str">
        <f aca="false">IF(Inputs!$B25="","",IF(Inputs!$B25="channel",(Inputs!$H25+Inputs!$N25)*Inputs!$I25/(AI25/1000),Inputs!$H25))</f>
        <v/>
      </c>
      <c r="AK25" s="20" t="str">
        <f aca="false">IF(Inputs!$B25="","",AE25*MIN(Q25,R25)*p_splice)</f>
        <v/>
      </c>
      <c r="AL25" s="13" t="str">
        <f aca="false">IF(Inputs!$B25="","",AI25/Inputs!$L25)</f>
        <v/>
      </c>
      <c r="AM25" s="27" t="str">
        <f aca="false">IF(Inputs!$B25="","",U25*p_g/1000)</f>
        <v/>
      </c>
      <c r="AN25" s="27" t="str">
        <f aca="false">IF(Inputs!$B25="","",AJ25*p_g/1000)</f>
        <v/>
      </c>
      <c r="AO25" s="20" t="str">
        <f aca="false">IF(Inputs!$B25="","",Z25*(AM25+AN25)*AI25^2+AA25*AF25*AI25)</f>
        <v/>
      </c>
      <c r="AP25" s="20" t="str">
        <f aca="false">IF(Inputs!$B25="","",AD25*((AM25+AN25)*AI25+AF25))</f>
        <v/>
      </c>
      <c r="AQ25" s="13" t="str">
        <f aca="false">IF(Inputs!$B25="","",AB25*(AM25+AN25)*AI25^4/AG25+AC25*AF25*AI25^3/AG25)</f>
        <v/>
      </c>
      <c r="AR25" s="19" t="str">
        <f aca="false">IF(Inputs!$B25="","",MAX(0,(AK25-AA25*AF25*AI25)/(Z25*AI25^2)-AM25)*1000/p_g)</f>
        <v/>
      </c>
      <c r="AS25" s="19" t="str">
        <f aca="false">IF(Inputs!$B25="","",MAX(0,(AH25-AD25*AF25)/(AD25*AI25)-AM25)*1000/p_g)</f>
        <v/>
      </c>
      <c r="AT25" s="19" t="str">
        <f aca="false">IF(Inputs!$B25="","",MAX(0,(AL25-AC25*AF25*AI25^3/AG25)/(AB25*AI25^4/AG25)-AM25)*1000/p_g)</f>
        <v/>
      </c>
      <c r="AU25" s="19" t="str">
        <f aca="false">IF(Inputs!$B25="","",MIN(AR25,AS25,AT25))</f>
        <v/>
      </c>
      <c r="AV25" s="21" t="str">
        <f aca="false">IF(Inputs!$B25="","",IF(AU25=AR25,"bending",IF(AU25=AT25,"deflection","shear")))</f>
        <v/>
      </c>
      <c r="AW25" s="23" t="str">
        <f aca="false">IF(Inputs!$B25="","",IF(Inputs!$B25="ladder",((Inputs!$H25*2500/p_rungN/1000*p_g)*Inputs!$C25/8+(AF25/3)*Inputs!$C25/4)/(p_fy/p_fs*p_rungZ),""))</f>
        <v/>
      </c>
      <c r="AX25" s="20" t="str">
        <f aca="false">IF(Inputs!$B25="","",IF(Inputs!$B25="arm",AE25*MIN(Q25,R25),""))</f>
        <v/>
      </c>
      <c r="AY25" s="13" t="str">
        <f aca="false">IF(Inputs!$B25="","",IF(Inputs!$B25="arm",Inputs!$F25/p_cant,""))</f>
        <v/>
      </c>
      <c r="AZ25" s="20" t="str">
        <f aca="false">IF(Inputs!$B25="","",IF(Inputs!$B25="arm",Inputs!$H25*Inputs!$I25*p_g,""))</f>
        <v/>
      </c>
      <c r="BA25" s="20" t="str">
        <f aca="false">IF(Inputs!$B25="","",IF(Inputs!$B25="arm",AZ25+Inputs!$N25*Inputs!$I25*p_g,""))</f>
        <v/>
      </c>
      <c r="BB25" s="19" t="str">
        <f aca="false">IF(Inputs!$B25="","",IF(Inputs!$B25="arm",AF25/3,""))</f>
        <v/>
      </c>
      <c r="BC25" s="20" t="str">
        <f aca="false">IF(Inputs!$B25="","",IF(Inputs!$B25="arm",BA25*Inputs!$F25/2+BB25*Inputs!$F25,""))</f>
        <v/>
      </c>
      <c r="BD25" s="20" t="str">
        <f aca="false">IF(Inputs!$B25="","",IF(Inputs!$B25="arm",BA25+BB25,""))</f>
        <v/>
      </c>
      <c r="BE25" s="13" t="str">
        <f aca="false">IF(Inputs!$B25="","",IF(Inputs!$B25="arm",BA25*Inputs!$F25^3/(8*AG25)+BB25*Inputs!$F25^3/(3*AG25),""))</f>
        <v/>
      </c>
      <c r="BF25" s="19" t="str">
        <f aca="false">IF(Inputs!$B25="","",IF(Inputs!$B25="arm",(AX25-BB25*Inputs!$F25)/(Inputs!$F25/2)/p_g-Inputs!$N25*Inputs!$I25,""))</f>
        <v/>
      </c>
      <c r="BG25" s="19" t="str">
        <f aca="false">IF(Inputs!$B25="","",IF(Inputs!$B25="arm",(AH25-BB25)/p_g-Inputs!$N25*Inputs!$I25,""))</f>
        <v/>
      </c>
      <c r="BH25" s="19" t="str">
        <f aca="false">IF(Inputs!$B25="","",IF(Inputs!$B25="arm",(AY25-BB25*Inputs!$F25^3/(3*AG25))/(Inputs!$F25^3/(8*AG25))/p_g-Inputs!$N25*Inputs!$I25,""))</f>
        <v/>
      </c>
      <c r="BI25" s="19" t="str">
        <f aca="false">IF(Inputs!$B25="","",IF(Inputs!$B25="arm",MAX(0,MIN(BF25,BG25,BH25)),""))</f>
        <v/>
      </c>
      <c r="BJ25" s="19" t="str">
        <f aca="false">IF(Inputs!$B25="","",IF(Inputs!$B25="arm",BI25/Inputs!$I25,""))</f>
        <v/>
      </c>
      <c r="BK25" s="21" t="str">
        <f aca="false">IF(Inputs!$B25="","",IF(Inputs!$B25="arm",IF(BI25=MAX(0,BF25),"bending",IF(BI25=MAX(0,BH25),"deflection","shear")),""))</f>
        <v/>
      </c>
      <c r="BL25" s="20" t="str">
        <f aca="false">IF(Inputs!$B25="","",IF(Inputs!$B25="arm",AX25,AK25))</f>
        <v/>
      </c>
      <c r="BM25" s="20" t="str">
        <f aca="false">IF(Inputs!$B25="","",IF(Inputs!$B25="arm",BC25,AO25))</f>
        <v/>
      </c>
      <c r="BN25" s="20" t="str">
        <f aca="false">IF(Inputs!$B25="","",IF(Inputs!$B25="arm",BD25,AP25))</f>
        <v/>
      </c>
      <c r="BO25" s="13" t="str">
        <f aca="false">IF(Inputs!$B25="","",IF(Inputs!$B25="arm",BE25,AQ25))</f>
        <v/>
      </c>
      <c r="BP25" s="13" t="str">
        <f aca="false">IF(Inputs!$B25="","",IF(Inputs!$B25="arm",AY25,AL25))</f>
        <v/>
      </c>
      <c r="BQ25" s="23" t="str">
        <f aca="false">IF(Inputs!$B25="","",BM25/BL25)</f>
        <v/>
      </c>
      <c r="BR25" s="23" t="str">
        <f aca="false">IF(Inputs!$B25="","",BN25/AH25)</f>
        <v/>
      </c>
      <c r="BS25" s="23" t="str">
        <f aca="false">IF(Inputs!$B25="","",BO25/BP25)</f>
        <v/>
      </c>
      <c r="BT25" s="28" t="str">
        <f aca="false">IF(Inputs!$B25="","",MAX(BQ25,BR25,BS25,IF(Inputs!$B25="ladder",AW25,0)))</f>
        <v/>
      </c>
      <c r="BU25" s="16" t="str">
        <f aca="false">IF(Inputs!$B25="","",IF(Inputs!$B25="arm",BJ25,AU25))</f>
        <v/>
      </c>
      <c r="BV25" s="15" t="str">
        <f aca="false">IF(Inputs!$B25="","",IF(Inputs!$B25="arm",BK25,AV25))</f>
        <v/>
      </c>
      <c r="BW25" s="15" t="str">
        <f aca="false">IF(Inputs!$B25="","",IF(BT25&lt;=1,"PASS","FAIL"))</f>
        <v/>
      </c>
      <c r="BX25" s="18" t="str">
        <f aca="false">IF(Inputs!$B25="","",IF(Inputs!$H25&gt;0,BU25/Inputs!$H25-1,""))</f>
        <v/>
      </c>
    </row>
  </sheetData>
  <conditionalFormatting sqref="BW6:BW25">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4"/>
    <col collapsed="false" customWidth="true" hidden="false" outlineLevel="0" max="7" min="7" style="0" width="14"/>
    <col collapsed="false" customWidth="true" hidden="false" outlineLevel="0" max="8" min="8" style="0" width="16"/>
  </cols>
  <sheetData>
    <row r="1" customFormat="false" ht="18.55" hidden="false" customHeight="false" outlineLevel="0" collapsed="false">
      <c r="A1" s="1" t="s">
        <v>160</v>
      </c>
    </row>
    <row r="2" customFormat="false" ht="15" hidden="false" customHeight="false" outlineLevel="0" collapsed="false">
      <c r="A2" s="2" t="s">
        <v>161</v>
      </c>
    </row>
    <row r="3" customFormat="false" ht="15" hidden="false" customHeight="false" outlineLevel="0" collapsed="false">
      <c r="A3" s="0" t="s">
        <v>21</v>
      </c>
      <c r="B3" s="0" t="str">
        <f aca="false">INDEX(Inputs!$B$6:$B$25,Summary!$B$3)</f>
        <v>ladder</v>
      </c>
    </row>
    <row r="4" customFormat="false" ht="15" hidden="false" customHeight="false" outlineLevel="0" collapsed="false">
      <c r="A4" s="0" t="s">
        <v>162</v>
      </c>
      <c r="B4" s="13" t="n">
        <f aca="false">INDEX(Inputs!$H$6:$H$25,Summary!$B$3)</f>
        <v>40</v>
      </c>
    </row>
    <row r="6" customFormat="false" ht="15" hidden="false" customHeight="false" outlineLevel="0" collapsed="false">
      <c r="A6" s="3" t="s">
        <v>66</v>
      </c>
    </row>
    <row r="7" customFormat="false" ht="15" hidden="false" customHeight="false" outlineLevel="0" collapsed="false">
      <c r="A7" s="3" t="s">
        <v>163</v>
      </c>
      <c r="B7" s="22" t="n">
        <f aca="false">IF($H$11="channel","n/a",IF(COUNTIF($B$12:$B$127,"&gt;="&amp;$H$12)=0,"none",IF(COUNTIF($B$12:$B$127,"&gt;="&amp;$H$12)&gt;=116,12,INDEX($A$12:$A$127,COUNTIF($B$12:$B$127,"&gt;="&amp;$H$12))+(INDEX($B$12:$B$127,COUNTIF($B$12:$B$127,"&gt;="&amp;$H$12))-$H$12)/(INDEX($B$12:$B$127,COUNTIF($B$12:$B$127,"&gt;="&amp;$H$12))-INDEX($B$12:$B$127,COUNTIF($B$12:$B$127,"&gt;="&amp;$H$12)+1))*0.1)))</f>
        <v>3.24043848042303</v>
      </c>
    </row>
    <row r="8" customFormat="false" ht="15" hidden="false" customHeight="false" outlineLevel="0" collapsed="false">
      <c r="A8" s="0" t="s">
        <v>164</v>
      </c>
      <c r="B8" s="0" t="str">
        <f aca="false">IF(B7="none","Capacity is below the load even at 0.5 m",IF(B7=12,"Carries the load at the 12 m limit of the table",""))</f>
        <v/>
      </c>
    </row>
    <row r="10" customFormat="false" ht="15" hidden="false" customHeight="false" outlineLevel="0" collapsed="false">
      <c r="G10" s="3" t="s">
        <v>165</v>
      </c>
    </row>
    <row r="11" customFormat="false" ht="31.5" hidden="false" customHeight="true" outlineLevel="0" collapsed="false">
      <c r="A11" s="5" t="s">
        <v>166</v>
      </c>
      <c r="B11" s="6" t="s">
        <v>167</v>
      </c>
      <c r="C11" s="6" t="s">
        <v>168</v>
      </c>
      <c r="D11" s="6" t="s">
        <v>169</v>
      </c>
      <c r="G11" s="12" t="s">
        <v>170</v>
      </c>
      <c r="H11" s="21" t="str">
        <f aca="false">INDEX(Inputs!$B$6:$B$25,Summary!$B$3)</f>
        <v>ladder</v>
      </c>
    </row>
    <row r="12" customFormat="false" ht="15" hidden="false" customHeight="false" outlineLevel="0" collapsed="false">
      <c r="A12" s="11" t="n">
        <v>0.5</v>
      </c>
      <c r="B12" s="19" t="n">
        <f aca="false">IF($H$11="arm",MAX(0,MIN(($H$27-($H$23/3)*$H$16)/($H$16/2)/p_g-$H$15*$A12,($H$25-($H$23/3))/p_g-$H$15*$A12,(($H$16/p_cant)-($H$23/3)*$H$16^3/(3*$H$24))/($H$16^3/(8*$H$24))/p_g-$H$15*$A12))/$A12,IF($H$11="channel","",MIN(MAX(0,($H$26-$H$18*$H$23*($A12*1000))/($H$17*($A12*1000)^2)-$H$29)*1000/p_g,MAX(0,($H$25-$H$21*$H$23)/($H$21*($A12*1000))-$H$29)*1000/p_g,MAX(0,(($A12*1000)/$H$14-$H$20*$H$23*($A12*1000)^3/$H$24)/($H$19*($A12*1000)^4/$H$24)-$H$29)*1000/p_g)))</f>
        <v>4001.70863703785</v>
      </c>
      <c r="C12" s="11" t="n">
        <f aca="false">$H$12</f>
        <v>40</v>
      </c>
      <c r="D12" s="0" t="str">
        <f aca="false">IF(B12="","",IF(B12&gt;=C12,"yes","no"))</f>
        <v>yes</v>
      </c>
      <c r="G12" s="12" t="s">
        <v>171</v>
      </c>
      <c r="H12" s="13" t="n">
        <f aca="false">INDEX(Inputs!$H$6:$H$25,Summary!$B$3)</f>
        <v>40</v>
      </c>
    </row>
    <row r="13" customFormat="false" ht="15" hidden="false" customHeight="false" outlineLevel="0" collapsed="false">
      <c r="A13" s="11" t="n">
        <v>0.6</v>
      </c>
      <c r="B13" s="19" t="n">
        <f aca="false">IF($H$11="arm",MAX(0,MIN(($H$27-($H$23/3)*$H$16)/($H$16/2)/p_g-$H$15*$A13,($H$25-($H$23/3))/p_g-$H$15*$A13,(($H$16/p_cant)-($H$23/3)*$H$16^3/(3*$H$24))/($H$16^3/(8*$H$24))/p_g-$H$15*$A13))/$A13,IF($H$11="channel","",MIN(MAX(0,($H$26-$H$18*$H$23*($A13*1000))/($H$17*($A13*1000)^2)-$H$29)*1000/p_g,MAX(0,($H$25-$H$21*$H$23)/($H$21*($A13*1000))-$H$29)*1000/p_g,MAX(0,(($A13*1000)/$H$14-$H$20*$H$23*($A13*1000)^3/$H$24)/($H$19*($A13*1000)^4/$H$24)-$H$29)*1000/p_g)))</f>
        <v>2726.34877572073</v>
      </c>
      <c r="C13" s="11" t="n">
        <f aca="false">$H$12</f>
        <v>40</v>
      </c>
      <c r="D13" s="0" t="str">
        <f aca="false">IF(B13="","",IF(B13&gt;=C13,"yes","no"))</f>
        <v>yes</v>
      </c>
      <c r="G13" s="12" t="s">
        <v>172</v>
      </c>
      <c r="H13" s="11" t="n">
        <f aca="false">INDEX(Inputs!$K$6:$K$25,Summary!$B$3)</f>
        <v>90</v>
      </c>
    </row>
    <row r="14" customFormat="false" ht="15" hidden="false" customHeight="false" outlineLevel="0" collapsed="false">
      <c r="A14" s="11" t="n">
        <v>0.7</v>
      </c>
      <c r="B14" s="19" t="n">
        <f aca="false">IF($H$11="arm",MAX(0,MIN(($H$27-($H$23/3)*$H$16)/($H$16/2)/p_g-$H$15*$A14,($H$25-($H$23/3))/p_g-$H$15*$A14,(($H$16/p_cant)-($H$23/3)*$H$16^3/(3*$H$24))/($H$16^3/(8*$H$24))/p_g-$H$15*$A14))/$A14,IF($H$11="channel","",MIN(MAX(0,($H$26-$H$18*$H$23*($A14*1000))/($H$17*($A14*1000)^2)-$H$29)*1000/p_g,MAX(0,($H$25-$H$21*$H$23)/($H$21*($A14*1000))-$H$29)*1000/p_g,MAX(0,(($A14*1000)/$H$14-$H$20*$H$23*($A14*1000)^3/$H$24)/($H$19*($A14*1000)^4/$H$24)-$H$29)*1000/p_g)))</f>
        <v>1964.02603930503</v>
      </c>
      <c r="C14" s="11" t="n">
        <f aca="false">$H$12</f>
        <v>40</v>
      </c>
      <c r="D14" s="0" t="str">
        <f aca="false">IF(B14="","",IF(B14&gt;=C14,"yes","no"))</f>
        <v>yes</v>
      </c>
      <c r="G14" s="12" t="s">
        <v>173</v>
      </c>
      <c r="H14" s="24" t="n">
        <f aca="false">INDEX(Inputs!$L$6:$L$25,Summary!$B$3)</f>
        <v>200</v>
      </c>
    </row>
    <row r="15" customFormat="false" ht="15" hidden="false" customHeight="false" outlineLevel="0" collapsed="false">
      <c r="A15" s="11" t="n">
        <v>0.8</v>
      </c>
      <c r="B15" s="19" t="n">
        <f aca="false">IF($H$11="arm",MAX(0,MIN(($H$27-($H$23/3)*$H$16)/($H$16/2)/p_g-$H$15*$A15,($H$25-($H$23/3))/p_g-$H$15*$A15,(($H$16/p_cant)-($H$23/3)*$H$16^3/(3*$H$24))/($H$16^3/(8*$H$24))/p_g-$H$15*$A15))/$A15,IF($H$11="channel","",MIN(MAX(0,($H$26-$H$18*$H$23*($A15*1000))/($H$17*($A15*1000)^2)-$H$29)*1000/p_g,MAX(0,($H$25-$H$21*$H$23)/($H$21*($A15*1000))-$H$29)*1000/p_g,MAX(0,(($A15*1000)/$H$14-$H$20*$H$23*($A15*1000)^3/$H$24)/($H$19*($A15*1000)^4/$H$24)-$H$29)*1000/p_g)))</f>
        <v>1473.57618634291</v>
      </c>
      <c r="C15" s="11" t="n">
        <f aca="false">$H$12</f>
        <v>40</v>
      </c>
      <c r="D15" s="0" t="str">
        <f aca="false">IF(B15="","",IF(B15&gt;=C15,"yes","no"))</f>
        <v>yes</v>
      </c>
      <c r="G15" s="12" t="s">
        <v>174</v>
      </c>
      <c r="H15" s="13" t="n">
        <f aca="false">INDEX(Inputs!$N$6:$N$25,Summary!$B$3)</f>
        <v>0</v>
      </c>
    </row>
    <row r="16" customFormat="false" ht="15" hidden="false" customHeight="false" outlineLevel="0" collapsed="false">
      <c r="A16" s="11" t="n">
        <v>0.9</v>
      </c>
      <c r="B16" s="19" t="n">
        <f aca="false">IF($H$11="arm",MAX(0,MIN(($H$27-($H$23/3)*$H$16)/($H$16/2)/p_g-$H$15*$A16,($H$25-($H$23/3))/p_g-$H$15*$A16,(($H$16/p_cant)-($H$23/3)*$H$16^3/(3*$H$24))/($H$16^3/(8*$H$24))/p_g-$H$15*$A16))/$A16,IF($H$11="channel","",MIN(MAX(0,($H$26-$H$18*$H$23*($A16*1000))/($H$17*($A16*1000)^2)-$H$29)*1000/p_g,MAX(0,($H$25-$H$21*$H$23)/($H$21*($A16*1000))-$H$29)*1000/p_g,MAX(0,(($A16*1000)/$H$14-$H$20*$H$23*($A16*1000)^3/$H$24)/($H$19*($A16*1000)^4/$H$24)-$H$29)*1000/p_g)))</f>
        <v>1140.28834476477</v>
      </c>
      <c r="C16" s="11" t="n">
        <f aca="false">$H$12</f>
        <v>40</v>
      </c>
      <c r="D16" s="0" t="str">
        <f aca="false">IF(B16="","",IF(B16&gt;=C16,"yes","no"))</f>
        <v>yes</v>
      </c>
      <c r="G16" s="12" t="s">
        <v>175</v>
      </c>
      <c r="H16" s="24" t="n">
        <f aca="false">INDEX(Inputs!$F$6:$F$25,Summary!$B$3)</f>
        <v>0</v>
      </c>
    </row>
    <row r="17" customFormat="false" ht="15" hidden="false" customHeight="false" outlineLevel="0" collapsed="false">
      <c r="A17" s="11" t="n">
        <v>1</v>
      </c>
      <c r="B17" s="19" t="n">
        <f aca="false">IF($H$11="arm",MAX(0,MIN(($H$27-($H$23/3)*$H$16)/($H$16/2)/p_g-$H$15*$A17,($H$25-($H$23/3))/p_g-$H$15*$A17,(($H$16/p_cant)-($H$23/3)*$H$16^3/(3*$H$24))/($H$16^3/(8*$H$24))/p_g-$H$15*$A17))/$A17,IF($H$11="channel","",MIN(MAX(0,($H$26-$H$18*$H$23*($A17*1000))/($H$17*($A17*1000)^2)-$H$29)*1000/p_g,MAX(0,($H$25-$H$21*$H$23)/($H$21*($A17*1000))-$H$29)*1000/p_g,MAX(0,(($A17*1000)/$H$14-$H$20*$H$23*($A17*1000)^3/$H$24)/($H$19*($A17*1000)^4/$H$24)-$H$29)*1000/p_g)))</f>
        <v>904.007159259463</v>
      </c>
      <c r="C17" s="11" t="n">
        <f aca="false">$H$12</f>
        <v>40</v>
      </c>
      <c r="D17" s="0" t="str">
        <f aca="false">IF(B17="","",IF(B17&gt;=C17,"yes","no"))</f>
        <v>yes</v>
      </c>
      <c r="G17" s="12" t="s">
        <v>116</v>
      </c>
      <c r="H17" s="25" t="n">
        <f aca="false">INDEX(Calc!$Z$6:$Z$25,Summary!$B$3)</f>
        <v>0.125</v>
      </c>
    </row>
    <row r="18" customFormat="false" ht="15" hidden="false" customHeight="false" outlineLevel="0" collapsed="false">
      <c r="A18" s="11" t="n">
        <v>1.1</v>
      </c>
      <c r="B18" s="19" t="n">
        <f aca="false">IF($H$11="arm",MAX(0,MIN(($H$27-($H$23/3)*$H$16)/($H$16/2)/p_g-$H$15*$A18,($H$25-($H$23/3))/p_g-$H$15*$A18,(($H$16/p_cant)-($H$23/3)*$H$16^3/(3*$H$24))/($H$16^3/(8*$H$24))/p_g-$H$15*$A18))/$A18,IF($H$11="channel","",MIN(MAX(0,($H$26-$H$18*$H$23*($A18*1000))/($H$17*($A18*1000)^2)-$H$29)*1000/p_g,MAX(0,($H$25-$H$21*$H$23)/($H$21*($A18*1000))-$H$29)*1000/p_g,MAX(0,(($A18*1000)/$H$14-$H$20*$H$23*($A18*1000)^3/$H$24)/($H$19*($A18*1000)^4/$H$24)-$H$29)*1000/p_g)))</f>
        <v>730.751701867324</v>
      </c>
      <c r="C18" s="11" t="n">
        <f aca="false">$H$12</f>
        <v>40</v>
      </c>
      <c r="D18" s="0" t="str">
        <f aca="false">IF(B18="","",IF(B18&gt;=C18,"yes","no"))</f>
        <v>yes</v>
      </c>
      <c r="G18" s="12" t="s">
        <v>117</v>
      </c>
      <c r="H18" s="25" t="n">
        <f aca="false">INDEX(Calc!$AA$6:$AA$25,Summary!$B$3)</f>
        <v>0.25</v>
      </c>
    </row>
    <row r="19" customFormat="false" ht="15" hidden="false" customHeight="false" outlineLevel="0" collapsed="false">
      <c r="A19" s="11" t="n">
        <v>1.2</v>
      </c>
      <c r="B19" s="19" t="n">
        <f aca="false">IF($H$11="arm",MAX(0,MIN(($H$27-($H$23/3)*$H$16)/($H$16/2)/p_g-$H$15*$A19,($H$25-($H$23/3))/p_g-$H$15*$A19,(($H$16/p_cant)-($H$23/3)*$H$16^3/(3*$H$24))/($H$16^3/(8*$H$24))/p_g-$H$15*$A19))/$A19,IF($H$11="channel","",MIN(MAX(0,($H$26-$H$18*$H$23*($A19*1000))/($H$17*($A19*1000)^2)-$H$29)*1000/p_g,MAX(0,($H$25-$H$21*$H$23)/($H$21*($A19*1000))-$H$29)*1000/p_g,MAX(0,(($A19*1000)/$H$14-$H$20*$H$23*($A19*1000)^3/$H$24)/($H$19*($A19*1000)^4/$H$24)-$H$29)*1000/p_g)))</f>
        <v>600.167193930182</v>
      </c>
      <c r="C19" s="11" t="n">
        <f aca="false">$H$12</f>
        <v>40</v>
      </c>
      <c r="D19" s="0" t="str">
        <f aca="false">IF(B19="","",IF(B19&gt;=C19,"yes","no"))</f>
        <v>yes</v>
      </c>
      <c r="G19" s="12" t="s">
        <v>118</v>
      </c>
      <c r="H19" s="25" t="n">
        <f aca="false">INDEX(Calc!$AB$6:$AB$25,Summary!$B$3)</f>
        <v>0.0130208333333333</v>
      </c>
    </row>
    <row r="20" customFormat="false" ht="15" hidden="false" customHeight="false" outlineLevel="0" collapsed="false">
      <c r="A20" s="11" t="n">
        <v>1.3</v>
      </c>
      <c r="B20" s="19" t="n">
        <f aca="false">IF($H$11="arm",MAX(0,MIN(($H$27-($H$23/3)*$H$16)/($H$16/2)/p_g-$H$15*$A20,($H$25-($H$23/3))/p_g-$H$15*$A20,(($H$16/p_cant)-($H$23/3)*$H$16^3/(3*$H$24))/($H$16^3/(8*$H$24))/p_g-$H$15*$A20))/$A20,IF($H$11="channel","",MIN(MAX(0,($H$26-$H$18*$H$23*($A20*1000))/($H$17*($A20*1000)^2)-$H$29)*1000/p_g,MAX(0,($H$25-$H$21*$H$23)/($H$21*($A20*1000))-$H$29)*1000/p_g,MAX(0,(($A20*1000)/$H$14-$H$20*$H$23*($A20*1000)^3/$H$24)/($H$19*($A20*1000)^4/$H$24)-$H$29)*1000/p_g)))</f>
        <v>499.467904887256</v>
      </c>
      <c r="C20" s="11" t="n">
        <f aca="false">$H$12</f>
        <v>40</v>
      </c>
      <c r="D20" s="0" t="str">
        <f aca="false">IF(B20="","",IF(B20&gt;=C20,"yes","no"))</f>
        <v>yes</v>
      </c>
      <c r="G20" s="12" t="s">
        <v>119</v>
      </c>
      <c r="H20" s="25" t="n">
        <f aca="false">INDEX(Calc!$AC$6:$AC$25,Summary!$B$3)</f>
        <v>0.0208333333333333</v>
      </c>
    </row>
    <row r="21" customFormat="false" ht="15" hidden="false" customHeight="false" outlineLevel="0" collapsed="false">
      <c r="A21" s="11" t="n">
        <v>1.4</v>
      </c>
      <c r="B21" s="19" t="n">
        <f aca="false">IF($H$11="arm",MAX(0,MIN(($H$27-($H$23/3)*$H$16)/($H$16/2)/p_g-$H$15*$A21,($H$25-($H$23/3))/p_g-$H$15*$A21,(($H$16/p_cant)-($H$23/3)*$H$16^3/(3*$H$24))/($H$16^3/(8*$H$24))/p_g-$H$15*$A21))/$A21,IF($H$11="channel","",MIN(MAX(0,($H$26-$H$18*$H$23*($A21*1000))/($H$17*($A21*1000)^2)-$H$29)*1000/p_g,MAX(0,($H$25-$H$21*$H$23)/($H$21*($A21*1000))-$H$29)*1000/p_g,MAX(0,(($A21*1000)/$H$14-$H$20*$H$23*($A21*1000)^3/$H$24)/($H$19*($A21*1000)^4/$H$24)-$H$29)*1000/p_g)))</f>
        <v>420.300795540542</v>
      </c>
      <c r="C21" s="11" t="n">
        <f aca="false">$H$12</f>
        <v>40</v>
      </c>
      <c r="D21" s="0" t="str">
        <f aca="false">IF(B21="","",IF(B21&gt;=C21,"yes","no"))</f>
        <v>yes</v>
      </c>
      <c r="G21" s="12" t="s">
        <v>120</v>
      </c>
      <c r="H21" s="25" t="n">
        <f aca="false">INDEX(Calc!$AD$6:$AD$25,Summary!$B$3)</f>
        <v>0.5</v>
      </c>
    </row>
    <row r="22" customFormat="false" ht="15" hidden="false" customHeight="false" outlineLevel="0" collapsed="false">
      <c r="A22" s="11" t="n">
        <v>1.5</v>
      </c>
      <c r="B22" s="19" t="n">
        <f aca="false">IF($H$11="arm",MAX(0,MIN(($H$27-($H$23/3)*$H$16)/($H$16/2)/p_g-$H$15*$A22,($H$25-($H$23/3))/p_g-$H$15*$A22,(($H$16/p_cant)-($H$23/3)*$H$16^3/(3*$H$24))/($H$16^3/(8*$H$24))/p_g-$H$15*$A22))/$A22,IF($H$11="channel","",MIN(MAX(0,($H$26-$H$18*$H$23*($A22*1000))/($H$17*($A22*1000)^2)-$H$29)*1000/p_g,MAX(0,($H$25-$H$21*$H$23)/($H$21*($A22*1000))-$H$29)*1000/p_g,MAX(0,(($A22*1000)/$H$14-$H$20*$H$23*($A22*1000)^3/$H$24)/($H$19*($A22*1000)^4/$H$24)-$H$29)*1000/p_g)))</f>
        <v>357.025404115317</v>
      </c>
      <c r="C22" s="11" t="n">
        <f aca="false">$H$12</f>
        <v>40</v>
      </c>
      <c r="D22" s="0" t="str">
        <f aca="false">IF(B22="","",IF(B22&gt;=C22,"yes","no"))</f>
        <v>yes</v>
      </c>
      <c r="G22" s="12" t="s">
        <v>176</v>
      </c>
      <c r="H22" s="25" t="n">
        <f aca="false">INDEX(Calc!$AE$6:$AE$25,Summary!$B$3)</f>
        <v>149.700598802395</v>
      </c>
    </row>
    <row r="23" customFormat="false" ht="15" hidden="false" customHeight="false" outlineLevel="0" collapsed="false">
      <c r="A23" s="11" t="n">
        <v>1.6</v>
      </c>
      <c r="B23" s="19" t="n">
        <f aca="false">IF($H$11="arm",MAX(0,MIN(($H$27-($H$23/3)*$H$16)/($H$16/2)/p_g-$H$15*$A23,($H$25-($H$23/3))/p_g-$H$15*$A23,(($H$16/p_cant)-($H$23/3)*$H$16^3/(3*$H$24))/($H$16^3/(8*$H$24))/p_g-$H$15*$A23))/$A23,IF($H$11="channel","",MIN(MAX(0,($H$26-$H$18*$H$23*($A23*1000))/($H$17*($A23*1000)^2)-$H$29)*1000/p_g,MAX(0,($H$25-$H$21*$H$23)/($H$21*($A23*1000))-$H$29)*1000/p_g,MAX(0,(($A23*1000)/$H$14-$H$20*$H$23*($A23*1000)^3/$H$24)/($H$19*($A23*1000)^4/$H$24)-$H$29)*1000/p_g)))</f>
        <v>305.724046585728</v>
      </c>
      <c r="C23" s="11" t="n">
        <f aca="false">$H$12</f>
        <v>40</v>
      </c>
      <c r="D23" s="0" t="str">
        <f aca="false">IF(B23="","",IF(B23&gt;=C23,"yes","no"))</f>
        <v>yes</v>
      </c>
      <c r="G23" s="12" t="s">
        <v>177</v>
      </c>
      <c r="H23" s="25" t="n">
        <f aca="false">INDEX(Calc!$AF$6:$AF$25,Summary!$B$3)</f>
        <v>882.9</v>
      </c>
    </row>
    <row r="24" customFormat="false" ht="15" hidden="false" customHeight="false" outlineLevel="0" collapsed="false">
      <c r="A24" s="11" t="n">
        <v>1.7</v>
      </c>
      <c r="B24" s="19" t="n">
        <f aca="false">IF($H$11="arm",MAX(0,MIN(($H$27-($H$23/3)*$H$16)/($H$16/2)/p_g-$H$15*$A24,($H$25-($H$23/3))/p_g-$H$15*$A24,(($H$16/p_cant)-($H$23/3)*$H$16^3/(3*$H$24))/($H$16^3/(8*$H$24))/p_g-$H$15*$A24))/$A24,IF($H$11="channel","",MIN(MAX(0,($H$26-$H$18*$H$23*($A24*1000))/($H$17*($A24*1000)^2)-$H$29)*1000/p_g,MAX(0,($H$25-$H$21*$H$23)/($H$21*($A24*1000))-$H$29)*1000/p_g,MAX(0,(($A24*1000)/$H$14-$H$20*$H$23*($A24*1000)^3/$H$24)/($H$19*($A24*1000)^4/$H$24)-$H$29)*1000/p_g)))</f>
        <v>263.608567217807</v>
      </c>
      <c r="C24" s="11" t="n">
        <f aca="false">$H$12</f>
        <v>40</v>
      </c>
      <c r="D24" s="0" t="str">
        <f aca="false">IF(B24="","",IF(B24&gt;=C24,"yes","no"))</f>
        <v>yes</v>
      </c>
      <c r="G24" s="12" t="s">
        <v>122</v>
      </c>
      <c r="H24" s="25" t="n">
        <f aca="false">INDEX(Calc!$AG$6:$AG$25,Summary!$B$3)</f>
        <v>162720000000</v>
      </c>
    </row>
    <row r="25" customFormat="false" ht="15" hidden="false" customHeight="false" outlineLevel="0" collapsed="false">
      <c r="A25" s="11" t="n">
        <v>1.8</v>
      </c>
      <c r="B25" s="19" t="n">
        <f aca="false">IF($H$11="arm",MAX(0,MIN(($H$27-($H$23/3)*$H$16)/($H$16/2)/p_g-$H$15*$A25,($H$25-($H$23/3))/p_g-$H$15*$A25,(($H$16/p_cant)-($H$23/3)*$H$16^3/(3*$H$24))/($H$16^3/(8*$H$24))/p_g-$H$15*$A25))/$A25,IF($H$11="channel","",MIN(MAX(0,($H$26-$H$18*$H$23*($A25*1000))/($H$17*($A25*1000)^2)-$H$29)*1000/p_g,MAX(0,($H$25-$H$21*$H$23)/($H$21*($A25*1000))-$H$29)*1000/p_g,MAX(0,(($A25*1000)/$H$14-$H$20*$H$23*($A25*1000)^3/$H$24)/($H$19*($A25*1000)^4/$H$24)-$H$29)*1000/p_g)))</f>
        <v>228.652086191192</v>
      </c>
      <c r="C25" s="11" t="n">
        <f aca="false">$H$12</f>
        <v>40</v>
      </c>
      <c r="D25" s="0" t="str">
        <f aca="false">IF(B25="","",IF(B25&gt;=C25,"yes","no"))</f>
        <v>yes</v>
      </c>
      <c r="G25" s="12" t="s">
        <v>178</v>
      </c>
      <c r="H25" s="25" t="n">
        <f aca="false">INDEX(Calc!$AH$6:$AH$25,Summary!$B$3)</f>
        <v>40000</v>
      </c>
    </row>
    <row r="26" customFormat="false" ht="15" hidden="false" customHeight="false" outlineLevel="0" collapsed="false">
      <c r="A26" s="11" t="n">
        <v>1.9</v>
      </c>
      <c r="B26" s="19" t="n">
        <f aca="false">IF($H$11="arm",MAX(0,MIN(($H$27-($H$23/3)*$H$16)/($H$16/2)/p_g-$H$15*$A26,($H$25-($H$23/3))/p_g-$H$15*$A26,(($H$16/p_cant)-($H$23/3)*$H$16^3/(3*$H$24))/($H$16^3/(8*$H$24))/p_g-$H$15*$A26))/$A26,IF($H$11="channel","",MIN(MAX(0,($H$26-$H$18*$H$23*($A26*1000))/($H$17*($A26*1000)^2)-$H$29)*1000/p_g,MAX(0,($H$25-$H$21*$H$23)/($H$21*($A26*1000))-$H$29)*1000/p_g,MAX(0,(($A26*1000)/$H$14-$H$20*$H$23*($A26*1000)^3/$H$24)/($H$19*($A26*1000)^4/$H$24)-$H$29)*1000/p_g)))</f>
        <v>199.353340515087</v>
      </c>
      <c r="C26" s="11" t="n">
        <f aca="false">$H$12</f>
        <v>40</v>
      </c>
      <c r="D26" s="0" t="str">
        <f aca="false">IF(B26="","",IF(B26&gt;=C26,"yes","no"))</f>
        <v>yes</v>
      </c>
      <c r="G26" s="12" t="s">
        <v>179</v>
      </c>
      <c r="H26" s="25" t="n">
        <f aca="false">INDEX(Calc!$AK$6:$AK$25,Summary!$B$3)</f>
        <v>1339760.47904192</v>
      </c>
    </row>
    <row r="27" customFormat="false" ht="15" hidden="false" customHeight="false" outlineLevel="0" collapsed="false">
      <c r="A27" s="11" t="n">
        <v>2</v>
      </c>
      <c r="B27" s="19" t="n">
        <f aca="false">IF($H$11="arm",MAX(0,MIN(($H$27-($H$23/3)*$H$16)/($H$16/2)/p_g-$H$15*$A27,($H$25-($H$23/3))/p_g-$H$15*$A27,(($H$16/p_cant)-($H$23/3)*$H$16^3/(3*$H$24))/($H$16^3/(8*$H$24))/p_g-$H$15*$A27))/$A27,IF($H$11="channel","",MIN(MAX(0,($H$26-$H$18*$H$23*($A27*1000))/($H$17*($A27*1000)^2)-$H$29)*1000/p_g,MAX(0,($H$25-$H$21*$H$23)/($H$21*($A27*1000))-$H$29)*1000/p_g,MAX(0,(($A27*1000)/$H$14-$H$20*$H$23*($A27*1000)^3/$H$24)/($H$19*($A27*1000)^4/$H$24)-$H$29)*1000/p_g)))</f>
        <v>174.581789814866</v>
      </c>
      <c r="C27" s="11" t="n">
        <f aca="false">$H$12</f>
        <v>40</v>
      </c>
      <c r="D27" s="0" t="str">
        <f aca="false">IF(B27="","",IF(B27&gt;=C27,"yes","no"))</f>
        <v>yes</v>
      </c>
      <c r="G27" s="12" t="s">
        <v>180</v>
      </c>
      <c r="H27" s="25" t="str">
        <f aca="false">INDEX(Calc!$AX$6:$AX$25,Summary!$B$3)</f>
        <v/>
      </c>
    </row>
    <row r="28" customFormat="false" ht="15" hidden="false" customHeight="false" outlineLevel="0" collapsed="false">
      <c r="A28" s="11" t="n">
        <v>2.1</v>
      </c>
      <c r="B28" s="19" t="n">
        <f aca="false">IF($H$11="arm",MAX(0,MIN(($H$27-($H$23/3)*$H$16)/($H$16/2)/p_g-$H$15*$A28,($H$25-($H$23/3))/p_g-$H$15*$A28,(($H$16/p_cant)-($H$23/3)*$H$16^3/(3*$H$24))/($H$16^3/(8*$H$24))/p_g-$H$15*$A28))/$A28,IF($H$11="channel","",MIN(MAX(0,($H$26-$H$18*$H$23*($A28*1000))/($H$17*($A28*1000)^2)-$H$29)*1000/p_g,MAX(0,($H$25-$H$21*$H$23)/($H$21*($A28*1000))-$H$29)*1000/p_g,MAX(0,(($A28*1000)/$H$14-$H$20*$H$23*($A28*1000)^3/$H$24)/($H$19*($A28*1000)^4/$H$24)-$H$29)*1000/p_g)))</f>
        <v>153.47336944659</v>
      </c>
      <c r="C28" s="11" t="n">
        <f aca="false">$H$12</f>
        <v>40</v>
      </c>
      <c r="D28" s="0" t="str">
        <f aca="false">IF(B28="","",IF(B28&gt;=C28,"yes","no"))</f>
        <v>yes</v>
      </c>
      <c r="G28" s="12" t="s">
        <v>181</v>
      </c>
      <c r="H28" s="25" t="n">
        <f aca="false">INDEX(Calc!$U$6:$U$25,Summary!$B$3)</f>
        <v>8.56</v>
      </c>
    </row>
    <row r="29" customFormat="false" ht="15" hidden="false" customHeight="false" outlineLevel="0" collapsed="false">
      <c r="A29" s="11" t="n">
        <v>2.2</v>
      </c>
      <c r="B29" s="19" t="n">
        <f aca="false">IF($H$11="arm",MAX(0,MIN(($H$27-($H$23/3)*$H$16)/($H$16/2)/p_g-$H$15*$A29,($H$25-($H$23/3))/p_g-$H$15*$A29,(($H$16/p_cant)-($H$23/3)*$H$16^3/(3*$H$24))/($H$16^3/(8*$H$24))/p_g-$H$15*$A29))/$A29,IF($H$11="channel","",MIN(MAX(0,($H$26-$H$18*$H$23*($A29*1000))/($H$17*($A29*1000)^2)-$H$29)*1000/p_g,MAX(0,($H$25-$H$21*$H$23)/($H$21*($A29*1000))-$H$29)*1000/p_g,MAX(0,(($A29*1000)/$H$14-$H$20*$H$23*($A29*1000)^3/$H$24)/($H$19*($A29*1000)^4/$H$24)-$H$29)*1000/p_g)))</f>
        <v>135.35883455774</v>
      </c>
      <c r="C29" s="11" t="n">
        <f aca="false">$H$12</f>
        <v>40</v>
      </c>
      <c r="D29" s="0" t="str">
        <f aca="false">IF(B29="","",IF(B29&gt;=C29,"yes","no"))</f>
        <v>yes</v>
      </c>
      <c r="G29" s="12" t="s">
        <v>182</v>
      </c>
      <c r="H29" s="25" t="n">
        <f aca="false">INDEX(Calc!$AM$6:$AM$25,Summary!$B$3)</f>
        <v>0.0839736</v>
      </c>
    </row>
    <row r="30" customFormat="false" ht="15" hidden="false" customHeight="false" outlineLevel="0" collapsed="false">
      <c r="A30" s="11" t="n">
        <v>2.3</v>
      </c>
      <c r="B30" s="19" t="n">
        <f aca="false">IF($H$11="arm",MAX(0,MIN(($H$27-($H$23/3)*$H$16)/($H$16/2)/p_g-$H$15*$A30,($H$25-($H$23/3))/p_g-$H$15*$A30,(($H$16/p_cant)-($H$23/3)*$H$16^3/(3*$H$24))/($H$16^3/(8*$H$24))/p_g-$H$15*$A30))/$A30,IF($H$11="channel","",MIN(MAX(0,($H$26-$H$18*$H$23*($A30*1000))/($H$17*($A30*1000)^2)-$H$29)*1000/p_g,MAX(0,($H$25-$H$21*$H$23)/($H$21*($A30*1000))-$H$29)*1000/p_g,MAX(0,(($A30*1000)/$H$14-$H$20*$H$23*($A30*1000)^3/$H$24)/($H$19*($A30*1000)^4/$H$24)-$H$29)*1000/p_g)))</f>
        <v>119.713565077403</v>
      </c>
      <c r="C30" s="11" t="n">
        <f aca="false">$H$12</f>
        <v>40</v>
      </c>
      <c r="D30" s="0" t="str">
        <f aca="false">IF(B30="","",IF(B30&gt;=C30,"yes","no"))</f>
        <v>yes</v>
      </c>
    </row>
    <row r="31" customFormat="false" ht="15" hidden="false" customHeight="false" outlineLevel="0" collapsed="false">
      <c r="A31" s="11" t="n">
        <v>2.4</v>
      </c>
      <c r="B31" s="19" t="n">
        <f aca="false">IF($H$11="arm",MAX(0,MIN(($H$27-($H$23/3)*$H$16)/($H$16/2)/p_g-$H$15*$A31,($H$25-($H$23/3))/p_g-$H$15*$A31,(($H$16/p_cant)-($H$23/3)*$H$16^3/(3*$H$24))/($H$16^3/(8*$H$24))/p_g-$H$15*$A31))/$A31,IF($H$11="channel","",MIN(MAX(0,($H$26-$H$18*$H$23*($A31*1000))/($H$17*($A31*1000)^2)-$H$29)*1000/p_g,MAX(0,($H$25-$H$21*$H$23)/($H$21*($A31*1000))-$H$29)*1000/p_g,MAX(0,(($A31*1000)/$H$14-$H$20*$H$23*($A31*1000)^3/$H$24)/($H$19*($A31*1000)^4/$H$24)-$H$29)*1000/p_g)))</f>
        <v>106.121798482546</v>
      </c>
      <c r="C31" s="11" t="n">
        <f aca="false">$H$12</f>
        <v>40</v>
      </c>
      <c r="D31" s="0" t="str">
        <f aca="false">IF(B31="","",IF(B31&gt;=C31,"yes","no"))</f>
        <v>yes</v>
      </c>
    </row>
    <row r="32" customFormat="false" ht="15" hidden="false" customHeight="false" outlineLevel="0" collapsed="false">
      <c r="A32" s="11" t="n">
        <v>2.5</v>
      </c>
      <c r="B32" s="19" t="n">
        <f aca="false">IF($H$11="arm",MAX(0,MIN(($H$27-($H$23/3)*$H$16)/($H$16/2)/p_g-$H$15*$A32,($H$25-($H$23/3))/p_g-$H$15*$A32,(($H$16/p_cant)-($H$23/3)*$H$16^3/(3*$H$24))/($H$16^3/(8*$H$24))/p_g-$H$15*$A32))/$A32,IF($H$11="channel","",MIN(MAX(0,($H$26-$H$18*$H$23*($A32*1000))/($H$17*($A32*1000)^2)-$H$29)*1000/p_g,MAX(0,($H$25-$H$21*$H$23)/($H$21*($A32*1000))-$H$29)*1000/p_g,MAX(0,(($A32*1000)/$H$14-$H$20*$H$23*($A32*1000)^3/$H$24)/($H$19*($A32*1000)^4/$H$24)-$H$29)*1000/p_g)))</f>
        <v>94.250745481514</v>
      </c>
      <c r="C32" s="11" t="n">
        <f aca="false">$H$12</f>
        <v>40</v>
      </c>
      <c r="D32" s="0" t="str">
        <f aca="false">IF(B32="","",IF(B32&gt;=C32,"yes","no"))</f>
        <v>yes</v>
      </c>
    </row>
    <row r="33" customFormat="false" ht="15" hidden="false" customHeight="false" outlineLevel="0" collapsed="false">
      <c r="A33" s="11" t="n">
        <v>2.6</v>
      </c>
      <c r="B33" s="19" t="n">
        <f aca="false">IF($H$11="arm",MAX(0,MIN(($H$27-($H$23/3)*$H$16)/($H$16/2)/p_g-$H$15*$A33,($H$25-($H$23/3))/p_g-$H$15*$A33,(($H$16/p_cant)-($H$23/3)*$H$16^3/(3*$H$24))/($H$16^3/(8*$H$24))/p_g-$H$15*$A33))/$A33,IF($H$11="channel","",MIN(MAX(0,($H$26-$H$18*$H$23*($A33*1000))/($H$17*($A33*1000)^2)-$H$29)*1000/p_g,MAX(0,($H$25-$H$21*$H$23)/($H$21*($A33*1000))-$H$29)*1000/p_g,MAX(0,(($A33*1000)/$H$14-$H$20*$H$23*($A33*1000)^3/$H$24)/($H$19*($A33*1000)^4/$H$24)-$H$29)*1000/p_g)))</f>
        <v>83.8315916064294</v>
      </c>
      <c r="C33" s="11" t="n">
        <f aca="false">$H$12</f>
        <v>40</v>
      </c>
      <c r="D33" s="0" t="str">
        <f aca="false">IF(B33="","",IF(B33&gt;=C33,"yes","no"))</f>
        <v>yes</v>
      </c>
    </row>
    <row r="34" customFormat="false" ht="15" hidden="false" customHeight="false" outlineLevel="0" collapsed="false">
      <c r="A34" s="11" t="n">
        <v>2.7</v>
      </c>
      <c r="B34" s="19" t="n">
        <f aca="false">IF($H$11="arm",MAX(0,MIN(($H$27-($H$23/3)*$H$16)/($H$16/2)/p_g-$H$15*$A34,($H$25-($H$23/3))/p_g-$H$15*$A34,(($H$16/p_cant)-($H$23/3)*$H$16^3/(3*$H$24))/($H$16^3/(8*$H$24))/p_g-$H$15*$A34))/$A34,IF($H$11="channel","",MIN(MAX(0,($H$26-$H$18*$H$23*($A34*1000))/($H$17*($A34*1000)^2)-$H$29)*1000/p_g,MAX(0,($H$25-$H$21*$H$23)/($H$21*($A34*1000))-$H$29)*1000/p_g,MAX(0,(($A34*1000)/$H$14-$H$20*$H$23*($A34*1000)^3/$H$24)/($H$19*($A34*1000)^4/$H$24)-$H$29)*1000/p_g)))</f>
        <v>74.6453716405299</v>
      </c>
      <c r="C34" s="11" t="n">
        <f aca="false">$H$12</f>
        <v>40</v>
      </c>
      <c r="D34" s="0" t="str">
        <f aca="false">IF(B34="","",IF(B34&gt;=C34,"yes","no"))</f>
        <v>yes</v>
      </c>
    </row>
    <row r="35" customFormat="false" ht="15" hidden="false" customHeight="false" outlineLevel="0" collapsed="false">
      <c r="A35" s="11" t="n">
        <v>2.8</v>
      </c>
      <c r="B35" s="19" t="n">
        <f aca="false">IF($H$11="arm",MAX(0,MIN(($H$27-($H$23/3)*$H$16)/($H$16/2)/p_g-$H$15*$A35,($H$25-($H$23/3))/p_g-$H$15*$A35,(($H$16/p_cant)-($H$23/3)*$H$16^3/(3*$H$24))/($H$16^3/(8*$H$24))/p_g-$H$15*$A35))/$A35,IF($H$11="channel","",MIN(MAX(0,($H$26-$H$18*$H$23*($A35*1000))/($H$17*($A35*1000)^2)-$H$29)*1000/p_g,MAX(0,($H$25-$H$21*$H$23)/($H$21*($A35*1000))-$H$29)*1000/p_g,MAX(0,(($A35*1000)/$H$14-$H$20*$H$23*($A35*1000)^3/$H$24)/($H$19*($A35*1000)^4/$H$24)-$H$29)*1000/p_g)))</f>
        <v>66.5123417422784</v>
      </c>
      <c r="C35" s="11" t="n">
        <f aca="false">$H$12</f>
        <v>40</v>
      </c>
      <c r="D35" s="0" t="str">
        <f aca="false">IF(B35="","",IF(B35&gt;=C35,"yes","no"))</f>
        <v>yes</v>
      </c>
    </row>
    <row r="36" customFormat="false" ht="15" hidden="false" customHeight="false" outlineLevel="0" collapsed="false">
      <c r="A36" s="11" t="n">
        <v>2.9</v>
      </c>
      <c r="B36" s="19" t="n">
        <f aca="false">IF($H$11="arm",MAX(0,MIN(($H$27-($H$23/3)*$H$16)/($H$16/2)/p_g-$H$15*$A36,($H$25-($H$23/3))/p_g-$H$15*$A36,(($H$16/p_cant)-($H$23/3)*$H$16^3/(3*$H$24))/($H$16^3/(8*$H$24))/p_g-$H$15*$A36))/$A36,IF($H$11="channel","",MIN(MAX(0,($H$26-$H$18*$H$23*($A36*1000))/($H$17*($A36*1000)^2)-$H$29)*1000/p_g,MAX(0,($H$25-$H$21*$H$23)/($H$21*($A36*1000))-$H$29)*1000/p_g,MAX(0,(($A36*1000)/$H$14-$H$20*$H$23*($A36*1000)^3/$H$24)/($H$19*($A36*1000)^4/$H$24)-$H$29)*1000/p_g)))</f>
        <v>59.2838952746091</v>
      </c>
      <c r="C36" s="11" t="n">
        <f aca="false">$H$12</f>
        <v>40</v>
      </c>
      <c r="D36" s="0" t="str">
        <f aca="false">IF(B36="","",IF(B36&gt;=C36,"yes","no"))</f>
        <v>yes</v>
      </c>
    </row>
    <row r="37" customFormat="false" ht="15" hidden="false" customHeight="false" outlineLevel="0" collapsed="false">
      <c r="A37" s="11" t="n">
        <v>3</v>
      </c>
      <c r="B37" s="19" t="n">
        <f aca="false">IF($H$11="arm",MAX(0,MIN(($H$27-($H$23/3)*$H$16)/($H$16/2)/p_g-$H$15*$A37,($H$25-($H$23/3))/p_g-$H$15*$A37,(($H$16/p_cant)-($H$23/3)*$H$16^3/(3*$H$24))/($H$16^3/(8*$H$24))/p_g-$H$15*$A37))/$A37,IF($H$11="channel","",MIN(MAX(0,($H$26-$H$18*$H$23*($A37*1000))/($H$17*($A37*1000)^2)-$H$29)*1000/p_g,MAX(0,($H$25-$H$21*$H$23)/($H$21*($A37*1000))-$H$29)*1000/p_g,MAX(0,(($A37*1000)/$H$14-$H$20*$H$23*($A37*1000)^3/$H$24)/($H$19*($A37*1000)^4/$H$24)-$H$29)*1000/p_g)))</f>
        <v>52.8363510288292</v>
      </c>
      <c r="C37" s="11" t="n">
        <f aca="false">$H$12</f>
        <v>40</v>
      </c>
      <c r="D37" s="0" t="str">
        <f aca="false">IF(B37="","",IF(B37&gt;=C37,"yes","no"))</f>
        <v>yes</v>
      </c>
    </row>
    <row r="38" customFormat="false" ht="15" hidden="false" customHeight="false" outlineLevel="0" collapsed="false">
      <c r="A38" s="11" t="n">
        <v>3.1</v>
      </c>
      <c r="B38" s="19" t="n">
        <f aca="false">IF($H$11="arm",MAX(0,MIN(($H$27-($H$23/3)*$H$16)/($H$16/2)/p_g-$H$15*$A38,($H$25-($H$23/3))/p_g-$H$15*$A38,(($H$16/p_cant)-($H$23/3)*$H$16^3/(3*$H$24))/($H$16^3/(8*$H$24))/p_g-$H$15*$A38))/$A38,IF($H$11="channel","",MIN(MAX(0,($H$26-$H$18*$H$23*($A38*1000))/($H$17*($A38*1000)^2)-$H$29)*1000/p_g,MAX(0,($H$25-$H$21*$H$23)/($H$21*($A38*1000))-$H$29)*1000/p_g,MAX(0,(($A38*1000)/$H$14-$H$20*$H$23*($A38*1000)^3/$H$24)/($H$19*($A38*1000)^4/$H$24)-$H$29)*1000/p_g)))</f>
        <v>47.0661351986954</v>
      </c>
      <c r="C38" s="11" t="n">
        <f aca="false">$H$12</f>
        <v>40</v>
      </c>
      <c r="D38" s="0" t="str">
        <f aca="false">IF(B38="","",IF(B38&gt;=C38,"yes","no"))</f>
        <v>yes</v>
      </c>
    </row>
    <row r="39" customFormat="false" ht="15" hidden="false" customHeight="false" outlineLevel="0" collapsed="false">
      <c r="A39" s="11" t="n">
        <v>3.2</v>
      </c>
      <c r="B39" s="19" t="n">
        <f aca="false">IF($H$11="arm",MAX(0,MIN(($H$27-($H$23/3)*$H$16)/($H$16/2)/p_g-$H$15*$A39,($H$25-($H$23/3))/p_g-$H$15*$A39,(($H$16/p_cant)-($H$23/3)*$H$16^3/(3*$H$24))/($H$16^3/(8*$H$24))/p_g-$H$15*$A39))/$A39,IF($H$11="channel","",MIN(MAX(0,($H$26-$H$18*$H$23*($A39*1000))/($H$17*($A39*1000)^2)-$H$29)*1000/p_g,MAX(0,($H$25-$H$21*$H$23)/($H$21*($A39*1000))-$H$29)*1000/p_g,MAX(0,(($A39*1000)/$H$14-$H$20*$H$23*($A39*1000)^3/$H$24)/($H$19*($A39*1000)^4/$H$24)-$H$29)*1000/p_g)))</f>
        <v>41.8860116464319</v>
      </c>
      <c r="C39" s="11" t="n">
        <f aca="false">$H$12</f>
        <v>40</v>
      </c>
      <c r="D39" s="0" t="str">
        <f aca="false">IF(B39="","",IF(B39&gt;=C39,"yes","no"))</f>
        <v>yes</v>
      </c>
    </row>
    <row r="40" customFormat="false" ht="15" hidden="false" customHeight="false" outlineLevel="0" collapsed="false">
      <c r="A40" s="11" t="n">
        <v>3.3</v>
      </c>
      <c r="B40" s="19" t="n">
        <f aca="false">IF($H$11="arm",MAX(0,MIN(($H$27-($H$23/3)*$H$16)/($H$16/2)/p_g-$H$15*$A40,($H$25-($H$23/3))/p_g-$H$15*$A40,(($H$16/p_cant)-($H$23/3)*$H$16^3/(3*$H$24))/($H$16^3/(8*$H$24))/p_g-$H$15*$A40))/$A40,IF($H$11="channel","",MIN(MAX(0,($H$26-$H$18*$H$23*($A40*1000))/($H$17*($A40*1000)^2)-$H$29)*1000/p_g,MAX(0,($H$25-$H$21*$H$23)/($H$21*($A40*1000))-$H$29)*1000/p_g,MAX(0,(($A40*1000)/$H$14-$H$20*$H$23*($A40*1000)^3/$H$24)/($H$19*($A40*1000)^4/$H$24)-$H$29)*1000/p_g)))</f>
        <v>37.2221082882886</v>
      </c>
      <c r="C40" s="11" t="n">
        <f aca="false">$H$12</f>
        <v>40</v>
      </c>
      <c r="D40" s="0" t="str">
        <f aca="false">IF(B40="","",IF(B40&gt;=C40,"yes","no"))</f>
        <v>no</v>
      </c>
    </row>
    <row r="41" customFormat="false" ht="15" hidden="false" customHeight="false" outlineLevel="0" collapsed="false">
      <c r="A41" s="11" t="n">
        <v>3.4</v>
      </c>
      <c r="B41" s="19" t="n">
        <f aca="false">IF($H$11="arm",MAX(0,MIN(($H$27-($H$23/3)*$H$16)/($H$16/2)/p_g-$H$15*$A41,($H$25-($H$23/3))/p_g-$H$15*$A41,(($H$16/p_cant)-($H$23/3)*$H$16^3/(3*$H$24))/($H$16^3/(8*$H$24))/p_g-$H$15*$A41))/$A41,IF($H$11="channel","",MIN(MAX(0,($H$26-$H$18*$H$23*($A41*1000))/($H$17*($A41*1000)^2)-$H$29)*1000/p_g,MAX(0,($H$25-$H$21*$H$23)/($H$21*($A41*1000))-$H$29)*1000/p_g,MAX(0,(($A41*1000)/$H$14-$H$20*$H$23*($A41*1000)^3/$H$24)/($H$19*($A41*1000)^4/$H$24)-$H$29)*1000/p_g)))</f>
        <v>33.0115535691577</v>
      </c>
      <c r="C41" s="11" t="n">
        <f aca="false">$H$12</f>
        <v>40</v>
      </c>
      <c r="D41" s="0" t="str">
        <f aca="false">IF(B41="","",IF(B41&gt;=C41,"yes","no"))</f>
        <v>no</v>
      </c>
    </row>
    <row r="42" customFormat="false" ht="15" hidden="false" customHeight="false" outlineLevel="0" collapsed="false">
      <c r="A42" s="11" t="n">
        <v>3.5</v>
      </c>
      <c r="B42" s="19" t="n">
        <f aca="false">IF($H$11="arm",MAX(0,MIN(($H$27-($H$23/3)*$H$16)/($H$16/2)/p_g-$H$15*$A42,($H$25-($H$23/3))/p_g-$H$15*$A42,(($H$16/p_cant)-($H$23/3)*$H$16^3/(3*$H$24))/($H$16^3/(8*$H$24))/p_g-$H$15*$A42))/$A42,IF($H$11="channel","",MIN(MAX(0,($H$26-$H$18*$H$23*($A42*1000))/($H$17*($A42*1000)^2)-$H$29)*1000/p_g,MAX(0,($H$25-$H$21*$H$23)/($H$21*($A42*1000))-$H$29)*1000/p_g,MAX(0,(($A42*1000)/$H$14-$H$20*$H$23*($A42*1000)^3/$H$24)/($H$19*($A42*1000)^4/$H$24)-$H$29)*1000/p_g)))</f>
        <v>29.2005844293439</v>
      </c>
      <c r="C42" s="11" t="n">
        <f aca="false">$H$12</f>
        <v>40</v>
      </c>
      <c r="D42" s="0" t="str">
        <f aca="false">IF(B42="","",IF(B42&gt;=C42,"yes","no"))</f>
        <v>no</v>
      </c>
    </row>
    <row r="43" customFormat="false" ht="15" hidden="false" customHeight="false" outlineLevel="0" collapsed="false">
      <c r="A43" s="11" t="n">
        <v>3.6</v>
      </c>
      <c r="B43" s="19" t="n">
        <f aca="false">IF($H$11="arm",MAX(0,MIN(($H$27-($H$23/3)*$H$16)/($H$16/2)/p_g-$H$15*$A43,($H$25-($H$23/3))/p_g-$H$15*$A43,(($H$16/p_cant)-($H$23/3)*$H$16^3/(3*$H$24))/($H$16^3/(8*$H$24))/p_g-$H$15*$A43))/$A43,IF($H$11="channel","",MIN(MAX(0,($H$26-$H$18*$H$23*($A43*1000))/($H$17*($A43*1000)^2)-$H$29)*1000/p_g,MAX(0,($H$25-$H$21*$H$23)/($H$21*($A43*1000))-$H$29)*1000/p_g,MAX(0,(($A43*1000)/$H$14-$H$20*$H$23*($A43*1000)^3/$H$24)/($H$19*($A43*1000)^4/$H$24)-$H$29)*1000/p_g)))</f>
        <v>25.743021547798</v>
      </c>
      <c r="C43" s="11" t="n">
        <f aca="false">$H$12</f>
        <v>40</v>
      </c>
      <c r="D43" s="0" t="str">
        <f aca="false">IF(B43="","",IF(B43&gt;=C43,"yes","no"))</f>
        <v>no</v>
      </c>
    </row>
    <row r="44" customFormat="false" ht="15" hidden="false" customHeight="false" outlineLevel="0" collapsed="false">
      <c r="A44" s="11" t="n">
        <v>3.7</v>
      </c>
      <c r="B44" s="19" t="n">
        <f aca="false">IF($H$11="arm",MAX(0,MIN(($H$27-($H$23/3)*$H$16)/($H$16/2)/p_g-$H$15*$A44,($H$25-($H$23/3))/p_g-$H$15*$A44,(($H$16/p_cant)-($H$23/3)*$H$16^3/(3*$H$24))/($H$16^3/(8*$H$24))/p_g-$H$15*$A44))/$A44,IF($H$11="channel","",MIN(MAX(0,($H$26-$H$18*$H$23*($A44*1000))/($H$17*($A44*1000)^2)-$H$29)*1000/p_g,MAX(0,($H$25-$H$21*$H$23)/($H$21*($A44*1000))-$H$29)*1000/p_g,MAX(0,(($A44*1000)/$H$14-$H$20*$H$23*($A44*1000)^3/$H$24)/($H$19*($A44*1000)^4/$H$24)-$H$29)*1000/p_g)))</f>
        <v>22.5990328166152</v>
      </c>
      <c r="C44" s="11" t="n">
        <f aca="false">$H$12</f>
        <v>40</v>
      </c>
      <c r="D44" s="0" t="str">
        <f aca="false">IF(B44="","",IF(B44&gt;=C44,"yes","no"))</f>
        <v>no</v>
      </c>
    </row>
    <row r="45" customFormat="false" ht="15" hidden="false" customHeight="false" outlineLevel="0" collapsed="false">
      <c r="A45" s="11" t="n">
        <v>3.8</v>
      </c>
      <c r="B45" s="19" t="n">
        <f aca="false">IF($H$11="arm",MAX(0,MIN(($H$27-($H$23/3)*$H$16)/($H$16/2)/p_g-$H$15*$A45,($H$25-($H$23/3))/p_g-$H$15*$A45,(($H$16/p_cant)-($H$23/3)*$H$16^3/(3*$H$24))/($H$16^3/(8*$H$24))/p_g-$H$15*$A45))/$A45,IF($H$11="channel","",MIN(MAX(0,($H$26-$H$18*$H$23*($A45*1000))/($H$17*($A45*1000)^2)-$H$29)*1000/p_g,MAX(0,($H$25-$H$21*$H$23)/($H$21*($A45*1000))-$H$29)*1000/p_g,MAX(0,(($A45*1000)/$H$14-$H$20*$H$23*($A45*1000)^3/$H$24)/($H$19*($A45*1000)^4/$H$24)-$H$29)*1000/p_g)))</f>
        <v>19.7341246024559</v>
      </c>
      <c r="C45" s="11" t="n">
        <f aca="false">$H$12</f>
        <v>40</v>
      </c>
      <c r="D45" s="0" t="str">
        <f aca="false">IF(B45="","",IF(B45&gt;=C45,"yes","no"))</f>
        <v>no</v>
      </c>
    </row>
    <row r="46" customFormat="false" ht="15" hidden="false" customHeight="false" outlineLevel="0" collapsed="false">
      <c r="A46" s="11" t="n">
        <v>3.9</v>
      </c>
      <c r="B46" s="19" t="n">
        <f aca="false">IF($H$11="arm",MAX(0,MIN(($H$27-($H$23/3)*$H$16)/($H$16/2)/p_g-$H$15*$A46,($H$25-($H$23/3))/p_g-$H$15*$A46,(($H$16/p_cant)-($H$23/3)*$H$16^3/(3*$H$24))/($H$16^3/(8*$H$24))/p_g-$H$15*$A46))/$A46,IF($H$11="channel","",MIN(MAX(0,($H$26-$H$18*$H$23*($A46*1000))/($H$17*($A46*1000)^2)-$H$29)*1000/p_g,MAX(0,($H$25-$H$21*$H$23)/($H$21*($A46*1000))-$H$29)*1000/p_g,MAX(0,(($A46*1000)/$H$14-$H$20*$H$23*($A46*1000)^3/$H$24)/($H$19*($A46*1000)^4/$H$24)-$H$29)*1000/p_g)))</f>
        <v>17.1183142182421</v>
      </c>
      <c r="C46" s="11" t="n">
        <f aca="false">$H$12</f>
        <v>40</v>
      </c>
      <c r="D46" s="0" t="str">
        <f aca="false">IF(B46="","",IF(B46&gt;=C46,"yes","no"))</f>
        <v>no</v>
      </c>
    </row>
    <row r="47" customFormat="false" ht="15" hidden="false" customHeight="false" outlineLevel="0" collapsed="false">
      <c r="A47" s="11" t="n">
        <v>4</v>
      </c>
      <c r="B47" s="19" t="n">
        <f aca="false">IF($H$11="arm",MAX(0,MIN(($H$27-($H$23/3)*$H$16)/($H$16/2)/p_g-$H$15*$A47,($H$25-($H$23/3))/p_g-$H$15*$A47,(($H$16/p_cant)-($H$23/3)*$H$16^3/(3*$H$24))/($H$16^3/(8*$H$24))/p_g-$H$15*$A47))/$A47,IF($H$11="channel","",MIN(MAX(0,($H$26-$H$18*$H$23*($A47*1000))/($H$17*($A47*1000)^2)-$H$29)*1000/p_g,MAX(0,($H$25-$H$21*$H$23)/($H$21*($A47*1000))-$H$29)*1000/p_g,MAX(0,(($A47*1000)/$H$14-$H$20*$H$23*($A47*1000)^3/$H$24)/($H$19*($A47*1000)^4/$H$24)-$H$29)*1000/p_g)))</f>
        <v>14.7254474537164</v>
      </c>
      <c r="C47" s="11" t="n">
        <f aca="false">$H$12</f>
        <v>40</v>
      </c>
      <c r="D47" s="0" t="str">
        <f aca="false">IF(B47="","",IF(B47&gt;=C47,"yes","no"))</f>
        <v>no</v>
      </c>
    </row>
    <row r="48" customFormat="false" ht="15" hidden="false" customHeight="false" outlineLevel="0" collapsed="false">
      <c r="A48" s="11" t="n">
        <v>4.1</v>
      </c>
      <c r="B48" s="19" t="n">
        <f aca="false">IF($H$11="arm",MAX(0,MIN(($H$27-($H$23/3)*$H$16)/($H$16/2)/p_g-$H$15*$A48,($H$25-($H$23/3))/p_g-$H$15*$A48,(($H$16/p_cant)-($H$23/3)*$H$16^3/(3*$H$24))/($H$16^3/(8*$H$24))/p_g-$H$15*$A48))/$A48,IF($H$11="channel","",MIN(MAX(0,($H$26-$H$18*$H$23*($A48*1000))/($H$17*($A48*1000)^2)-$H$29)*1000/p_g,MAX(0,($H$25-$H$21*$H$23)/($H$21*($A48*1000))-$H$29)*1000/p_g,MAX(0,(($A48*1000)/$H$14-$H$20*$H$23*($A48*1000)^3/$H$24)/($H$19*($A48*1000)^4/$H$24)-$H$29)*1000/p_g)))</f>
        <v>12.5326329125201</v>
      </c>
      <c r="C48" s="11" t="n">
        <f aca="false">$H$12</f>
        <v>40</v>
      </c>
      <c r="D48" s="0" t="str">
        <f aca="false">IF(B48="","",IF(B48&gt;=C48,"yes","no"))</f>
        <v>no</v>
      </c>
    </row>
    <row r="49" customFormat="false" ht="15" hidden="false" customHeight="false" outlineLevel="0" collapsed="false">
      <c r="A49" s="11" t="n">
        <v>4.2</v>
      </c>
      <c r="B49" s="19" t="n">
        <f aca="false">IF($H$11="arm",MAX(0,MIN(($H$27-($H$23/3)*$H$16)/($H$16/2)/p_g-$H$15*$A49,($H$25-($H$23/3))/p_g-$H$15*$A49,(($H$16/p_cant)-($H$23/3)*$H$16^3/(3*$H$24))/($H$16^3/(8*$H$24))/p_g-$H$15*$A49))/$A49,IF($H$11="channel","",MIN(MAX(0,($H$26-$H$18*$H$23*($A49*1000))/($H$17*($A49*1000)^2)-$H$29)*1000/p_g,MAX(0,($H$25-$H$21*$H$23)/($H$21*($A49*1000))-$H$29)*1000/p_g,MAX(0,(($A49*1000)/$H$14-$H$20*$H$23*($A49*1000)^3/$H$24)/($H$19*($A49*1000)^4/$H$24)-$H$29)*1000/p_g)))</f>
        <v>10.5197709330761</v>
      </c>
      <c r="C49" s="11" t="n">
        <f aca="false">$H$12</f>
        <v>40</v>
      </c>
      <c r="D49" s="0" t="str">
        <f aca="false">IF(B49="","",IF(B49&gt;=C49,"yes","no"))</f>
        <v>no</v>
      </c>
    </row>
    <row r="50" customFormat="false" ht="15" hidden="false" customHeight="false" outlineLevel="0" collapsed="false">
      <c r="A50" s="11" t="n">
        <v>4.3</v>
      </c>
      <c r="B50" s="19" t="n">
        <f aca="false">IF($H$11="arm",MAX(0,MIN(($H$27-($H$23/3)*$H$16)/($H$16/2)/p_g-$H$15*$A50,($H$25-($H$23/3))/p_g-$H$15*$A50,(($H$16/p_cant)-($H$23/3)*$H$16^3/(3*$H$24))/($H$16^3/(8*$H$24))/p_g-$H$15*$A50))/$A50,IF($H$11="channel","",MIN(MAX(0,($H$26-$H$18*$H$23*($A50*1000))/($H$17*($A50*1000)^2)-$H$29)*1000/p_g,MAX(0,($H$25-$H$21*$H$23)/($H$21*($A50*1000))-$H$29)*1000/p_g,MAX(0,(($A50*1000)/$H$14-$H$20*$H$23*($A50*1000)^3/$H$24)/($H$19*($A50*1000)^4/$H$24)-$H$29)*1000/p_g)))</f>
        <v>8.66915950564968</v>
      </c>
      <c r="C50" s="11" t="n">
        <f aca="false">$H$12</f>
        <v>40</v>
      </c>
      <c r="D50" s="0" t="str">
        <f aca="false">IF(B50="","",IF(B50&gt;=C50,"yes","no"))</f>
        <v>no</v>
      </c>
    </row>
    <row r="51" customFormat="false" ht="15" hidden="false" customHeight="false" outlineLevel="0" collapsed="false">
      <c r="A51" s="11" t="n">
        <v>4.4</v>
      </c>
      <c r="B51" s="19" t="n">
        <f aca="false">IF($H$11="arm",MAX(0,MIN(($H$27-($H$23/3)*$H$16)/($H$16/2)/p_g-$H$15*$A51,($H$25-($H$23/3))/p_g-$H$15*$A51,(($H$16/p_cant)-($H$23/3)*$H$16^3/(3*$H$24))/($H$16^3/(8*$H$24))/p_g-$H$15*$A51))/$A51,IF($H$11="channel","",MIN(MAX(0,($H$26-$H$18*$H$23*($A51*1000))/($H$17*($A51*1000)^2)-$H$29)*1000/p_g,MAX(0,($H$25-$H$21*$H$23)/($H$21*($A51*1000))-$H$29)*1000/p_g,MAX(0,(($A51*1000)/$H$14-$H$20*$H$23*($A51*1000)^3/$H$24)/($H$19*($A51*1000)^4/$H$24)-$H$29)*1000/p_g)))</f>
        <v>6.9651631848896</v>
      </c>
      <c r="C51" s="11" t="n">
        <f aca="false">$H$12</f>
        <v>40</v>
      </c>
      <c r="D51" s="0" t="str">
        <f aca="false">IF(B51="","",IF(B51&gt;=C51,"yes","no"))</f>
        <v>no</v>
      </c>
    </row>
    <row r="52" customFormat="false" ht="15" hidden="false" customHeight="false" outlineLevel="0" collapsed="false">
      <c r="A52" s="11" t="n">
        <v>4.5</v>
      </c>
      <c r="B52" s="19" t="n">
        <f aca="false">IF($H$11="arm",MAX(0,MIN(($H$27-($H$23/3)*$H$16)/($H$16/2)/p_g-$H$15*$A52,($H$25-($H$23/3))/p_g-$H$15*$A52,(($H$16/p_cant)-($H$23/3)*$H$16^3/(3*$H$24))/($H$16^3/(8*$H$24))/p_g-$H$15*$A52))/$A52,IF($H$11="channel","",MIN(MAX(0,($H$26-$H$18*$H$23*($A52*1000))/($H$17*($A52*1000)^2)-$H$29)*1000/p_g,MAX(0,($H$25-$H$21*$H$23)/($H$21*($A52*1000))-$H$29)*1000/p_g,MAX(0,(($A52*1000)/$H$14-$H$20*$H$23*($A52*1000)^3/$H$24)/($H$19*($A52*1000)^4/$H$24)-$H$29)*1000/p_g)))</f>
        <v>5.39393379059074</v>
      </c>
      <c r="C52" s="11" t="n">
        <f aca="false">$H$12</f>
        <v>40</v>
      </c>
      <c r="D52" s="0" t="str">
        <f aca="false">IF(B52="","",IF(B52&gt;=C52,"yes","no"))</f>
        <v>no</v>
      </c>
    </row>
    <row r="53" customFormat="false" ht="15" hidden="false" customHeight="false" outlineLevel="0" collapsed="false">
      <c r="A53" s="11" t="n">
        <v>4.6</v>
      </c>
      <c r="B53" s="19" t="n">
        <f aca="false">IF($H$11="arm",MAX(0,MIN(($H$27-($H$23/3)*$H$16)/($H$16/2)/p_g-$H$15*$A53,($H$25-($H$23/3))/p_g-$H$15*$A53,(($H$16/p_cant)-($H$23/3)*$H$16^3/(3*$H$24))/($H$16^3/(8*$H$24))/p_g-$H$15*$A53))/$A53,IF($H$11="channel","",MIN(MAX(0,($H$26-$H$18*$H$23*($A53*1000))/($H$17*($A53*1000)^2)-$H$29)*1000/p_g,MAX(0,($H$25-$H$21*$H$23)/($H$21*($A53*1000))-$H$29)*1000/p_g,MAX(0,(($A53*1000)/$H$14-$H$20*$H$23*($A53*1000)^3/$H$24)/($H$19*($A53*1000)^4/$H$24)-$H$29)*1000/p_g)))</f>
        <v>3.94317387804643</v>
      </c>
      <c r="C53" s="11" t="n">
        <f aca="false">$H$12</f>
        <v>40</v>
      </c>
      <c r="D53" s="0" t="str">
        <f aca="false">IF(B53="","",IF(B53&gt;=C53,"yes","no"))</f>
        <v>no</v>
      </c>
    </row>
    <row r="54" customFormat="false" ht="15" hidden="false" customHeight="false" outlineLevel="0" collapsed="false">
      <c r="A54" s="11" t="n">
        <v>4.7</v>
      </c>
      <c r="B54" s="19" t="n">
        <f aca="false">IF($H$11="arm",MAX(0,MIN(($H$27-($H$23/3)*$H$16)/($H$16/2)/p_g-$H$15*$A54,($H$25-($H$23/3))/p_g-$H$15*$A54,(($H$16/p_cant)-($H$23/3)*$H$16^3/(3*$H$24))/($H$16^3/(8*$H$24))/p_g-$H$15*$A54))/$A54,IF($H$11="channel","",MIN(MAX(0,($H$26-$H$18*$H$23*($A54*1000))/($H$17*($A54*1000)^2)-$H$29)*1000/p_g,MAX(0,($H$25-$H$21*$H$23)/($H$21*($A54*1000))-$H$29)*1000/p_g,MAX(0,(($A54*1000)/$H$14-$H$20*$H$23*($A54*1000)^3/$H$24)/($H$19*($A54*1000)^4/$H$24)-$H$29)*1000/p_g)))</f>
        <v>2.60193568399559</v>
      </c>
      <c r="C54" s="11" t="n">
        <f aca="false">$H$12</f>
        <v>40</v>
      </c>
      <c r="D54" s="0" t="str">
        <f aca="false">IF(B54="","",IF(B54&gt;=C54,"yes","no"))</f>
        <v>no</v>
      </c>
    </row>
    <row r="55" customFormat="false" ht="15" hidden="false" customHeight="false" outlineLevel="0" collapsed="false">
      <c r="A55" s="11" t="n">
        <v>4.8</v>
      </c>
      <c r="B55" s="19" t="n">
        <f aca="false">IF($H$11="arm",MAX(0,MIN(($H$27-($H$23/3)*$H$16)/($H$16/2)/p_g-$H$15*$A55,($H$25-($H$23/3))/p_g-$H$15*$A55,(($H$16/p_cant)-($H$23/3)*$H$16^3/(3*$H$24))/($H$16^3/(8*$H$24))/p_g-$H$15*$A55))/$A55,IF($H$11="channel","",MIN(MAX(0,($H$26-$H$18*$H$23*($A55*1000))/($H$17*($A55*1000)^2)-$H$29)*1000/p_g,MAX(0,($H$25-$H$21*$H$23)/($H$21*($A55*1000))-$H$29)*1000/p_g,MAX(0,(($A55*1000)/$H$14-$H$20*$H$23*($A55*1000)^3/$H$24)/($H$19*($A55*1000)^4/$H$24)-$H$29)*1000/p_g)))</f>
        <v>1.3604496206364</v>
      </c>
      <c r="C55" s="11" t="n">
        <f aca="false">$H$12</f>
        <v>40</v>
      </c>
      <c r="D55" s="0" t="str">
        <f aca="false">IF(B55="","",IF(B55&gt;=C55,"yes","no"))</f>
        <v>no</v>
      </c>
    </row>
    <row r="56" customFormat="false" ht="15" hidden="false" customHeight="false" outlineLevel="0" collapsed="false">
      <c r="A56" s="11" t="n">
        <v>4.9</v>
      </c>
      <c r="B56" s="19" t="n">
        <f aca="false">IF($H$11="arm",MAX(0,MIN(($H$27-($H$23/3)*$H$16)/($H$16/2)/p_g-$H$15*$A56,($H$25-($H$23/3))/p_g-$H$15*$A56,(($H$16/p_cant)-($H$23/3)*$H$16^3/(3*$H$24))/($H$16^3/(8*$H$24))/p_g-$H$15*$A56))/$A56,IF($H$11="channel","",MIN(MAX(0,($H$26-$H$18*$H$23*($A56*1000))/($H$17*($A56*1000)^2)-$H$29)*1000/p_g,MAX(0,($H$25-$H$21*$H$23)/($H$21*($A56*1000))-$H$29)*1000/p_g,MAX(0,(($A56*1000)/$H$14-$H$20*$H$23*($A56*1000)^3/$H$24)/($H$19*($A56*1000)^4/$H$24)-$H$29)*1000/p_g)))</f>
        <v>0.209977478528223</v>
      </c>
      <c r="C56" s="11" t="n">
        <f aca="false">$H$12</f>
        <v>40</v>
      </c>
      <c r="D56" s="0" t="str">
        <f aca="false">IF(B56="","",IF(B56&gt;=C56,"yes","no"))</f>
        <v>no</v>
      </c>
    </row>
    <row r="57" customFormat="false" ht="15" hidden="false" customHeight="false" outlineLevel="0" collapsed="false">
      <c r="A57" s="11" t="n">
        <v>5</v>
      </c>
      <c r="B57" s="19" t="n">
        <f aca="false">IF($H$11="arm",MAX(0,MIN(($H$27-($H$23/3)*$H$16)/($H$16/2)/p_g-$H$15*$A57,($H$25-($H$23/3))/p_g-$H$15*$A57,(($H$16/p_cant)-($H$23/3)*$H$16^3/(3*$H$24))/($H$16^3/(8*$H$24))/p_g-$H$15*$A57))/$A57,IF($H$11="channel","",MIN(MAX(0,($H$26-$H$18*$H$23*($A57*1000))/($H$17*($A57*1000)^2)-$H$29)*1000/p_g,MAX(0,($H$25-$H$21*$H$23)/($H$21*($A57*1000))-$H$29)*1000/p_g,MAX(0,(($A57*1000)/$H$14-$H$20*$H$23*($A57*1000)^3/$H$24)/($H$19*($A57*1000)^4/$H$24)-$H$29)*1000/p_g)))</f>
        <v>0</v>
      </c>
      <c r="C57" s="11" t="n">
        <f aca="false">$H$12</f>
        <v>40</v>
      </c>
      <c r="D57" s="0" t="str">
        <f aca="false">IF(B57="","",IF(B57&gt;=C57,"yes","no"))</f>
        <v>no</v>
      </c>
    </row>
    <row r="58" customFormat="false" ht="15" hidden="false" customHeight="false" outlineLevel="0" collapsed="false">
      <c r="A58" s="11" t="n">
        <v>5.1</v>
      </c>
      <c r="B58" s="19" t="n">
        <f aca="false">IF($H$11="arm",MAX(0,MIN(($H$27-($H$23/3)*$H$16)/($H$16/2)/p_g-$H$15*$A58,($H$25-($H$23/3))/p_g-$H$15*$A58,(($H$16/p_cant)-($H$23/3)*$H$16^3/(3*$H$24))/($H$16^3/(8*$H$24))/p_g-$H$15*$A58))/$A58,IF($H$11="channel","",MIN(MAX(0,($H$26-$H$18*$H$23*($A58*1000))/($H$17*($A58*1000)^2)-$H$29)*1000/p_g,MAX(0,($H$25-$H$21*$H$23)/($H$21*($A58*1000))-$H$29)*1000/p_g,MAX(0,(($A58*1000)/$H$14-$H$20*$H$23*($A58*1000)^3/$H$24)/($H$19*($A58*1000)^4/$H$24)-$H$29)*1000/p_g)))</f>
        <v>0</v>
      </c>
      <c r="C58" s="11" t="n">
        <f aca="false">$H$12</f>
        <v>40</v>
      </c>
      <c r="D58" s="0" t="str">
        <f aca="false">IF(B58="","",IF(B58&gt;=C58,"yes","no"))</f>
        <v>no</v>
      </c>
    </row>
    <row r="59" customFormat="false" ht="15" hidden="false" customHeight="false" outlineLevel="0" collapsed="false">
      <c r="A59" s="11" t="n">
        <v>5.2</v>
      </c>
      <c r="B59" s="19" t="n">
        <f aca="false">IF($H$11="arm",MAX(0,MIN(($H$27-($H$23/3)*$H$16)/($H$16/2)/p_g-$H$15*$A59,($H$25-($H$23/3))/p_g-$H$15*$A59,(($H$16/p_cant)-($H$23/3)*$H$16^3/(3*$H$24))/($H$16^3/(8*$H$24))/p_g-$H$15*$A59))/$A59,IF($H$11="channel","",MIN(MAX(0,($H$26-$H$18*$H$23*($A59*1000))/($H$17*($A59*1000)^2)-$H$29)*1000/p_g,MAX(0,($H$25-$H$21*$H$23)/($H$21*($A59*1000))-$H$29)*1000/p_g,MAX(0,(($A59*1000)/$H$14-$H$20*$H$23*($A59*1000)^3/$H$24)/($H$19*($A59*1000)^4/$H$24)-$H$29)*1000/p_g)))</f>
        <v>0</v>
      </c>
      <c r="C59" s="11" t="n">
        <f aca="false">$H$12</f>
        <v>40</v>
      </c>
      <c r="D59" s="0" t="str">
        <f aca="false">IF(B59="","",IF(B59&gt;=C59,"yes","no"))</f>
        <v>no</v>
      </c>
    </row>
    <row r="60" customFormat="false" ht="15" hidden="false" customHeight="false" outlineLevel="0" collapsed="false">
      <c r="A60" s="11" t="n">
        <v>5.3</v>
      </c>
      <c r="B60" s="19" t="n">
        <f aca="false">IF($H$11="arm",MAX(0,MIN(($H$27-($H$23/3)*$H$16)/($H$16/2)/p_g-$H$15*$A60,($H$25-($H$23/3))/p_g-$H$15*$A60,(($H$16/p_cant)-($H$23/3)*$H$16^3/(3*$H$24))/($H$16^3/(8*$H$24))/p_g-$H$15*$A60))/$A60,IF($H$11="channel","",MIN(MAX(0,($H$26-$H$18*$H$23*($A60*1000))/($H$17*($A60*1000)^2)-$H$29)*1000/p_g,MAX(0,($H$25-$H$21*$H$23)/($H$21*($A60*1000))-$H$29)*1000/p_g,MAX(0,(($A60*1000)/$H$14-$H$20*$H$23*($A60*1000)^3/$H$24)/($H$19*($A60*1000)^4/$H$24)-$H$29)*1000/p_g)))</f>
        <v>0</v>
      </c>
      <c r="C60" s="11" t="n">
        <f aca="false">$H$12</f>
        <v>40</v>
      </c>
      <c r="D60" s="0" t="str">
        <f aca="false">IF(B60="","",IF(B60&gt;=C60,"yes","no"))</f>
        <v>no</v>
      </c>
    </row>
    <row r="61" customFormat="false" ht="15" hidden="false" customHeight="false" outlineLevel="0" collapsed="false">
      <c r="A61" s="11" t="n">
        <v>5.4</v>
      </c>
      <c r="B61" s="19" t="n">
        <f aca="false">IF($H$11="arm",MAX(0,MIN(($H$27-($H$23/3)*$H$16)/($H$16/2)/p_g-$H$15*$A61,($H$25-($H$23/3))/p_g-$H$15*$A61,(($H$16/p_cant)-($H$23/3)*$H$16^3/(3*$H$24))/($H$16^3/(8*$H$24))/p_g-$H$15*$A61))/$A61,IF($H$11="channel","",MIN(MAX(0,($H$26-$H$18*$H$23*($A61*1000))/($H$17*($A61*1000)^2)-$H$29)*1000/p_g,MAX(0,($H$25-$H$21*$H$23)/($H$21*($A61*1000))-$H$29)*1000/p_g,MAX(0,(($A61*1000)/$H$14-$H$20*$H$23*($A61*1000)^3/$H$24)/($H$19*($A61*1000)^4/$H$24)-$H$29)*1000/p_g)))</f>
        <v>0</v>
      </c>
      <c r="C61" s="11" t="n">
        <f aca="false">$H$12</f>
        <v>40</v>
      </c>
      <c r="D61" s="0" t="str">
        <f aca="false">IF(B61="","",IF(B61&gt;=C61,"yes","no"))</f>
        <v>no</v>
      </c>
    </row>
    <row r="62" customFormat="false" ht="15" hidden="false" customHeight="false" outlineLevel="0" collapsed="false">
      <c r="A62" s="11" t="n">
        <v>5.5</v>
      </c>
      <c r="B62" s="19" t="n">
        <f aca="false">IF($H$11="arm",MAX(0,MIN(($H$27-($H$23/3)*$H$16)/($H$16/2)/p_g-$H$15*$A62,($H$25-($H$23/3))/p_g-$H$15*$A62,(($H$16/p_cant)-($H$23/3)*$H$16^3/(3*$H$24))/($H$16^3/(8*$H$24))/p_g-$H$15*$A62))/$A62,IF($H$11="channel","",MIN(MAX(0,($H$26-$H$18*$H$23*($A62*1000))/($H$17*($A62*1000)^2)-$H$29)*1000/p_g,MAX(0,($H$25-$H$21*$H$23)/($H$21*($A62*1000))-$H$29)*1000/p_g,MAX(0,(($A62*1000)/$H$14-$H$20*$H$23*($A62*1000)^3/$H$24)/($H$19*($A62*1000)^4/$H$24)-$H$29)*1000/p_g)))</f>
        <v>0</v>
      </c>
      <c r="C62" s="11" t="n">
        <f aca="false">$H$12</f>
        <v>40</v>
      </c>
      <c r="D62" s="0" t="str">
        <f aca="false">IF(B62="","",IF(B62&gt;=C62,"yes","no"))</f>
        <v>no</v>
      </c>
    </row>
    <row r="63" customFormat="false" ht="15" hidden="false" customHeight="false" outlineLevel="0" collapsed="false">
      <c r="A63" s="11" t="n">
        <v>5.6</v>
      </c>
      <c r="B63" s="19" t="n">
        <f aca="false">IF($H$11="arm",MAX(0,MIN(($H$27-($H$23/3)*$H$16)/($H$16/2)/p_g-$H$15*$A63,($H$25-($H$23/3))/p_g-$H$15*$A63,(($H$16/p_cant)-($H$23/3)*$H$16^3/(3*$H$24))/($H$16^3/(8*$H$24))/p_g-$H$15*$A63))/$A63,IF($H$11="channel","",MIN(MAX(0,($H$26-$H$18*$H$23*($A63*1000))/($H$17*($A63*1000)^2)-$H$29)*1000/p_g,MAX(0,($H$25-$H$21*$H$23)/($H$21*($A63*1000))-$H$29)*1000/p_g,MAX(0,(($A63*1000)/$H$14-$H$20*$H$23*($A63*1000)^3/$H$24)/($H$19*($A63*1000)^4/$H$24)-$H$29)*1000/p_g)))</f>
        <v>0</v>
      </c>
      <c r="C63" s="11" t="n">
        <f aca="false">$H$12</f>
        <v>40</v>
      </c>
      <c r="D63" s="0" t="str">
        <f aca="false">IF(B63="","",IF(B63&gt;=C63,"yes","no"))</f>
        <v>no</v>
      </c>
    </row>
    <row r="64" customFormat="false" ht="15" hidden="false" customHeight="false" outlineLevel="0" collapsed="false">
      <c r="A64" s="11" t="n">
        <v>5.7</v>
      </c>
      <c r="B64" s="19" t="n">
        <f aca="false">IF($H$11="arm",MAX(0,MIN(($H$27-($H$23/3)*$H$16)/($H$16/2)/p_g-$H$15*$A64,($H$25-($H$23/3))/p_g-$H$15*$A64,(($H$16/p_cant)-($H$23/3)*$H$16^3/(3*$H$24))/($H$16^3/(8*$H$24))/p_g-$H$15*$A64))/$A64,IF($H$11="channel","",MIN(MAX(0,($H$26-$H$18*$H$23*($A64*1000))/($H$17*($A64*1000)^2)-$H$29)*1000/p_g,MAX(0,($H$25-$H$21*$H$23)/($H$21*($A64*1000))-$H$29)*1000/p_g,MAX(0,(($A64*1000)/$H$14-$H$20*$H$23*($A64*1000)^3/$H$24)/($H$19*($A64*1000)^4/$H$24)-$H$29)*1000/p_g)))</f>
        <v>0</v>
      </c>
      <c r="C64" s="11" t="n">
        <f aca="false">$H$12</f>
        <v>40</v>
      </c>
      <c r="D64" s="0" t="str">
        <f aca="false">IF(B64="","",IF(B64&gt;=C64,"yes","no"))</f>
        <v>no</v>
      </c>
    </row>
    <row r="65" customFormat="false" ht="15" hidden="false" customHeight="false" outlineLevel="0" collapsed="false">
      <c r="A65" s="11" t="n">
        <v>5.8</v>
      </c>
      <c r="B65" s="19" t="n">
        <f aca="false">IF($H$11="arm",MAX(0,MIN(($H$27-($H$23/3)*$H$16)/($H$16/2)/p_g-$H$15*$A65,($H$25-($H$23/3))/p_g-$H$15*$A65,(($H$16/p_cant)-($H$23/3)*$H$16^3/(3*$H$24))/($H$16^3/(8*$H$24))/p_g-$H$15*$A65))/$A65,IF($H$11="channel","",MIN(MAX(0,($H$26-$H$18*$H$23*($A65*1000))/($H$17*($A65*1000)^2)-$H$29)*1000/p_g,MAX(0,($H$25-$H$21*$H$23)/($H$21*($A65*1000))-$H$29)*1000/p_g,MAX(0,(($A65*1000)/$H$14-$H$20*$H$23*($A65*1000)^3/$H$24)/($H$19*($A65*1000)^4/$H$24)-$H$29)*1000/p_g)))</f>
        <v>0</v>
      </c>
      <c r="C65" s="11" t="n">
        <f aca="false">$H$12</f>
        <v>40</v>
      </c>
      <c r="D65" s="0" t="str">
        <f aca="false">IF(B65="","",IF(B65&gt;=C65,"yes","no"))</f>
        <v>no</v>
      </c>
    </row>
    <row r="66" customFormat="false" ht="15" hidden="false" customHeight="false" outlineLevel="0" collapsed="false">
      <c r="A66" s="11" t="n">
        <v>5.9</v>
      </c>
      <c r="B66" s="19" t="n">
        <f aca="false">IF($H$11="arm",MAX(0,MIN(($H$27-($H$23/3)*$H$16)/($H$16/2)/p_g-$H$15*$A66,($H$25-($H$23/3))/p_g-$H$15*$A66,(($H$16/p_cant)-($H$23/3)*$H$16^3/(3*$H$24))/($H$16^3/(8*$H$24))/p_g-$H$15*$A66))/$A66,IF($H$11="channel","",MIN(MAX(0,($H$26-$H$18*$H$23*($A66*1000))/($H$17*($A66*1000)^2)-$H$29)*1000/p_g,MAX(0,($H$25-$H$21*$H$23)/($H$21*($A66*1000))-$H$29)*1000/p_g,MAX(0,(($A66*1000)/$H$14-$H$20*$H$23*($A66*1000)^3/$H$24)/($H$19*($A66*1000)^4/$H$24)-$H$29)*1000/p_g)))</f>
        <v>0</v>
      </c>
      <c r="C66" s="11" t="n">
        <f aca="false">$H$12</f>
        <v>40</v>
      </c>
      <c r="D66" s="0" t="str">
        <f aca="false">IF(B66="","",IF(B66&gt;=C66,"yes","no"))</f>
        <v>no</v>
      </c>
    </row>
    <row r="67" customFormat="false" ht="15" hidden="false" customHeight="false" outlineLevel="0" collapsed="false">
      <c r="A67" s="11" t="n">
        <v>6</v>
      </c>
      <c r="B67" s="19" t="n">
        <f aca="false">IF($H$11="arm",MAX(0,MIN(($H$27-($H$23/3)*$H$16)/($H$16/2)/p_g-$H$15*$A67,($H$25-($H$23/3))/p_g-$H$15*$A67,(($H$16/p_cant)-($H$23/3)*$H$16^3/(3*$H$24))/($H$16^3/(8*$H$24))/p_g-$H$15*$A67))/$A67,IF($H$11="channel","",MIN(MAX(0,($H$26-$H$18*$H$23*($A67*1000))/($H$17*($A67*1000)^2)-$H$29)*1000/p_g,MAX(0,($H$25-$H$21*$H$23)/($H$21*($A67*1000))-$H$29)*1000/p_g,MAX(0,(($A67*1000)/$H$14-$H$20*$H$23*($A67*1000)^3/$H$24)/($H$19*($A67*1000)^4/$H$24)-$H$29)*1000/p_g)))</f>
        <v>0</v>
      </c>
      <c r="C67" s="11" t="n">
        <f aca="false">$H$12</f>
        <v>40</v>
      </c>
      <c r="D67" s="0" t="str">
        <f aca="false">IF(B67="","",IF(B67&gt;=C67,"yes","no"))</f>
        <v>no</v>
      </c>
    </row>
    <row r="68" customFormat="false" ht="15" hidden="false" customHeight="false" outlineLevel="0" collapsed="false">
      <c r="A68" s="11" t="n">
        <v>6.1</v>
      </c>
      <c r="B68" s="19" t="n">
        <f aca="false">IF($H$11="arm",MAX(0,MIN(($H$27-($H$23/3)*$H$16)/($H$16/2)/p_g-$H$15*$A68,($H$25-($H$23/3))/p_g-$H$15*$A68,(($H$16/p_cant)-($H$23/3)*$H$16^3/(3*$H$24))/($H$16^3/(8*$H$24))/p_g-$H$15*$A68))/$A68,IF($H$11="channel","",MIN(MAX(0,($H$26-$H$18*$H$23*($A68*1000))/($H$17*($A68*1000)^2)-$H$29)*1000/p_g,MAX(0,($H$25-$H$21*$H$23)/($H$21*($A68*1000))-$H$29)*1000/p_g,MAX(0,(($A68*1000)/$H$14-$H$20*$H$23*($A68*1000)^3/$H$24)/($H$19*($A68*1000)^4/$H$24)-$H$29)*1000/p_g)))</f>
        <v>0</v>
      </c>
      <c r="C68" s="11" t="n">
        <f aca="false">$H$12</f>
        <v>40</v>
      </c>
      <c r="D68" s="0" t="str">
        <f aca="false">IF(B68="","",IF(B68&gt;=C68,"yes","no"))</f>
        <v>no</v>
      </c>
    </row>
    <row r="69" customFormat="false" ht="15" hidden="false" customHeight="false" outlineLevel="0" collapsed="false">
      <c r="A69" s="11" t="n">
        <v>6.2</v>
      </c>
      <c r="B69" s="19" t="n">
        <f aca="false">IF($H$11="arm",MAX(0,MIN(($H$27-($H$23/3)*$H$16)/($H$16/2)/p_g-$H$15*$A69,($H$25-($H$23/3))/p_g-$H$15*$A69,(($H$16/p_cant)-($H$23/3)*$H$16^3/(3*$H$24))/($H$16^3/(8*$H$24))/p_g-$H$15*$A69))/$A69,IF($H$11="channel","",MIN(MAX(0,($H$26-$H$18*$H$23*($A69*1000))/($H$17*($A69*1000)^2)-$H$29)*1000/p_g,MAX(0,($H$25-$H$21*$H$23)/($H$21*($A69*1000))-$H$29)*1000/p_g,MAX(0,(($A69*1000)/$H$14-$H$20*$H$23*($A69*1000)^3/$H$24)/($H$19*($A69*1000)^4/$H$24)-$H$29)*1000/p_g)))</f>
        <v>0</v>
      </c>
      <c r="C69" s="11" t="n">
        <f aca="false">$H$12</f>
        <v>40</v>
      </c>
      <c r="D69" s="0" t="str">
        <f aca="false">IF(B69="","",IF(B69&gt;=C69,"yes","no"))</f>
        <v>no</v>
      </c>
    </row>
    <row r="70" customFormat="false" ht="15" hidden="false" customHeight="false" outlineLevel="0" collapsed="false">
      <c r="A70" s="11" t="n">
        <v>6.3</v>
      </c>
      <c r="B70" s="19" t="n">
        <f aca="false">IF($H$11="arm",MAX(0,MIN(($H$27-($H$23/3)*$H$16)/($H$16/2)/p_g-$H$15*$A70,($H$25-($H$23/3))/p_g-$H$15*$A70,(($H$16/p_cant)-($H$23/3)*$H$16^3/(3*$H$24))/($H$16^3/(8*$H$24))/p_g-$H$15*$A70))/$A70,IF($H$11="channel","",MIN(MAX(0,($H$26-$H$18*$H$23*($A70*1000))/($H$17*($A70*1000)^2)-$H$29)*1000/p_g,MAX(0,($H$25-$H$21*$H$23)/($H$21*($A70*1000))-$H$29)*1000/p_g,MAX(0,(($A70*1000)/$H$14-$H$20*$H$23*($A70*1000)^3/$H$24)/($H$19*($A70*1000)^4/$H$24)-$H$29)*1000/p_g)))</f>
        <v>0</v>
      </c>
      <c r="C70" s="11" t="n">
        <f aca="false">$H$12</f>
        <v>40</v>
      </c>
      <c r="D70" s="0" t="str">
        <f aca="false">IF(B70="","",IF(B70&gt;=C70,"yes","no"))</f>
        <v>no</v>
      </c>
    </row>
    <row r="71" customFormat="false" ht="15" hidden="false" customHeight="false" outlineLevel="0" collapsed="false">
      <c r="A71" s="11" t="n">
        <v>6.4</v>
      </c>
      <c r="B71" s="19" t="n">
        <f aca="false">IF($H$11="arm",MAX(0,MIN(($H$27-($H$23/3)*$H$16)/($H$16/2)/p_g-$H$15*$A71,($H$25-($H$23/3))/p_g-$H$15*$A71,(($H$16/p_cant)-($H$23/3)*$H$16^3/(3*$H$24))/($H$16^3/(8*$H$24))/p_g-$H$15*$A71))/$A71,IF($H$11="channel","",MIN(MAX(0,($H$26-$H$18*$H$23*($A71*1000))/($H$17*($A71*1000)^2)-$H$29)*1000/p_g,MAX(0,($H$25-$H$21*$H$23)/($H$21*($A71*1000))-$H$29)*1000/p_g,MAX(0,(($A71*1000)/$H$14-$H$20*$H$23*($A71*1000)^3/$H$24)/($H$19*($A71*1000)^4/$H$24)-$H$29)*1000/p_g)))</f>
        <v>0</v>
      </c>
      <c r="C71" s="11" t="n">
        <f aca="false">$H$12</f>
        <v>40</v>
      </c>
      <c r="D71" s="0" t="str">
        <f aca="false">IF(B71="","",IF(B71&gt;=C71,"yes","no"))</f>
        <v>no</v>
      </c>
    </row>
    <row r="72" customFormat="false" ht="15" hidden="false" customHeight="false" outlineLevel="0" collapsed="false">
      <c r="A72" s="11" t="n">
        <v>6.5</v>
      </c>
      <c r="B72" s="19" t="n">
        <f aca="false">IF($H$11="arm",MAX(0,MIN(($H$27-($H$23/3)*$H$16)/($H$16/2)/p_g-$H$15*$A72,($H$25-($H$23/3))/p_g-$H$15*$A72,(($H$16/p_cant)-($H$23/3)*$H$16^3/(3*$H$24))/($H$16^3/(8*$H$24))/p_g-$H$15*$A72))/$A72,IF($H$11="channel","",MIN(MAX(0,($H$26-$H$18*$H$23*($A72*1000))/($H$17*($A72*1000)^2)-$H$29)*1000/p_g,MAX(0,($H$25-$H$21*$H$23)/($H$21*($A72*1000))-$H$29)*1000/p_g,MAX(0,(($A72*1000)/$H$14-$H$20*$H$23*($A72*1000)^3/$H$24)/($H$19*($A72*1000)^4/$H$24)-$H$29)*1000/p_g)))</f>
        <v>0</v>
      </c>
      <c r="C72" s="11" t="n">
        <f aca="false">$H$12</f>
        <v>40</v>
      </c>
      <c r="D72" s="0" t="str">
        <f aca="false">IF(B72="","",IF(B72&gt;=C72,"yes","no"))</f>
        <v>no</v>
      </c>
    </row>
    <row r="73" customFormat="false" ht="15" hidden="false" customHeight="false" outlineLevel="0" collapsed="false">
      <c r="A73" s="11" t="n">
        <v>6.6</v>
      </c>
      <c r="B73" s="19" t="n">
        <f aca="false">IF($H$11="arm",MAX(0,MIN(($H$27-($H$23/3)*$H$16)/($H$16/2)/p_g-$H$15*$A73,($H$25-($H$23/3))/p_g-$H$15*$A73,(($H$16/p_cant)-($H$23/3)*$H$16^3/(3*$H$24))/($H$16^3/(8*$H$24))/p_g-$H$15*$A73))/$A73,IF($H$11="channel","",MIN(MAX(0,($H$26-$H$18*$H$23*($A73*1000))/($H$17*($A73*1000)^2)-$H$29)*1000/p_g,MAX(0,($H$25-$H$21*$H$23)/($H$21*($A73*1000))-$H$29)*1000/p_g,MAX(0,(($A73*1000)/$H$14-$H$20*$H$23*($A73*1000)^3/$H$24)/($H$19*($A73*1000)^4/$H$24)-$H$29)*1000/p_g)))</f>
        <v>0</v>
      </c>
      <c r="C73" s="11" t="n">
        <f aca="false">$H$12</f>
        <v>40</v>
      </c>
      <c r="D73" s="0" t="str">
        <f aca="false">IF(B73="","",IF(B73&gt;=C73,"yes","no"))</f>
        <v>no</v>
      </c>
    </row>
    <row r="74" customFormat="false" ht="15" hidden="false" customHeight="false" outlineLevel="0" collapsed="false">
      <c r="A74" s="11" t="n">
        <v>6.7</v>
      </c>
      <c r="B74" s="19" t="n">
        <f aca="false">IF($H$11="arm",MAX(0,MIN(($H$27-($H$23/3)*$H$16)/($H$16/2)/p_g-$H$15*$A74,($H$25-($H$23/3))/p_g-$H$15*$A74,(($H$16/p_cant)-($H$23/3)*$H$16^3/(3*$H$24))/($H$16^3/(8*$H$24))/p_g-$H$15*$A74))/$A74,IF($H$11="channel","",MIN(MAX(0,($H$26-$H$18*$H$23*($A74*1000))/($H$17*($A74*1000)^2)-$H$29)*1000/p_g,MAX(0,($H$25-$H$21*$H$23)/($H$21*($A74*1000))-$H$29)*1000/p_g,MAX(0,(($A74*1000)/$H$14-$H$20*$H$23*($A74*1000)^3/$H$24)/($H$19*($A74*1000)^4/$H$24)-$H$29)*1000/p_g)))</f>
        <v>0</v>
      </c>
      <c r="C74" s="11" t="n">
        <f aca="false">$H$12</f>
        <v>40</v>
      </c>
      <c r="D74" s="0" t="str">
        <f aca="false">IF(B74="","",IF(B74&gt;=C74,"yes","no"))</f>
        <v>no</v>
      </c>
    </row>
    <row r="75" customFormat="false" ht="15" hidden="false" customHeight="false" outlineLevel="0" collapsed="false">
      <c r="A75" s="11" t="n">
        <v>6.8</v>
      </c>
      <c r="B75" s="19" t="n">
        <f aca="false">IF($H$11="arm",MAX(0,MIN(($H$27-($H$23/3)*$H$16)/($H$16/2)/p_g-$H$15*$A75,($H$25-($H$23/3))/p_g-$H$15*$A75,(($H$16/p_cant)-($H$23/3)*$H$16^3/(3*$H$24))/($H$16^3/(8*$H$24))/p_g-$H$15*$A75))/$A75,IF($H$11="channel","",MIN(MAX(0,($H$26-$H$18*$H$23*($A75*1000))/($H$17*($A75*1000)^2)-$H$29)*1000/p_g,MAX(0,($H$25-$H$21*$H$23)/($H$21*($A75*1000))-$H$29)*1000/p_g,MAX(0,(($A75*1000)/$H$14-$H$20*$H$23*($A75*1000)^3/$H$24)/($H$19*($A75*1000)^4/$H$24)-$H$29)*1000/p_g)))</f>
        <v>0</v>
      </c>
      <c r="C75" s="11" t="n">
        <f aca="false">$H$12</f>
        <v>40</v>
      </c>
      <c r="D75" s="0" t="str">
        <f aca="false">IF(B75="","",IF(B75&gt;=C75,"yes","no"))</f>
        <v>no</v>
      </c>
    </row>
    <row r="76" customFormat="false" ht="15" hidden="false" customHeight="false" outlineLevel="0" collapsed="false">
      <c r="A76" s="11" t="n">
        <v>6.9</v>
      </c>
      <c r="B76" s="19" t="n">
        <f aca="false">IF($H$11="arm",MAX(0,MIN(($H$27-($H$23/3)*$H$16)/($H$16/2)/p_g-$H$15*$A76,($H$25-($H$23/3))/p_g-$H$15*$A76,(($H$16/p_cant)-($H$23/3)*$H$16^3/(3*$H$24))/($H$16^3/(8*$H$24))/p_g-$H$15*$A76))/$A76,IF($H$11="channel","",MIN(MAX(0,($H$26-$H$18*$H$23*($A76*1000))/($H$17*($A76*1000)^2)-$H$29)*1000/p_g,MAX(0,($H$25-$H$21*$H$23)/($H$21*($A76*1000))-$H$29)*1000/p_g,MAX(0,(($A76*1000)/$H$14-$H$20*$H$23*($A76*1000)^3/$H$24)/($H$19*($A76*1000)^4/$H$24)-$H$29)*1000/p_g)))</f>
        <v>0</v>
      </c>
      <c r="C76" s="11" t="n">
        <f aca="false">$H$12</f>
        <v>40</v>
      </c>
      <c r="D76" s="0" t="str">
        <f aca="false">IF(B76="","",IF(B76&gt;=C76,"yes","no"))</f>
        <v>no</v>
      </c>
    </row>
    <row r="77" customFormat="false" ht="15" hidden="false" customHeight="false" outlineLevel="0" collapsed="false">
      <c r="A77" s="11" t="n">
        <v>7</v>
      </c>
      <c r="B77" s="19" t="n">
        <f aca="false">IF($H$11="arm",MAX(0,MIN(($H$27-($H$23/3)*$H$16)/($H$16/2)/p_g-$H$15*$A77,($H$25-($H$23/3))/p_g-$H$15*$A77,(($H$16/p_cant)-($H$23/3)*$H$16^3/(3*$H$24))/($H$16^3/(8*$H$24))/p_g-$H$15*$A77))/$A77,IF($H$11="channel","",MIN(MAX(0,($H$26-$H$18*$H$23*($A77*1000))/($H$17*($A77*1000)^2)-$H$29)*1000/p_g,MAX(0,($H$25-$H$21*$H$23)/($H$21*($A77*1000))-$H$29)*1000/p_g,MAX(0,(($A77*1000)/$H$14-$H$20*$H$23*($A77*1000)^3/$H$24)/($H$19*($A77*1000)^4/$H$24)-$H$29)*1000/p_g)))</f>
        <v>0</v>
      </c>
      <c r="C77" s="11" t="n">
        <f aca="false">$H$12</f>
        <v>40</v>
      </c>
      <c r="D77" s="0" t="str">
        <f aca="false">IF(B77="","",IF(B77&gt;=C77,"yes","no"))</f>
        <v>no</v>
      </c>
    </row>
    <row r="78" customFormat="false" ht="15" hidden="false" customHeight="false" outlineLevel="0" collapsed="false">
      <c r="A78" s="11" t="n">
        <v>7.1</v>
      </c>
      <c r="B78" s="19" t="n">
        <f aca="false">IF($H$11="arm",MAX(0,MIN(($H$27-($H$23/3)*$H$16)/($H$16/2)/p_g-$H$15*$A78,($H$25-($H$23/3))/p_g-$H$15*$A78,(($H$16/p_cant)-($H$23/3)*$H$16^3/(3*$H$24))/($H$16^3/(8*$H$24))/p_g-$H$15*$A78))/$A78,IF($H$11="channel","",MIN(MAX(0,($H$26-$H$18*$H$23*($A78*1000))/($H$17*($A78*1000)^2)-$H$29)*1000/p_g,MAX(0,($H$25-$H$21*$H$23)/($H$21*($A78*1000))-$H$29)*1000/p_g,MAX(0,(($A78*1000)/$H$14-$H$20*$H$23*($A78*1000)^3/$H$24)/($H$19*($A78*1000)^4/$H$24)-$H$29)*1000/p_g)))</f>
        <v>0</v>
      </c>
      <c r="C78" s="11" t="n">
        <f aca="false">$H$12</f>
        <v>40</v>
      </c>
      <c r="D78" s="0" t="str">
        <f aca="false">IF(B78="","",IF(B78&gt;=C78,"yes","no"))</f>
        <v>no</v>
      </c>
    </row>
    <row r="79" customFormat="false" ht="15" hidden="false" customHeight="false" outlineLevel="0" collapsed="false">
      <c r="A79" s="11" t="n">
        <v>7.2</v>
      </c>
      <c r="B79" s="19" t="n">
        <f aca="false">IF($H$11="arm",MAX(0,MIN(($H$27-($H$23/3)*$H$16)/($H$16/2)/p_g-$H$15*$A79,($H$25-($H$23/3))/p_g-$H$15*$A79,(($H$16/p_cant)-($H$23/3)*$H$16^3/(3*$H$24))/($H$16^3/(8*$H$24))/p_g-$H$15*$A79))/$A79,IF($H$11="channel","",MIN(MAX(0,($H$26-$H$18*$H$23*($A79*1000))/($H$17*($A79*1000)^2)-$H$29)*1000/p_g,MAX(0,($H$25-$H$21*$H$23)/($H$21*($A79*1000))-$H$29)*1000/p_g,MAX(0,(($A79*1000)/$H$14-$H$20*$H$23*($A79*1000)^3/$H$24)/($H$19*($A79*1000)^4/$H$24)-$H$29)*1000/p_g)))</f>
        <v>0</v>
      </c>
      <c r="C79" s="11" t="n">
        <f aca="false">$H$12</f>
        <v>40</v>
      </c>
      <c r="D79" s="0" t="str">
        <f aca="false">IF(B79="","",IF(B79&gt;=C79,"yes","no"))</f>
        <v>no</v>
      </c>
    </row>
    <row r="80" customFormat="false" ht="15" hidden="false" customHeight="false" outlineLevel="0" collapsed="false">
      <c r="A80" s="11" t="n">
        <v>7.3</v>
      </c>
      <c r="B80" s="19" t="n">
        <f aca="false">IF($H$11="arm",MAX(0,MIN(($H$27-($H$23/3)*$H$16)/($H$16/2)/p_g-$H$15*$A80,($H$25-($H$23/3))/p_g-$H$15*$A80,(($H$16/p_cant)-($H$23/3)*$H$16^3/(3*$H$24))/($H$16^3/(8*$H$24))/p_g-$H$15*$A80))/$A80,IF($H$11="channel","",MIN(MAX(0,($H$26-$H$18*$H$23*($A80*1000))/($H$17*($A80*1000)^2)-$H$29)*1000/p_g,MAX(0,($H$25-$H$21*$H$23)/($H$21*($A80*1000))-$H$29)*1000/p_g,MAX(0,(($A80*1000)/$H$14-$H$20*$H$23*($A80*1000)^3/$H$24)/($H$19*($A80*1000)^4/$H$24)-$H$29)*1000/p_g)))</f>
        <v>0</v>
      </c>
      <c r="C80" s="11" t="n">
        <f aca="false">$H$12</f>
        <v>40</v>
      </c>
      <c r="D80" s="0" t="str">
        <f aca="false">IF(B80="","",IF(B80&gt;=C80,"yes","no"))</f>
        <v>no</v>
      </c>
    </row>
    <row r="81" customFormat="false" ht="15" hidden="false" customHeight="false" outlineLevel="0" collapsed="false">
      <c r="A81" s="11" t="n">
        <v>7.4</v>
      </c>
      <c r="B81" s="19" t="n">
        <f aca="false">IF($H$11="arm",MAX(0,MIN(($H$27-($H$23/3)*$H$16)/($H$16/2)/p_g-$H$15*$A81,($H$25-($H$23/3))/p_g-$H$15*$A81,(($H$16/p_cant)-($H$23/3)*$H$16^3/(3*$H$24))/($H$16^3/(8*$H$24))/p_g-$H$15*$A81))/$A81,IF($H$11="channel","",MIN(MAX(0,($H$26-$H$18*$H$23*($A81*1000))/($H$17*($A81*1000)^2)-$H$29)*1000/p_g,MAX(0,($H$25-$H$21*$H$23)/($H$21*($A81*1000))-$H$29)*1000/p_g,MAX(0,(($A81*1000)/$H$14-$H$20*$H$23*($A81*1000)^3/$H$24)/($H$19*($A81*1000)^4/$H$24)-$H$29)*1000/p_g)))</f>
        <v>0</v>
      </c>
      <c r="C81" s="11" t="n">
        <f aca="false">$H$12</f>
        <v>40</v>
      </c>
      <c r="D81" s="0" t="str">
        <f aca="false">IF(B81="","",IF(B81&gt;=C81,"yes","no"))</f>
        <v>no</v>
      </c>
    </row>
    <row r="82" customFormat="false" ht="15" hidden="false" customHeight="false" outlineLevel="0" collapsed="false">
      <c r="A82" s="11" t="n">
        <v>7.5</v>
      </c>
      <c r="B82" s="19" t="n">
        <f aca="false">IF($H$11="arm",MAX(0,MIN(($H$27-($H$23/3)*$H$16)/($H$16/2)/p_g-$H$15*$A82,($H$25-($H$23/3))/p_g-$H$15*$A82,(($H$16/p_cant)-($H$23/3)*$H$16^3/(3*$H$24))/($H$16^3/(8*$H$24))/p_g-$H$15*$A82))/$A82,IF($H$11="channel","",MIN(MAX(0,($H$26-$H$18*$H$23*($A82*1000))/($H$17*($A82*1000)^2)-$H$29)*1000/p_g,MAX(0,($H$25-$H$21*$H$23)/($H$21*($A82*1000))-$H$29)*1000/p_g,MAX(0,(($A82*1000)/$H$14-$H$20*$H$23*($A82*1000)^3/$H$24)/($H$19*($A82*1000)^4/$H$24)-$H$29)*1000/p_g)))</f>
        <v>0</v>
      </c>
      <c r="C82" s="11" t="n">
        <f aca="false">$H$12</f>
        <v>40</v>
      </c>
      <c r="D82" s="0" t="str">
        <f aca="false">IF(B82="","",IF(B82&gt;=C82,"yes","no"))</f>
        <v>no</v>
      </c>
    </row>
    <row r="83" customFormat="false" ht="15" hidden="false" customHeight="false" outlineLevel="0" collapsed="false">
      <c r="A83" s="11" t="n">
        <v>7.6</v>
      </c>
      <c r="B83" s="19" t="n">
        <f aca="false">IF($H$11="arm",MAX(0,MIN(($H$27-($H$23/3)*$H$16)/($H$16/2)/p_g-$H$15*$A83,($H$25-($H$23/3))/p_g-$H$15*$A83,(($H$16/p_cant)-($H$23/3)*$H$16^3/(3*$H$24))/($H$16^3/(8*$H$24))/p_g-$H$15*$A83))/$A83,IF($H$11="channel","",MIN(MAX(0,($H$26-$H$18*$H$23*($A83*1000))/($H$17*($A83*1000)^2)-$H$29)*1000/p_g,MAX(0,($H$25-$H$21*$H$23)/($H$21*($A83*1000))-$H$29)*1000/p_g,MAX(0,(($A83*1000)/$H$14-$H$20*$H$23*($A83*1000)^3/$H$24)/($H$19*($A83*1000)^4/$H$24)-$H$29)*1000/p_g)))</f>
        <v>0</v>
      </c>
      <c r="C83" s="11" t="n">
        <f aca="false">$H$12</f>
        <v>40</v>
      </c>
      <c r="D83" s="0" t="str">
        <f aca="false">IF(B83="","",IF(B83&gt;=C83,"yes","no"))</f>
        <v>no</v>
      </c>
    </row>
    <row r="84" customFormat="false" ht="15" hidden="false" customHeight="false" outlineLevel="0" collapsed="false">
      <c r="A84" s="11" t="n">
        <v>7.7</v>
      </c>
      <c r="B84" s="19" t="n">
        <f aca="false">IF($H$11="arm",MAX(0,MIN(($H$27-($H$23/3)*$H$16)/($H$16/2)/p_g-$H$15*$A84,($H$25-($H$23/3))/p_g-$H$15*$A84,(($H$16/p_cant)-($H$23/3)*$H$16^3/(3*$H$24))/($H$16^3/(8*$H$24))/p_g-$H$15*$A84))/$A84,IF($H$11="channel","",MIN(MAX(0,($H$26-$H$18*$H$23*($A84*1000))/($H$17*($A84*1000)^2)-$H$29)*1000/p_g,MAX(0,($H$25-$H$21*$H$23)/($H$21*($A84*1000))-$H$29)*1000/p_g,MAX(0,(($A84*1000)/$H$14-$H$20*$H$23*($A84*1000)^3/$H$24)/($H$19*($A84*1000)^4/$H$24)-$H$29)*1000/p_g)))</f>
        <v>0</v>
      </c>
      <c r="C84" s="11" t="n">
        <f aca="false">$H$12</f>
        <v>40</v>
      </c>
      <c r="D84" s="0" t="str">
        <f aca="false">IF(B84="","",IF(B84&gt;=C84,"yes","no"))</f>
        <v>no</v>
      </c>
    </row>
    <row r="85" customFormat="false" ht="15" hidden="false" customHeight="false" outlineLevel="0" collapsed="false">
      <c r="A85" s="11" t="n">
        <v>7.8</v>
      </c>
      <c r="B85" s="19" t="n">
        <f aca="false">IF($H$11="arm",MAX(0,MIN(($H$27-($H$23/3)*$H$16)/($H$16/2)/p_g-$H$15*$A85,($H$25-($H$23/3))/p_g-$H$15*$A85,(($H$16/p_cant)-($H$23/3)*$H$16^3/(3*$H$24))/($H$16^3/(8*$H$24))/p_g-$H$15*$A85))/$A85,IF($H$11="channel","",MIN(MAX(0,($H$26-$H$18*$H$23*($A85*1000))/($H$17*($A85*1000)^2)-$H$29)*1000/p_g,MAX(0,($H$25-$H$21*$H$23)/($H$21*($A85*1000))-$H$29)*1000/p_g,MAX(0,(($A85*1000)/$H$14-$H$20*$H$23*($A85*1000)^3/$H$24)/($H$19*($A85*1000)^4/$H$24)-$H$29)*1000/p_g)))</f>
        <v>0</v>
      </c>
      <c r="C85" s="11" t="n">
        <f aca="false">$H$12</f>
        <v>40</v>
      </c>
      <c r="D85" s="0" t="str">
        <f aca="false">IF(B85="","",IF(B85&gt;=C85,"yes","no"))</f>
        <v>no</v>
      </c>
    </row>
    <row r="86" customFormat="false" ht="15" hidden="false" customHeight="false" outlineLevel="0" collapsed="false">
      <c r="A86" s="11" t="n">
        <v>7.9</v>
      </c>
      <c r="B86" s="19" t="n">
        <f aca="false">IF($H$11="arm",MAX(0,MIN(($H$27-($H$23/3)*$H$16)/($H$16/2)/p_g-$H$15*$A86,($H$25-($H$23/3))/p_g-$H$15*$A86,(($H$16/p_cant)-($H$23/3)*$H$16^3/(3*$H$24))/($H$16^3/(8*$H$24))/p_g-$H$15*$A86))/$A86,IF($H$11="channel","",MIN(MAX(0,($H$26-$H$18*$H$23*($A86*1000))/($H$17*($A86*1000)^2)-$H$29)*1000/p_g,MAX(0,($H$25-$H$21*$H$23)/($H$21*($A86*1000))-$H$29)*1000/p_g,MAX(0,(($A86*1000)/$H$14-$H$20*$H$23*($A86*1000)^3/$H$24)/($H$19*($A86*1000)^4/$H$24)-$H$29)*1000/p_g)))</f>
        <v>0</v>
      </c>
      <c r="C86" s="11" t="n">
        <f aca="false">$H$12</f>
        <v>40</v>
      </c>
      <c r="D86" s="0" t="str">
        <f aca="false">IF(B86="","",IF(B86&gt;=C86,"yes","no"))</f>
        <v>no</v>
      </c>
    </row>
    <row r="87" customFormat="false" ht="15" hidden="false" customHeight="false" outlineLevel="0" collapsed="false">
      <c r="A87" s="11" t="n">
        <v>8</v>
      </c>
      <c r="B87" s="19" t="n">
        <f aca="false">IF($H$11="arm",MAX(0,MIN(($H$27-($H$23/3)*$H$16)/($H$16/2)/p_g-$H$15*$A87,($H$25-($H$23/3))/p_g-$H$15*$A87,(($H$16/p_cant)-($H$23/3)*$H$16^3/(3*$H$24))/($H$16^3/(8*$H$24))/p_g-$H$15*$A87))/$A87,IF($H$11="channel","",MIN(MAX(0,($H$26-$H$18*$H$23*($A87*1000))/($H$17*($A87*1000)^2)-$H$29)*1000/p_g,MAX(0,($H$25-$H$21*$H$23)/($H$21*($A87*1000))-$H$29)*1000/p_g,MAX(0,(($A87*1000)/$H$14-$H$20*$H$23*($A87*1000)^3/$H$24)/($H$19*($A87*1000)^4/$H$24)-$H$29)*1000/p_g)))</f>
        <v>0</v>
      </c>
      <c r="C87" s="11" t="n">
        <f aca="false">$H$12</f>
        <v>40</v>
      </c>
      <c r="D87" s="0" t="str">
        <f aca="false">IF(B87="","",IF(B87&gt;=C87,"yes","no"))</f>
        <v>no</v>
      </c>
    </row>
    <row r="88" customFormat="false" ht="15" hidden="false" customHeight="false" outlineLevel="0" collapsed="false">
      <c r="A88" s="11" t="n">
        <v>8.1</v>
      </c>
      <c r="B88" s="19" t="n">
        <f aca="false">IF($H$11="arm",MAX(0,MIN(($H$27-($H$23/3)*$H$16)/($H$16/2)/p_g-$H$15*$A88,($H$25-($H$23/3))/p_g-$H$15*$A88,(($H$16/p_cant)-($H$23/3)*$H$16^3/(3*$H$24))/($H$16^3/(8*$H$24))/p_g-$H$15*$A88))/$A88,IF($H$11="channel","",MIN(MAX(0,($H$26-$H$18*$H$23*($A88*1000))/($H$17*($A88*1000)^2)-$H$29)*1000/p_g,MAX(0,($H$25-$H$21*$H$23)/($H$21*($A88*1000))-$H$29)*1000/p_g,MAX(0,(($A88*1000)/$H$14-$H$20*$H$23*($A88*1000)^3/$H$24)/($H$19*($A88*1000)^4/$H$24)-$H$29)*1000/p_g)))</f>
        <v>0</v>
      </c>
      <c r="C88" s="11" t="n">
        <f aca="false">$H$12</f>
        <v>40</v>
      </c>
      <c r="D88" s="0" t="str">
        <f aca="false">IF(B88="","",IF(B88&gt;=C88,"yes","no"))</f>
        <v>no</v>
      </c>
    </row>
    <row r="89" customFormat="false" ht="15" hidden="false" customHeight="false" outlineLevel="0" collapsed="false">
      <c r="A89" s="11" t="n">
        <v>8.2</v>
      </c>
      <c r="B89" s="19" t="n">
        <f aca="false">IF($H$11="arm",MAX(0,MIN(($H$27-($H$23/3)*$H$16)/($H$16/2)/p_g-$H$15*$A89,($H$25-($H$23/3))/p_g-$H$15*$A89,(($H$16/p_cant)-($H$23/3)*$H$16^3/(3*$H$24))/($H$16^3/(8*$H$24))/p_g-$H$15*$A89))/$A89,IF($H$11="channel","",MIN(MAX(0,($H$26-$H$18*$H$23*($A89*1000))/($H$17*($A89*1000)^2)-$H$29)*1000/p_g,MAX(0,($H$25-$H$21*$H$23)/($H$21*($A89*1000))-$H$29)*1000/p_g,MAX(0,(($A89*1000)/$H$14-$H$20*$H$23*($A89*1000)^3/$H$24)/($H$19*($A89*1000)^4/$H$24)-$H$29)*1000/p_g)))</f>
        <v>0</v>
      </c>
      <c r="C89" s="11" t="n">
        <f aca="false">$H$12</f>
        <v>40</v>
      </c>
      <c r="D89" s="0" t="str">
        <f aca="false">IF(B89="","",IF(B89&gt;=C89,"yes","no"))</f>
        <v>no</v>
      </c>
    </row>
    <row r="90" customFormat="false" ht="15" hidden="false" customHeight="false" outlineLevel="0" collapsed="false">
      <c r="A90" s="11" t="n">
        <v>8.3</v>
      </c>
      <c r="B90" s="19" t="n">
        <f aca="false">IF($H$11="arm",MAX(0,MIN(($H$27-($H$23/3)*$H$16)/($H$16/2)/p_g-$H$15*$A90,($H$25-($H$23/3))/p_g-$H$15*$A90,(($H$16/p_cant)-($H$23/3)*$H$16^3/(3*$H$24))/($H$16^3/(8*$H$24))/p_g-$H$15*$A90))/$A90,IF($H$11="channel","",MIN(MAX(0,($H$26-$H$18*$H$23*($A90*1000))/($H$17*($A90*1000)^2)-$H$29)*1000/p_g,MAX(0,($H$25-$H$21*$H$23)/($H$21*($A90*1000))-$H$29)*1000/p_g,MAX(0,(($A90*1000)/$H$14-$H$20*$H$23*($A90*1000)^3/$H$24)/($H$19*($A90*1000)^4/$H$24)-$H$29)*1000/p_g)))</f>
        <v>0</v>
      </c>
      <c r="C90" s="11" t="n">
        <f aca="false">$H$12</f>
        <v>40</v>
      </c>
      <c r="D90" s="0" t="str">
        <f aca="false">IF(B90="","",IF(B90&gt;=C90,"yes","no"))</f>
        <v>no</v>
      </c>
    </row>
    <row r="91" customFormat="false" ht="15" hidden="false" customHeight="false" outlineLevel="0" collapsed="false">
      <c r="A91" s="11" t="n">
        <v>8.4</v>
      </c>
      <c r="B91" s="19" t="n">
        <f aca="false">IF($H$11="arm",MAX(0,MIN(($H$27-($H$23/3)*$H$16)/($H$16/2)/p_g-$H$15*$A91,($H$25-($H$23/3))/p_g-$H$15*$A91,(($H$16/p_cant)-($H$23/3)*$H$16^3/(3*$H$24))/($H$16^3/(8*$H$24))/p_g-$H$15*$A91))/$A91,IF($H$11="channel","",MIN(MAX(0,($H$26-$H$18*$H$23*($A91*1000))/($H$17*($A91*1000)^2)-$H$29)*1000/p_g,MAX(0,($H$25-$H$21*$H$23)/($H$21*($A91*1000))-$H$29)*1000/p_g,MAX(0,(($A91*1000)/$H$14-$H$20*$H$23*($A91*1000)^3/$H$24)/($H$19*($A91*1000)^4/$H$24)-$H$29)*1000/p_g)))</f>
        <v>0</v>
      </c>
      <c r="C91" s="11" t="n">
        <f aca="false">$H$12</f>
        <v>40</v>
      </c>
      <c r="D91" s="0" t="str">
        <f aca="false">IF(B91="","",IF(B91&gt;=C91,"yes","no"))</f>
        <v>no</v>
      </c>
    </row>
    <row r="92" customFormat="false" ht="15" hidden="false" customHeight="false" outlineLevel="0" collapsed="false">
      <c r="A92" s="11" t="n">
        <v>8.5</v>
      </c>
      <c r="B92" s="19" t="n">
        <f aca="false">IF($H$11="arm",MAX(0,MIN(($H$27-($H$23/3)*$H$16)/($H$16/2)/p_g-$H$15*$A92,($H$25-($H$23/3))/p_g-$H$15*$A92,(($H$16/p_cant)-($H$23/3)*$H$16^3/(3*$H$24))/($H$16^3/(8*$H$24))/p_g-$H$15*$A92))/$A92,IF($H$11="channel","",MIN(MAX(0,($H$26-$H$18*$H$23*($A92*1000))/($H$17*($A92*1000)^2)-$H$29)*1000/p_g,MAX(0,($H$25-$H$21*$H$23)/($H$21*($A92*1000))-$H$29)*1000/p_g,MAX(0,(($A92*1000)/$H$14-$H$20*$H$23*($A92*1000)^3/$H$24)/($H$19*($A92*1000)^4/$H$24)-$H$29)*1000/p_g)))</f>
        <v>0</v>
      </c>
      <c r="C92" s="11" t="n">
        <f aca="false">$H$12</f>
        <v>40</v>
      </c>
      <c r="D92" s="0" t="str">
        <f aca="false">IF(B92="","",IF(B92&gt;=C92,"yes","no"))</f>
        <v>no</v>
      </c>
    </row>
    <row r="93" customFormat="false" ht="15" hidden="false" customHeight="false" outlineLevel="0" collapsed="false">
      <c r="A93" s="11" t="n">
        <v>8.6</v>
      </c>
      <c r="B93" s="19" t="n">
        <f aca="false">IF($H$11="arm",MAX(0,MIN(($H$27-($H$23/3)*$H$16)/($H$16/2)/p_g-$H$15*$A93,($H$25-($H$23/3))/p_g-$H$15*$A93,(($H$16/p_cant)-($H$23/3)*$H$16^3/(3*$H$24))/($H$16^3/(8*$H$24))/p_g-$H$15*$A93))/$A93,IF($H$11="channel","",MIN(MAX(0,($H$26-$H$18*$H$23*($A93*1000))/($H$17*($A93*1000)^2)-$H$29)*1000/p_g,MAX(0,($H$25-$H$21*$H$23)/($H$21*($A93*1000))-$H$29)*1000/p_g,MAX(0,(($A93*1000)/$H$14-$H$20*$H$23*($A93*1000)^3/$H$24)/($H$19*($A93*1000)^4/$H$24)-$H$29)*1000/p_g)))</f>
        <v>0</v>
      </c>
      <c r="C93" s="11" t="n">
        <f aca="false">$H$12</f>
        <v>40</v>
      </c>
      <c r="D93" s="0" t="str">
        <f aca="false">IF(B93="","",IF(B93&gt;=C93,"yes","no"))</f>
        <v>no</v>
      </c>
    </row>
    <row r="94" customFormat="false" ht="15" hidden="false" customHeight="false" outlineLevel="0" collapsed="false">
      <c r="A94" s="11" t="n">
        <v>8.7</v>
      </c>
      <c r="B94" s="19" t="n">
        <f aca="false">IF($H$11="arm",MAX(0,MIN(($H$27-($H$23/3)*$H$16)/($H$16/2)/p_g-$H$15*$A94,($H$25-($H$23/3))/p_g-$H$15*$A94,(($H$16/p_cant)-($H$23/3)*$H$16^3/(3*$H$24))/($H$16^3/(8*$H$24))/p_g-$H$15*$A94))/$A94,IF($H$11="channel","",MIN(MAX(0,($H$26-$H$18*$H$23*($A94*1000))/($H$17*($A94*1000)^2)-$H$29)*1000/p_g,MAX(0,($H$25-$H$21*$H$23)/($H$21*($A94*1000))-$H$29)*1000/p_g,MAX(0,(($A94*1000)/$H$14-$H$20*$H$23*($A94*1000)^3/$H$24)/($H$19*($A94*1000)^4/$H$24)-$H$29)*1000/p_g)))</f>
        <v>0</v>
      </c>
      <c r="C94" s="11" t="n">
        <f aca="false">$H$12</f>
        <v>40</v>
      </c>
      <c r="D94" s="0" t="str">
        <f aca="false">IF(B94="","",IF(B94&gt;=C94,"yes","no"))</f>
        <v>no</v>
      </c>
    </row>
    <row r="95" customFormat="false" ht="15" hidden="false" customHeight="false" outlineLevel="0" collapsed="false">
      <c r="A95" s="11" t="n">
        <v>8.8</v>
      </c>
      <c r="B95" s="19" t="n">
        <f aca="false">IF($H$11="arm",MAX(0,MIN(($H$27-($H$23/3)*$H$16)/($H$16/2)/p_g-$H$15*$A95,($H$25-($H$23/3))/p_g-$H$15*$A95,(($H$16/p_cant)-($H$23/3)*$H$16^3/(3*$H$24))/($H$16^3/(8*$H$24))/p_g-$H$15*$A95))/$A95,IF($H$11="channel","",MIN(MAX(0,($H$26-$H$18*$H$23*($A95*1000))/($H$17*($A95*1000)^2)-$H$29)*1000/p_g,MAX(0,($H$25-$H$21*$H$23)/($H$21*($A95*1000))-$H$29)*1000/p_g,MAX(0,(($A95*1000)/$H$14-$H$20*$H$23*($A95*1000)^3/$H$24)/($H$19*($A95*1000)^4/$H$24)-$H$29)*1000/p_g)))</f>
        <v>0</v>
      </c>
      <c r="C95" s="11" t="n">
        <f aca="false">$H$12</f>
        <v>40</v>
      </c>
      <c r="D95" s="0" t="str">
        <f aca="false">IF(B95="","",IF(B95&gt;=C95,"yes","no"))</f>
        <v>no</v>
      </c>
    </row>
    <row r="96" customFormat="false" ht="15" hidden="false" customHeight="false" outlineLevel="0" collapsed="false">
      <c r="A96" s="11" t="n">
        <v>8.9</v>
      </c>
      <c r="B96" s="19" t="n">
        <f aca="false">IF($H$11="arm",MAX(0,MIN(($H$27-($H$23/3)*$H$16)/($H$16/2)/p_g-$H$15*$A96,($H$25-($H$23/3))/p_g-$H$15*$A96,(($H$16/p_cant)-($H$23/3)*$H$16^3/(3*$H$24))/($H$16^3/(8*$H$24))/p_g-$H$15*$A96))/$A96,IF($H$11="channel","",MIN(MAX(0,($H$26-$H$18*$H$23*($A96*1000))/($H$17*($A96*1000)^2)-$H$29)*1000/p_g,MAX(0,($H$25-$H$21*$H$23)/($H$21*($A96*1000))-$H$29)*1000/p_g,MAX(0,(($A96*1000)/$H$14-$H$20*$H$23*($A96*1000)^3/$H$24)/($H$19*($A96*1000)^4/$H$24)-$H$29)*1000/p_g)))</f>
        <v>0</v>
      </c>
      <c r="C96" s="11" t="n">
        <f aca="false">$H$12</f>
        <v>40</v>
      </c>
      <c r="D96" s="0" t="str">
        <f aca="false">IF(B96="","",IF(B96&gt;=C96,"yes","no"))</f>
        <v>no</v>
      </c>
    </row>
    <row r="97" customFormat="false" ht="15" hidden="false" customHeight="false" outlineLevel="0" collapsed="false">
      <c r="A97" s="11" t="n">
        <v>9</v>
      </c>
      <c r="B97" s="19" t="n">
        <f aca="false">IF($H$11="arm",MAX(0,MIN(($H$27-($H$23/3)*$H$16)/($H$16/2)/p_g-$H$15*$A97,($H$25-($H$23/3))/p_g-$H$15*$A97,(($H$16/p_cant)-($H$23/3)*$H$16^3/(3*$H$24))/($H$16^3/(8*$H$24))/p_g-$H$15*$A97))/$A97,IF($H$11="channel","",MIN(MAX(0,($H$26-$H$18*$H$23*($A97*1000))/($H$17*($A97*1000)^2)-$H$29)*1000/p_g,MAX(0,($H$25-$H$21*$H$23)/($H$21*($A97*1000))-$H$29)*1000/p_g,MAX(0,(($A97*1000)/$H$14-$H$20*$H$23*($A97*1000)^3/$H$24)/($H$19*($A97*1000)^4/$H$24)-$H$29)*1000/p_g)))</f>
        <v>0</v>
      </c>
      <c r="C97" s="11" t="n">
        <f aca="false">$H$12</f>
        <v>40</v>
      </c>
      <c r="D97" s="0" t="str">
        <f aca="false">IF(B97="","",IF(B97&gt;=C97,"yes","no"))</f>
        <v>no</v>
      </c>
    </row>
    <row r="98" customFormat="false" ht="15" hidden="false" customHeight="false" outlineLevel="0" collapsed="false">
      <c r="A98" s="11" t="n">
        <v>9.1</v>
      </c>
      <c r="B98" s="19" t="n">
        <f aca="false">IF($H$11="arm",MAX(0,MIN(($H$27-($H$23/3)*$H$16)/($H$16/2)/p_g-$H$15*$A98,($H$25-($H$23/3))/p_g-$H$15*$A98,(($H$16/p_cant)-($H$23/3)*$H$16^3/(3*$H$24))/($H$16^3/(8*$H$24))/p_g-$H$15*$A98))/$A98,IF($H$11="channel","",MIN(MAX(0,($H$26-$H$18*$H$23*($A98*1000))/($H$17*($A98*1000)^2)-$H$29)*1000/p_g,MAX(0,($H$25-$H$21*$H$23)/($H$21*($A98*1000))-$H$29)*1000/p_g,MAX(0,(($A98*1000)/$H$14-$H$20*$H$23*($A98*1000)^3/$H$24)/($H$19*($A98*1000)^4/$H$24)-$H$29)*1000/p_g)))</f>
        <v>0</v>
      </c>
      <c r="C98" s="11" t="n">
        <f aca="false">$H$12</f>
        <v>40</v>
      </c>
      <c r="D98" s="0" t="str">
        <f aca="false">IF(B98="","",IF(B98&gt;=C98,"yes","no"))</f>
        <v>no</v>
      </c>
    </row>
    <row r="99" customFormat="false" ht="15" hidden="false" customHeight="false" outlineLevel="0" collapsed="false">
      <c r="A99" s="11" t="n">
        <v>9.2</v>
      </c>
      <c r="B99" s="19" t="n">
        <f aca="false">IF($H$11="arm",MAX(0,MIN(($H$27-($H$23/3)*$H$16)/($H$16/2)/p_g-$H$15*$A99,($H$25-($H$23/3))/p_g-$H$15*$A99,(($H$16/p_cant)-($H$23/3)*$H$16^3/(3*$H$24))/($H$16^3/(8*$H$24))/p_g-$H$15*$A99))/$A99,IF($H$11="channel","",MIN(MAX(0,($H$26-$H$18*$H$23*($A99*1000))/($H$17*($A99*1000)^2)-$H$29)*1000/p_g,MAX(0,($H$25-$H$21*$H$23)/($H$21*($A99*1000))-$H$29)*1000/p_g,MAX(0,(($A99*1000)/$H$14-$H$20*$H$23*($A99*1000)^3/$H$24)/($H$19*($A99*1000)^4/$H$24)-$H$29)*1000/p_g)))</f>
        <v>0</v>
      </c>
      <c r="C99" s="11" t="n">
        <f aca="false">$H$12</f>
        <v>40</v>
      </c>
      <c r="D99" s="0" t="str">
        <f aca="false">IF(B99="","",IF(B99&gt;=C99,"yes","no"))</f>
        <v>no</v>
      </c>
    </row>
    <row r="100" customFormat="false" ht="15" hidden="false" customHeight="false" outlineLevel="0" collapsed="false">
      <c r="A100" s="11" t="n">
        <v>9.3</v>
      </c>
      <c r="B100" s="19" t="n">
        <f aca="false">IF($H$11="arm",MAX(0,MIN(($H$27-($H$23/3)*$H$16)/($H$16/2)/p_g-$H$15*$A100,($H$25-($H$23/3))/p_g-$H$15*$A100,(($H$16/p_cant)-($H$23/3)*$H$16^3/(3*$H$24))/($H$16^3/(8*$H$24))/p_g-$H$15*$A100))/$A100,IF($H$11="channel","",MIN(MAX(0,($H$26-$H$18*$H$23*($A100*1000))/($H$17*($A100*1000)^2)-$H$29)*1000/p_g,MAX(0,($H$25-$H$21*$H$23)/($H$21*($A100*1000))-$H$29)*1000/p_g,MAX(0,(($A100*1000)/$H$14-$H$20*$H$23*($A100*1000)^3/$H$24)/($H$19*($A100*1000)^4/$H$24)-$H$29)*1000/p_g)))</f>
        <v>0</v>
      </c>
      <c r="C100" s="11" t="n">
        <f aca="false">$H$12</f>
        <v>40</v>
      </c>
      <c r="D100" s="0" t="str">
        <f aca="false">IF(B100="","",IF(B100&gt;=C100,"yes","no"))</f>
        <v>no</v>
      </c>
    </row>
    <row r="101" customFormat="false" ht="15" hidden="false" customHeight="false" outlineLevel="0" collapsed="false">
      <c r="A101" s="11" t="n">
        <v>9.4</v>
      </c>
      <c r="B101" s="19" t="n">
        <f aca="false">IF($H$11="arm",MAX(0,MIN(($H$27-($H$23/3)*$H$16)/($H$16/2)/p_g-$H$15*$A101,($H$25-($H$23/3))/p_g-$H$15*$A101,(($H$16/p_cant)-($H$23/3)*$H$16^3/(3*$H$24))/($H$16^3/(8*$H$24))/p_g-$H$15*$A101))/$A101,IF($H$11="channel","",MIN(MAX(0,($H$26-$H$18*$H$23*($A101*1000))/($H$17*($A101*1000)^2)-$H$29)*1000/p_g,MAX(0,($H$25-$H$21*$H$23)/($H$21*($A101*1000))-$H$29)*1000/p_g,MAX(0,(($A101*1000)/$H$14-$H$20*$H$23*($A101*1000)^3/$H$24)/($H$19*($A101*1000)^4/$H$24)-$H$29)*1000/p_g)))</f>
        <v>0</v>
      </c>
      <c r="C101" s="11" t="n">
        <f aca="false">$H$12</f>
        <v>40</v>
      </c>
      <c r="D101" s="0" t="str">
        <f aca="false">IF(B101="","",IF(B101&gt;=C101,"yes","no"))</f>
        <v>no</v>
      </c>
    </row>
    <row r="102" customFormat="false" ht="15" hidden="false" customHeight="false" outlineLevel="0" collapsed="false">
      <c r="A102" s="11" t="n">
        <v>9.5</v>
      </c>
      <c r="B102" s="19" t="n">
        <f aca="false">IF($H$11="arm",MAX(0,MIN(($H$27-($H$23/3)*$H$16)/($H$16/2)/p_g-$H$15*$A102,($H$25-($H$23/3))/p_g-$H$15*$A102,(($H$16/p_cant)-($H$23/3)*$H$16^3/(3*$H$24))/($H$16^3/(8*$H$24))/p_g-$H$15*$A102))/$A102,IF($H$11="channel","",MIN(MAX(0,($H$26-$H$18*$H$23*($A102*1000))/($H$17*($A102*1000)^2)-$H$29)*1000/p_g,MAX(0,($H$25-$H$21*$H$23)/($H$21*($A102*1000))-$H$29)*1000/p_g,MAX(0,(($A102*1000)/$H$14-$H$20*$H$23*($A102*1000)^3/$H$24)/($H$19*($A102*1000)^4/$H$24)-$H$29)*1000/p_g)))</f>
        <v>0</v>
      </c>
      <c r="C102" s="11" t="n">
        <f aca="false">$H$12</f>
        <v>40</v>
      </c>
      <c r="D102" s="0" t="str">
        <f aca="false">IF(B102="","",IF(B102&gt;=C102,"yes","no"))</f>
        <v>no</v>
      </c>
    </row>
    <row r="103" customFormat="false" ht="15" hidden="false" customHeight="false" outlineLevel="0" collapsed="false">
      <c r="A103" s="11" t="n">
        <v>9.6</v>
      </c>
      <c r="B103" s="19" t="n">
        <f aca="false">IF($H$11="arm",MAX(0,MIN(($H$27-($H$23/3)*$H$16)/($H$16/2)/p_g-$H$15*$A103,($H$25-($H$23/3))/p_g-$H$15*$A103,(($H$16/p_cant)-($H$23/3)*$H$16^3/(3*$H$24))/($H$16^3/(8*$H$24))/p_g-$H$15*$A103))/$A103,IF($H$11="channel","",MIN(MAX(0,($H$26-$H$18*$H$23*($A103*1000))/($H$17*($A103*1000)^2)-$H$29)*1000/p_g,MAX(0,($H$25-$H$21*$H$23)/($H$21*($A103*1000))-$H$29)*1000/p_g,MAX(0,(($A103*1000)/$H$14-$H$20*$H$23*($A103*1000)^3/$H$24)/($H$19*($A103*1000)^4/$H$24)-$H$29)*1000/p_g)))</f>
        <v>0</v>
      </c>
      <c r="C103" s="11" t="n">
        <f aca="false">$H$12</f>
        <v>40</v>
      </c>
      <c r="D103" s="0" t="str">
        <f aca="false">IF(B103="","",IF(B103&gt;=C103,"yes","no"))</f>
        <v>no</v>
      </c>
    </row>
    <row r="104" customFormat="false" ht="15" hidden="false" customHeight="false" outlineLevel="0" collapsed="false">
      <c r="A104" s="11" t="n">
        <v>9.7</v>
      </c>
      <c r="B104" s="19" t="n">
        <f aca="false">IF($H$11="arm",MAX(0,MIN(($H$27-($H$23/3)*$H$16)/($H$16/2)/p_g-$H$15*$A104,($H$25-($H$23/3))/p_g-$H$15*$A104,(($H$16/p_cant)-($H$23/3)*$H$16^3/(3*$H$24))/($H$16^3/(8*$H$24))/p_g-$H$15*$A104))/$A104,IF($H$11="channel","",MIN(MAX(0,($H$26-$H$18*$H$23*($A104*1000))/($H$17*($A104*1000)^2)-$H$29)*1000/p_g,MAX(0,($H$25-$H$21*$H$23)/($H$21*($A104*1000))-$H$29)*1000/p_g,MAX(0,(($A104*1000)/$H$14-$H$20*$H$23*($A104*1000)^3/$H$24)/($H$19*($A104*1000)^4/$H$24)-$H$29)*1000/p_g)))</f>
        <v>0</v>
      </c>
      <c r="C104" s="11" t="n">
        <f aca="false">$H$12</f>
        <v>40</v>
      </c>
      <c r="D104" s="0" t="str">
        <f aca="false">IF(B104="","",IF(B104&gt;=C104,"yes","no"))</f>
        <v>no</v>
      </c>
    </row>
    <row r="105" customFormat="false" ht="15" hidden="false" customHeight="false" outlineLevel="0" collapsed="false">
      <c r="A105" s="11" t="n">
        <v>9.8</v>
      </c>
      <c r="B105" s="19" t="n">
        <f aca="false">IF($H$11="arm",MAX(0,MIN(($H$27-($H$23/3)*$H$16)/($H$16/2)/p_g-$H$15*$A105,($H$25-($H$23/3))/p_g-$H$15*$A105,(($H$16/p_cant)-($H$23/3)*$H$16^3/(3*$H$24))/($H$16^3/(8*$H$24))/p_g-$H$15*$A105))/$A105,IF($H$11="channel","",MIN(MAX(0,($H$26-$H$18*$H$23*($A105*1000))/($H$17*($A105*1000)^2)-$H$29)*1000/p_g,MAX(0,($H$25-$H$21*$H$23)/($H$21*($A105*1000))-$H$29)*1000/p_g,MAX(0,(($A105*1000)/$H$14-$H$20*$H$23*($A105*1000)^3/$H$24)/($H$19*($A105*1000)^4/$H$24)-$H$29)*1000/p_g)))</f>
        <v>0</v>
      </c>
      <c r="C105" s="11" t="n">
        <f aca="false">$H$12</f>
        <v>40</v>
      </c>
      <c r="D105" s="0" t="str">
        <f aca="false">IF(B105="","",IF(B105&gt;=C105,"yes","no"))</f>
        <v>no</v>
      </c>
    </row>
    <row r="106" customFormat="false" ht="15" hidden="false" customHeight="false" outlineLevel="0" collapsed="false">
      <c r="A106" s="11" t="n">
        <v>9.9</v>
      </c>
      <c r="B106" s="19" t="n">
        <f aca="false">IF($H$11="arm",MAX(0,MIN(($H$27-($H$23/3)*$H$16)/($H$16/2)/p_g-$H$15*$A106,($H$25-($H$23/3))/p_g-$H$15*$A106,(($H$16/p_cant)-($H$23/3)*$H$16^3/(3*$H$24))/($H$16^3/(8*$H$24))/p_g-$H$15*$A106))/$A106,IF($H$11="channel","",MIN(MAX(0,($H$26-$H$18*$H$23*($A106*1000))/($H$17*($A106*1000)^2)-$H$29)*1000/p_g,MAX(0,($H$25-$H$21*$H$23)/($H$21*($A106*1000))-$H$29)*1000/p_g,MAX(0,(($A106*1000)/$H$14-$H$20*$H$23*($A106*1000)^3/$H$24)/($H$19*($A106*1000)^4/$H$24)-$H$29)*1000/p_g)))</f>
        <v>0</v>
      </c>
      <c r="C106" s="11" t="n">
        <f aca="false">$H$12</f>
        <v>40</v>
      </c>
      <c r="D106" s="0" t="str">
        <f aca="false">IF(B106="","",IF(B106&gt;=C106,"yes","no"))</f>
        <v>no</v>
      </c>
    </row>
    <row r="107" customFormat="false" ht="15" hidden="false" customHeight="false" outlineLevel="0" collapsed="false">
      <c r="A107" s="11" t="n">
        <v>10</v>
      </c>
      <c r="B107" s="19" t="n">
        <f aca="false">IF($H$11="arm",MAX(0,MIN(($H$27-($H$23/3)*$H$16)/($H$16/2)/p_g-$H$15*$A107,($H$25-($H$23/3))/p_g-$H$15*$A107,(($H$16/p_cant)-($H$23/3)*$H$16^3/(3*$H$24))/($H$16^3/(8*$H$24))/p_g-$H$15*$A107))/$A107,IF($H$11="channel","",MIN(MAX(0,($H$26-$H$18*$H$23*($A107*1000))/($H$17*($A107*1000)^2)-$H$29)*1000/p_g,MAX(0,($H$25-$H$21*$H$23)/($H$21*($A107*1000))-$H$29)*1000/p_g,MAX(0,(($A107*1000)/$H$14-$H$20*$H$23*($A107*1000)^3/$H$24)/($H$19*($A107*1000)^4/$H$24)-$H$29)*1000/p_g)))</f>
        <v>0</v>
      </c>
      <c r="C107" s="11" t="n">
        <f aca="false">$H$12</f>
        <v>40</v>
      </c>
      <c r="D107" s="0" t="str">
        <f aca="false">IF(B107="","",IF(B107&gt;=C107,"yes","no"))</f>
        <v>no</v>
      </c>
    </row>
    <row r="108" customFormat="false" ht="15" hidden="false" customHeight="false" outlineLevel="0" collapsed="false">
      <c r="A108" s="11" t="n">
        <v>10.1</v>
      </c>
      <c r="B108" s="19" t="n">
        <f aca="false">IF($H$11="arm",MAX(0,MIN(($H$27-($H$23/3)*$H$16)/($H$16/2)/p_g-$H$15*$A108,($H$25-($H$23/3))/p_g-$H$15*$A108,(($H$16/p_cant)-($H$23/3)*$H$16^3/(3*$H$24))/($H$16^3/(8*$H$24))/p_g-$H$15*$A108))/$A108,IF($H$11="channel","",MIN(MAX(0,($H$26-$H$18*$H$23*($A108*1000))/($H$17*($A108*1000)^2)-$H$29)*1000/p_g,MAX(0,($H$25-$H$21*$H$23)/($H$21*($A108*1000))-$H$29)*1000/p_g,MAX(0,(($A108*1000)/$H$14-$H$20*$H$23*($A108*1000)^3/$H$24)/($H$19*($A108*1000)^4/$H$24)-$H$29)*1000/p_g)))</f>
        <v>0</v>
      </c>
      <c r="C108" s="11" t="n">
        <f aca="false">$H$12</f>
        <v>40</v>
      </c>
      <c r="D108" s="0" t="str">
        <f aca="false">IF(B108="","",IF(B108&gt;=C108,"yes","no"))</f>
        <v>no</v>
      </c>
    </row>
    <row r="109" customFormat="false" ht="15" hidden="false" customHeight="false" outlineLevel="0" collapsed="false">
      <c r="A109" s="11" t="n">
        <v>10.2</v>
      </c>
      <c r="B109" s="19" t="n">
        <f aca="false">IF($H$11="arm",MAX(0,MIN(($H$27-($H$23/3)*$H$16)/($H$16/2)/p_g-$H$15*$A109,($H$25-($H$23/3))/p_g-$H$15*$A109,(($H$16/p_cant)-($H$23/3)*$H$16^3/(3*$H$24))/($H$16^3/(8*$H$24))/p_g-$H$15*$A109))/$A109,IF($H$11="channel","",MIN(MAX(0,($H$26-$H$18*$H$23*($A109*1000))/($H$17*($A109*1000)^2)-$H$29)*1000/p_g,MAX(0,($H$25-$H$21*$H$23)/($H$21*($A109*1000))-$H$29)*1000/p_g,MAX(0,(($A109*1000)/$H$14-$H$20*$H$23*($A109*1000)^3/$H$24)/($H$19*($A109*1000)^4/$H$24)-$H$29)*1000/p_g)))</f>
        <v>0</v>
      </c>
      <c r="C109" s="11" t="n">
        <f aca="false">$H$12</f>
        <v>40</v>
      </c>
      <c r="D109" s="0" t="str">
        <f aca="false">IF(B109="","",IF(B109&gt;=C109,"yes","no"))</f>
        <v>no</v>
      </c>
    </row>
    <row r="110" customFormat="false" ht="15" hidden="false" customHeight="false" outlineLevel="0" collapsed="false">
      <c r="A110" s="11" t="n">
        <v>10.3</v>
      </c>
      <c r="B110" s="19" t="n">
        <f aca="false">IF($H$11="arm",MAX(0,MIN(($H$27-($H$23/3)*$H$16)/($H$16/2)/p_g-$H$15*$A110,($H$25-($H$23/3))/p_g-$H$15*$A110,(($H$16/p_cant)-($H$23/3)*$H$16^3/(3*$H$24))/($H$16^3/(8*$H$24))/p_g-$H$15*$A110))/$A110,IF($H$11="channel","",MIN(MAX(0,($H$26-$H$18*$H$23*($A110*1000))/($H$17*($A110*1000)^2)-$H$29)*1000/p_g,MAX(0,($H$25-$H$21*$H$23)/($H$21*($A110*1000))-$H$29)*1000/p_g,MAX(0,(($A110*1000)/$H$14-$H$20*$H$23*($A110*1000)^3/$H$24)/($H$19*($A110*1000)^4/$H$24)-$H$29)*1000/p_g)))</f>
        <v>0</v>
      </c>
      <c r="C110" s="11" t="n">
        <f aca="false">$H$12</f>
        <v>40</v>
      </c>
      <c r="D110" s="0" t="str">
        <f aca="false">IF(B110="","",IF(B110&gt;=C110,"yes","no"))</f>
        <v>no</v>
      </c>
    </row>
    <row r="111" customFormat="false" ht="15" hidden="false" customHeight="false" outlineLevel="0" collapsed="false">
      <c r="A111" s="11" t="n">
        <v>10.4</v>
      </c>
      <c r="B111" s="19" t="n">
        <f aca="false">IF($H$11="arm",MAX(0,MIN(($H$27-($H$23/3)*$H$16)/($H$16/2)/p_g-$H$15*$A111,($H$25-($H$23/3))/p_g-$H$15*$A111,(($H$16/p_cant)-($H$23/3)*$H$16^3/(3*$H$24))/($H$16^3/(8*$H$24))/p_g-$H$15*$A111))/$A111,IF($H$11="channel","",MIN(MAX(0,($H$26-$H$18*$H$23*($A111*1000))/($H$17*($A111*1000)^2)-$H$29)*1000/p_g,MAX(0,($H$25-$H$21*$H$23)/($H$21*($A111*1000))-$H$29)*1000/p_g,MAX(0,(($A111*1000)/$H$14-$H$20*$H$23*($A111*1000)^3/$H$24)/($H$19*($A111*1000)^4/$H$24)-$H$29)*1000/p_g)))</f>
        <v>0</v>
      </c>
      <c r="C111" s="11" t="n">
        <f aca="false">$H$12</f>
        <v>40</v>
      </c>
      <c r="D111" s="0" t="str">
        <f aca="false">IF(B111="","",IF(B111&gt;=C111,"yes","no"))</f>
        <v>no</v>
      </c>
    </row>
    <row r="112" customFormat="false" ht="15" hidden="false" customHeight="false" outlineLevel="0" collapsed="false">
      <c r="A112" s="11" t="n">
        <v>10.5</v>
      </c>
      <c r="B112" s="19" t="n">
        <f aca="false">IF($H$11="arm",MAX(0,MIN(($H$27-($H$23/3)*$H$16)/($H$16/2)/p_g-$H$15*$A112,($H$25-($H$23/3))/p_g-$H$15*$A112,(($H$16/p_cant)-($H$23/3)*$H$16^3/(3*$H$24))/($H$16^3/(8*$H$24))/p_g-$H$15*$A112))/$A112,IF($H$11="channel","",MIN(MAX(0,($H$26-$H$18*$H$23*($A112*1000))/($H$17*($A112*1000)^2)-$H$29)*1000/p_g,MAX(0,($H$25-$H$21*$H$23)/($H$21*($A112*1000))-$H$29)*1000/p_g,MAX(0,(($A112*1000)/$H$14-$H$20*$H$23*($A112*1000)^3/$H$24)/($H$19*($A112*1000)^4/$H$24)-$H$29)*1000/p_g)))</f>
        <v>0</v>
      </c>
      <c r="C112" s="11" t="n">
        <f aca="false">$H$12</f>
        <v>40</v>
      </c>
      <c r="D112" s="0" t="str">
        <f aca="false">IF(B112="","",IF(B112&gt;=C112,"yes","no"))</f>
        <v>no</v>
      </c>
    </row>
    <row r="113" customFormat="false" ht="15" hidden="false" customHeight="false" outlineLevel="0" collapsed="false">
      <c r="A113" s="11" t="n">
        <v>10.6</v>
      </c>
      <c r="B113" s="19" t="n">
        <f aca="false">IF($H$11="arm",MAX(0,MIN(($H$27-($H$23/3)*$H$16)/($H$16/2)/p_g-$H$15*$A113,($H$25-($H$23/3))/p_g-$H$15*$A113,(($H$16/p_cant)-($H$23/3)*$H$16^3/(3*$H$24))/($H$16^3/(8*$H$24))/p_g-$H$15*$A113))/$A113,IF($H$11="channel","",MIN(MAX(0,($H$26-$H$18*$H$23*($A113*1000))/($H$17*($A113*1000)^2)-$H$29)*1000/p_g,MAX(0,($H$25-$H$21*$H$23)/($H$21*($A113*1000))-$H$29)*1000/p_g,MAX(0,(($A113*1000)/$H$14-$H$20*$H$23*($A113*1000)^3/$H$24)/($H$19*($A113*1000)^4/$H$24)-$H$29)*1000/p_g)))</f>
        <v>0</v>
      </c>
      <c r="C113" s="11" t="n">
        <f aca="false">$H$12</f>
        <v>40</v>
      </c>
      <c r="D113" s="0" t="str">
        <f aca="false">IF(B113="","",IF(B113&gt;=C113,"yes","no"))</f>
        <v>no</v>
      </c>
    </row>
    <row r="114" customFormat="false" ht="15" hidden="false" customHeight="false" outlineLevel="0" collapsed="false">
      <c r="A114" s="11" t="n">
        <v>10.7</v>
      </c>
      <c r="B114" s="19" t="n">
        <f aca="false">IF($H$11="arm",MAX(0,MIN(($H$27-($H$23/3)*$H$16)/($H$16/2)/p_g-$H$15*$A114,($H$25-($H$23/3))/p_g-$H$15*$A114,(($H$16/p_cant)-($H$23/3)*$H$16^3/(3*$H$24))/($H$16^3/(8*$H$24))/p_g-$H$15*$A114))/$A114,IF($H$11="channel","",MIN(MAX(0,($H$26-$H$18*$H$23*($A114*1000))/($H$17*($A114*1000)^2)-$H$29)*1000/p_g,MAX(0,($H$25-$H$21*$H$23)/($H$21*($A114*1000))-$H$29)*1000/p_g,MAX(0,(($A114*1000)/$H$14-$H$20*$H$23*($A114*1000)^3/$H$24)/($H$19*($A114*1000)^4/$H$24)-$H$29)*1000/p_g)))</f>
        <v>0</v>
      </c>
      <c r="C114" s="11" t="n">
        <f aca="false">$H$12</f>
        <v>40</v>
      </c>
      <c r="D114" s="0" t="str">
        <f aca="false">IF(B114="","",IF(B114&gt;=C114,"yes","no"))</f>
        <v>no</v>
      </c>
    </row>
    <row r="115" customFormat="false" ht="15" hidden="false" customHeight="false" outlineLevel="0" collapsed="false">
      <c r="A115" s="11" t="n">
        <v>10.8</v>
      </c>
      <c r="B115" s="19" t="n">
        <f aca="false">IF($H$11="arm",MAX(0,MIN(($H$27-($H$23/3)*$H$16)/($H$16/2)/p_g-$H$15*$A115,($H$25-($H$23/3))/p_g-$H$15*$A115,(($H$16/p_cant)-($H$23/3)*$H$16^3/(3*$H$24))/($H$16^3/(8*$H$24))/p_g-$H$15*$A115))/$A115,IF($H$11="channel","",MIN(MAX(0,($H$26-$H$18*$H$23*($A115*1000))/($H$17*($A115*1000)^2)-$H$29)*1000/p_g,MAX(0,($H$25-$H$21*$H$23)/($H$21*($A115*1000))-$H$29)*1000/p_g,MAX(0,(($A115*1000)/$H$14-$H$20*$H$23*($A115*1000)^3/$H$24)/($H$19*($A115*1000)^4/$H$24)-$H$29)*1000/p_g)))</f>
        <v>0</v>
      </c>
      <c r="C115" s="11" t="n">
        <f aca="false">$H$12</f>
        <v>40</v>
      </c>
      <c r="D115" s="0" t="str">
        <f aca="false">IF(B115="","",IF(B115&gt;=C115,"yes","no"))</f>
        <v>no</v>
      </c>
    </row>
    <row r="116" customFormat="false" ht="15" hidden="false" customHeight="false" outlineLevel="0" collapsed="false">
      <c r="A116" s="11" t="n">
        <v>10.9</v>
      </c>
      <c r="B116" s="19" t="n">
        <f aca="false">IF($H$11="arm",MAX(0,MIN(($H$27-($H$23/3)*$H$16)/($H$16/2)/p_g-$H$15*$A116,($H$25-($H$23/3))/p_g-$H$15*$A116,(($H$16/p_cant)-($H$23/3)*$H$16^3/(3*$H$24))/($H$16^3/(8*$H$24))/p_g-$H$15*$A116))/$A116,IF($H$11="channel","",MIN(MAX(0,($H$26-$H$18*$H$23*($A116*1000))/($H$17*($A116*1000)^2)-$H$29)*1000/p_g,MAX(0,($H$25-$H$21*$H$23)/($H$21*($A116*1000))-$H$29)*1000/p_g,MAX(0,(($A116*1000)/$H$14-$H$20*$H$23*($A116*1000)^3/$H$24)/($H$19*($A116*1000)^4/$H$24)-$H$29)*1000/p_g)))</f>
        <v>0</v>
      </c>
      <c r="C116" s="11" t="n">
        <f aca="false">$H$12</f>
        <v>40</v>
      </c>
      <c r="D116" s="0" t="str">
        <f aca="false">IF(B116="","",IF(B116&gt;=C116,"yes","no"))</f>
        <v>no</v>
      </c>
    </row>
    <row r="117" customFormat="false" ht="15" hidden="false" customHeight="false" outlineLevel="0" collapsed="false">
      <c r="A117" s="11" t="n">
        <v>11</v>
      </c>
      <c r="B117" s="19" t="n">
        <f aca="false">IF($H$11="arm",MAX(0,MIN(($H$27-($H$23/3)*$H$16)/($H$16/2)/p_g-$H$15*$A117,($H$25-($H$23/3))/p_g-$H$15*$A117,(($H$16/p_cant)-($H$23/3)*$H$16^3/(3*$H$24))/($H$16^3/(8*$H$24))/p_g-$H$15*$A117))/$A117,IF($H$11="channel","",MIN(MAX(0,($H$26-$H$18*$H$23*($A117*1000))/($H$17*($A117*1000)^2)-$H$29)*1000/p_g,MAX(0,($H$25-$H$21*$H$23)/($H$21*($A117*1000))-$H$29)*1000/p_g,MAX(0,(($A117*1000)/$H$14-$H$20*$H$23*($A117*1000)^3/$H$24)/($H$19*($A117*1000)^4/$H$24)-$H$29)*1000/p_g)))</f>
        <v>0</v>
      </c>
      <c r="C117" s="11" t="n">
        <f aca="false">$H$12</f>
        <v>40</v>
      </c>
      <c r="D117" s="0" t="str">
        <f aca="false">IF(B117="","",IF(B117&gt;=C117,"yes","no"))</f>
        <v>no</v>
      </c>
    </row>
    <row r="118" customFormat="false" ht="15" hidden="false" customHeight="false" outlineLevel="0" collapsed="false">
      <c r="A118" s="11" t="n">
        <v>11.1</v>
      </c>
      <c r="B118" s="19" t="n">
        <f aca="false">IF($H$11="arm",MAX(0,MIN(($H$27-($H$23/3)*$H$16)/($H$16/2)/p_g-$H$15*$A118,($H$25-($H$23/3))/p_g-$H$15*$A118,(($H$16/p_cant)-($H$23/3)*$H$16^3/(3*$H$24))/($H$16^3/(8*$H$24))/p_g-$H$15*$A118))/$A118,IF($H$11="channel","",MIN(MAX(0,($H$26-$H$18*$H$23*($A118*1000))/($H$17*($A118*1000)^2)-$H$29)*1000/p_g,MAX(0,($H$25-$H$21*$H$23)/($H$21*($A118*1000))-$H$29)*1000/p_g,MAX(0,(($A118*1000)/$H$14-$H$20*$H$23*($A118*1000)^3/$H$24)/($H$19*($A118*1000)^4/$H$24)-$H$29)*1000/p_g)))</f>
        <v>0</v>
      </c>
      <c r="C118" s="11" t="n">
        <f aca="false">$H$12</f>
        <v>40</v>
      </c>
      <c r="D118" s="0" t="str">
        <f aca="false">IF(B118="","",IF(B118&gt;=C118,"yes","no"))</f>
        <v>no</v>
      </c>
    </row>
    <row r="119" customFormat="false" ht="15" hidden="false" customHeight="false" outlineLevel="0" collapsed="false">
      <c r="A119" s="11" t="n">
        <v>11.2</v>
      </c>
      <c r="B119" s="19" t="n">
        <f aca="false">IF($H$11="arm",MAX(0,MIN(($H$27-($H$23/3)*$H$16)/($H$16/2)/p_g-$H$15*$A119,($H$25-($H$23/3))/p_g-$H$15*$A119,(($H$16/p_cant)-($H$23/3)*$H$16^3/(3*$H$24))/($H$16^3/(8*$H$24))/p_g-$H$15*$A119))/$A119,IF($H$11="channel","",MIN(MAX(0,($H$26-$H$18*$H$23*($A119*1000))/($H$17*($A119*1000)^2)-$H$29)*1000/p_g,MAX(0,($H$25-$H$21*$H$23)/($H$21*($A119*1000))-$H$29)*1000/p_g,MAX(0,(($A119*1000)/$H$14-$H$20*$H$23*($A119*1000)^3/$H$24)/($H$19*($A119*1000)^4/$H$24)-$H$29)*1000/p_g)))</f>
        <v>0</v>
      </c>
      <c r="C119" s="11" t="n">
        <f aca="false">$H$12</f>
        <v>40</v>
      </c>
      <c r="D119" s="0" t="str">
        <f aca="false">IF(B119="","",IF(B119&gt;=C119,"yes","no"))</f>
        <v>no</v>
      </c>
    </row>
    <row r="120" customFormat="false" ht="15" hidden="false" customHeight="false" outlineLevel="0" collapsed="false">
      <c r="A120" s="11" t="n">
        <v>11.3</v>
      </c>
      <c r="B120" s="19" t="n">
        <f aca="false">IF($H$11="arm",MAX(0,MIN(($H$27-($H$23/3)*$H$16)/($H$16/2)/p_g-$H$15*$A120,($H$25-($H$23/3))/p_g-$H$15*$A120,(($H$16/p_cant)-($H$23/3)*$H$16^3/(3*$H$24))/($H$16^3/(8*$H$24))/p_g-$H$15*$A120))/$A120,IF($H$11="channel","",MIN(MAX(0,($H$26-$H$18*$H$23*($A120*1000))/($H$17*($A120*1000)^2)-$H$29)*1000/p_g,MAX(0,($H$25-$H$21*$H$23)/($H$21*($A120*1000))-$H$29)*1000/p_g,MAX(0,(($A120*1000)/$H$14-$H$20*$H$23*($A120*1000)^3/$H$24)/($H$19*($A120*1000)^4/$H$24)-$H$29)*1000/p_g)))</f>
        <v>0</v>
      </c>
      <c r="C120" s="11" t="n">
        <f aca="false">$H$12</f>
        <v>40</v>
      </c>
      <c r="D120" s="0" t="str">
        <f aca="false">IF(B120="","",IF(B120&gt;=C120,"yes","no"))</f>
        <v>no</v>
      </c>
    </row>
    <row r="121" customFormat="false" ht="15" hidden="false" customHeight="false" outlineLevel="0" collapsed="false">
      <c r="A121" s="11" t="n">
        <v>11.4</v>
      </c>
      <c r="B121" s="19" t="n">
        <f aca="false">IF($H$11="arm",MAX(0,MIN(($H$27-($H$23/3)*$H$16)/($H$16/2)/p_g-$H$15*$A121,($H$25-($H$23/3))/p_g-$H$15*$A121,(($H$16/p_cant)-($H$23/3)*$H$16^3/(3*$H$24))/($H$16^3/(8*$H$24))/p_g-$H$15*$A121))/$A121,IF($H$11="channel","",MIN(MAX(0,($H$26-$H$18*$H$23*($A121*1000))/($H$17*($A121*1000)^2)-$H$29)*1000/p_g,MAX(0,($H$25-$H$21*$H$23)/($H$21*($A121*1000))-$H$29)*1000/p_g,MAX(0,(($A121*1000)/$H$14-$H$20*$H$23*($A121*1000)^3/$H$24)/($H$19*($A121*1000)^4/$H$24)-$H$29)*1000/p_g)))</f>
        <v>0</v>
      </c>
      <c r="C121" s="11" t="n">
        <f aca="false">$H$12</f>
        <v>40</v>
      </c>
      <c r="D121" s="0" t="str">
        <f aca="false">IF(B121="","",IF(B121&gt;=C121,"yes","no"))</f>
        <v>no</v>
      </c>
    </row>
    <row r="122" customFormat="false" ht="15" hidden="false" customHeight="false" outlineLevel="0" collapsed="false">
      <c r="A122" s="11" t="n">
        <v>11.5</v>
      </c>
      <c r="B122" s="19" t="n">
        <f aca="false">IF($H$11="arm",MAX(0,MIN(($H$27-($H$23/3)*$H$16)/($H$16/2)/p_g-$H$15*$A122,($H$25-($H$23/3))/p_g-$H$15*$A122,(($H$16/p_cant)-($H$23/3)*$H$16^3/(3*$H$24))/($H$16^3/(8*$H$24))/p_g-$H$15*$A122))/$A122,IF($H$11="channel","",MIN(MAX(0,($H$26-$H$18*$H$23*($A122*1000))/($H$17*($A122*1000)^2)-$H$29)*1000/p_g,MAX(0,($H$25-$H$21*$H$23)/($H$21*($A122*1000))-$H$29)*1000/p_g,MAX(0,(($A122*1000)/$H$14-$H$20*$H$23*($A122*1000)^3/$H$24)/($H$19*($A122*1000)^4/$H$24)-$H$29)*1000/p_g)))</f>
        <v>0</v>
      </c>
      <c r="C122" s="11" t="n">
        <f aca="false">$H$12</f>
        <v>40</v>
      </c>
      <c r="D122" s="0" t="str">
        <f aca="false">IF(B122="","",IF(B122&gt;=C122,"yes","no"))</f>
        <v>no</v>
      </c>
    </row>
    <row r="123" customFormat="false" ht="15" hidden="false" customHeight="false" outlineLevel="0" collapsed="false">
      <c r="A123" s="11" t="n">
        <v>11.6</v>
      </c>
      <c r="B123" s="19" t="n">
        <f aca="false">IF($H$11="arm",MAX(0,MIN(($H$27-($H$23/3)*$H$16)/($H$16/2)/p_g-$H$15*$A123,($H$25-($H$23/3))/p_g-$H$15*$A123,(($H$16/p_cant)-($H$23/3)*$H$16^3/(3*$H$24))/($H$16^3/(8*$H$24))/p_g-$H$15*$A123))/$A123,IF($H$11="channel","",MIN(MAX(0,($H$26-$H$18*$H$23*($A123*1000))/($H$17*($A123*1000)^2)-$H$29)*1000/p_g,MAX(0,($H$25-$H$21*$H$23)/($H$21*($A123*1000))-$H$29)*1000/p_g,MAX(0,(($A123*1000)/$H$14-$H$20*$H$23*($A123*1000)^3/$H$24)/($H$19*($A123*1000)^4/$H$24)-$H$29)*1000/p_g)))</f>
        <v>0</v>
      </c>
      <c r="C123" s="11" t="n">
        <f aca="false">$H$12</f>
        <v>40</v>
      </c>
      <c r="D123" s="0" t="str">
        <f aca="false">IF(B123="","",IF(B123&gt;=C123,"yes","no"))</f>
        <v>no</v>
      </c>
    </row>
    <row r="124" customFormat="false" ht="15" hidden="false" customHeight="false" outlineLevel="0" collapsed="false">
      <c r="A124" s="11" t="n">
        <v>11.7</v>
      </c>
      <c r="B124" s="19" t="n">
        <f aca="false">IF($H$11="arm",MAX(0,MIN(($H$27-($H$23/3)*$H$16)/($H$16/2)/p_g-$H$15*$A124,($H$25-($H$23/3))/p_g-$H$15*$A124,(($H$16/p_cant)-($H$23/3)*$H$16^3/(3*$H$24))/($H$16^3/(8*$H$24))/p_g-$H$15*$A124))/$A124,IF($H$11="channel","",MIN(MAX(0,($H$26-$H$18*$H$23*($A124*1000))/($H$17*($A124*1000)^2)-$H$29)*1000/p_g,MAX(0,($H$25-$H$21*$H$23)/($H$21*($A124*1000))-$H$29)*1000/p_g,MAX(0,(($A124*1000)/$H$14-$H$20*$H$23*($A124*1000)^3/$H$24)/($H$19*($A124*1000)^4/$H$24)-$H$29)*1000/p_g)))</f>
        <v>0</v>
      </c>
      <c r="C124" s="11" t="n">
        <f aca="false">$H$12</f>
        <v>40</v>
      </c>
      <c r="D124" s="0" t="str">
        <f aca="false">IF(B124="","",IF(B124&gt;=C124,"yes","no"))</f>
        <v>no</v>
      </c>
    </row>
    <row r="125" customFormat="false" ht="15" hidden="false" customHeight="false" outlineLevel="0" collapsed="false">
      <c r="A125" s="11" t="n">
        <v>11.8</v>
      </c>
      <c r="B125" s="19" t="n">
        <f aca="false">IF($H$11="arm",MAX(0,MIN(($H$27-($H$23/3)*$H$16)/($H$16/2)/p_g-$H$15*$A125,($H$25-($H$23/3))/p_g-$H$15*$A125,(($H$16/p_cant)-($H$23/3)*$H$16^3/(3*$H$24))/($H$16^3/(8*$H$24))/p_g-$H$15*$A125))/$A125,IF($H$11="channel","",MIN(MAX(0,($H$26-$H$18*$H$23*($A125*1000))/($H$17*($A125*1000)^2)-$H$29)*1000/p_g,MAX(0,($H$25-$H$21*$H$23)/($H$21*($A125*1000))-$H$29)*1000/p_g,MAX(0,(($A125*1000)/$H$14-$H$20*$H$23*($A125*1000)^3/$H$24)/($H$19*($A125*1000)^4/$H$24)-$H$29)*1000/p_g)))</f>
        <v>0</v>
      </c>
      <c r="C125" s="11" t="n">
        <f aca="false">$H$12</f>
        <v>40</v>
      </c>
      <c r="D125" s="0" t="str">
        <f aca="false">IF(B125="","",IF(B125&gt;=C125,"yes","no"))</f>
        <v>no</v>
      </c>
    </row>
    <row r="126" customFormat="false" ht="15" hidden="false" customHeight="false" outlineLevel="0" collapsed="false">
      <c r="A126" s="11" t="n">
        <v>11.9</v>
      </c>
      <c r="B126" s="19" t="n">
        <f aca="false">IF($H$11="arm",MAX(0,MIN(($H$27-($H$23/3)*$H$16)/($H$16/2)/p_g-$H$15*$A126,($H$25-($H$23/3))/p_g-$H$15*$A126,(($H$16/p_cant)-($H$23/3)*$H$16^3/(3*$H$24))/($H$16^3/(8*$H$24))/p_g-$H$15*$A126))/$A126,IF($H$11="channel","",MIN(MAX(0,($H$26-$H$18*$H$23*($A126*1000))/($H$17*($A126*1000)^2)-$H$29)*1000/p_g,MAX(0,($H$25-$H$21*$H$23)/($H$21*($A126*1000))-$H$29)*1000/p_g,MAX(0,(($A126*1000)/$H$14-$H$20*$H$23*($A126*1000)^3/$H$24)/($H$19*($A126*1000)^4/$H$24)-$H$29)*1000/p_g)))</f>
        <v>0</v>
      </c>
      <c r="C126" s="11" t="n">
        <f aca="false">$H$12</f>
        <v>40</v>
      </c>
      <c r="D126" s="0" t="str">
        <f aca="false">IF(B126="","",IF(B126&gt;=C126,"yes","no"))</f>
        <v>no</v>
      </c>
    </row>
    <row r="127" customFormat="false" ht="15" hidden="false" customHeight="false" outlineLevel="0" collapsed="false">
      <c r="A127" s="11" t="n">
        <v>12</v>
      </c>
      <c r="B127" s="19" t="n">
        <f aca="false">IF($H$11="arm",MAX(0,MIN(($H$27-($H$23/3)*$H$16)/($H$16/2)/p_g-$H$15*$A127,($H$25-($H$23/3))/p_g-$H$15*$A127,(($H$16/p_cant)-($H$23/3)*$H$16^3/(3*$H$24))/($H$16^3/(8*$H$24))/p_g-$H$15*$A127))/$A127,IF($H$11="channel","",MIN(MAX(0,($H$26-$H$18*$H$23*($A127*1000))/($H$17*($A127*1000)^2)-$H$29)*1000/p_g,MAX(0,($H$25-$H$21*$H$23)/($H$21*($A127*1000))-$H$29)*1000/p_g,MAX(0,(($A127*1000)/$H$14-$H$20*$H$23*($A127*1000)^3/$H$24)/($H$19*($A127*1000)^4/$H$24)-$H$29)*1000/p_g)))</f>
        <v>0</v>
      </c>
      <c r="C127" s="11" t="n">
        <f aca="false">$H$12</f>
        <v>40</v>
      </c>
      <c r="D127" s="0" t="str">
        <f aca="false">IF(B127="","",IF(B127&gt;=C127,"yes","no"))</f>
        <v>no</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4"/>
    <col collapsed="false" customWidth="true" hidden="false" outlineLevel="0" max="4" min="4" style="0" width="58"/>
    <col collapsed="false" customWidth="true" hidden="false" outlineLevel="0" max="6" min="5" style="0" width="14"/>
  </cols>
  <sheetData>
    <row r="1" customFormat="false" ht="18.55" hidden="false" customHeight="false" outlineLevel="0" collapsed="false">
      <c r="A1" s="1" t="s">
        <v>183</v>
      </c>
    </row>
    <row r="2" customFormat="false" ht="15" hidden="false" customHeight="false" outlineLevel="0" collapsed="false">
      <c r="A2" s="2" t="s">
        <v>184</v>
      </c>
    </row>
    <row r="5" customFormat="false" ht="15" hidden="false" customHeight="false" outlineLevel="0" collapsed="false">
      <c r="A5" s="29" t="s">
        <v>185</v>
      </c>
      <c r="B5" s="30"/>
      <c r="C5" s="30"/>
      <c r="D5" s="30"/>
    </row>
    <row r="6" customFormat="false" ht="15" hidden="false" customHeight="false" outlineLevel="0" collapsed="false">
      <c r="A6" s="0" t="s">
        <v>186</v>
      </c>
      <c r="B6" s="31" t="n">
        <v>250</v>
      </c>
      <c r="C6" s="14" t="s">
        <v>154</v>
      </c>
      <c r="D6" s="32" t="s">
        <v>187</v>
      </c>
    </row>
    <row r="7" customFormat="false" ht="15" hidden="false" customHeight="false" outlineLevel="0" collapsed="false">
      <c r="A7" s="0" t="s">
        <v>188</v>
      </c>
      <c r="B7" s="31" t="n">
        <v>200000</v>
      </c>
      <c r="C7" s="14" t="s">
        <v>154</v>
      </c>
      <c r="D7" s="32"/>
    </row>
    <row r="8" customFormat="false" ht="15" hidden="false" customHeight="false" outlineLevel="0" collapsed="false">
      <c r="A8" s="0" t="s">
        <v>189</v>
      </c>
      <c r="B8" s="31" t="n">
        <v>1.67</v>
      </c>
      <c r="D8" s="32" t="s">
        <v>190</v>
      </c>
    </row>
    <row r="9" customFormat="false" ht="15" hidden="false" customHeight="false" outlineLevel="0" collapsed="false">
      <c r="A9" s="0" t="s">
        <v>191</v>
      </c>
      <c r="B9" s="31" t="n">
        <v>0.55</v>
      </c>
      <c r="D9" s="32" t="s">
        <v>192</v>
      </c>
    </row>
    <row r="10" customFormat="false" ht="15" hidden="false" customHeight="false" outlineLevel="0" collapsed="false">
      <c r="A10" s="0" t="s">
        <v>193</v>
      </c>
      <c r="B10" s="31" t="n">
        <v>0.4</v>
      </c>
      <c r="D10" s="32" t="s">
        <v>194</v>
      </c>
    </row>
    <row r="11" customFormat="false" ht="15" hidden="false" customHeight="false" outlineLevel="0" collapsed="false">
      <c r="A11" s="0" t="s">
        <v>195</v>
      </c>
      <c r="B11" s="31" t="n">
        <v>9.81</v>
      </c>
      <c r="C11" s="14" t="s">
        <v>196</v>
      </c>
      <c r="D11" s="32"/>
    </row>
    <row r="12" customFormat="false" ht="15" hidden="false" customHeight="false" outlineLevel="0" collapsed="false">
      <c r="A12" s="0" t="s">
        <v>197</v>
      </c>
      <c r="B12" s="31" t="n">
        <v>200</v>
      </c>
      <c r="D12" s="32" t="s">
        <v>198</v>
      </c>
    </row>
    <row r="13" customFormat="false" ht="15" hidden="false" customHeight="false" outlineLevel="0" collapsed="false">
      <c r="A13" s="0" t="s">
        <v>199</v>
      </c>
      <c r="B13" s="31" t="n">
        <v>60</v>
      </c>
      <c r="D13" s="32" t="s">
        <v>198</v>
      </c>
    </row>
    <row r="14" customFormat="false" ht="15" hidden="false" customHeight="false" outlineLevel="0" collapsed="false">
      <c r="A14" s="0" t="s">
        <v>200</v>
      </c>
      <c r="B14" s="31" t="n">
        <v>500</v>
      </c>
      <c r="D14" s="32" t="s">
        <v>198</v>
      </c>
    </row>
    <row r="15" customFormat="false" ht="15" hidden="false" customHeight="false" outlineLevel="0" collapsed="false">
      <c r="A15" s="0" t="s">
        <v>201</v>
      </c>
      <c r="B15" s="31" t="n">
        <v>100</v>
      </c>
      <c r="D15" s="32"/>
    </row>
    <row r="17" customFormat="false" ht="15" hidden="false" customHeight="false" outlineLevel="0" collapsed="false">
      <c r="A17" s="29" t="s">
        <v>202</v>
      </c>
      <c r="B17" s="30"/>
      <c r="C17" s="30"/>
      <c r="D17" s="30"/>
    </row>
    <row r="18" customFormat="false" ht="15" hidden="false" customHeight="false" outlineLevel="0" collapsed="false">
      <c r="A18" s="0" t="s">
        <v>203</v>
      </c>
      <c r="B18" s="31" t="n">
        <v>25</v>
      </c>
      <c r="C18" s="14" t="s">
        <v>34</v>
      </c>
      <c r="D18" s="32"/>
    </row>
    <row r="19" customFormat="false" ht="15" hidden="false" customHeight="false" outlineLevel="0" collapsed="false">
      <c r="A19" s="0" t="s">
        <v>204</v>
      </c>
      <c r="B19" s="31" t="n">
        <v>50</v>
      </c>
      <c r="C19" s="14" t="s">
        <v>34</v>
      </c>
      <c r="D19" s="32"/>
    </row>
    <row r="20" customFormat="false" ht="15" hidden="false" customHeight="false" outlineLevel="0" collapsed="false">
      <c r="A20" s="0" t="s">
        <v>205</v>
      </c>
      <c r="B20" s="31" t="n">
        <v>20</v>
      </c>
      <c r="C20" s="14" t="s">
        <v>34</v>
      </c>
      <c r="D20" s="32"/>
    </row>
    <row r="21" customFormat="false" ht="15" hidden="false" customHeight="false" outlineLevel="0" collapsed="false">
      <c r="A21" s="0" t="s">
        <v>206</v>
      </c>
      <c r="B21" s="31" t="n">
        <v>2</v>
      </c>
      <c r="C21" s="14" t="s">
        <v>34</v>
      </c>
      <c r="D21" s="32"/>
    </row>
    <row r="22" customFormat="false" ht="15" hidden="false" customHeight="false" outlineLevel="0" collapsed="false">
      <c r="A22" s="0" t="s">
        <v>207</v>
      </c>
      <c r="B22" s="31" t="n">
        <v>10</v>
      </c>
      <c r="C22" s="14" t="s">
        <v>208</v>
      </c>
      <c r="D22" s="32"/>
    </row>
    <row r="24" customFormat="false" ht="15" hidden="false" customHeight="false" outlineLevel="0" collapsed="false">
      <c r="A24" s="29" t="s">
        <v>209</v>
      </c>
      <c r="B24" s="30"/>
      <c r="C24" s="30"/>
      <c r="D24" s="30"/>
    </row>
    <row r="25" customFormat="false" ht="15" hidden="false" customHeight="false" outlineLevel="0" collapsed="false">
      <c r="A25" s="0" t="s">
        <v>210</v>
      </c>
      <c r="B25" s="31" t="n">
        <v>4</v>
      </c>
      <c r="C25" s="14" t="s">
        <v>208</v>
      </c>
      <c r="D25" s="32"/>
    </row>
    <row r="26" customFormat="false" ht="15" hidden="false" customHeight="false" outlineLevel="0" collapsed="false">
      <c r="A26" s="0" t="s">
        <v>211</v>
      </c>
      <c r="B26" s="31" t="n">
        <v>10</v>
      </c>
      <c r="C26" s="14" t="s">
        <v>34</v>
      </c>
      <c r="D26" s="32"/>
    </row>
    <row r="27" customFormat="false" ht="15" hidden="false" customHeight="false" outlineLevel="0" collapsed="false">
      <c r="A27" s="0" t="s">
        <v>212</v>
      </c>
      <c r="B27" s="31" t="n">
        <v>20</v>
      </c>
      <c r="C27" s="14" t="s">
        <v>34</v>
      </c>
      <c r="D27" s="32"/>
    </row>
    <row r="28" customFormat="false" ht="15" hidden="false" customHeight="false" outlineLevel="0" collapsed="false">
      <c r="A28" s="0" t="s">
        <v>213</v>
      </c>
      <c r="B28" s="31" t="n">
        <v>40</v>
      </c>
      <c r="C28" s="14" t="s">
        <v>34</v>
      </c>
      <c r="D28" s="32"/>
    </row>
    <row r="30" customFormat="false" ht="15" hidden="false" customHeight="false" outlineLevel="0" collapsed="false">
      <c r="A30" s="29" t="s">
        <v>214</v>
      </c>
      <c r="B30" s="30"/>
      <c r="C30" s="30"/>
      <c r="D30" s="30"/>
    </row>
    <row r="31" customFormat="false" ht="15" hidden="false" customHeight="false" outlineLevel="0" collapsed="false">
      <c r="A31" s="0" t="s">
        <v>210</v>
      </c>
      <c r="B31" s="31" t="n">
        <v>2</v>
      </c>
      <c r="C31" s="14" t="s">
        <v>208</v>
      </c>
      <c r="D31" s="32"/>
    </row>
    <row r="32" customFormat="false" ht="15" hidden="false" customHeight="false" outlineLevel="0" collapsed="false">
      <c r="A32" s="0" t="s">
        <v>211</v>
      </c>
      <c r="B32" s="31" t="n">
        <v>10</v>
      </c>
      <c r="C32" s="14" t="s">
        <v>34</v>
      </c>
      <c r="D32" s="32"/>
    </row>
    <row r="33" customFormat="false" ht="15" hidden="false" customHeight="false" outlineLevel="0" collapsed="false">
      <c r="A33" s="0" t="s">
        <v>212</v>
      </c>
      <c r="B33" s="31" t="n">
        <v>20</v>
      </c>
      <c r="C33" s="14" t="s">
        <v>34</v>
      </c>
      <c r="D33" s="32"/>
    </row>
    <row r="34" customFormat="false" ht="15" hidden="false" customHeight="false" outlineLevel="0" collapsed="false">
      <c r="A34" s="0" t="s">
        <v>213</v>
      </c>
      <c r="B34" s="31" t="n">
        <v>40</v>
      </c>
      <c r="C34" s="14" t="s">
        <v>34</v>
      </c>
      <c r="D34" s="32"/>
    </row>
    <row r="36" customFormat="false" ht="15" hidden="false" customHeight="false" outlineLevel="0" collapsed="false">
      <c r="A36" s="29" t="s">
        <v>215</v>
      </c>
      <c r="B36" s="30"/>
      <c r="C36" s="30"/>
      <c r="D36" s="30"/>
    </row>
    <row r="37" customFormat="false" ht="15" hidden="false" customHeight="false" outlineLevel="0" collapsed="false">
      <c r="A37" s="0" t="s">
        <v>216</v>
      </c>
      <c r="B37" s="31" t="n">
        <v>9</v>
      </c>
      <c r="C37" s="14" t="s">
        <v>34</v>
      </c>
      <c r="D37" s="32"/>
    </row>
    <row r="39" customFormat="false" ht="15" hidden="false" customHeight="false" outlineLevel="0" collapsed="false">
      <c r="A39" s="29" t="s">
        <v>217</v>
      </c>
      <c r="B39" s="30"/>
      <c r="C39" s="30"/>
      <c r="D39" s="30"/>
    </row>
    <row r="40" customFormat="false" ht="31.5" hidden="false" customHeight="true" outlineLevel="0" collapsed="false">
      <c r="A40" s="5" t="s">
        <v>218</v>
      </c>
      <c r="B40" s="6" t="s">
        <v>116</v>
      </c>
      <c r="C40" s="6" t="s">
        <v>117</v>
      </c>
      <c r="D40" s="6" t="s">
        <v>118</v>
      </c>
      <c r="E40" s="6" t="s">
        <v>119</v>
      </c>
      <c r="F40" s="6" t="s">
        <v>120</v>
      </c>
    </row>
    <row r="41" customFormat="false" ht="15" hidden="false" customHeight="false" outlineLevel="0" collapsed="false">
      <c r="A41" s="0" t="s">
        <v>45</v>
      </c>
      <c r="B41" s="33" t="n">
        <v>0.125</v>
      </c>
      <c r="C41" s="33" t="n">
        <v>0.25</v>
      </c>
      <c r="D41" s="33" t="n">
        <v>0.0130208333333333</v>
      </c>
      <c r="E41" s="33" t="n">
        <v>0.0208333333333333</v>
      </c>
      <c r="F41" s="33" t="n">
        <v>0.5</v>
      </c>
    </row>
    <row r="42" customFormat="false" ht="15" hidden="false" customHeight="false" outlineLevel="0" collapsed="false">
      <c r="A42" s="0" t="s">
        <v>47</v>
      </c>
      <c r="B42" s="33" t="n">
        <v>0.1</v>
      </c>
      <c r="C42" s="33" t="n">
        <v>0.2</v>
      </c>
      <c r="D42" s="33" t="n">
        <v>0.00689655172413793</v>
      </c>
      <c r="E42" s="33" t="n">
        <v>0.00943396226415094</v>
      </c>
      <c r="F42" s="33" t="n">
        <v>0.6</v>
      </c>
    </row>
    <row r="45" customFormat="false" ht="15" hidden="false" customHeight="false" outlineLevel="0" collapsed="false">
      <c r="A45" s="29" t="s">
        <v>219</v>
      </c>
      <c r="B45" s="30"/>
      <c r="C45" s="30"/>
      <c r="D45" s="30"/>
    </row>
    <row r="46" customFormat="false" ht="15" hidden="false" customHeight="false" outlineLevel="0" collapsed="false">
      <c r="A46" s="0" t="s">
        <v>220</v>
      </c>
      <c r="B46" s="34" t="n">
        <f aca="false">p_rungW*p_rungT</f>
        <v>100</v>
      </c>
      <c r="C46" s="14" t="s">
        <v>80</v>
      </c>
    </row>
    <row r="47" customFormat="false" ht="15" hidden="false" customHeight="false" outlineLevel="0" collapsed="false">
      <c r="A47" s="0" t="s">
        <v>221</v>
      </c>
      <c r="B47" s="34" t="n">
        <f aca="false">2*p_rungT*p_rungH</f>
        <v>80</v>
      </c>
      <c r="C47" s="14" t="s">
        <v>80</v>
      </c>
    </row>
    <row r="48" customFormat="false" ht="15" hidden="false" customHeight="false" outlineLevel="0" collapsed="false">
      <c r="A48" s="0" t="s">
        <v>222</v>
      </c>
      <c r="B48" s="34" t="n">
        <f aca="false">p_rA1+p_rA2</f>
        <v>180</v>
      </c>
      <c r="C48" s="14" t="s">
        <v>80</v>
      </c>
    </row>
    <row r="49" customFormat="false" ht="15" hidden="false" customHeight="false" outlineLevel="0" collapsed="false">
      <c r="A49" s="0" t="s">
        <v>81</v>
      </c>
      <c r="B49" s="34" t="n">
        <f aca="false">(p_rA1*p_rungT/2+p_rA2*p_rungH/2)/p_rA</f>
        <v>5</v>
      </c>
      <c r="C49" s="14" t="s">
        <v>34</v>
      </c>
    </row>
    <row r="50" customFormat="false" ht="15" hidden="false" customHeight="false" outlineLevel="0" collapsed="false">
      <c r="A50" s="0" t="s">
        <v>223</v>
      </c>
      <c r="B50" s="20" t="n">
        <f aca="false">(p_rungW*p_rungT^3/12+p_rA1*(p_rungT/2-p_rYb)^2)+(2*p_rungT*p_rungH^3/12+p_rA2*(p_rungH/2-p_rYb)^2)</f>
        <v>6300</v>
      </c>
      <c r="C50" s="14" t="s">
        <v>83</v>
      </c>
    </row>
    <row r="51" customFormat="false" ht="15" hidden="false" customHeight="false" outlineLevel="0" collapsed="false">
      <c r="A51" s="0" t="s">
        <v>224</v>
      </c>
      <c r="B51" s="19" t="n">
        <f aca="false">MIN(p_rI/p_rYb,p_rI/(p_rungH-p_rYb))</f>
        <v>420</v>
      </c>
      <c r="C51" s="14"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2026-10-21T03:41:55Z</dcterms:created>
  <dc:creator>openpyxl</dc:creator>
  <dc:description/>
  <dc:language>en-US</dc:language>
  <cp:lastModifiedBy/>
  <dcterms:modified xsi:type="dcterms:W3CDTF">2026-10-21T03:41:55Z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