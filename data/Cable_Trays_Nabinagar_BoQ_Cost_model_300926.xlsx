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tsmgrp.sharepoint.com/sites/Tplbusinesstransformation/Shared Documents/General/Tata Projects/9 Working files/12. NMR Analysis/2. Workings/3. Cost Models/Cable trays/"/>
    </mc:Choice>
  </mc:AlternateContent>
  <xr:revisionPtr revIDLastSave="0" documentId="8_{FEB6C663-4982-40FE-9CF2-50B9388B4F4C}" xr6:coauthVersionLast="47" xr6:coauthVersionMax="47" xr10:uidLastSave="{00000000-0000-0000-0000-000000000000}"/>
  <bookViews>
    <workbookView xWindow="-110" yWindow="-110" windowWidth="19420" windowHeight="11500" tabRatio="830" activeTab="1" xr2:uid="{00000000-000D-0000-FFFF-FFFF00000000}"/>
  </bookViews>
  <sheets>
    <sheet name="Summary" sheetId="31" r:id="rId1"/>
    <sheet name="Cable Tray &amp; Accessories" sheetId="1" r:id="rId2"/>
    <sheet name="Backup&gt;" sheetId="5" r:id="rId3"/>
    <sheet name="Horizontal Cross 300x100x2" sheetId="24" r:id="rId4"/>
    <sheet name="Horizontal Cross 600x100x2" sheetId="25" r:id="rId5"/>
    <sheet name="Channel 41x41x2.5" sheetId="26" r:id="rId6"/>
    <sheet name="Channel 41x82x2.5" sheetId="27" r:id="rId7"/>
    <sheet name="Cantilever Arm 750" sheetId="28" r:id="rId8"/>
    <sheet name="Cantilever Arm 620" sheetId="29" r:id="rId9"/>
    <sheet name="Cantilever Arm 320" sheetId="30" r:id="rId10"/>
    <sheet name="Horizontal Tee 600x100x2" sheetId="21" r:id="rId11"/>
    <sheet name="Horizontal Tee 300x100x2" sheetId="22" r:id="rId12"/>
    <sheet name="Horizontal Tee 150x100x2" sheetId="23" r:id="rId13"/>
    <sheet name="Vertical bend down 600x100x2" sheetId="18" r:id="rId14"/>
    <sheet name="Vertical bend down 300x100x2" sheetId="19" r:id="rId15"/>
    <sheet name="Vertical bend down 150x100x2" sheetId="20" r:id="rId16"/>
    <sheet name="Vertical bend up 600x100x2" sheetId="15" r:id="rId17"/>
    <sheet name="Vertical bend up 300x100x2" sheetId="16" r:id="rId18"/>
    <sheet name="Vertical bend up 150x100x2" sheetId="17" r:id="rId19"/>
    <sheet name="U Trough 75x25x2" sheetId="9" r:id="rId20"/>
    <sheet name="U Trough 50x25x2" sheetId="11" r:id="rId21"/>
    <sheet name="H Bend 600x100x2" sheetId="12" r:id="rId22"/>
    <sheet name="H Bend 300x100x2" sheetId="13" r:id="rId23"/>
    <sheet name="H Bend 150x100x2" sheetId="14" r:id="rId24"/>
    <sheet name="Perforated 600x100x2" sheetId="2" r:id="rId25"/>
    <sheet name="Perforated 300x100x2" sheetId="3" r:id="rId26"/>
    <sheet name="Perforated 150x100x2" sheetId="4" r:id="rId27"/>
    <sheet name="Ladder 600x100x2" sheetId="6" r:id="rId28"/>
    <sheet name="Ladder 300x100x2" sheetId="7" r:id="rId29"/>
    <sheet name="Ladder 150x100x2" sheetId="8" r:id="rId30"/>
  </sheets>
  <externalReferences>
    <externalReference r:id="rId31"/>
    <externalReference r:id="rId32"/>
    <externalReference r:id="rId3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1" l="1"/>
  <c r="D4" i="31"/>
  <c r="D3" i="31"/>
  <c r="D6" i="31" s="1"/>
  <c r="F59" i="1"/>
  <c r="E43" i="1"/>
  <c r="E42" i="1"/>
  <c r="E41" i="1"/>
  <c r="E40" i="1"/>
  <c r="E39" i="1"/>
  <c r="F39" i="1" s="1"/>
  <c r="D52" i="30"/>
  <c r="D46" i="30"/>
  <c r="T43" i="30"/>
  <c r="T42" i="30"/>
  <c r="O38" i="30"/>
  <c r="D32" i="30"/>
  <c r="D30" i="30"/>
  <c r="D28" i="30"/>
  <c r="D17" i="30"/>
  <c r="O15" i="30"/>
  <c r="D41" i="30" s="1"/>
  <c r="D42" i="30" s="1"/>
  <c r="D52" i="29"/>
  <c r="D46" i="29"/>
  <c r="T43" i="29"/>
  <c r="T42" i="29"/>
  <c r="O38" i="29"/>
  <c r="D32" i="29"/>
  <c r="D30" i="29"/>
  <c r="D28" i="29"/>
  <c r="D17" i="29"/>
  <c r="O15" i="29"/>
  <c r="D41" i="29" s="1"/>
  <c r="D42" i="29" s="1"/>
  <c r="D52" i="28"/>
  <c r="D46" i="28"/>
  <c r="T43" i="28"/>
  <c r="T42" i="28"/>
  <c r="O38" i="28"/>
  <c r="D32" i="28"/>
  <c r="D30" i="28"/>
  <c r="D28" i="28"/>
  <c r="D17" i="28"/>
  <c r="O15" i="28"/>
  <c r="D41" i="28" s="1"/>
  <c r="D42" i="28" s="1"/>
  <c r="D52" i="27"/>
  <c r="D46" i="27"/>
  <c r="T43" i="27"/>
  <c r="T42" i="27"/>
  <c r="O38" i="27"/>
  <c r="D32" i="27"/>
  <c r="D30" i="27"/>
  <c r="D28" i="27"/>
  <c r="D17" i="27"/>
  <c r="O15" i="27"/>
  <c r="D41" i="27" s="1"/>
  <c r="D42" i="27" s="1"/>
  <c r="D52" i="26"/>
  <c r="D46" i="26"/>
  <c r="T43" i="26"/>
  <c r="T42" i="26"/>
  <c r="O38" i="26"/>
  <c r="D32" i="26"/>
  <c r="D30" i="26"/>
  <c r="D28" i="26"/>
  <c r="D17" i="26"/>
  <c r="O15" i="26"/>
  <c r="D41" i="26" s="1"/>
  <c r="D42" i="26" s="1"/>
  <c r="E37" i="1"/>
  <c r="E36" i="1"/>
  <c r="F124" i="25"/>
  <c r="E124" i="25"/>
  <c r="D124" i="25"/>
  <c r="C124" i="25"/>
  <c r="E102" i="25"/>
  <c r="D102" i="25"/>
  <c r="C102" i="25"/>
  <c r="E100" i="25"/>
  <c r="E98" i="25"/>
  <c r="E104" i="25" s="1"/>
  <c r="D93" i="25"/>
  <c r="D89" i="25"/>
  <c r="D88" i="25"/>
  <c r="D87" i="25"/>
  <c r="D86" i="25"/>
  <c r="D50" i="25"/>
  <c r="D43" i="25"/>
  <c r="J39" i="25"/>
  <c r="T38" i="25"/>
  <c r="J38" i="25"/>
  <c r="J40" i="25" s="1"/>
  <c r="D38" i="25"/>
  <c r="T37" i="25"/>
  <c r="J37" i="25"/>
  <c r="D37" i="25"/>
  <c r="O33" i="25"/>
  <c r="D28" i="25"/>
  <c r="J27" i="25"/>
  <c r="D27" i="25"/>
  <c r="O26" i="25"/>
  <c r="J26" i="25"/>
  <c r="D26" i="25"/>
  <c r="O25" i="25"/>
  <c r="J25" i="25"/>
  <c r="D25" i="25"/>
  <c r="D31" i="25" s="1"/>
  <c r="D32" i="25" s="1"/>
  <c r="O24" i="25"/>
  <c r="O28" i="25" s="1"/>
  <c r="D24" i="25"/>
  <c r="J23" i="25"/>
  <c r="D23" i="25"/>
  <c r="D17" i="25"/>
  <c r="U8" i="25"/>
  <c r="J24" i="25" s="1"/>
  <c r="T24" i="25" s="1"/>
  <c r="F124" i="24"/>
  <c r="E124" i="24"/>
  <c r="D124" i="24"/>
  <c r="C124" i="24"/>
  <c r="E102" i="24"/>
  <c r="D102" i="24"/>
  <c r="C102" i="24"/>
  <c r="E100" i="24"/>
  <c r="E98" i="24"/>
  <c r="E104" i="24" s="1"/>
  <c r="D93" i="24"/>
  <c r="D89" i="24"/>
  <c r="D88" i="24"/>
  <c r="D87" i="24"/>
  <c r="D86" i="24"/>
  <c r="D50" i="24"/>
  <c r="D43" i="24"/>
  <c r="J39" i="24"/>
  <c r="T38" i="24"/>
  <c r="J38" i="24"/>
  <c r="J40" i="24" s="1"/>
  <c r="D38" i="24"/>
  <c r="T37" i="24"/>
  <c r="J37" i="24"/>
  <c r="D37" i="24"/>
  <c r="O33" i="24"/>
  <c r="D28" i="24"/>
  <c r="J27" i="24"/>
  <c r="D27" i="24"/>
  <c r="O26" i="24"/>
  <c r="J26" i="24"/>
  <c r="D26" i="24"/>
  <c r="O25" i="24"/>
  <c r="J25" i="24"/>
  <c r="D25" i="24"/>
  <c r="D31" i="24" s="1"/>
  <c r="D32" i="24" s="1"/>
  <c r="O24" i="24"/>
  <c r="O28" i="24" s="1"/>
  <c r="D24" i="24"/>
  <c r="J23" i="24"/>
  <c r="D23" i="24"/>
  <c r="D17" i="24"/>
  <c r="U8" i="24"/>
  <c r="J24" i="24" s="1"/>
  <c r="T24" i="24" s="1"/>
  <c r="E32" i="1"/>
  <c r="F124" i="23"/>
  <c r="E124" i="23"/>
  <c r="D124" i="23"/>
  <c r="C124" i="23"/>
  <c r="E102" i="23"/>
  <c r="D102" i="23"/>
  <c r="C102" i="23"/>
  <c r="E100" i="23"/>
  <c r="E98" i="23"/>
  <c r="E104" i="23" s="1"/>
  <c r="D93" i="23"/>
  <c r="D89" i="23"/>
  <c r="D88" i="23"/>
  <c r="D87" i="23"/>
  <c r="D86" i="23"/>
  <c r="D50" i="23"/>
  <c r="D43" i="23"/>
  <c r="J39" i="23"/>
  <c r="T38" i="23"/>
  <c r="J38" i="23"/>
  <c r="J40" i="23" s="1"/>
  <c r="D38" i="23"/>
  <c r="T37" i="23"/>
  <c r="J37" i="23"/>
  <c r="D37" i="23"/>
  <c r="O33" i="23"/>
  <c r="D28" i="23"/>
  <c r="J27" i="23"/>
  <c r="D27" i="23"/>
  <c r="O26" i="23"/>
  <c r="J26" i="23"/>
  <c r="D26" i="23"/>
  <c r="O25" i="23"/>
  <c r="J25" i="23"/>
  <c r="D25" i="23"/>
  <c r="D31" i="23" s="1"/>
  <c r="D32" i="23" s="1"/>
  <c r="O24" i="23"/>
  <c r="O28" i="23" s="1"/>
  <c r="D24" i="23"/>
  <c r="J23" i="23"/>
  <c r="D23" i="23"/>
  <c r="D17" i="23"/>
  <c r="U8" i="23"/>
  <c r="J24" i="23" s="1"/>
  <c r="T24" i="23" s="1"/>
  <c r="F124" i="22"/>
  <c r="E124" i="22"/>
  <c r="D124" i="22"/>
  <c r="C124" i="22"/>
  <c r="E102" i="22"/>
  <c r="D102" i="22"/>
  <c r="C102" i="22"/>
  <c r="E100" i="22"/>
  <c r="E98" i="22"/>
  <c r="E104" i="22" s="1"/>
  <c r="D93" i="22"/>
  <c r="D89" i="22"/>
  <c r="D88" i="22"/>
  <c r="D87" i="22"/>
  <c r="D86" i="22"/>
  <c r="D50" i="22"/>
  <c r="D43" i="22"/>
  <c r="J39" i="22"/>
  <c r="T38" i="22"/>
  <c r="J38" i="22"/>
  <c r="J40" i="22" s="1"/>
  <c r="D38" i="22"/>
  <c r="T37" i="22"/>
  <c r="J37" i="22"/>
  <c r="D37" i="22"/>
  <c r="O33" i="22"/>
  <c r="D28" i="22"/>
  <c r="J27" i="22"/>
  <c r="D27" i="22"/>
  <c r="O26" i="22"/>
  <c r="J26" i="22"/>
  <c r="D26" i="22"/>
  <c r="O25" i="22"/>
  <c r="J25" i="22"/>
  <c r="D25" i="22"/>
  <c r="D31" i="22" s="1"/>
  <c r="D32" i="22" s="1"/>
  <c r="O24" i="22"/>
  <c r="O28" i="22" s="1"/>
  <c r="D24" i="22"/>
  <c r="J23" i="22"/>
  <c r="D23" i="22"/>
  <c r="D17" i="22"/>
  <c r="U8" i="22"/>
  <c r="J24" i="22" s="1"/>
  <c r="T24" i="22" s="1"/>
  <c r="F124" i="21"/>
  <c r="E124" i="21"/>
  <c r="D124" i="21"/>
  <c r="C124" i="21"/>
  <c r="E102" i="21"/>
  <c r="D102" i="21"/>
  <c r="C102" i="21"/>
  <c r="E100" i="21"/>
  <c r="E98" i="21"/>
  <c r="E104" i="21" s="1"/>
  <c r="D93" i="21"/>
  <c r="D89" i="21"/>
  <c r="D88" i="21"/>
  <c r="D87" i="21"/>
  <c r="D86" i="21"/>
  <c r="D50" i="21"/>
  <c r="D43" i="21"/>
  <c r="J39" i="21"/>
  <c r="T38" i="21"/>
  <c r="J38" i="21"/>
  <c r="J40" i="21" s="1"/>
  <c r="D38" i="21"/>
  <c r="T37" i="21"/>
  <c r="J37" i="21"/>
  <c r="D37" i="21"/>
  <c r="O33" i="21"/>
  <c r="D28" i="21"/>
  <c r="J27" i="21"/>
  <c r="D27" i="21"/>
  <c r="O26" i="21"/>
  <c r="J26" i="21"/>
  <c r="D26" i="21"/>
  <c r="O25" i="21"/>
  <c r="J25" i="21"/>
  <c r="D25" i="21"/>
  <c r="D31" i="21" s="1"/>
  <c r="D32" i="21" s="1"/>
  <c r="O24" i="21"/>
  <c r="O28" i="21" s="1"/>
  <c r="D24" i="21"/>
  <c r="J23" i="21"/>
  <c r="D23" i="21"/>
  <c r="D17" i="21"/>
  <c r="U8" i="21"/>
  <c r="J24" i="21" s="1"/>
  <c r="T24" i="21" s="1"/>
  <c r="E30" i="1"/>
  <c r="E29" i="1"/>
  <c r="E28" i="1"/>
  <c r="F124" i="20"/>
  <c r="E124" i="20"/>
  <c r="D124" i="20"/>
  <c r="C124" i="20"/>
  <c r="E102" i="20"/>
  <c r="D102" i="20"/>
  <c r="C102" i="20"/>
  <c r="E100" i="20"/>
  <c r="E98" i="20"/>
  <c r="E104" i="20" s="1"/>
  <c r="D93" i="20"/>
  <c r="D89" i="20"/>
  <c r="D88" i="20"/>
  <c r="D87" i="20"/>
  <c r="D86" i="20"/>
  <c r="D50" i="20"/>
  <c r="D43" i="20"/>
  <c r="J39" i="20"/>
  <c r="T38" i="20"/>
  <c r="J38" i="20"/>
  <c r="J40" i="20" s="1"/>
  <c r="D38" i="20"/>
  <c r="T37" i="20"/>
  <c r="J37" i="20"/>
  <c r="D37" i="20"/>
  <c r="O33" i="20"/>
  <c r="D28" i="20"/>
  <c r="J27" i="20"/>
  <c r="D27" i="20"/>
  <c r="O26" i="20"/>
  <c r="J26" i="20"/>
  <c r="D26" i="20"/>
  <c r="O25" i="20"/>
  <c r="J25" i="20"/>
  <c r="D25" i="20"/>
  <c r="D31" i="20" s="1"/>
  <c r="D32" i="20" s="1"/>
  <c r="O24" i="20"/>
  <c r="O28" i="20" s="1"/>
  <c r="D24" i="20"/>
  <c r="J23" i="20"/>
  <c r="D23" i="20"/>
  <c r="D17" i="20"/>
  <c r="U8" i="20"/>
  <c r="J24" i="20" s="1"/>
  <c r="T24" i="20" s="1"/>
  <c r="F124" i="19"/>
  <c r="E124" i="19"/>
  <c r="D124" i="19"/>
  <c r="C124" i="19"/>
  <c r="E102" i="19"/>
  <c r="D102" i="19"/>
  <c r="C102" i="19"/>
  <c r="E100" i="19"/>
  <c r="E98" i="19"/>
  <c r="E104" i="19" s="1"/>
  <c r="D93" i="19"/>
  <c r="D89" i="19"/>
  <c r="D88" i="19"/>
  <c r="D87" i="19"/>
  <c r="D86" i="19"/>
  <c r="D50" i="19"/>
  <c r="D43" i="19"/>
  <c r="J39" i="19"/>
  <c r="T38" i="19"/>
  <c r="J38" i="19"/>
  <c r="J40" i="19" s="1"/>
  <c r="D38" i="19"/>
  <c r="T37" i="19"/>
  <c r="J37" i="19"/>
  <c r="D37" i="19"/>
  <c r="O33" i="19"/>
  <c r="D28" i="19"/>
  <c r="J27" i="19"/>
  <c r="D27" i="19"/>
  <c r="O26" i="19"/>
  <c r="J26" i="19"/>
  <c r="D26" i="19"/>
  <c r="O25" i="19"/>
  <c r="J25" i="19"/>
  <c r="D25" i="19"/>
  <c r="D31" i="19" s="1"/>
  <c r="D32" i="19" s="1"/>
  <c r="O24" i="19"/>
  <c r="O28" i="19" s="1"/>
  <c r="D24" i="19"/>
  <c r="J23" i="19"/>
  <c r="D23" i="19"/>
  <c r="D17" i="19"/>
  <c r="U8" i="19"/>
  <c r="J24" i="19" s="1"/>
  <c r="T24" i="19" s="1"/>
  <c r="F124" i="18"/>
  <c r="E124" i="18"/>
  <c r="D124" i="18"/>
  <c r="C124" i="18"/>
  <c r="E102" i="18"/>
  <c r="D102" i="18"/>
  <c r="C102" i="18"/>
  <c r="E100" i="18"/>
  <c r="E98" i="18"/>
  <c r="E104" i="18" s="1"/>
  <c r="D93" i="18"/>
  <c r="D89" i="18"/>
  <c r="D88" i="18"/>
  <c r="D87" i="18"/>
  <c r="D86" i="18"/>
  <c r="D50" i="18"/>
  <c r="D43" i="18"/>
  <c r="J39" i="18"/>
  <c r="T38" i="18"/>
  <c r="J38" i="18"/>
  <c r="J40" i="18" s="1"/>
  <c r="D38" i="18"/>
  <c r="T37" i="18"/>
  <c r="J37" i="18"/>
  <c r="D37" i="18"/>
  <c r="O33" i="18"/>
  <c r="D28" i="18"/>
  <c r="J27" i="18"/>
  <c r="D27" i="18"/>
  <c r="O26" i="18"/>
  <c r="J26" i="18"/>
  <c r="D26" i="18"/>
  <c r="O25" i="18"/>
  <c r="J25" i="18"/>
  <c r="D25" i="18"/>
  <c r="D31" i="18" s="1"/>
  <c r="D32" i="18" s="1"/>
  <c r="O24" i="18"/>
  <c r="O28" i="18" s="1"/>
  <c r="D24" i="18"/>
  <c r="J23" i="18"/>
  <c r="D23" i="18"/>
  <c r="D17" i="18"/>
  <c r="U8" i="18"/>
  <c r="J24" i="18" s="1"/>
  <c r="T24" i="18" s="1"/>
  <c r="E22" i="1"/>
  <c r="E21" i="1"/>
  <c r="E20" i="1"/>
  <c r="F20" i="1" s="1"/>
  <c r="E26" i="1"/>
  <c r="E25" i="1"/>
  <c r="E24" i="1"/>
  <c r="F124" i="17"/>
  <c r="E124" i="17"/>
  <c r="D124" i="17"/>
  <c r="C124" i="17"/>
  <c r="E102" i="17"/>
  <c r="D102" i="17"/>
  <c r="C102" i="17"/>
  <c r="E100" i="17"/>
  <c r="E98" i="17"/>
  <c r="E104" i="17" s="1"/>
  <c r="D93" i="17"/>
  <c r="D89" i="17"/>
  <c r="D88" i="17"/>
  <c r="D87" i="17"/>
  <c r="D86" i="17"/>
  <c r="D50" i="17"/>
  <c r="D43" i="17"/>
  <c r="J39" i="17"/>
  <c r="T38" i="17"/>
  <c r="J38" i="17"/>
  <c r="J40" i="17" s="1"/>
  <c r="D38" i="17"/>
  <c r="T37" i="17"/>
  <c r="J37" i="17"/>
  <c r="D37" i="17"/>
  <c r="O33" i="17"/>
  <c r="D28" i="17"/>
  <c r="J27" i="17"/>
  <c r="D27" i="17"/>
  <c r="O26" i="17"/>
  <c r="J26" i="17"/>
  <c r="D26" i="17"/>
  <c r="O25" i="17"/>
  <c r="J25" i="17"/>
  <c r="D25" i="17"/>
  <c r="D31" i="17" s="1"/>
  <c r="D32" i="17" s="1"/>
  <c r="O24" i="17"/>
  <c r="O28" i="17" s="1"/>
  <c r="D24" i="17"/>
  <c r="J23" i="17"/>
  <c r="D23" i="17"/>
  <c r="D17" i="17"/>
  <c r="U8" i="17"/>
  <c r="J24" i="17" s="1"/>
  <c r="T24" i="17" s="1"/>
  <c r="F124" i="16"/>
  <c r="E124" i="16"/>
  <c r="D124" i="16"/>
  <c r="C124" i="16"/>
  <c r="E102" i="16"/>
  <c r="D102" i="16"/>
  <c r="C102" i="16"/>
  <c r="E100" i="16"/>
  <c r="E98" i="16"/>
  <c r="E104" i="16" s="1"/>
  <c r="D93" i="16"/>
  <c r="D89" i="16"/>
  <c r="D88" i="16"/>
  <c r="D87" i="16"/>
  <c r="D86" i="16"/>
  <c r="D50" i="16"/>
  <c r="D43" i="16"/>
  <c r="J39" i="16"/>
  <c r="T38" i="16"/>
  <c r="J38" i="16"/>
  <c r="J40" i="16" s="1"/>
  <c r="D38" i="16"/>
  <c r="T37" i="16"/>
  <c r="J37" i="16"/>
  <c r="D37" i="16"/>
  <c r="O33" i="16"/>
  <c r="D28" i="16"/>
  <c r="J27" i="16"/>
  <c r="D27" i="16"/>
  <c r="O26" i="16"/>
  <c r="J26" i="16"/>
  <c r="D26" i="16"/>
  <c r="O25" i="16"/>
  <c r="J25" i="16"/>
  <c r="D25" i="16"/>
  <c r="D31" i="16" s="1"/>
  <c r="D32" i="16" s="1"/>
  <c r="O24" i="16"/>
  <c r="O28" i="16" s="1"/>
  <c r="D24" i="16"/>
  <c r="J23" i="16"/>
  <c r="D23" i="16"/>
  <c r="D17" i="16"/>
  <c r="U8" i="16"/>
  <c r="J24" i="16" s="1"/>
  <c r="T24" i="16" s="1"/>
  <c r="F124" i="15"/>
  <c r="E124" i="15"/>
  <c r="D124" i="15"/>
  <c r="C124" i="15"/>
  <c r="E102" i="15"/>
  <c r="D102" i="15"/>
  <c r="C102" i="15"/>
  <c r="E100" i="15"/>
  <c r="E98" i="15"/>
  <c r="E104" i="15" s="1"/>
  <c r="D93" i="15"/>
  <c r="D89" i="15"/>
  <c r="D88" i="15"/>
  <c r="D87" i="15"/>
  <c r="D86" i="15"/>
  <c r="D50" i="15"/>
  <c r="D43" i="15"/>
  <c r="J39" i="15"/>
  <c r="T38" i="15"/>
  <c r="J38" i="15"/>
  <c r="J40" i="15" s="1"/>
  <c r="D38" i="15"/>
  <c r="T37" i="15"/>
  <c r="J37" i="15"/>
  <c r="D37" i="15"/>
  <c r="O33" i="15"/>
  <c r="D28" i="15"/>
  <c r="J27" i="15"/>
  <c r="D27" i="15"/>
  <c r="O26" i="15"/>
  <c r="J26" i="15"/>
  <c r="D26" i="15"/>
  <c r="O25" i="15"/>
  <c r="J25" i="15"/>
  <c r="D25" i="15"/>
  <c r="D31" i="15" s="1"/>
  <c r="D32" i="15" s="1"/>
  <c r="O24" i="15"/>
  <c r="O28" i="15" s="1"/>
  <c r="D24" i="15"/>
  <c r="J23" i="15"/>
  <c r="D23" i="15"/>
  <c r="D17" i="15"/>
  <c r="U8" i="15"/>
  <c r="J24" i="15" s="1"/>
  <c r="T24" i="15" s="1"/>
  <c r="F124" i="14"/>
  <c r="E124" i="14"/>
  <c r="D124" i="14"/>
  <c r="C124" i="14"/>
  <c r="E102" i="14"/>
  <c r="D102" i="14"/>
  <c r="C102" i="14"/>
  <c r="E100" i="14"/>
  <c r="E98" i="14"/>
  <c r="E104" i="14" s="1"/>
  <c r="D93" i="14"/>
  <c r="D89" i="14"/>
  <c r="D88" i="14"/>
  <c r="D87" i="14"/>
  <c r="D86" i="14"/>
  <c r="D50" i="14"/>
  <c r="D43" i="14"/>
  <c r="J39" i="14"/>
  <c r="T38" i="14"/>
  <c r="J38" i="14"/>
  <c r="J40" i="14" s="1"/>
  <c r="D38" i="14"/>
  <c r="T37" i="14"/>
  <c r="J37" i="14"/>
  <c r="D37" i="14"/>
  <c r="O33" i="14"/>
  <c r="D28" i="14"/>
  <c r="J27" i="14"/>
  <c r="D27" i="14"/>
  <c r="O26" i="14"/>
  <c r="J26" i="14"/>
  <c r="D26" i="14"/>
  <c r="O25" i="14"/>
  <c r="J25" i="14"/>
  <c r="D25" i="14"/>
  <c r="D31" i="14" s="1"/>
  <c r="D32" i="14" s="1"/>
  <c r="O24" i="14"/>
  <c r="O28" i="14" s="1"/>
  <c r="D24" i="14"/>
  <c r="J23" i="14"/>
  <c r="D23" i="14"/>
  <c r="D17" i="14"/>
  <c r="U8" i="14"/>
  <c r="J24" i="14" s="1"/>
  <c r="T24" i="14" s="1"/>
  <c r="F124" i="13"/>
  <c r="E124" i="13"/>
  <c r="D124" i="13"/>
  <c r="C124" i="13"/>
  <c r="E102" i="13"/>
  <c r="D102" i="13"/>
  <c r="C102" i="13"/>
  <c r="E100" i="13"/>
  <c r="E98" i="13"/>
  <c r="E104" i="13" s="1"/>
  <c r="D93" i="13"/>
  <c r="D89" i="13"/>
  <c r="D88" i="13"/>
  <c r="D87" i="13"/>
  <c r="D86" i="13"/>
  <c r="D50" i="13"/>
  <c r="D43" i="13"/>
  <c r="J39" i="13"/>
  <c r="T38" i="13"/>
  <c r="J38" i="13"/>
  <c r="J40" i="13" s="1"/>
  <c r="D38" i="13"/>
  <c r="T37" i="13"/>
  <c r="J37" i="13"/>
  <c r="D37" i="13"/>
  <c r="O33" i="13"/>
  <c r="D28" i="13"/>
  <c r="J27" i="13"/>
  <c r="D27" i="13"/>
  <c r="O26" i="13"/>
  <c r="J26" i="13"/>
  <c r="D26" i="13"/>
  <c r="O25" i="13"/>
  <c r="J25" i="13"/>
  <c r="D25" i="13"/>
  <c r="D31" i="13" s="1"/>
  <c r="D32" i="13" s="1"/>
  <c r="O24" i="13"/>
  <c r="O28" i="13" s="1"/>
  <c r="D24" i="13"/>
  <c r="J23" i="13"/>
  <c r="D23" i="13"/>
  <c r="D17" i="13"/>
  <c r="U8" i="13"/>
  <c r="J24" i="13" s="1"/>
  <c r="T24" i="13" s="1"/>
  <c r="F124" i="12"/>
  <c r="E124" i="12"/>
  <c r="D124" i="12"/>
  <c r="C124" i="12"/>
  <c r="E102" i="12"/>
  <c r="D102" i="12"/>
  <c r="C102" i="12"/>
  <c r="E100" i="12"/>
  <c r="E98" i="12"/>
  <c r="E104" i="12" s="1"/>
  <c r="D93" i="12"/>
  <c r="D89" i="12"/>
  <c r="D88" i="12"/>
  <c r="D87" i="12"/>
  <c r="D86" i="12"/>
  <c r="D50" i="12"/>
  <c r="D43" i="12"/>
  <c r="J39" i="12"/>
  <c r="T38" i="12"/>
  <c r="J38" i="12"/>
  <c r="J40" i="12" s="1"/>
  <c r="D38" i="12"/>
  <c r="T37" i="12"/>
  <c r="J37" i="12"/>
  <c r="D37" i="12"/>
  <c r="O33" i="12"/>
  <c r="D28" i="12"/>
  <c r="J27" i="12"/>
  <c r="D27" i="12"/>
  <c r="O26" i="12"/>
  <c r="J26" i="12"/>
  <c r="D26" i="12"/>
  <c r="O25" i="12"/>
  <c r="J25" i="12"/>
  <c r="D25" i="12"/>
  <c r="D31" i="12" s="1"/>
  <c r="D32" i="12" s="1"/>
  <c r="O24" i="12"/>
  <c r="O28" i="12" s="1"/>
  <c r="D24" i="12"/>
  <c r="J23" i="12"/>
  <c r="D23" i="12"/>
  <c r="D17" i="12"/>
  <c r="U8" i="12"/>
  <c r="J24" i="12" s="1"/>
  <c r="T24" i="12" s="1"/>
  <c r="E17" i="1"/>
  <c r="E16" i="1"/>
  <c r="E93" i="11"/>
  <c r="D93" i="11"/>
  <c r="D70" i="11"/>
  <c r="D52" i="11"/>
  <c r="D46" i="11"/>
  <c r="T43" i="11"/>
  <c r="T42" i="11"/>
  <c r="I42" i="11"/>
  <c r="D41" i="11"/>
  <c r="O38" i="11"/>
  <c r="D32" i="11"/>
  <c r="T30" i="11"/>
  <c r="D30" i="11"/>
  <c r="T29" i="11"/>
  <c r="D29" i="11"/>
  <c r="D28" i="11"/>
  <c r="O23" i="11"/>
  <c r="O21" i="11"/>
  <c r="O20" i="11"/>
  <c r="O17" i="11"/>
  <c r="I41" i="11" s="1"/>
  <c r="I43" i="11" s="1"/>
  <c r="I44" i="11" s="1"/>
  <c r="I45" i="11" s="1"/>
  <c r="I46" i="11" s="1"/>
  <c r="I47" i="11" s="1"/>
  <c r="D17" i="11"/>
  <c r="O16" i="11"/>
  <c r="O10" i="11"/>
  <c r="E93" i="9"/>
  <c r="D93" i="9"/>
  <c r="D70" i="9"/>
  <c r="D52" i="9"/>
  <c r="D46" i="9"/>
  <c r="T43" i="9"/>
  <c r="T42" i="9"/>
  <c r="I42" i="9"/>
  <c r="D41" i="9"/>
  <c r="O38" i="9"/>
  <c r="D32" i="9"/>
  <c r="T30" i="9"/>
  <c r="D30" i="9"/>
  <c r="T29" i="9"/>
  <c r="D29" i="9"/>
  <c r="D28" i="9"/>
  <c r="O23" i="9"/>
  <c r="O21" i="9"/>
  <c r="O20" i="9"/>
  <c r="O17" i="9"/>
  <c r="I41" i="9" s="1"/>
  <c r="I43" i="9" s="1"/>
  <c r="I44" i="9" s="1"/>
  <c r="I45" i="9" s="1"/>
  <c r="I46" i="9" s="1"/>
  <c r="I47" i="9" s="1"/>
  <c r="D17" i="9"/>
  <c r="O16" i="9"/>
  <c r="O10" i="9"/>
  <c r="E8" i="1"/>
  <c r="F126" i="8"/>
  <c r="K126" i="8" s="1"/>
  <c r="E126" i="8"/>
  <c r="D126" i="8"/>
  <c r="C126" i="8"/>
  <c r="F125" i="8"/>
  <c r="E125" i="8"/>
  <c r="D125" i="8"/>
  <c r="C125" i="8"/>
  <c r="F124" i="8"/>
  <c r="K124" i="8" s="1"/>
  <c r="E124" i="8"/>
  <c r="D124" i="8"/>
  <c r="C124" i="8"/>
  <c r="E102" i="8"/>
  <c r="D102" i="8"/>
  <c r="E100" i="8"/>
  <c r="E98" i="8"/>
  <c r="E104" i="8" s="1"/>
  <c r="D93" i="8"/>
  <c r="D89" i="8"/>
  <c r="D88" i="8"/>
  <c r="D87" i="8"/>
  <c r="D86" i="8"/>
  <c r="D43" i="8"/>
  <c r="J39" i="8"/>
  <c r="J38" i="8"/>
  <c r="J40" i="8" s="1"/>
  <c r="D38" i="8"/>
  <c r="J37" i="8"/>
  <c r="D37" i="8"/>
  <c r="D28" i="8"/>
  <c r="J27" i="8"/>
  <c r="D27" i="8"/>
  <c r="O26" i="8"/>
  <c r="J26" i="8"/>
  <c r="D26" i="8"/>
  <c r="O25" i="8"/>
  <c r="J25" i="8"/>
  <c r="D25" i="8"/>
  <c r="D31" i="8" s="1"/>
  <c r="D32" i="8" s="1"/>
  <c r="O24" i="8"/>
  <c r="O28" i="8" s="1"/>
  <c r="D24" i="8"/>
  <c r="J23" i="8"/>
  <c r="D23" i="8"/>
  <c r="D17" i="8"/>
  <c r="D16" i="8"/>
  <c r="D15" i="8"/>
  <c r="H14" i="8"/>
  <c r="D14" i="8"/>
  <c r="H13" i="8"/>
  <c r="T38" i="8" s="1"/>
  <c r="D13" i="8"/>
  <c r="H12" i="8"/>
  <c r="T37" i="8" s="1"/>
  <c r="D12" i="8"/>
  <c r="D50" i="8" s="1"/>
  <c r="H11" i="8"/>
  <c r="H10" i="8"/>
  <c r="D10" i="8"/>
  <c r="H9" i="8"/>
  <c r="O33" i="8" s="1"/>
  <c r="D9" i="8"/>
  <c r="U8" i="8"/>
  <c r="J24" i="8" s="1"/>
  <c r="T24" i="8" s="1"/>
  <c r="H8" i="8"/>
  <c r="H7" i="8"/>
  <c r="D7" i="8"/>
  <c r="H6" i="8"/>
  <c r="D6" i="8"/>
  <c r="F126" i="7"/>
  <c r="K126" i="7" s="1"/>
  <c r="E126" i="7"/>
  <c r="D126" i="7"/>
  <c r="C126" i="7"/>
  <c r="F125" i="7"/>
  <c r="E125" i="7"/>
  <c r="D125" i="7"/>
  <c r="C125" i="7"/>
  <c r="F124" i="7"/>
  <c r="K124" i="7" s="1"/>
  <c r="E124" i="7"/>
  <c r="D124" i="7"/>
  <c r="C124" i="7"/>
  <c r="E102" i="7"/>
  <c r="D102" i="7"/>
  <c r="E100" i="7"/>
  <c r="E98" i="7"/>
  <c r="E104" i="7" s="1"/>
  <c r="D93" i="7"/>
  <c r="D89" i="7"/>
  <c r="D88" i="7"/>
  <c r="D87" i="7"/>
  <c r="D86" i="7"/>
  <c r="D43" i="7"/>
  <c r="J39" i="7"/>
  <c r="J38" i="7"/>
  <c r="J40" i="7" s="1"/>
  <c r="D38" i="7"/>
  <c r="J37" i="7"/>
  <c r="D37" i="7"/>
  <c r="D28" i="7"/>
  <c r="J27" i="7"/>
  <c r="D27" i="7"/>
  <c r="O26" i="7"/>
  <c r="J26" i="7"/>
  <c r="D26" i="7"/>
  <c r="O25" i="7"/>
  <c r="J25" i="7"/>
  <c r="D25" i="7"/>
  <c r="D31" i="7" s="1"/>
  <c r="D32" i="7" s="1"/>
  <c r="O24" i="7"/>
  <c r="O28" i="7" s="1"/>
  <c r="D24" i="7"/>
  <c r="J23" i="7"/>
  <c r="D23" i="7"/>
  <c r="D17" i="7"/>
  <c r="D16" i="7"/>
  <c r="D15" i="7"/>
  <c r="H14" i="7"/>
  <c r="D14" i="7"/>
  <c r="H13" i="7"/>
  <c r="T38" i="7" s="1"/>
  <c r="D13" i="7"/>
  <c r="H12" i="7"/>
  <c r="T37" i="7" s="1"/>
  <c r="D12" i="7"/>
  <c r="D50" i="7" s="1"/>
  <c r="H11" i="7"/>
  <c r="H10" i="7"/>
  <c r="D10" i="7"/>
  <c r="H9" i="7"/>
  <c r="O33" i="7" s="1"/>
  <c r="D9" i="7"/>
  <c r="U8" i="7"/>
  <c r="J24" i="7" s="1"/>
  <c r="T24" i="7" s="1"/>
  <c r="H8" i="7"/>
  <c r="H7" i="7"/>
  <c r="D7" i="7"/>
  <c r="H6" i="7"/>
  <c r="D6" i="7"/>
  <c r="F126" i="6"/>
  <c r="K126" i="6" s="1"/>
  <c r="E126" i="6"/>
  <c r="D126" i="6"/>
  <c r="C126" i="6"/>
  <c r="F125" i="6"/>
  <c r="E125" i="6"/>
  <c r="D125" i="6"/>
  <c r="C125" i="6"/>
  <c r="F124" i="6"/>
  <c r="K124" i="6" s="1"/>
  <c r="E124" i="6"/>
  <c r="D124" i="6"/>
  <c r="C124" i="6"/>
  <c r="E102" i="6"/>
  <c r="D102" i="6"/>
  <c r="E100" i="6"/>
  <c r="E98" i="6"/>
  <c r="E104" i="6" s="1"/>
  <c r="D93" i="6"/>
  <c r="D89" i="6"/>
  <c r="D88" i="6"/>
  <c r="D87" i="6"/>
  <c r="D86" i="6"/>
  <c r="D43" i="6"/>
  <c r="J39" i="6"/>
  <c r="J38" i="6"/>
  <c r="J40" i="6" s="1"/>
  <c r="D38" i="6"/>
  <c r="J37" i="6"/>
  <c r="D37" i="6"/>
  <c r="D28" i="6"/>
  <c r="J27" i="6"/>
  <c r="D27" i="6"/>
  <c r="O26" i="6"/>
  <c r="J26" i="6"/>
  <c r="D26" i="6"/>
  <c r="O25" i="6"/>
  <c r="J25" i="6"/>
  <c r="D25" i="6"/>
  <c r="D31" i="6" s="1"/>
  <c r="D32" i="6" s="1"/>
  <c r="O24" i="6"/>
  <c r="O28" i="6" s="1"/>
  <c r="D24" i="6"/>
  <c r="J23" i="6"/>
  <c r="D23" i="6"/>
  <c r="D17" i="6"/>
  <c r="D16" i="6"/>
  <c r="D15" i="6"/>
  <c r="H14" i="6"/>
  <c r="D14" i="6"/>
  <c r="H13" i="6"/>
  <c r="T38" i="6" s="1"/>
  <c r="D13" i="6"/>
  <c r="H12" i="6"/>
  <c r="T37" i="6" s="1"/>
  <c r="D12" i="6"/>
  <c r="D50" i="6" s="1"/>
  <c r="H11" i="6"/>
  <c r="H10" i="6"/>
  <c r="D10" i="6"/>
  <c r="H9" i="6"/>
  <c r="O33" i="6" s="1"/>
  <c r="D9" i="6"/>
  <c r="U8" i="6"/>
  <c r="J24" i="6" s="1"/>
  <c r="T24" i="6" s="1"/>
  <c r="H8" i="6"/>
  <c r="H7" i="6"/>
  <c r="D7" i="6"/>
  <c r="H6" i="6"/>
  <c r="D6" i="6"/>
  <c r="E13" i="1"/>
  <c r="D70" i="4"/>
  <c r="D52" i="4"/>
  <c r="D46" i="4"/>
  <c r="T43" i="4"/>
  <c r="T42" i="4"/>
  <c r="I42" i="4"/>
  <c r="D41" i="4"/>
  <c r="D42" i="4" s="1"/>
  <c r="O38" i="4"/>
  <c r="D32" i="4"/>
  <c r="T30" i="4"/>
  <c r="D30" i="4"/>
  <c r="T29" i="4"/>
  <c r="D29" i="4"/>
  <c r="D28" i="4"/>
  <c r="O23" i="4"/>
  <c r="O21" i="4" a="1"/>
  <c r="O20" i="4" a="1"/>
  <c r="O17" i="4"/>
  <c r="I41" i="4" s="1"/>
  <c r="I43" i="4" s="1"/>
  <c r="I44" i="4" s="1"/>
  <c r="I45" i="4" s="1"/>
  <c r="I46" i="4" s="1"/>
  <c r="I47" i="4" s="1"/>
  <c r="D17" i="4"/>
  <c r="O16" i="4"/>
  <c r="O10" i="4"/>
  <c r="D70" i="3"/>
  <c r="D52" i="3"/>
  <c r="D46" i="3"/>
  <c r="T43" i="3"/>
  <c r="T42" i="3"/>
  <c r="I42" i="3"/>
  <c r="D41" i="3"/>
  <c r="D42" i="3" s="1"/>
  <c r="O38" i="3"/>
  <c r="D32" i="3"/>
  <c r="T30" i="3"/>
  <c r="D30" i="3"/>
  <c r="T29" i="3"/>
  <c r="D29" i="3"/>
  <c r="D28" i="3"/>
  <c r="O23" i="3"/>
  <c r="O21" i="3" a="1"/>
  <c r="O20" i="3" a="1"/>
  <c r="O17" i="3"/>
  <c r="I41" i="3" s="1"/>
  <c r="I43" i="3" s="1"/>
  <c r="I44" i="3" s="1"/>
  <c r="I45" i="3" s="1"/>
  <c r="I46" i="3" s="1"/>
  <c r="I47" i="3" s="1"/>
  <c r="D17" i="3"/>
  <c r="O16" i="3"/>
  <c r="O10" i="3"/>
  <c r="D70" i="2"/>
  <c r="D52" i="2"/>
  <c r="D46" i="2"/>
  <c r="T43" i="2"/>
  <c r="T42" i="2"/>
  <c r="I42" i="2"/>
  <c r="D41" i="2"/>
  <c r="O38" i="2"/>
  <c r="D32" i="2"/>
  <c r="T30" i="2"/>
  <c r="D30" i="2"/>
  <c r="T29" i="2"/>
  <c r="D29" i="2"/>
  <c r="D28" i="2"/>
  <c r="O23" i="2"/>
  <c r="O21" i="2" a="1"/>
  <c r="O20" i="2" a="1"/>
  <c r="O17" i="2"/>
  <c r="I41" i="2" s="1"/>
  <c r="I43" i="2" s="1"/>
  <c r="I44" i="2" s="1"/>
  <c r="I45" i="2" s="1"/>
  <c r="I46" i="2" s="1"/>
  <c r="I47" i="2" s="1"/>
  <c r="D17" i="2"/>
  <c r="O16" i="2"/>
  <c r="O10" i="2"/>
  <c r="F55" i="1"/>
  <c r="F47" i="1"/>
  <c r="F58" i="1"/>
  <c r="F45" i="1"/>
  <c r="F57" i="1"/>
  <c r="F56" i="1"/>
  <c r="F54" i="1"/>
  <c r="F53" i="1"/>
  <c r="F52" i="1"/>
  <c r="F51" i="1"/>
  <c r="F50" i="1"/>
  <c r="F49" i="1"/>
  <c r="F48" i="1"/>
  <c r="F46" i="1"/>
  <c r="F43" i="1"/>
  <c r="F42" i="1"/>
  <c r="F41" i="1"/>
  <c r="F40" i="1"/>
  <c r="F37" i="1"/>
  <c r="F36" i="1"/>
  <c r="F26" i="1"/>
  <c r="F32" i="1"/>
  <c r="F30" i="1"/>
  <c r="F29" i="1"/>
  <c r="F28" i="1"/>
  <c r="F25" i="1"/>
  <c r="F24" i="1"/>
  <c r="F17" i="1"/>
  <c r="F16" i="1"/>
  <c r="F13" i="1"/>
  <c r="F8" i="1"/>
  <c r="O29" i="30" l="1"/>
  <c r="D29" i="30"/>
  <c r="D35" i="30" s="1"/>
  <c r="D36" i="30" s="1"/>
  <c r="D43" i="30"/>
  <c r="D44" i="30" s="1"/>
  <c r="O30" i="30"/>
  <c r="O31" i="30"/>
  <c r="O29" i="29"/>
  <c r="D29" i="29"/>
  <c r="D35" i="29" s="1"/>
  <c r="D36" i="29" s="1"/>
  <c r="D43" i="29"/>
  <c r="D44" i="29" s="1"/>
  <c r="O30" i="29"/>
  <c r="O31" i="29"/>
  <c r="O29" i="28"/>
  <c r="D29" i="28"/>
  <c r="D35" i="28" s="1"/>
  <c r="D36" i="28" s="1"/>
  <c r="D43" i="28"/>
  <c r="D44" i="28" s="1"/>
  <c r="O30" i="28"/>
  <c r="O31" i="28"/>
  <c r="O29" i="27"/>
  <c r="D29" i="27"/>
  <c r="D35" i="27" s="1"/>
  <c r="D36" i="27" s="1"/>
  <c r="D43" i="27"/>
  <c r="D44" i="27" s="1"/>
  <c r="O30" i="27"/>
  <c r="O31" i="27"/>
  <c r="O29" i="26"/>
  <c r="D29" i="26"/>
  <c r="D35" i="26" s="1"/>
  <c r="D36" i="26" s="1"/>
  <c r="D43" i="26"/>
  <c r="D44" i="26" s="1"/>
  <c r="O30" i="26"/>
  <c r="O31" i="26"/>
  <c r="E105" i="25"/>
  <c r="E107" i="25"/>
  <c r="D39" i="25"/>
  <c r="D41" i="25" s="1"/>
  <c r="D33" i="25"/>
  <c r="D98" i="25"/>
  <c r="J41" i="25"/>
  <c r="J42" i="25" s="1"/>
  <c r="J43" i="25" s="1"/>
  <c r="T26" i="25"/>
  <c r="T25" i="25"/>
  <c r="T28" i="25" s="1"/>
  <c r="J29" i="25"/>
  <c r="J30" i="25" s="1"/>
  <c r="D71" i="25" s="1"/>
  <c r="D85" i="25" s="1"/>
  <c r="O30" i="25"/>
  <c r="O32" i="25" s="1"/>
  <c r="E105" i="24"/>
  <c r="E107" i="24"/>
  <c r="E108" i="24" s="1"/>
  <c r="E110" i="24"/>
  <c r="E112" i="24" s="1"/>
  <c r="D39" i="24"/>
  <c r="D41" i="24" s="1"/>
  <c r="D33" i="24"/>
  <c r="D98" i="24"/>
  <c r="J41" i="24"/>
  <c r="J42" i="24" s="1"/>
  <c r="J43" i="24" s="1"/>
  <c r="T26" i="24"/>
  <c r="T25" i="24"/>
  <c r="J29" i="24"/>
  <c r="J30" i="24" s="1"/>
  <c r="D71" i="24" s="1"/>
  <c r="D85" i="24" s="1"/>
  <c r="E105" i="23"/>
  <c r="E107" i="23"/>
  <c r="E108" i="23" s="1"/>
  <c r="E110" i="23"/>
  <c r="E112" i="23" s="1"/>
  <c r="D39" i="23"/>
  <c r="D41" i="23" s="1"/>
  <c r="D33" i="23"/>
  <c r="D98" i="23"/>
  <c r="J41" i="23"/>
  <c r="J42" i="23" s="1"/>
  <c r="J43" i="23" s="1"/>
  <c r="T26" i="23"/>
  <c r="T25" i="23"/>
  <c r="T28" i="23" s="1"/>
  <c r="O30" i="23" s="1"/>
  <c r="O32" i="23" s="1"/>
  <c r="J29" i="23"/>
  <c r="J30" i="23" s="1"/>
  <c r="D71" i="23" s="1"/>
  <c r="D85" i="23" s="1"/>
  <c r="E105" i="22"/>
  <c r="E107" i="22"/>
  <c r="D39" i="22"/>
  <c r="D41" i="22" s="1"/>
  <c r="D33" i="22"/>
  <c r="D98" i="22"/>
  <c r="J41" i="22"/>
  <c r="J42" i="22" s="1"/>
  <c r="J43" i="22" s="1"/>
  <c r="T26" i="22"/>
  <c r="T25" i="22"/>
  <c r="J29" i="22"/>
  <c r="J30" i="22" s="1"/>
  <c r="D71" i="22" s="1"/>
  <c r="D85" i="22" s="1"/>
  <c r="E105" i="21"/>
  <c r="E107" i="21"/>
  <c r="E108" i="21" s="1"/>
  <c r="E110" i="21"/>
  <c r="E112" i="21" s="1"/>
  <c r="D39" i="21"/>
  <c r="D41" i="21" s="1"/>
  <c r="D33" i="21"/>
  <c r="D98" i="21"/>
  <c r="J41" i="21"/>
  <c r="J42" i="21" s="1"/>
  <c r="J43" i="21" s="1"/>
  <c r="T26" i="21"/>
  <c r="T25" i="21"/>
  <c r="T28" i="21" s="1"/>
  <c r="J29" i="21"/>
  <c r="J30" i="21" s="1"/>
  <c r="D71" i="21" s="1"/>
  <c r="D85" i="21" s="1"/>
  <c r="O30" i="21"/>
  <c r="O32" i="21" s="1"/>
  <c r="E105" i="20"/>
  <c r="E107" i="20"/>
  <c r="E108" i="20" s="1"/>
  <c r="E110" i="20"/>
  <c r="E112" i="20" s="1"/>
  <c r="D39" i="20"/>
  <c r="D41" i="20" s="1"/>
  <c r="D33" i="20"/>
  <c r="D98" i="20"/>
  <c r="J41" i="20"/>
  <c r="J42" i="20" s="1"/>
  <c r="J43" i="20" s="1"/>
  <c r="T26" i="20"/>
  <c r="T25" i="20"/>
  <c r="T28" i="20" s="1"/>
  <c r="J29" i="20"/>
  <c r="J30" i="20" s="1"/>
  <c r="D71" i="20" s="1"/>
  <c r="D85" i="20" s="1"/>
  <c r="O30" i="20"/>
  <c r="O32" i="20" s="1"/>
  <c r="E105" i="19"/>
  <c r="E107" i="19"/>
  <c r="E108" i="19" s="1"/>
  <c r="E110" i="19"/>
  <c r="E112" i="19" s="1"/>
  <c r="D39" i="19"/>
  <c r="D41" i="19" s="1"/>
  <c r="D33" i="19"/>
  <c r="D98" i="19"/>
  <c r="J41" i="19"/>
  <c r="J42" i="19" s="1"/>
  <c r="J43" i="19" s="1"/>
  <c r="T26" i="19"/>
  <c r="T25" i="19"/>
  <c r="T28" i="19" s="1"/>
  <c r="J29" i="19"/>
  <c r="J30" i="19" s="1"/>
  <c r="D71" i="19" s="1"/>
  <c r="D85" i="19" s="1"/>
  <c r="O30" i="19"/>
  <c r="O32" i="19" s="1"/>
  <c r="E105" i="18"/>
  <c r="E107" i="18"/>
  <c r="E108" i="18" s="1"/>
  <c r="E110" i="18"/>
  <c r="E112" i="18" s="1"/>
  <c r="D39" i="18"/>
  <c r="D41" i="18" s="1"/>
  <c r="D33" i="18"/>
  <c r="D98" i="18"/>
  <c r="J41" i="18"/>
  <c r="J42" i="18" s="1"/>
  <c r="J43" i="18" s="1"/>
  <c r="T26" i="18"/>
  <c r="T25" i="18"/>
  <c r="T28" i="18" s="1"/>
  <c r="J29" i="18"/>
  <c r="J30" i="18" s="1"/>
  <c r="D71" i="18" s="1"/>
  <c r="D85" i="18" s="1"/>
  <c r="O30" i="18"/>
  <c r="O32" i="18" s="1"/>
  <c r="E105" i="17"/>
  <c r="E107" i="17"/>
  <c r="E108" i="17" s="1"/>
  <c r="E110" i="17"/>
  <c r="E112" i="17" s="1"/>
  <c r="D39" i="17"/>
  <c r="D41" i="17" s="1"/>
  <c r="D33" i="17"/>
  <c r="D98" i="17"/>
  <c r="J41" i="17"/>
  <c r="J42" i="17" s="1"/>
  <c r="J43" i="17" s="1"/>
  <c r="T26" i="17"/>
  <c r="T25" i="17"/>
  <c r="J29" i="17"/>
  <c r="J30" i="17" s="1"/>
  <c r="D71" i="17" s="1"/>
  <c r="D85" i="17" s="1"/>
  <c r="E105" i="16"/>
  <c r="E107" i="16"/>
  <c r="E108" i="16" s="1"/>
  <c r="E110" i="16"/>
  <c r="E112" i="16" s="1"/>
  <c r="D39" i="16"/>
  <c r="D41" i="16" s="1"/>
  <c r="D33" i="16"/>
  <c r="D98" i="16"/>
  <c r="J41" i="16"/>
  <c r="J42" i="16" s="1"/>
  <c r="J43" i="16" s="1"/>
  <c r="T26" i="16"/>
  <c r="T25" i="16"/>
  <c r="T28" i="16" s="1"/>
  <c r="J29" i="16"/>
  <c r="J30" i="16" s="1"/>
  <c r="D71" i="16" s="1"/>
  <c r="D85" i="16" s="1"/>
  <c r="O30" i="16"/>
  <c r="O32" i="16" s="1"/>
  <c r="E105" i="15"/>
  <c r="E107" i="15"/>
  <c r="E108" i="15" s="1"/>
  <c r="E110" i="15"/>
  <c r="E112" i="15" s="1"/>
  <c r="D39" i="15"/>
  <c r="D41" i="15" s="1"/>
  <c r="D33" i="15"/>
  <c r="D98" i="15"/>
  <c r="J41" i="15"/>
  <c r="J42" i="15" s="1"/>
  <c r="J43" i="15" s="1"/>
  <c r="T26" i="15"/>
  <c r="T25" i="15"/>
  <c r="T28" i="15" s="1"/>
  <c r="J29" i="15"/>
  <c r="J30" i="15" s="1"/>
  <c r="D71" i="15" s="1"/>
  <c r="D85" i="15" s="1"/>
  <c r="O30" i="15"/>
  <c r="O32" i="15" s="1"/>
  <c r="E105" i="14"/>
  <c r="E107" i="14"/>
  <c r="D39" i="14"/>
  <c r="D41" i="14" s="1"/>
  <c r="D33" i="14"/>
  <c r="D98" i="14"/>
  <c r="J41" i="14"/>
  <c r="J42" i="14" s="1"/>
  <c r="J43" i="14" s="1"/>
  <c r="T26" i="14"/>
  <c r="T25" i="14"/>
  <c r="T28" i="14" s="1"/>
  <c r="O30" i="14" s="1"/>
  <c r="O32" i="14" s="1"/>
  <c r="J29" i="14"/>
  <c r="J30" i="14" s="1"/>
  <c r="D71" i="14" s="1"/>
  <c r="D85" i="14" s="1"/>
  <c r="E105" i="13"/>
  <c r="E107" i="13"/>
  <c r="E108" i="13" s="1"/>
  <c r="E110" i="13"/>
  <c r="E112" i="13" s="1"/>
  <c r="D39" i="13"/>
  <c r="D41" i="13" s="1"/>
  <c r="D33" i="13"/>
  <c r="D98" i="13"/>
  <c r="J41" i="13"/>
  <c r="J42" i="13" s="1"/>
  <c r="J43" i="13" s="1"/>
  <c r="T26" i="13"/>
  <c r="T25" i="13"/>
  <c r="T28" i="13" s="1"/>
  <c r="J29" i="13"/>
  <c r="J30" i="13" s="1"/>
  <c r="D71" i="13" s="1"/>
  <c r="D85" i="13" s="1"/>
  <c r="O30" i="13"/>
  <c r="O32" i="13" s="1"/>
  <c r="E105" i="12"/>
  <c r="E107" i="12"/>
  <c r="E108" i="12" s="1"/>
  <c r="E110" i="12"/>
  <c r="E112" i="12" s="1"/>
  <c r="D39" i="12"/>
  <c r="D41" i="12" s="1"/>
  <c r="D33" i="12"/>
  <c r="D98" i="12"/>
  <c r="J41" i="12"/>
  <c r="J42" i="12" s="1"/>
  <c r="J43" i="12" s="1"/>
  <c r="T26" i="12"/>
  <c r="T25" i="12"/>
  <c r="T28" i="12" s="1"/>
  <c r="J29" i="12"/>
  <c r="J30" i="12" s="1"/>
  <c r="D71" i="12" s="1"/>
  <c r="D85" i="12" s="1"/>
  <c r="O30" i="12"/>
  <c r="O32" i="12" s="1"/>
  <c r="D42" i="11"/>
  <c r="D43" i="11"/>
  <c r="D44" i="11" s="1"/>
  <c r="O30" i="11"/>
  <c r="O31" i="11"/>
  <c r="E82" i="11"/>
  <c r="D82" i="11"/>
  <c r="D31" i="11"/>
  <c r="O29" i="11"/>
  <c r="O33" i="11" s="1"/>
  <c r="O35" i="11" s="1"/>
  <c r="O37" i="11" s="1"/>
  <c r="D42" i="9"/>
  <c r="D43" i="9"/>
  <c r="D44" i="9" s="1"/>
  <c r="O30" i="9"/>
  <c r="O31" i="9"/>
  <c r="E82" i="9"/>
  <c r="D82" i="9"/>
  <c r="D31" i="9"/>
  <c r="O29" i="9"/>
  <c r="O33" i="9" s="1"/>
  <c r="O35" i="9" s="1"/>
  <c r="O37" i="9" s="1"/>
  <c r="E105" i="8"/>
  <c r="E107" i="8"/>
  <c r="D39" i="8"/>
  <c r="D41" i="8" s="1"/>
  <c r="D33" i="8"/>
  <c r="D98" i="8"/>
  <c r="J41" i="8"/>
  <c r="J42" i="8" s="1"/>
  <c r="J43" i="8" s="1"/>
  <c r="T26" i="8"/>
  <c r="T25" i="8"/>
  <c r="T28" i="8" s="1"/>
  <c r="O30" i="8" s="1"/>
  <c r="O32" i="8" s="1"/>
  <c r="J29" i="8"/>
  <c r="J30" i="8" s="1"/>
  <c r="D71" i="8" s="1"/>
  <c r="D85" i="8" s="1"/>
  <c r="E105" i="7"/>
  <c r="E107" i="7"/>
  <c r="E108" i="7" s="1"/>
  <c r="E110" i="7"/>
  <c r="E112" i="7" s="1"/>
  <c r="D39" i="7"/>
  <c r="D41" i="7" s="1"/>
  <c r="D33" i="7"/>
  <c r="D98" i="7"/>
  <c r="J41" i="7"/>
  <c r="J42" i="7" s="1"/>
  <c r="J43" i="7" s="1"/>
  <c r="T26" i="7"/>
  <c r="T25" i="7"/>
  <c r="T28" i="7" s="1"/>
  <c r="J29" i="7"/>
  <c r="J30" i="7" s="1"/>
  <c r="D71" i="7" s="1"/>
  <c r="D85" i="7" s="1"/>
  <c r="O30" i="7"/>
  <c r="O32" i="7" s="1"/>
  <c r="E105" i="6"/>
  <c r="E107" i="6"/>
  <c r="D39" i="6"/>
  <c r="D41" i="6" s="1"/>
  <c r="D33" i="6"/>
  <c r="D98" i="6"/>
  <c r="J41" i="6"/>
  <c r="J42" i="6" s="1"/>
  <c r="J43" i="6" s="1"/>
  <c r="T26" i="6"/>
  <c r="T25" i="6"/>
  <c r="T28" i="6" s="1"/>
  <c r="J29" i="6"/>
  <c r="J30" i="6" s="1"/>
  <c r="D71" i="6" s="1"/>
  <c r="D85" i="6" s="1"/>
  <c r="O30" i="6"/>
  <c r="O32" i="6" s="1"/>
  <c r="D43" i="4"/>
  <c r="D44" i="4" s="1"/>
  <c r="O30" i="4"/>
  <c r="O31" i="4"/>
  <c r="E82" i="4"/>
  <c r="D82" i="4"/>
  <c r="D31" i="4"/>
  <c r="O29" i="4"/>
  <c r="O33" i="4" s="1"/>
  <c r="O35" i="4" s="1"/>
  <c r="O37" i="4" s="1"/>
  <c r="D43" i="3"/>
  <c r="D44" i="3" s="1"/>
  <c r="O30" i="3"/>
  <c r="O31" i="3"/>
  <c r="E82" i="3"/>
  <c r="D82" i="3"/>
  <c r="D31" i="3"/>
  <c r="O29" i="3"/>
  <c r="O33" i="3" s="1"/>
  <c r="O35" i="3" s="1"/>
  <c r="O37" i="3" s="1"/>
  <c r="D42" i="2"/>
  <c r="D43" i="2"/>
  <c r="D44" i="2" s="1"/>
  <c r="O30" i="2"/>
  <c r="O31" i="2"/>
  <c r="E82" i="2"/>
  <c r="D82" i="2"/>
  <c r="D31" i="2"/>
  <c r="O29" i="2"/>
  <c r="O33" i="2" s="1"/>
  <c r="O35" i="2" s="1"/>
  <c r="O37" i="2" s="1"/>
  <c r="D75" i="30" l="1"/>
  <c r="D80" i="30"/>
  <c r="D37" i="30"/>
  <c r="D45" i="30"/>
  <c r="D47" i="30" s="1"/>
  <c r="D81" i="30"/>
  <c r="O33" i="30"/>
  <c r="O35" i="30" s="1"/>
  <c r="O37" i="30" s="1"/>
  <c r="D37" i="29"/>
  <c r="D75" i="29"/>
  <c r="D80" i="29"/>
  <c r="D45" i="29"/>
  <c r="D47" i="29" s="1"/>
  <c r="D81" i="29"/>
  <c r="O33" i="29"/>
  <c r="O35" i="29" s="1"/>
  <c r="O37" i="29" s="1"/>
  <c r="D37" i="28"/>
  <c r="D75" i="28"/>
  <c r="D80" i="28"/>
  <c r="D45" i="28"/>
  <c r="D47" i="28" s="1"/>
  <c r="D81" i="28"/>
  <c r="O33" i="28"/>
  <c r="O35" i="28" s="1"/>
  <c r="O37" i="28" s="1"/>
  <c r="D37" i="27"/>
  <c r="D75" i="27"/>
  <c r="D80" i="27"/>
  <c r="D45" i="27"/>
  <c r="D47" i="27" s="1"/>
  <c r="D81" i="27"/>
  <c r="O33" i="27"/>
  <c r="O35" i="27" s="1"/>
  <c r="O37" i="27" s="1"/>
  <c r="D37" i="26"/>
  <c r="D75" i="26"/>
  <c r="D80" i="26"/>
  <c r="D45" i="26"/>
  <c r="D47" i="26" s="1"/>
  <c r="D81" i="26"/>
  <c r="O33" i="26"/>
  <c r="O35" i="26" s="1"/>
  <c r="O37" i="26" s="1"/>
  <c r="D42" i="25"/>
  <c r="D44" i="25" s="1"/>
  <c r="D47" i="25" s="1"/>
  <c r="D49" i="25" s="1"/>
  <c r="D51" i="25" s="1"/>
  <c r="D63" i="25" s="1"/>
  <c r="D99" i="25"/>
  <c r="D90" i="25"/>
  <c r="D105" i="25"/>
  <c r="J44" i="25"/>
  <c r="J45" i="25" s="1"/>
  <c r="D101" i="25"/>
  <c r="D100" i="25"/>
  <c r="D104" i="25" s="1"/>
  <c r="J31" i="25"/>
  <c r="J32" i="25" s="1"/>
  <c r="O34" i="25"/>
  <c r="O35" i="25" s="1"/>
  <c r="O38" i="25"/>
  <c r="O37" i="25"/>
  <c r="O39" i="25" s="1"/>
  <c r="E108" i="25"/>
  <c r="E110" i="25"/>
  <c r="E112" i="25" s="1"/>
  <c r="E113" i="24"/>
  <c r="D42" i="24"/>
  <c r="D44" i="24" s="1"/>
  <c r="D99" i="24"/>
  <c r="D47" i="24"/>
  <c r="D90" i="24"/>
  <c r="J44" i="24"/>
  <c r="J45" i="24" s="1"/>
  <c r="D101" i="24"/>
  <c r="D100" i="24"/>
  <c r="J31" i="24"/>
  <c r="J32" i="24" s="1"/>
  <c r="T28" i="24"/>
  <c r="O30" i="24" s="1"/>
  <c r="O32" i="24" s="1"/>
  <c r="T28" i="22"/>
  <c r="O30" i="22" s="1"/>
  <c r="O32" i="22" s="1"/>
  <c r="E113" i="23"/>
  <c r="D42" i="23"/>
  <c r="D44" i="23" s="1"/>
  <c r="D99" i="23"/>
  <c r="D47" i="23"/>
  <c r="D90" i="23"/>
  <c r="J44" i="23"/>
  <c r="J45" i="23" s="1"/>
  <c r="D101" i="23"/>
  <c r="D100" i="23"/>
  <c r="J31" i="23"/>
  <c r="J32" i="23" s="1"/>
  <c r="O34" i="23"/>
  <c r="O35" i="23" s="1"/>
  <c r="O38" i="23"/>
  <c r="O37" i="23"/>
  <c r="O39" i="23" s="1"/>
  <c r="D42" i="22"/>
  <c r="D44" i="22" s="1"/>
  <c r="D99" i="22"/>
  <c r="D47" i="22"/>
  <c r="D90" i="22"/>
  <c r="J44" i="22"/>
  <c r="J45" i="22" s="1"/>
  <c r="D101" i="22"/>
  <c r="D100" i="22"/>
  <c r="J31" i="22"/>
  <c r="J32" i="22" s="1"/>
  <c r="O34" i="22"/>
  <c r="O35" i="22" s="1"/>
  <c r="O38" i="22"/>
  <c r="O37" i="22"/>
  <c r="O39" i="22" s="1"/>
  <c r="E108" i="22"/>
  <c r="E110" i="22"/>
  <c r="E112" i="22" s="1"/>
  <c r="E113" i="21"/>
  <c r="D42" i="21"/>
  <c r="D44" i="21" s="1"/>
  <c r="D99" i="21"/>
  <c r="D47" i="21"/>
  <c r="D90" i="21"/>
  <c r="J44" i="21"/>
  <c r="J45" i="21" s="1"/>
  <c r="D101" i="21"/>
  <c r="D100" i="21"/>
  <c r="J31" i="21"/>
  <c r="J32" i="21" s="1"/>
  <c r="O34" i="21"/>
  <c r="O35" i="21" s="1"/>
  <c r="O38" i="21"/>
  <c r="O37" i="21"/>
  <c r="O39" i="21" s="1"/>
  <c r="E113" i="20"/>
  <c r="D42" i="20"/>
  <c r="D44" i="20" s="1"/>
  <c r="D99" i="20"/>
  <c r="D47" i="20"/>
  <c r="D90" i="20"/>
  <c r="J44" i="20"/>
  <c r="J45" i="20" s="1"/>
  <c r="D101" i="20"/>
  <c r="D100" i="20"/>
  <c r="J31" i="20"/>
  <c r="J32" i="20" s="1"/>
  <c r="O34" i="20"/>
  <c r="O35" i="20" s="1"/>
  <c r="O38" i="20"/>
  <c r="O37" i="20"/>
  <c r="O39" i="20" s="1"/>
  <c r="E113" i="19"/>
  <c r="D42" i="19"/>
  <c r="D44" i="19" s="1"/>
  <c r="D99" i="19"/>
  <c r="D47" i="19"/>
  <c r="D90" i="19"/>
  <c r="J44" i="19"/>
  <c r="J45" i="19" s="1"/>
  <c r="D101" i="19"/>
  <c r="D100" i="19"/>
  <c r="J31" i="19"/>
  <c r="J32" i="19" s="1"/>
  <c r="O34" i="19"/>
  <c r="O35" i="19" s="1"/>
  <c r="O38" i="19"/>
  <c r="O37" i="19"/>
  <c r="O39" i="19" s="1"/>
  <c r="E113" i="18"/>
  <c r="D42" i="18"/>
  <c r="D44" i="18" s="1"/>
  <c r="D99" i="18"/>
  <c r="D47" i="18"/>
  <c r="D90" i="18"/>
  <c r="J44" i="18"/>
  <c r="J45" i="18" s="1"/>
  <c r="D101" i="18"/>
  <c r="D100" i="18"/>
  <c r="J31" i="18"/>
  <c r="J32" i="18" s="1"/>
  <c r="O34" i="18"/>
  <c r="O35" i="18" s="1"/>
  <c r="O38" i="18"/>
  <c r="O37" i="18"/>
  <c r="O39" i="18" s="1"/>
  <c r="T28" i="17"/>
  <c r="O30" i="17" s="1"/>
  <c r="O32" i="17" s="1"/>
  <c r="E113" i="17"/>
  <c r="D42" i="17"/>
  <c r="D44" i="17" s="1"/>
  <c r="D99" i="17"/>
  <c r="D47" i="17"/>
  <c r="D90" i="17"/>
  <c r="J44" i="17"/>
  <c r="J45" i="17" s="1"/>
  <c r="D101" i="17"/>
  <c r="D100" i="17"/>
  <c r="J31" i="17"/>
  <c r="J32" i="17" s="1"/>
  <c r="O34" i="17"/>
  <c r="O35" i="17" s="1"/>
  <c r="O38" i="17"/>
  <c r="O37" i="17"/>
  <c r="O39" i="17" s="1"/>
  <c r="E113" i="16"/>
  <c r="D42" i="16"/>
  <c r="D44" i="16" s="1"/>
  <c r="D47" i="16" s="1"/>
  <c r="D99" i="16"/>
  <c r="D90" i="16"/>
  <c r="J44" i="16"/>
  <c r="J45" i="16" s="1"/>
  <c r="D101" i="16"/>
  <c r="D100" i="16"/>
  <c r="J31" i="16"/>
  <c r="J32" i="16" s="1"/>
  <c r="O34" i="16"/>
  <c r="O35" i="16" s="1"/>
  <c r="O38" i="16"/>
  <c r="O37" i="16"/>
  <c r="O39" i="16" s="1"/>
  <c r="E113" i="15"/>
  <c r="D42" i="15"/>
  <c r="D44" i="15" s="1"/>
  <c r="D99" i="15"/>
  <c r="D47" i="15"/>
  <c r="D90" i="15"/>
  <c r="J44" i="15"/>
  <c r="J45" i="15" s="1"/>
  <c r="D101" i="15"/>
  <c r="D100" i="15"/>
  <c r="J31" i="15"/>
  <c r="J32" i="15" s="1"/>
  <c r="O34" i="15"/>
  <c r="O35" i="15" s="1"/>
  <c r="O38" i="15"/>
  <c r="O37" i="15"/>
  <c r="O39" i="15" s="1"/>
  <c r="D42" i="14"/>
  <c r="D44" i="14" s="1"/>
  <c r="D99" i="14"/>
  <c r="D47" i="14"/>
  <c r="D90" i="14"/>
  <c r="J44" i="14"/>
  <c r="J45" i="14" s="1"/>
  <c r="D101" i="14"/>
  <c r="D100" i="14"/>
  <c r="J31" i="14"/>
  <c r="J32" i="14" s="1"/>
  <c r="O34" i="14"/>
  <c r="O35" i="14" s="1"/>
  <c r="O38" i="14"/>
  <c r="O37" i="14"/>
  <c r="O39" i="14" s="1"/>
  <c r="E108" i="14"/>
  <c r="E110" i="14"/>
  <c r="E112" i="14" s="1"/>
  <c r="E113" i="13"/>
  <c r="D42" i="13"/>
  <c r="D44" i="13" s="1"/>
  <c r="D99" i="13"/>
  <c r="D47" i="13"/>
  <c r="D90" i="13"/>
  <c r="D105" i="13"/>
  <c r="J44" i="13"/>
  <c r="J45" i="13" s="1"/>
  <c r="D101" i="13"/>
  <c r="D100" i="13"/>
  <c r="D104" i="13" s="1"/>
  <c r="J31" i="13"/>
  <c r="J32" i="13" s="1"/>
  <c r="O34" i="13"/>
  <c r="O35" i="13" s="1"/>
  <c r="O38" i="13"/>
  <c r="O37" i="13"/>
  <c r="O39" i="13" s="1"/>
  <c r="E113" i="12"/>
  <c r="D42" i="12"/>
  <c r="D44" i="12" s="1"/>
  <c r="D99" i="12"/>
  <c r="D47" i="12"/>
  <c r="D90" i="12"/>
  <c r="D105" i="12"/>
  <c r="J44" i="12"/>
  <c r="J45" i="12" s="1"/>
  <c r="D101" i="12"/>
  <c r="D100" i="12"/>
  <c r="D104" i="12" s="1"/>
  <c r="J31" i="12"/>
  <c r="J32" i="12" s="1"/>
  <c r="O38" i="12"/>
  <c r="O37" i="12"/>
  <c r="O39" i="12" s="1"/>
  <c r="O34" i="12"/>
  <c r="O35" i="12" s="1"/>
  <c r="D45" i="11"/>
  <c r="D47" i="11" s="1"/>
  <c r="D81" i="11"/>
  <c r="E80" i="11"/>
  <c r="E84" i="11" s="1"/>
  <c r="D35" i="11"/>
  <c r="D36" i="11" s="1"/>
  <c r="O39" i="11"/>
  <c r="O42" i="11"/>
  <c r="O44" i="11" s="1"/>
  <c r="O43" i="11"/>
  <c r="D45" i="9"/>
  <c r="D47" i="9" s="1"/>
  <c r="D81" i="9"/>
  <c r="E80" i="9"/>
  <c r="E84" i="9" s="1"/>
  <c r="D35" i="9"/>
  <c r="D36" i="9" s="1"/>
  <c r="O39" i="9"/>
  <c r="O42" i="9"/>
  <c r="O44" i="9" s="1"/>
  <c r="O43" i="9"/>
  <c r="D42" i="8"/>
  <c r="D44" i="8" s="1"/>
  <c r="D99" i="8"/>
  <c r="D47" i="8"/>
  <c r="D90" i="8"/>
  <c r="J44" i="8"/>
  <c r="J45" i="8" s="1"/>
  <c r="D101" i="8"/>
  <c r="D100" i="8"/>
  <c r="J31" i="8"/>
  <c r="J32" i="8" s="1"/>
  <c r="O34" i="8"/>
  <c r="O35" i="8" s="1"/>
  <c r="O37" i="8"/>
  <c r="O38" i="8"/>
  <c r="E108" i="8"/>
  <c r="E110" i="8"/>
  <c r="E112" i="8" s="1"/>
  <c r="E113" i="7"/>
  <c r="D42" i="7"/>
  <c r="D44" i="7" s="1"/>
  <c r="D99" i="7"/>
  <c r="D47" i="7"/>
  <c r="D90" i="7"/>
  <c r="J44" i="7"/>
  <c r="J45" i="7" s="1"/>
  <c r="D101" i="7"/>
  <c r="D100" i="7"/>
  <c r="J31" i="7"/>
  <c r="J32" i="7" s="1"/>
  <c r="O34" i="7"/>
  <c r="O35" i="7" s="1"/>
  <c r="O37" i="7"/>
  <c r="O38" i="7"/>
  <c r="D42" i="6"/>
  <c r="D44" i="6" s="1"/>
  <c r="D99" i="6"/>
  <c r="D47" i="6"/>
  <c r="D90" i="6"/>
  <c r="J44" i="6"/>
  <c r="J45" i="6" s="1"/>
  <c r="D101" i="6"/>
  <c r="D100" i="6"/>
  <c r="J31" i="6"/>
  <c r="J32" i="6" s="1"/>
  <c r="O34" i="6"/>
  <c r="O35" i="6" s="1"/>
  <c r="O37" i="6"/>
  <c r="O38" i="6"/>
  <c r="E108" i="6"/>
  <c r="E110" i="6"/>
  <c r="E112" i="6" s="1"/>
  <c r="D45" i="4"/>
  <c r="D47" i="4" s="1"/>
  <c r="D81" i="4"/>
  <c r="E80" i="4"/>
  <c r="E84" i="4" s="1"/>
  <c r="D35" i="4"/>
  <c r="D36" i="4" s="1"/>
  <c r="O39" i="4"/>
  <c r="O42" i="4"/>
  <c r="O43" i="4"/>
  <c r="D45" i="3"/>
  <c r="D47" i="3" s="1"/>
  <c r="D81" i="3"/>
  <c r="E80" i="3"/>
  <c r="E84" i="3" s="1"/>
  <c r="D35" i="3"/>
  <c r="D36" i="3" s="1"/>
  <c r="O39" i="3"/>
  <c r="O42" i="3"/>
  <c r="O43" i="3"/>
  <c r="D45" i="2"/>
  <c r="D47" i="2" s="1"/>
  <c r="D81" i="2"/>
  <c r="E80" i="2"/>
  <c r="E84" i="2" s="1"/>
  <c r="D35" i="2"/>
  <c r="D36" i="2" s="1"/>
  <c r="O39" i="2"/>
  <c r="O42" i="2"/>
  <c r="O43" i="2"/>
  <c r="D83" i="30" l="1"/>
  <c r="D82" i="30"/>
  <c r="D49" i="30"/>
  <c r="D51" i="30" s="1"/>
  <c r="D53" i="30" s="1"/>
  <c r="D67" i="30" s="1"/>
  <c r="D57" i="30"/>
  <c r="D69" i="30" s="1"/>
  <c r="D58" i="30"/>
  <c r="D71" i="30" s="1"/>
  <c r="O42" i="30"/>
  <c r="O43" i="30"/>
  <c r="O39" i="30"/>
  <c r="D49" i="29"/>
  <c r="D51" i="29" s="1"/>
  <c r="D53" i="29" s="1"/>
  <c r="D67" i="29" s="1"/>
  <c r="D57" i="29"/>
  <c r="D69" i="29" s="1"/>
  <c r="D58" i="29"/>
  <c r="D71" i="29" s="1"/>
  <c r="D82" i="29"/>
  <c r="D83" i="29"/>
  <c r="O43" i="29"/>
  <c r="O42" i="29"/>
  <c r="O44" i="29" s="1"/>
  <c r="O39" i="29"/>
  <c r="D49" i="28"/>
  <c r="D51" i="28" s="1"/>
  <c r="D53" i="28" s="1"/>
  <c r="D67" i="28" s="1"/>
  <c r="D57" i="28"/>
  <c r="D69" i="28" s="1"/>
  <c r="D58" i="28"/>
  <c r="D71" i="28" s="1"/>
  <c r="D82" i="28"/>
  <c r="D83" i="28"/>
  <c r="O43" i="28"/>
  <c r="O42" i="28"/>
  <c r="O44" i="28" s="1"/>
  <c r="O39" i="28"/>
  <c r="D49" i="27"/>
  <c r="D51" i="27" s="1"/>
  <c r="D53" i="27" s="1"/>
  <c r="D67" i="27" s="1"/>
  <c r="D57" i="27"/>
  <c r="D69" i="27" s="1"/>
  <c r="D58" i="27"/>
  <c r="D71" i="27" s="1"/>
  <c r="D82" i="27"/>
  <c r="D83" i="27"/>
  <c r="O43" i="27"/>
  <c r="O42" i="27"/>
  <c r="O44" i="27" s="1"/>
  <c r="O39" i="27"/>
  <c r="D49" i="26"/>
  <c r="D51" i="26" s="1"/>
  <c r="D53" i="26" s="1"/>
  <c r="D67" i="26" s="1"/>
  <c r="D57" i="26"/>
  <c r="D69" i="26" s="1"/>
  <c r="D58" i="26"/>
  <c r="D71" i="26" s="1"/>
  <c r="D82" i="26"/>
  <c r="D83" i="26"/>
  <c r="O43" i="26"/>
  <c r="O42" i="26"/>
  <c r="O44" i="26" s="1"/>
  <c r="O39" i="26"/>
  <c r="F104" i="25"/>
  <c r="D107" i="25"/>
  <c r="D110" i="25"/>
  <c r="H124" i="25"/>
  <c r="N55" i="25"/>
  <c r="D66" i="25" s="1"/>
  <c r="O41" i="25"/>
  <c r="D64" i="25" s="1"/>
  <c r="E113" i="25"/>
  <c r="D91" i="25"/>
  <c r="D92" i="25"/>
  <c r="D96" i="25" s="1"/>
  <c r="J47" i="25"/>
  <c r="D55" i="25"/>
  <c r="D65" i="25" s="1"/>
  <c r="D56" i="25"/>
  <c r="D67" i="25" s="1"/>
  <c r="O37" i="24"/>
  <c r="O38" i="24"/>
  <c r="O34" i="24"/>
  <c r="O35" i="24" s="1"/>
  <c r="D91" i="24"/>
  <c r="D92" i="24"/>
  <c r="D95" i="24" s="1"/>
  <c r="D96" i="24"/>
  <c r="D105" i="24"/>
  <c r="D104" i="24"/>
  <c r="J47" i="24"/>
  <c r="D49" i="24" s="1"/>
  <c r="D51" i="24" s="1"/>
  <c r="D63" i="24" s="1"/>
  <c r="D56" i="24"/>
  <c r="D67" i="24" s="1"/>
  <c r="D55" i="24"/>
  <c r="D65" i="24" s="1"/>
  <c r="D104" i="23"/>
  <c r="D105" i="23"/>
  <c r="F104" i="23"/>
  <c r="D107" i="23"/>
  <c r="D110" i="23"/>
  <c r="H124" i="23"/>
  <c r="N55" i="23"/>
  <c r="D66" i="23" s="1"/>
  <c r="O41" i="23"/>
  <c r="D64" i="23" s="1"/>
  <c r="D91" i="23"/>
  <c r="D92" i="23"/>
  <c r="D96" i="23" s="1"/>
  <c r="J47" i="23"/>
  <c r="D49" i="23" s="1"/>
  <c r="D51" i="23" s="1"/>
  <c r="D63" i="23" s="1"/>
  <c r="D55" i="23"/>
  <c r="D65" i="23" s="1"/>
  <c r="D56" i="23"/>
  <c r="D67" i="23" s="1"/>
  <c r="N55" i="22"/>
  <c r="D66" i="22" s="1"/>
  <c r="O41" i="22"/>
  <c r="D64" i="22" s="1"/>
  <c r="E113" i="22"/>
  <c r="D91" i="22"/>
  <c r="D92" i="22"/>
  <c r="D104" i="22"/>
  <c r="D105" i="22"/>
  <c r="J47" i="22"/>
  <c r="D49" i="22" s="1"/>
  <c r="D51" i="22" s="1"/>
  <c r="D63" i="22" s="1"/>
  <c r="D55" i="22"/>
  <c r="D65" i="22" s="1"/>
  <c r="D56" i="22"/>
  <c r="D67" i="22" s="1"/>
  <c r="N55" i="21"/>
  <c r="D66" i="21" s="1"/>
  <c r="O41" i="21"/>
  <c r="D64" i="21" s="1"/>
  <c r="D91" i="21"/>
  <c r="D92" i="21"/>
  <c r="D95" i="21"/>
  <c r="D96" i="21"/>
  <c r="D104" i="21"/>
  <c r="D105" i="21"/>
  <c r="J47" i="21"/>
  <c r="D49" i="21" s="1"/>
  <c r="D51" i="21" s="1"/>
  <c r="D63" i="21" s="1"/>
  <c r="D55" i="21"/>
  <c r="D65" i="21" s="1"/>
  <c r="D56" i="21"/>
  <c r="D67" i="21" s="1"/>
  <c r="N55" i="20"/>
  <c r="D66" i="20" s="1"/>
  <c r="O41" i="20"/>
  <c r="D64" i="20" s="1"/>
  <c r="D91" i="20"/>
  <c r="D92" i="20"/>
  <c r="D105" i="20"/>
  <c r="D104" i="20"/>
  <c r="J47" i="20"/>
  <c r="D49" i="20" s="1"/>
  <c r="D51" i="20" s="1"/>
  <c r="D63" i="20" s="1"/>
  <c r="D55" i="20"/>
  <c r="D65" i="20" s="1"/>
  <c r="D56" i="20"/>
  <c r="D67" i="20" s="1"/>
  <c r="N55" i="19"/>
  <c r="D66" i="19" s="1"/>
  <c r="O41" i="19"/>
  <c r="D64" i="19" s="1"/>
  <c r="D91" i="19"/>
  <c r="D92" i="19"/>
  <c r="D104" i="19"/>
  <c r="D105" i="19"/>
  <c r="J47" i="19"/>
  <c r="D49" i="19" s="1"/>
  <c r="D51" i="19" s="1"/>
  <c r="D63" i="19" s="1"/>
  <c r="D55" i="19"/>
  <c r="D65" i="19" s="1"/>
  <c r="D56" i="19"/>
  <c r="D67" i="19" s="1"/>
  <c r="N55" i="18"/>
  <c r="D66" i="18" s="1"/>
  <c r="O41" i="18"/>
  <c r="D64" i="18" s="1"/>
  <c r="D91" i="18"/>
  <c r="D92" i="18"/>
  <c r="D96" i="18" s="1"/>
  <c r="D95" i="18"/>
  <c r="D104" i="18"/>
  <c r="D105" i="18"/>
  <c r="J47" i="18"/>
  <c r="D49" i="18" s="1"/>
  <c r="D51" i="18" s="1"/>
  <c r="D63" i="18" s="1"/>
  <c r="D56" i="18"/>
  <c r="D67" i="18" s="1"/>
  <c r="D55" i="18"/>
  <c r="D65" i="18" s="1"/>
  <c r="N55" i="17"/>
  <c r="D66" i="17" s="1"/>
  <c r="O41" i="17"/>
  <c r="D64" i="17" s="1"/>
  <c r="D91" i="17"/>
  <c r="D92" i="17"/>
  <c r="D96" i="17" s="1"/>
  <c r="D104" i="17"/>
  <c r="D105" i="17"/>
  <c r="J47" i="17"/>
  <c r="D49" i="17" s="1"/>
  <c r="D51" i="17" s="1"/>
  <c r="D63" i="17" s="1"/>
  <c r="D56" i="17"/>
  <c r="D67" i="17" s="1"/>
  <c r="D55" i="17"/>
  <c r="D65" i="17" s="1"/>
  <c r="N55" i="16"/>
  <c r="D66" i="16" s="1"/>
  <c r="O41" i="16"/>
  <c r="D64" i="16" s="1"/>
  <c r="D91" i="16"/>
  <c r="D92" i="16"/>
  <c r="D96" i="16"/>
  <c r="D95" i="16"/>
  <c r="D104" i="16"/>
  <c r="D105" i="16"/>
  <c r="J47" i="16"/>
  <c r="D49" i="16" s="1"/>
  <c r="D51" i="16" s="1"/>
  <c r="D63" i="16" s="1"/>
  <c r="D55" i="16"/>
  <c r="D65" i="16" s="1"/>
  <c r="D56" i="16"/>
  <c r="D67" i="16" s="1"/>
  <c r="N55" i="15"/>
  <c r="D66" i="15" s="1"/>
  <c r="O41" i="15"/>
  <c r="D64" i="15" s="1"/>
  <c r="D91" i="15"/>
  <c r="D92" i="15"/>
  <c r="D95" i="15" s="1"/>
  <c r="D104" i="15"/>
  <c r="D105" i="15"/>
  <c r="J47" i="15"/>
  <c r="D49" i="15" s="1"/>
  <c r="D51" i="15" s="1"/>
  <c r="D63" i="15" s="1"/>
  <c r="D55" i="15"/>
  <c r="D65" i="15" s="1"/>
  <c r="D56" i="15"/>
  <c r="D67" i="15" s="1"/>
  <c r="N55" i="14"/>
  <c r="D66" i="14" s="1"/>
  <c r="O41" i="14"/>
  <c r="D64" i="14" s="1"/>
  <c r="E113" i="14"/>
  <c r="D91" i="14"/>
  <c r="D92" i="14"/>
  <c r="D95" i="14"/>
  <c r="D96" i="14"/>
  <c r="D104" i="14"/>
  <c r="D105" i="14"/>
  <c r="J47" i="14"/>
  <c r="D49" i="14" s="1"/>
  <c r="D51" i="14" s="1"/>
  <c r="D63" i="14" s="1"/>
  <c r="D56" i="14"/>
  <c r="D67" i="14" s="1"/>
  <c r="D55" i="14"/>
  <c r="D65" i="14" s="1"/>
  <c r="F104" i="13"/>
  <c r="D107" i="13"/>
  <c r="D110" i="13"/>
  <c r="H124" i="13"/>
  <c r="N55" i="13"/>
  <c r="D66" i="13" s="1"/>
  <c r="O41" i="13"/>
  <c r="D64" i="13" s="1"/>
  <c r="D91" i="13"/>
  <c r="D92" i="13"/>
  <c r="J47" i="13"/>
  <c r="D49" i="13" s="1"/>
  <c r="D51" i="13" s="1"/>
  <c r="D63" i="13" s="1"/>
  <c r="D55" i="13"/>
  <c r="D65" i="13" s="1"/>
  <c r="D56" i="13"/>
  <c r="D67" i="13" s="1"/>
  <c r="F104" i="12"/>
  <c r="D107" i="12"/>
  <c r="D110" i="12"/>
  <c r="H124" i="12"/>
  <c r="N55" i="12"/>
  <c r="D66" i="12" s="1"/>
  <c r="O41" i="12"/>
  <c r="D64" i="12" s="1"/>
  <c r="D91" i="12"/>
  <c r="D92" i="12"/>
  <c r="D95" i="12"/>
  <c r="D96" i="12"/>
  <c r="J47" i="12"/>
  <c r="D49" i="12" s="1"/>
  <c r="D51" i="12" s="1"/>
  <c r="D63" i="12" s="1"/>
  <c r="D55" i="12"/>
  <c r="D65" i="12" s="1"/>
  <c r="D56" i="12"/>
  <c r="D67" i="12" s="1"/>
  <c r="E87" i="11"/>
  <c r="E85" i="11"/>
  <c r="D37" i="11"/>
  <c r="D75" i="11"/>
  <c r="D80" i="11"/>
  <c r="D87" i="11"/>
  <c r="D88" i="11" s="1"/>
  <c r="O40" i="11"/>
  <c r="O46" i="11" s="1"/>
  <c r="D68" i="11" s="1"/>
  <c r="E87" i="9"/>
  <c r="E85" i="9"/>
  <c r="D37" i="9"/>
  <c r="D75" i="9"/>
  <c r="D80" i="9"/>
  <c r="D87" i="9"/>
  <c r="D88" i="9" s="1"/>
  <c r="O40" i="9"/>
  <c r="O46" i="9" s="1"/>
  <c r="D68" i="9" s="1"/>
  <c r="O39" i="7"/>
  <c r="N55" i="8"/>
  <c r="D66" i="8" s="1"/>
  <c r="E113" i="8"/>
  <c r="O39" i="8"/>
  <c r="O41" i="8" s="1"/>
  <c r="D64" i="8" s="1"/>
  <c r="D91" i="8"/>
  <c r="D92" i="8"/>
  <c r="D104" i="8"/>
  <c r="D105" i="8"/>
  <c r="J47" i="8"/>
  <c r="D49" i="8" s="1"/>
  <c r="D51" i="8" s="1"/>
  <c r="D63" i="8" s="1"/>
  <c r="D55" i="8"/>
  <c r="D65" i="8" s="1"/>
  <c r="D56" i="8"/>
  <c r="D67" i="8" s="1"/>
  <c r="N55" i="7"/>
  <c r="D66" i="7" s="1"/>
  <c r="O41" i="7"/>
  <c r="D64" i="7" s="1"/>
  <c r="D91" i="7"/>
  <c r="D92" i="7"/>
  <c r="D95" i="7" s="1"/>
  <c r="D105" i="7"/>
  <c r="D104" i="7"/>
  <c r="J47" i="7"/>
  <c r="D49" i="7" s="1"/>
  <c r="D51" i="7" s="1"/>
  <c r="D63" i="7" s="1"/>
  <c r="D55" i="7"/>
  <c r="D65" i="7" s="1"/>
  <c r="D56" i="7"/>
  <c r="D67" i="7" s="1"/>
  <c r="N55" i="6"/>
  <c r="D66" i="6" s="1"/>
  <c r="E113" i="6"/>
  <c r="O39" i="6"/>
  <c r="O41" i="6" s="1"/>
  <c r="D64" i="6" s="1"/>
  <c r="D91" i="6"/>
  <c r="D92" i="6"/>
  <c r="D95" i="6"/>
  <c r="D96" i="6"/>
  <c r="D104" i="6"/>
  <c r="D105" i="6"/>
  <c r="J47" i="6"/>
  <c r="D49" i="6" s="1"/>
  <c r="D51" i="6" s="1"/>
  <c r="D63" i="6" s="1"/>
  <c r="D55" i="6"/>
  <c r="D65" i="6" s="1"/>
  <c r="D56" i="6"/>
  <c r="D67" i="6" s="1"/>
  <c r="E87" i="4"/>
  <c r="E85" i="4"/>
  <c r="D37" i="4"/>
  <c r="D75" i="4"/>
  <c r="D80" i="4"/>
  <c r="D87" i="4"/>
  <c r="O40" i="4"/>
  <c r="O44" i="4"/>
  <c r="E87" i="3"/>
  <c r="E85" i="3"/>
  <c r="D37" i="3"/>
  <c r="D75" i="3"/>
  <c r="D80" i="3"/>
  <c r="D87" i="3"/>
  <c r="O40" i="3"/>
  <c r="O44" i="3"/>
  <c r="E87" i="2"/>
  <c r="E85" i="2"/>
  <c r="D37" i="2"/>
  <c r="D75" i="2"/>
  <c r="D80" i="2"/>
  <c r="D87" i="2"/>
  <c r="O40" i="2"/>
  <c r="O44" i="2"/>
  <c r="D85" i="30" l="1"/>
  <c r="O40" i="30"/>
  <c r="O44" i="30"/>
  <c r="D85" i="29"/>
  <c r="O40" i="29"/>
  <c r="D85" i="28"/>
  <c r="O40" i="28"/>
  <c r="D85" i="27"/>
  <c r="O40" i="27"/>
  <c r="D85" i="26"/>
  <c r="O40" i="26"/>
  <c r="D108" i="25"/>
  <c r="D112" i="25" s="1"/>
  <c r="D114" i="25" s="1"/>
  <c r="I124" i="25"/>
  <c r="D113" i="25"/>
  <c r="J124" i="25"/>
  <c r="K124" i="25" s="1"/>
  <c r="D95" i="25"/>
  <c r="D68" i="25"/>
  <c r="N55" i="24"/>
  <c r="D66" i="24" s="1"/>
  <c r="H124" i="24"/>
  <c r="D107" i="24"/>
  <c r="D110" i="24" s="1"/>
  <c r="F104" i="24"/>
  <c r="O39" i="24"/>
  <c r="O41" i="24" s="1"/>
  <c r="D64" i="24" s="1"/>
  <c r="D108" i="23"/>
  <c r="D112" i="23" s="1"/>
  <c r="E34" i="1" s="1"/>
  <c r="F34" i="1" s="1"/>
  <c r="I124" i="23"/>
  <c r="D114" i="23"/>
  <c r="D113" i="23"/>
  <c r="J124" i="23"/>
  <c r="K124" i="23" s="1"/>
  <c r="D68" i="23"/>
  <c r="D69" i="23" s="1"/>
  <c r="D95" i="23"/>
  <c r="D96" i="22"/>
  <c r="D95" i="22"/>
  <c r="H124" i="22"/>
  <c r="D107" i="22"/>
  <c r="D110" i="22" s="1"/>
  <c r="F104" i="22"/>
  <c r="D68" i="22"/>
  <c r="D69" i="22"/>
  <c r="D70" i="22"/>
  <c r="D72" i="22"/>
  <c r="D73" i="22"/>
  <c r="H124" i="21"/>
  <c r="D107" i="21"/>
  <c r="D110" i="21" s="1"/>
  <c r="F104" i="21"/>
  <c r="D68" i="21"/>
  <c r="D69" i="21" s="1"/>
  <c r="H124" i="20"/>
  <c r="D107" i="20"/>
  <c r="D110" i="20" s="1"/>
  <c r="F104" i="20"/>
  <c r="D68" i="20"/>
  <c r="D95" i="20"/>
  <c r="D96" i="20"/>
  <c r="D95" i="19"/>
  <c r="D96" i="19"/>
  <c r="H124" i="19"/>
  <c r="D107" i="19"/>
  <c r="D110" i="19" s="1"/>
  <c r="F104" i="19"/>
  <c r="D68" i="19"/>
  <c r="D69" i="19" s="1"/>
  <c r="H124" i="18"/>
  <c r="D107" i="18"/>
  <c r="D110" i="18" s="1"/>
  <c r="F104" i="18"/>
  <c r="D68" i="18"/>
  <c r="D69" i="18" s="1"/>
  <c r="H124" i="17"/>
  <c r="D107" i="17"/>
  <c r="D110" i="17" s="1"/>
  <c r="F104" i="17"/>
  <c r="D68" i="17"/>
  <c r="D69" i="17"/>
  <c r="D70" i="17"/>
  <c r="D72" i="17"/>
  <c r="D73" i="17"/>
  <c r="D95" i="17"/>
  <c r="H124" i="16"/>
  <c r="D107" i="16"/>
  <c r="D110" i="16" s="1"/>
  <c r="F104" i="16"/>
  <c r="D68" i="16"/>
  <c r="D69" i="16"/>
  <c r="D70" i="16"/>
  <c r="H124" i="15"/>
  <c r="D107" i="15"/>
  <c r="D110" i="15" s="1"/>
  <c r="F104" i="15"/>
  <c r="D68" i="15"/>
  <c r="D69" i="15"/>
  <c r="D70" i="15"/>
  <c r="D72" i="15"/>
  <c r="D73" i="15"/>
  <c r="D96" i="15"/>
  <c r="H124" i="14"/>
  <c r="D107" i="14"/>
  <c r="D110" i="14" s="1"/>
  <c r="F104" i="14"/>
  <c r="D68" i="14"/>
  <c r="D69" i="14"/>
  <c r="D70" i="14"/>
  <c r="D72" i="14"/>
  <c r="D73" i="14"/>
  <c r="D108" i="13"/>
  <c r="D112" i="13" s="1"/>
  <c r="I124" i="13"/>
  <c r="D114" i="13"/>
  <c r="D113" i="13"/>
  <c r="F21" i="1" s="1"/>
  <c r="J124" i="13"/>
  <c r="K124" i="13" s="1"/>
  <c r="D96" i="13"/>
  <c r="D95" i="13"/>
  <c r="D68" i="13"/>
  <c r="D69" i="13" s="1"/>
  <c r="D108" i="12"/>
  <c r="D112" i="12" s="1"/>
  <c r="I124" i="12"/>
  <c r="D114" i="12"/>
  <c r="D113" i="12"/>
  <c r="J124" i="12"/>
  <c r="K124" i="12" s="1"/>
  <c r="D68" i="12"/>
  <c r="D69" i="12"/>
  <c r="D70" i="12"/>
  <c r="D72" i="12"/>
  <c r="D73" i="12"/>
  <c r="D49" i="11"/>
  <c r="D51" i="11" s="1"/>
  <c r="D53" i="11" s="1"/>
  <c r="D67" i="11" s="1"/>
  <c r="D57" i="11"/>
  <c r="D69" i="11" s="1"/>
  <c r="D58" i="11"/>
  <c r="D71" i="11" s="1"/>
  <c r="F81" i="11"/>
  <c r="D84" i="11"/>
  <c r="D85" i="11"/>
  <c r="F85" i="11" s="1"/>
  <c r="E88" i="11"/>
  <c r="E90" i="11"/>
  <c r="E92" i="11" s="1"/>
  <c r="D49" i="9"/>
  <c r="D51" i="9" s="1"/>
  <c r="D53" i="9" s="1"/>
  <c r="D67" i="9" s="1"/>
  <c r="D57" i="9"/>
  <c r="D69" i="9" s="1"/>
  <c r="D58" i="9"/>
  <c r="D71" i="9" s="1"/>
  <c r="F81" i="9"/>
  <c r="D84" i="9"/>
  <c r="D85" i="9"/>
  <c r="F85" i="9" s="1"/>
  <c r="E88" i="9"/>
  <c r="E90" i="9"/>
  <c r="E92" i="9" s="1"/>
  <c r="D96" i="8"/>
  <c r="D95" i="8"/>
  <c r="D107" i="8"/>
  <c r="F104" i="8"/>
  <c r="D68" i="8"/>
  <c r="D107" i="7"/>
  <c r="F104" i="7"/>
  <c r="D68" i="7"/>
  <c r="D96" i="7"/>
  <c r="D107" i="6"/>
  <c r="F104" i="6"/>
  <c r="D68" i="6"/>
  <c r="D49" i="4"/>
  <c r="D51" i="4" s="1"/>
  <c r="D53" i="4" s="1"/>
  <c r="D67" i="4" s="1"/>
  <c r="D57" i="4"/>
  <c r="D69" i="4" s="1"/>
  <c r="D58" i="4"/>
  <c r="D71" i="4" s="1"/>
  <c r="F81" i="4"/>
  <c r="D84" i="4"/>
  <c r="D85" i="4"/>
  <c r="F85" i="4" s="1"/>
  <c r="D88" i="4"/>
  <c r="O46" i="4"/>
  <c r="D68" i="4" s="1"/>
  <c r="E88" i="4"/>
  <c r="E90" i="4"/>
  <c r="E92" i="4" s="1"/>
  <c r="D49" i="3"/>
  <c r="D51" i="3" s="1"/>
  <c r="D53" i="3" s="1"/>
  <c r="D67" i="3" s="1"/>
  <c r="D57" i="3"/>
  <c r="D69" i="3" s="1"/>
  <c r="D58" i="3"/>
  <c r="D71" i="3" s="1"/>
  <c r="F81" i="3"/>
  <c r="D84" i="3"/>
  <c r="D85" i="3"/>
  <c r="F85" i="3" s="1"/>
  <c r="D88" i="3"/>
  <c r="O46" i="3"/>
  <c r="D68" i="3" s="1"/>
  <c r="E88" i="3"/>
  <c r="E90" i="3"/>
  <c r="E92" i="3" s="1"/>
  <c r="D49" i="2"/>
  <c r="D51" i="2" s="1"/>
  <c r="D53" i="2" s="1"/>
  <c r="D67" i="2" s="1"/>
  <c r="D57" i="2"/>
  <c r="D69" i="2" s="1"/>
  <c r="D58" i="2"/>
  <c r="D71" i="2" s="1"/>
  <c r="F81" i="2"/>
  <c r="D84" i="2"/>
  <c r="D85" i="2"/>
  <c r="F85" i="2" s="1"/>
  <c r="D88" i="2"/>
  <c r="O46" i="2"/>
  <c r="D68" i="2" s="1"/>
  <c r="E88" i="2"/>
  <c r="E90" i="2"/>
  <c r="D88" i="30" l="1"/>
  <c r="D86" i="30"/>
  <c r="O46" i="30"/>
  <c r="D68" i="30" s="1"/>
  <c r="D70" i="30"/>
  <c r="D88" i="29"/>
  <c r="D86" i="29"/>
  <c r="O46" i="29"/>
  <c r="D68" i="29" s="1"/>
  <c r="D70" i="29"/>
  <c r="D88" i="28"/>
  <c r="D86" i="28"/>
  <c r="O46" i="28"/>
  <c r="D68" i="28" s="1"/>
  <c r="D70" i="28"/>
  <c r="D88" i="27"/>
  <c r="D86" i="27"/>
  <c r="O46" i="27"/>
  <c r="D68" i="27" s="1"/>
  <c r="D70" i="27"/>
  <c r="D88" i="26"/>
  <c r="D86" i="26"/>
  <c r="O46" i="26"/>
  <c r="D68" i="26" s="1"/>
  <c r="D70" i="26"/>
  <c r="D69" i="25"/>
  <c r="D70" i="25" s="1"/>
  <c r="D108" i="24"/>
  <c r="D112" i="24" s="1"/>
  <c r="I124" i="24"/>
  <c r="D68" i="24"/>
  <c r="D70" i="23"/>
  <c r="D108" i="22"/>
  <c r="D112" i="22" s="1"/>
  <c r="E33" i="1" s="1"/>
  <c r="F33" i="1" s="1"/>
  <c r="I124" i="22"/>
  <c r="D108" i="21"/>
  <c r="D112" i="21" s="1"/>
  <c r="I124" i="21"/>
  <c r="D70" i="21"/>
  <c r="D73" i="21"/>
  <c r="D72" i="21"/>
  <c r="D108" i="20"/>
  <c r="D112" i="20" s="1"/>
  <c r="I124" i="20"/>
  <c r="D69" i="20"/>
  <c r="D108" i="19"/>
  <c r="D112" i="19" s="1"/>
  <c r="I124" i="19"/>
  <c r="D70" i="19"/>
  <c r="D73" i="19" s="1"/>
  <c r="D72" i="19"/>
  <c r="D108" i="18"/>
  <c r="D112" i="18" s="1"/>
  <c r="I124" i="18"/>
  <c r="D70" i="18"/>
  <c r="D73" i="18" s="1"/>
  <c r="D72" i="18"/>
  <c r="D73" i="16"/>
  <c r="D72" i="16"/>
  <c r="D108" i="17"/>
  <c r="D112" i="17" s="1"/>
  <c r="I124" i="17"/>
  <c r="D108" i="16"/>
  <c r="D112" i="16" s="1"/>
  <c r="I124" i="16"/>
  <c r="D108" i="15"/>
  <c r="D112" i="15" s="1"/>
  <c r="I124" i="15"/>
  <c r="D108" i="14"/>
  <c r="D112" i="14" s="1"/>
  <c r="I124" i="14"/>
  <c r="D70" i="13"/>
  <c r="D72" i="11"/>
  <c r="F84" i="11"/>
  <c r="D90" i="11"/>
  <c r="D92" i="11" s="1"/>
  <c r="D94" i="11" s="1"/>
  <c r="D72" i="9"/>
  <c r="F84" i="9"/>
  <c r="D90" i="9"/>
  <c r="D92" i="9" s="1"/>
  <c r="D94" i="9" s="1"/>
  <c r="D108" i="8"/>
  <c r="D110" i="8"/>
  <c r="D112" i="8" s="1"/>
  <c r="D69" i="8"/>
  <c r="D70" i="8"/>
  <c r="D73" i="8"/>
  <c r="D108" i="7"/>
  <c r="D110" i="7"/>
  <c r="D112" i="7" s="1"/>
  <c r="D69" i="7"/>
  <c r="D108" i="6"/>
  <c r="D110" i="6"/>
  <c r="D112" i="6" s="1"/>
  <c r="D69" i="6"/>
  <c r="D72" i="4"/>
  <c r="F84" i="4"/>
  <c r="D90" i="4"/>
  <c r="D92" i="4" s="1"/>
  <c r="D93" i="4" s="1"/>
  <c r="E14" i="1" s="1"/>
  <c r="F14" i="1" s="1"/>
  <c r="D94" i="4"/>
  <c r="E93" i="4"/>
  <c r="D72" i="3"/>
  <c r="F84" i="3"/>
  <c r="D90" i="3"/>
  <c r="D92" i="3" s="1"/>
  <c r="D93" i="3" s="1"/>
  <c r="D94" i="3"/>
  <c r="E93" i="3"/>
  <c r="E92" i="2"/>
  <c r="E93" i="2" s="1"/>
  <c r="D72" i="2"/>
  <c r="F84" i="2"/>
  <c r="D90" i="2"/>
  <c r="D92" i="2" s="1"/>
  <c r="D72" i="30" l="1"/>
  <c r="D73" i="30"/>
  <c r="D90" i="30"/>
  <c r="D91" i="30" s="1"/>
  <c r="D72" i="29"/>
  <c r="D73" i="29"/>
  <c r="D74" i="29"/>
  <c r="D77" i="29"/>
  <c r="D78" i="29"/>
  <c r="D90" i="29"/>
  <c r="D91" i="29" s="1"/>
  <c r="D72" i="28"/>
  <c r="D90" i="28"/>
  <c r="D91" i="28" s="1"/>
  <c r="D72" i="27"/>
  <c r="D90" i="27"/>
  <c r="D91" i="27" s="1"/>
  <c r="D72" i="26"/>
  <c r="D73" i="26"/>
  <c r="D74" i="26"/>
  <c r="D77" i="26"/>
  <c r="D78" i="26"/>
  <c r="D90" i="26"/>
  <c r="D91" i="26" s="1"/>
  <c r="D73" i="25"/>
  <c r="D72" i="25"/>
  <c r="J124" i="24"/>
  <c r="K124" i="24" s="1"/>
  <c r="D113" i="24"/>
  <c r="D114" i="24"/>
  <c r="D69" i="24"/>
  <c r="D72" i="23"/>
  <c r="D73" i="23"/>
  <c r="J124" i="22"/>
  <c r="K124" i="22" s="1"/>
  <c r="D113" i="22"/>
  <c r="D114" i="22"/>
  <c r="J124" i="21"/>
  <c r="K124" i="21" s="1"/>
  <c r="D113" i="21"/>
  <c r="D114" i="21"/>
  <c r="J124" i="20"/>
  <c r="K124" i="20" s="1"/>
  <c r="D113" i="20"/>
  <c r="D114" i="20"/>
  <c r="D70" i="20"/>
  <c r="J124" i="19"/>
  <c r="K124" i="19" s="1"/>
  <c r="D113" i="19"/>
  <c r="D114" i="19"/>
  <c r="J124" i="18"/>
  <c r="K124" i="18" s="1"/>
  <c r="D113" i="18"/>
  <c r="D114" i="18"/>
  <c r="J124" i="17"/>
  <c r="K124" i="17" s="1"/>
  <c r="D113" i="17"/>
  <c r="D114" i="17"/>
  <c r="J124" i="16"/>
  <c r="K124" i="16" s="1"/>
  <c r="D113" i="16"/>
  <c r="D114" i="16"/>
  <c r="J124" i="15"/>
  <c r="K124" i="15" s="1"/>
  <c r="D113" i="15"/>
  <c r="D114" i="15"/>
  <c r="J124" i="14"/>
  <c r="K124" i="14" s="1"/>
  <c r="D113" i="14"/>
  <c r="F22" i="1" s="1"/>
  <c r="D114" i="14"/>
  <c r="D73" i="13"/>
  <c r="D72" i="13"/>
  <c r="D73" i="11"/>
  <c r="D73" i="9"/>
  <c r="D74" i="9"/>
  <c r="D113" i="8"/>
  <c r="E10" i="1" s="1"/>
  <c r="F10" i="1" s="1"/>
  <c r="D114" i="8"/>
  <c r="D72" i="8"/>
  <c r="D113" i="7"/>
  <c r="E9" i="1" s="1"/>
  <c r="F9" i="1" s="1"/>
  <c r="D114" i="7"/>
  <c r="D70" i="7"/>
  <c r="D113" i="6"/>
  <c r="D114" i="6"/>
  <c r="D70" i="6"/>
  <c r="D94" i="2"/>
  <c r="D93" i="2"/>
  <c r="E12" i="1" s="1"/>
  <c r="F12" i="1" s="1"/>
  <c r="D73" i="4"/>
  <c r="D73" i="3"/>
  <c r="D73" i="2"/>
  <c r="D74" i="30" l="1"/>
  <c r="D77" i="30"/>
  <c r="D78" i="30"/>
  <c r="D77" i="28"/>
  <c r="D73" i="28"/>
  <c r="D74" i="28"/>
  <c r="D78" i="28"/>
  <c r="D73" i="27"/>
  <c r="D70" i="24"/>
  <c r="D73" i="20"/>
  <c r="D72" i="20"/>
  <c r="D74" i="11"/>
  <c r="D77" i="9"/>
  <c r="D78" i="9"/>
  <c r="D72" i="7"/>
  <c r="D73" i="7"/>
  <c r="D73" i="6"/>
  <c r="D72" i="6"/>
  <c r="D74" i="4"/>
  <c r="D74" i="3"/>
  <c r="D74" i="2"/>
  <c r="D74" i="27" l="1"/>
  <c r="D72" i="24"/>
  <c r="D73" i="24"/>
  <c r="D78" i="11"/>
  <c r="D77" i="11"/>
  <c r="D77" i="4"/>
  <c r="D78" i="4"/>
  <c r="D77" i="3"/>
  <c r="D78" i="3"/>
  <c r="D77" i="2"/>
  <c r="D78" i="2"/>
  <c r="D77" i="27" l="1"/>
  <c r="D78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2" authorId="0" shapeId="0" xr:uid="{D13C76F9-7CA8-4321-8406-55C8C161A0F5}">
      <text>
        <r>
          <rPr>
            <sz val="10"/>
            <rFont val="Arial"/>
            <family val="2"/>
          </rPr>
          <t>Changed from 4 to 2 per user instruction (4 x 20 mm perforations do not fit trough width).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<sst xmlns="http://schemas.openxmlformats.org/spreadsheetml/2006/main" count="4168" uniqueCount="354">
  <si>
    <t>Item Description</t>
  </si>
  <si>
    <t>UOM</t>
  </si>
  <si>
    <t>Unit FOR Rate</t>
  </si>
  <si>
    <t xml:space="preserve">Total FOR Value </t>
  </si>
  <si>
    <t xml:space="preserve">Remarks </t>
  </si>
  <si>
    <t xml:space="preserve">3X800MW NTPC Nabinagar Thermal Project at Bihar State </t>
  </si>
  <si>
    <t xml:space="preserve">Price Schedule </t>
  </si>
  <si>
    <t>Total FOR Value, Excl GST</t>
  </si>
  <si>
    <t>Total Qty</t>
  </si>
  <si>
    <t>KM</t>
  </si>
  <si>
    <t>A</t>
  </si>
  <si>
    <t>B</t>
  </si>
  <si>
    <t>C</t>
  </si>
  <si>
    <t>Cable Tray</t>
  </si>
  <si>
    <t>A1</t>
  </si>
  <si>
    <t>Cable Tray - Ladder Type</t>
  </si>
  <si>
    <t>600 mm(Wide), 100mm(Height), 2mm(Thickness)</t>
  </si>
  <si>
    <t>300 mm(Wide), 100mm(Height), 2mm(Thickness)</t>
  </si>
  <si>
    <t>150 mm(Wide), 100mm(Height), 2mm(Thickness)</t>
  </si>
  <si>
    <t>i</t>
  </si>
  <si>
    <t>II</t>
  </si>
  <si>
    <t>iii</t>
  </si>
  <si>
    <t>Cable Tray - Perforated Type</t>
  </si>
  <si>
    <t>A2</t>
  </si>
  <si>
    <t>A3</t>
  </si>
  <si>
    <t>Cable Tray - Troughs, U-Shaped</t>
  </si>
  <si>
    <t>75 mm(Wide), 25mm(Depth), 2mm(Thickness)</t>
  </si>
  <si>
    <t>50 mm(Wide), 25mm(Depth), 2mm(Thickness)</t>
  </si>
  <si>
    <t>Cable Tray - Bend, TEE &amp; Reducer</t>
  </si>
  <si>
    <t>Ladder Type Horizontal Bend 90deg Bending Radius 1200mm</t>
  </si>
  <si>
    <t>B1</t>
  </si>
  <si>
    <t>600 mm (Wide) - 2.36 m (Approx), 100mm(Height), 2mm(Thickness)</t>
  </si>
  <si>
    <t>300 mm (Wide) - 1.9 m (Approx), 100mm(Height), 2mm(Thickness)</t>
  </si>
  <si>
    <t>150 mm (Wide) - 1.9 m (Approx), 100mm(Height), 2mm(Thickness)</t>
  </si>
  <si>
    <t>No</t>
  </si>
  <si>
    <t>B2</t>
  </si>
  <si>
    <t>Ladder Type Vertical Bend - 90deg (UP) Bending Radius 1050mm</t>
  </si>
  <si>
    <t>300 mm (Wide) - 2.36 m (Approx), 100mm(Height), 2mm(Thickness)</t>
  </si>
  <si>
    <t>150 mm (Wide) - 2.12 m (Approx), 100mm(Height), 2mm(Thickness)</t>
  </si>
  <si>
    <t>600 mm (Wide) - 1.9 m (Approx), 100mm(Height), 2mm(Thickness)</t>
  </si>
  <si>
    <t>B3</t>
  </si>
  <si>
    <t>Ladder Type Vertical Bend - 90deg (Down) Bending Radius 1050mm</t>
  </si>
  <si>
    <t>Ladder Type Horizontal - Tee, Bending Radius - 1200mm</t>
  </si>
  <si>
    <t>B4</t>
  </si>
  <si>
    <t>600 mm (Wide) - 4.2 m (Approx), 100mm(Height), 2mm(Thickness)</t>
  </si>
  <si>
    <t>300 mm (Wide) - 3.9 m (Approx), 100mm(Height), 2mm(Thickness)</t>
  </si>
  <si>
    <t>150 mm (Wide) - 3.7 m (Approx), 100mm(Height), 2mm(Thickness)</t>
  </si>
  <si>
    <t>B5</t>
  </si>
  <si>
    <t>Ladder Type Horizontal - Cross, Bending Radius - 1050mm</t>
  </si>
  <si>
    <t>600 mm (Wide) - 5.8 m (Approx), 100mm(Height), 2mm(Thickness)</t>
  </si>
  <si>
    <t>300 mm (Wide) - 5.8 m (Approx), 100mm(Height), 2mm(Thickness)</t>
  </si>
  <si>
    <t>Channel &amp; Cantilever Arm</t>
  </si>
  <si>
    <t>C1 Channel - 41mm (Length) X 41mm (Width), 2.5mm (Thickness)</t>
  </si>
  <si>
    <t>Mtr</t>
  </si>
  <si>
    <t>C2 Channel - 41mm (Length) X 82mm (Width), 2.5mm (Thickness)</t>
  </si>
  <si>
    <t>Cantilever Arm - 750 MM Length, 2.5mm (Thickness)</t>
  </si>
  <si>
    <t>Cantilever Arm - 620 MM Length, 2.5mm (Thickness)</t>
  </si>
  <si>
    <t>Cantilever Arm - 320 MM Length, 2.5mm (Thickness)</t>
  </si>
  <si>
    <t>iv</t>
  </si>
  <si>
    <t>v</t>
  </si>
  <si>
    <t>Fixing Accessories</t>
  </si>
  <si>
    <t>D</t>
  </si>
  <si>
    <t>150x150x6 mm thick plate</t>
  </si>
  <si>
    <t>M8 bolt with long spring nut with Hexgon head set screw</t>
  </si>
  <si>
    <t>M10 bolt with long spring nut with Hexgon head set screw</t>
  </si>
  <si>
    <t>M12 bolt with long spring nut with Hexgon head set screw</t>
  </si>
  <si>
    <t>vi</t>
  </si>
  <si>
    <t>vii</t>
  </si>
  <si>
    <t>viii</t>
  </si>
  <si>
    <t>ix</t>
  </si>
  <si>
    <t>x</t>
  </si>
  <si>
    <t>xi</t>
  </si>
  <si>
    <t>xii</t>
  </si>
  <si>
    <t>Supply of Cable Trays &amp; Accessories</t>
  </si>
  <si>
    <t>Lump sum price for the design , manufacture, testing at manufacturers works &amp; delivery including packing, transportation to site of the Cable trays &amp; Accessories</t>
  </si>
  <si>
    <t>S.No</t>
  </si>
  <si>
    <t>C1 channel clamp 43mm(Length) x 41mm(Width), 6mm (Thickness)</t>
  </si>
  <si>
    <t>C2 channel clamp - Type-A, 41mm(Length) x 82mm(Width), 6mm (Thickness)</t>
  </si>
  <si>
    <t>C2 channel clamp - Type-B, 82mm(Length) x 41mm(Width), 6mm (Thickness)</t>
  </si>
  <si>
    <t>Base plate for C1 channel 100mm (Length) x100mm (Width), 6mm (Thickness)</t>
  </si>
  <si>
    <t>Base plate for C2 channel- 200mm (Length) x100mm (Width), 6mm (Thickness)ase plate for C2 channel</t>
  </si>
  <si>
    <t>Z-Clamp for Cable tray fixing 30mm x 2mm x 50mm, 6mm (Thickness)</t>
  </si>
  <si>
    <t>Z-Clamp for earth flat fixing 30mm x 6mm x 50mm, 6mm (Thickness)</t>
  </si>
  <si>
    <t>L-Clamp for cable tray fixing 41mm (Length) x 100mm(Width), 6mm (Thickness)</t>
  </si>
  <si>
    <t>Trestle bracket 74mmx81mm, 6mmThickness</t>
  </si>
  <si>
    <t>xiii</t>
  </si>
  <si>
    <t>xiv</t>
  </si>
  <si>
    <t>Beam Clamp ‘BC1’ 124mmx90mm,</t>
  </si>
  <si>
    <t>Cable Tray Costing</t>
  </si>
  <si>
    <t>Input for raw material and conversion costs</t>
  </si>
  <si>
    <t>Cable Tray configuration</t>
  </si>
  <si>
    <t>Cost of steel(Rs/kg)</t>
  </si>
  <si>
    <t>Coating thickness of Zinc (micron)</t>
  </si>
  <si>
    <t>Transportation and handling cost of raw material to vendor shop (% of raw material cost)</t>
  </si>
  <si>
    <t>Specific weight of Zinc (kg/m3)</t>
  </si>
  <si>
    <t>Tray width (mm)</t>
  </si>
  <si>
    <t>Specific weight of MS (kg/m3)</t>
  </si>
  <si>
    <t>Cost of Zinc (Rs/kg)</t>
  </si>
  <si>
    <t>Tray Depth (mm)</t>
  </si>
  <si>
    <t>Cost of engg and fabrication (% of material cost)</t>
  </si>
  <si>
    <t>Wastage during galvalization</t>
  </si>
  <si>
    <t>Tray thickness (mm)</t>
  </si>
  <si>
    <t>Quality test and inspection charges (%)</t>
  </si>
  <si>
    <t>Recoverable scrap - Ash per meter of tray (%)</t>
  </si>
  <si>
    <t>Tray collar (mm)</t>
  </si>
  <si>
    <t>Salvage value of scrap  for MS plates(% of overall value)</t>
  </si>
  <si>
    <t>Recoverable scrap - Dross per meter of tray (%)</t>
  </si>
  <si>
    <t>Tray length (mm)</t>
  </si>
  <si>
    <t>Wastage allowance during fabrication</t>
  </si>
  <si>
    <t>Recoverable scrap salvage value - Ash (%)</t>
  </si>
  <si>
    <t>Average no of perforations per row</t>
  </si>
  <si>
    <t>Transportation and handling cost of finished goods to site (Rs/kg)</t>
  </si>
  <si>
    <t>Recoverable scrap salvage value - Dross (%)</t>
  </si>
  <si>
    <t>Length of a perforation (mm)</t>
  </si>
  <si>
    <t>Overheads for vendor (%)</t>
  </si>
  <si>
    <t>Cost of galvanization (% of material cost)</t>
  </si>
  <si>
    <t>Width of a perforation (mm)</t>
  </si>
  <si>
    <t>Profit &amp; overhead margin (INR/kg)</t>
  </si>
  <si>
    <t>Average spacing between perforations along length of tray (mm)</t>
  </si>
  <si>
    <t>Cost of contract Performance Bank Guarantee</t>
  </si>
  <si>
    <t>No of rows</t>
  </si>
  <si>
    <t>Labour &amp; Fabrication Charges (INR/ kg)</t>
  </si>
  <si>
    <t>No of coupler holes per 1000 mm length</t>
  </si>
  <si>
    <t>Dia of 1 hole (mm)</t>
  </si>
  <si>
    <t>Coupler plate length (mm)</t>
  </si>
  <si>
    <t>Coupler plate height (mm)</t>
  </si>
  <si>
    <t>Coupler plate width (mm)</t>
  </si>
  <si>
    <t>No of coupler plates per runner</t>
  </si>
  <si>
    <t>Detailed Costing</t>
  </si>
  <si>
    <t>Cable tray MS material cost</t>
  </si>
  <si>
    <t>Galvalization</t>
  </si>
  <si>
    <t>Zinc Requirement</t>
  </si>
  <si>
    <t>Perforations</t>
  </si>
  <si>
    <t>Coupler Holes</t>
  </si>
  <si>
    <t>Total Surface area (m2)</t>
  </si>
  <si>
    <t>Surface area of 1 hole along thickness per meter (m2)</t>
  </si>
  <si>
    <t>Surface area holes along thickness for 1000 mm length (m2)</t>
  </si>
  <si>
    <t>Top surface area of  1 hole  (m2)</t>
  </si>
  <si>
    <t>Top surface area of holes for 1 m length (m2)</t>
  </si>
  <si>
    <t>Overall surface area for 1 meter of runner (m2)</t>
  </si>
  <si>
    <t>Volume of tray (m3)</t>
  </si>
  <si>
    <t>Total surface area per meter of cable tray (m2)</t>
  </si>
  <si>
    <t>Weight of tray per mm length (kg)</t>
  </si>
  <si>
    <t>Cost of tray per mm length (Rs)</t>
  </si>
  <si>
    <t>Weight of Zinc required for galvanization (kg)</t>
  </si>
  <si>
    <t>Scrap salvage due to perforations</t>
  </si>
  <si>
    <t>Scrap salvage due to coupler holes</t>
  </si>
  <si>
    <t>Total weight of Zinc required for galvanization (kg)</t>
  </si>
  <si>
    <t>Cost of Zinc galvanization per meter of runner (Rs)</t>
  </si>
  <si>
    <t>No of holes per mm of length</t>
  </si>
  <si>
    <t>No of perforations per mm length</t>
  </si>
  <si>
    <t>Dia of one hole (mm)</t>
  </si>
  <si>
    <t>Recoverable scrap - Ash per meter of tray (kg)</t>
  </si>
  <si>
    <t>Recoverable scrap salvage - Ash (Rs/kg)</t>
  </si>
  <si>
    <t>Total volume of perforations (m3)</t>
  </si>
  <si>
    <t>Volume of holes (m3)</t>
  </si>
  <si>
    <t>Recoverable scrap - Dross per meter of tray (kg)</t>
  </si>
  <si>
    <t>Recoverable scrap salvage - Dross (Rs/kg)</t>
  </si>
  <si>
    <t>Weight of holes per 1000mm of runner (kg)</t>
  </si>
  <si>
    <t>Volume of holes per 2500mm (m3)</t>
  </si>
  <si>
    <t>Salvage value of scrap per meter of cable (Rs)</t>
  </si>
  <si>
    <t>Value of scrap generated per meter of runner (Rs)</t>
  </si>
  <si>
    <t>Weight of slots per 2500mm (kg)</t>
  </si>
  <si>
    <t>Salvage value of scrap (% of overall value)</t>
  </si>
  <si>
    <t>Net cost of Zinc galvanization per meter of runner (Rs)</t>
  </si>
  <si>
    <t>Salvage value of MS scrap per 1000 mm of runner (Rs)</t>
  </si>
  <si>
    <t>Salvage value of MS scrap per meter of runner (Rs)</t>
  </si>
  <si>
    <t>Cost of material for 2500 mm of runner (Rs)</t>
  </si>
  <si>
    <t>Total cost per meter of cable tray (Rs)</t>
  </si>
  <si>
    <t>Net cost per meter of cable tray (Rs)</t>
  </si>
  <si>
    <t>Engineering, Fabrication and Quality &amp; Inspection cost of cable tray</t>
  </si>
  <si>
    <t>Engineering &amp; Fabrication cost (Rs)</t>
  </si>
  <si>
    <t>Quality inspection and testing (Rs)</t>
  </si>
  <si>
    <t>Comparison - Cost model viz-a-viz TPL estimations</t>
  </si>
  <si>
    <t>Cost model summary vs TPL estimation</t>
  </si>
  <si>
    <t>Summary (Cost of cable tray - 2500 length)</t>
  </si>
  <si>
    <t>Cost of steel (Rs)</t>
  </si>
  <si>
    <t>Cost of raw material for galvanization (Rs)</t>
  </si>
  <si>
    <t>Cost of fabrication (Rs)</t>
  </si>
  <si>
    <t>Cost of galvanization (Rs)</t>
  </si>
  <si>
    <t>Vendor Overheads (Rs)</t>
  </si>
  <si>
    <t>Profit margin for vendor</t>
  </si>
  <si>
    <t>Contract Performance Bank Guarantee (Rs)</t>
  </si>
  <si>
    <t>Transportation and handling to site (Rs)</t>
  </si>
  <si>
    <t xml:space="preserve">Should be cost </t>
  </si>
  <si>
    <t>Ex Works Should be cost</t>
  </si>
  <si>
    <t>TPL model</t>
  </si>
  <si>
    <t>Weight of steel per 1000 mm length (kg)</t>
  </si>
  <si>
    <t>Savings due to perforations (kg)</t>
  </si>
  <si>
    <t>Weight of Coupler plate (kg)</t>
  </si>
  <si>
    <t>Hardware weight (Nut,bolt and washer) (kg)</t>
  </si>
  <si>
    <t>fixed</t>
  </si>
  <si>
    <t>Total weight (kg)</t>
  </si>
  <si>
    <t>Cost of steel (INR)</t>
  </si>
  <si>
    <t>TPL assumption: 5% of steel weight</t>
  </si>
  <si>
    <t>Cost of zinc (INR)</t>
  </si>
  <si>
    <t>Labour,Fabrication,Overhead,Profit Margin (INR)</t>
  </si>
  <si>
    <t>Total cost (INR)</t>
  </si>
  <si>
    <t>Savings</t>
  </si>
  <si>
    <t>Cost per meter (INR) per tray</t>
  </si>
  <si>
    <t xml:space="preserve">Cable Tray Costing </t>
  </si>
  <si>
    <t>Cost of 1 kg of MS (Rs)</t>
  </si>
  <si>
    <t>Runners</t>
  </si>
  <si>
    <t>Rungs</t>
  </si>
  <si>
    <t>Number of runners</t>
  </si>
  <si>
    <t>No of rungs per 2500 meter of runner</t>
  </si>
  <si>
    <t>Length of rung (mm)</t>
  </si>
  <si>
    <t>Width of rung (mm)</t>
  </si>
  <si>
    <t>Collar / Height of rung (mm)</t>
  </si>
  <si>
    <t>Thickness of rung (mm)</t>
  </si>
  <si>
    <t>No of slots per 40 mm of length</t>
  </si>
  <si>
    <t>No of holes per 2500 mm length</t>
  </si>
  <si>
    <t>Length of 1 slot (mm)</t>
  </si>
  <si>
    <t>Width of 1 slot (mm)</t>
  </si>
  <si>
    <t>Profit margin for vendor (%)</t>
  </si>
  <si>
    <t>Labour,Fabrication,Overhead,Profit Margin (INR/ kg)</t>
  </si>
  <si>
    <t>Runner</t>
  </si>
  <si>
    <t>Rung</t>
  </si>
  <si>
    <t>Number of runners per meter length</t>
  </si>
  <si>
    <t>No of rungs per 2500mm of runner</t>
  </si>
  <si>
    <t>Surface area for 1 m length (m2)</t>
  </si>
  <si>
    <t>Surface area for 1 rung (m2)</t>
  </si>
  <si>
    <t>Surface area holes along thickness for 1 m length (m2)</t>
  </si>
  <si>
    <t>Surface area of slots along thickness for 1 rung (m2)</t>
  </si>
  <si>
    <t>Top surface area of slots 1 rung (m2)</t>
  </si>
  <si>
    <t>Overall rung surface area for 1 meter of runner (m2)</t>
  </si>
  <si>
    <t>Volume of 1 rung (m3)</t>
  </si>
  <si>
    <t>Weight of 1 rung (kg)</t>
  </si>
  <si>
    <t>Volume of runner (m3)</t>
  </si>
  <si>
    <t>Cost of 1 rung (Rs)</t>
  </si>
  <si>
    <t>Weight of runner per meter length (kg)</t>
  </si>
  <si>
    <t>Cost of rungs per meter of runner</t>
  </si>
  <si>
    <t>Cost of runner per meter length (Rs)</t>
  </si>
  <si>
    <t>Scrap salvage due to holes / slots</t>
  </si>
  <si>
    <t>Volume of 1 slot (m3)</t>
  </si>
  <si>
    <t>Weight of holes per 2500 mm of runner (kg)</t>
  </si>
  <si>
    <t>Volume slots per rung (m3)</t>
  </si>
  <si>
    <t>Weight of slots per rung (kg)</t>
  </si>
  <si>
    <t>Weight of slots per 2500mm of runner (kg)</t>
  </si>
  <si>
    <t>Cost of material for 1 m of runner (Rs)</t>
  </si>
  <si>
    <t>Cost of material for rungs per meter of runner (Rs)</t>
  </si>
  <si>
    <t>Cost of galvanization</t>
  </si>
  <si>
    <t>Galvanization cost (Rs)</t>
  </si>
  <si>
    <t>Summary (Cost of cable tray per meter length)</t>
  </si>
  <si>
    <t>Profit margin for vendor (Rs)</t>
  </si>
  <si>
    <t>Should be cost (Rs per meter)</t>
  </si>
  <si>
    <t>Ex Works Should be cost (Rs per meter)</t>
  </si>
  <si>
    <t>Cable tray - 600mm(W)X100mm(H)X2mm(T)</t>
  </si>
  <si>
    <t>Suggested model</t>
  </si>
  <si>
    <t>Weight of runner (kg)</t>
  </si>
  <si>
    <t>Savings due to holes/ slots in runner (kg)</t>
  </si>
  <si>
    <t>Weight of rung (kg)</t>
  </si>
  <si>
    <t>Savings due to slots in rung (kg)</t>
  </si>
  <si>
    <t>Weight of Coupler plate (70X210X2) (kg)</t>
  </si>
  <si>
    <t>TPL assumption: 5% of steel weight; zinc weight to be calculated basis coating thickness</t>
  </si>
  <si>
    <t>Total cost (INR) per tray</t>
  </si>
  <si>
    <t>Comparison table - Summary</t>
  </si>
  <si>
    <t>TPL</t>
  </si>
  <si>
    <t>Cost Model</t>
  </si>
  <si>
    <t xml:space="preserve">Perforated type cable trays 2mm thk M.S.Sheet, Length: 2.5Meter,duly hot dip galvanised after fabrication inclusive of coupler plate </t>
  </si>
  <si>
    <t>Weight of steel (kg)</t>
  </si>
  <si>
    <t>Weight of zinc (kg)</t>
  </si>
  <si>
    <t>Estimated price</t>
  </si>
  <si>
    <t>Price difference</t>
  </si>
  <si>
    <t>Cable tray trough - 75 mm (W) x 25 mm (D) x 2 mm (T), 2500 mm length</t>
  </si>
  <si>
    <t>Cable Tray Costing - Trough, U-Shaped</t>
  </si>
  <si>
    <t>Value of scrap generated (Rs)</t>
  </si>
  <si>
    <t>Cable tray trough - 50 mm (W) x 25 mm (D) x 2 mm (T), 2500 mm length</t>
  </si>
  <si>
    <t>Cable Tray Costing - Ladder Type Horizontal Bend 90 deg, Bending Radius 1200 mm</t>
  </si>
  <si>
    <t>No of rungs in this fitting (U7 x length / 2500, rounded)</t>
  </si>
  <si>
    <t>B1-i: Ladder Type Horizontal Bend 90 deg, Bending Radius 1200 mm - 600mm(W) X 100mm(H) X 2mm(T), ~2.36 m</t>
  </si>
  <si>
    <t>B1-i: Ladder Type Horizontal Bend 90 deg, Bending Radius 1200 mm, 600mm(W) X 100mm(H), 2mm thk M.S. sheet, ~2.36 m, hot dip galvanised incl. coupler plate</t>
  </si>
  <si>
    <t>Cable Tray Costing: Ladder Type Vertical Bend 90 deg (UP), Bending Radius 1050 mm</t>
  </si>
  <si>
    <t>B2-i: Ladder Type Vertical Bend 90 deg (UP), Bending Radius 1050 mm - 600mm(W) X 100mm(H) X 2mm(T), ~1.90 m</t>
  </si>
  <si>
    <t>B2-i: Ladder Type Vertical Bend 90 deg (UP), Bending Radius 1050 mm, 600mm(W) X 100mm(H), 2mm thk M.S. sheet, ~1.90 m, hot dip galvanised incl. coupler plate</t>
  </si>
  <si>
    <t>Cable Tray Costing : Ladder Type Vertical Bend 90 deg (DOWN), Bending Radius 1050 mm</t>
  </si>
  <si>
    <t>B3-i: Ladder Type Vertical Bend 90 deg (DOWN), Bending Radius 1050 mm - 600mm(W) X 100mm(H) X 2mm(T), ~1.90 m</t>
  </si>
  <si>
    <t>B3-i: Ladder Type Vertical Bend 90 deg (DOWN), Bending Radius 1050 mm, 600mm(W) X 100mm(H), 2mm thk M.S. sheet, ~1.90 m, hot dip galvanised incl. coupler plate</t>
  </si>
  <si>
    <t>Cable Tray Costing: Ladder Type Horizontal Tee, Bending Radius 1200 mm</t>
  </si>
  <si>
    <t>B4-i: Ladder Type Horizontal Tee, Bending Radius 1200 mm - 600mm(W) X 100mm(H) X 2mm(T), ~4.20 m</t>
  </si>
  <si>
    <t>B4-i: Ladder Type Horizontal Tee, Bending Radius 1200 mm, 600mm(W) X 100mm(H), 2mm thk M.S. sheet, ~4.20 m, hot dip galvanised incl. coupler plate</t>
  </si>
  <si>
    <t>Cable Tray Costing : Ladder Type Horizontal Cross, Bending Radius 1050 mm</t>
  </si>
  <si>
    <t>B5-i: Ladder Type Horizontal Cross, Bending Radius 1050 mm - 600mm(W) X 100mm(H) X 2mm(T), ~5.80 m</t>
  </si>
  <si>
    <t>B5-i: Ladder Type Horizontal Cross, Bending Radius 1050 mm, 600mm(W) X 100mm(H), 2mm thk M.S. sheet, ~5.80 m, hot dip galvanised incl. coupler plate</t>
  </si>
  <si>
    <t>Cable Tray Costing : C1 Channel - 41 mm (W) x 41 mm (D), 2.5 mm thickness</t>
  </si>
  <si>
    <t>Channel / cantilever arm configuration</t>
  </si>
  <si>
    <t>Channel type</t>
  </si>
  <si>
    <t>Standard strut slotted channel</t>
  </si>
  <si>
    <t>Channel width - back face (mm)</t>
  </si>
  <si>
    <t>Channel depth (mm)</t>
  </si>
  <si>
    <t>Channel thickness (mm)</t>
  </si>
  <si>
    <t>Lip / return of channel (mm)</t>
  </si>
  <si>
    <t>Length (mm)</t>
  </si>
  <si>
    <t>Length of a slot (mm)</t>
  </si>
  <si>
    <t>Width of a slot (mm)</t>
  </si>
  <si>
    <t>Pitch of slots along length (mm)</t>
  </si>
  <si>
    <t>No of slots per channel</t>
  </si>
  <si>
    <t>Channel MS material cost</t>
  </si>
  <si>
    <t>Developed (strip) width of channel (mm)</t>
  </si>
  <si>
    <t>Cross-section area of channel (mm2)</t>
  </si>
  <si>
    <t>Gross surface area - both faces (m2)</t>
  </si>
  <si>
    <t>Surface area of slots along thickness (m2)</t>
  </si>
  <si>
    <t>Top surface area of slots - both faces (m2)</t>
  </si>
  <si>
    <t>Overall surface area (m2)</t>
  </si>
  <si>
    <t>Volume of steel (m3)</t>
  </si>
  <si>
    <t>Total surface area for galvanization (m2)</t>
  </si>
  <si>
    <t>Scrap salvage due to slots</t>
  </si>
  <si>
    <t>Cost of Zinc galvanization (Rs)</t>
  </si>
  <si>
    <t>Total no of slots</t>
  </si>
  <si>
    <t>Recoverable scrap - Ash (kg)</t>
  </si>
  <si>
    <t>Total volume of slots (m3)</t>
  </si>
  <si>
    <t>Recoverable scrap - Dross (kg)</t>
  </si>
  <si>
    <t>Weight of slots (kg)</t>
  </si>
  <si>
    <t>Salvage value of zinc scrap (Rs)</t>
  </si>
  <si>
    <t>Net cost of Zinc galvanization (Rs)</t>
  </si>
  <si>
    <t>Salvage value of MS scrap (Rs)</t>
  </si>
  <si>
    <t>Cost of material (Rs)</t>
  </si>
  <si>
    <t>Total cost of channel steel (Rs) per metre</t>
  </si>
  <si>
    <t>Net cost of channel steel (Rs) per metre</t>
  </si>
  <si>
    <t>Cost model - final cost</t>
  </si>
  <si>
    <t>Summary (Cost per metre)</t>
  </si>
  <si>
    <t>Cost model</t>
  </si>
  <si>
    <t>Savings due to slots (kg)</t>
  </si>
  <si>
    <t>Total cost (INR) per metre</t>
  </si>
  <si>
    <t>Cost per metre (INR)</t>
  </si>
  <si>
    <t>Cantilever arm configuration</t>
  </si>
  <si>
    <t>Arm section - width (mm)</t>
  </si>
  <si>
    <t>Arm section - depth (mm)</t>
  </si>
  <si>
    <t>Arm thickness (mm)</t>
  </si>
  <si>
    <t>Arm section - lip / return (mm)</t>
  </si>
  <si>
    <t>Arm length (mm)</t>
  </si>
  <si>
    <t>Length of a slot in arm (mm)</t>
  </si>
  <si>
    <t>Width of a slot in arm (mm)</t>
  </si>
  <si>
    <t>Pitch of slots along arm (mm)</t>
  </si>
  <si>
    <t>No of slots per arm</t>
  </si>
  <si>
    <t>Cantilever arm MS material cost</t>
  </si>
  <si>
    <t>Developed (strip) width of arm section (mm)</t>
  </si>
  <si>
    <t>Cross-section area of arm (mm2)</t>
  </si>
  <si>
    <t>Volume of steel in arm (m3)</t>
  </si>
  <si>
    <t>Weight of arm (kg)</t>
  </si>
  <si>
    <t>Cost of steel for arm (Rs)</t>
  </si>
  <si>
    <t>Total cost of arm steel (Rs) per piece</t>
  </si>
  <si>
    <t>Net cost of arm steel (Rs) per piece</t>
  </si>
  <si>
    <t>Cost model - final cost (no TPL comparison)</t>
  </si>
  <si>
    <t>Summary (Cost per piece)</t>
  </si>
  <si>
    <t>Total weight of arm (kg)</t>
  </si>
  <si>
    <t>Total cost per cantilever arm (INR)</t>
  </si>
  <si>
    <t>Cost per metre of arm (INR)</t>
  </si>
  <si>
    <t>Cable Tray Costing Cantilever Arm - 750 mm length, 2.5 mm thk (per piece, arm only - without base plate)</t>
  </si>
  <si>
    <t xml:space="preserve">Ladder type, perforated type &amp; U-shaped troughs </t>
  </si>
  <si>
    <t>Bend, TEE &amp; Reducer</t>
  </si>
  <si>
    <t>Total</t>
  </si>
  <si>
    <t>Total INR Cr. (as per cost model)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</si>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</sst>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000000"/>
    <numFmt numFmtId="167" formatCode="0.0"/>
    <numFmt numFmtId="168" formatCode="0.00000"/>
    <numFmt numFmtId="169" formatCode="0.000"/>
    <numFmt numFmtId="170" formatCode="0.0000"/>
    <numFmt numFmtId="171" formatCode="0.000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name val="Calibri"/>
      <family val="2"/>
    </font>
    <font>
      <sz val="9"/>
      <color rgb="FF0070C0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9"/>
      <color rgb="FFC00000"/>
      <name val="Calibri"/>
      <family val="2"/>
    </font>
    <font>
      <i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name val="Calibri"/>
      <family val="2"/>
      <charset val="1"/>
    </font>
    <font>
      <sz val="10"/>
      <name val="Calibri"/>
      <family val="2"/>
      <charset val="1"/>
    </font>
    <font>
      <i/>
      <sz val="10"/>
      <color rgb="FF0070C0"/>
      <name val="Calibri"/>
      <family val="2"/>
      <charset val="1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rgb="FF000080"/>
      </patternFill>
    </fill>
    <fill>
      <patternFill patternType="solid">
        <fgColor theme="8" tint="0.79989013336588644"/>
        <bgColor rgb="FFE2F0D9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0"/>
        <bgColor rgb="FFFFFFCC"/>
      </patternFill>
    </fill>
    <fill>
      <patternFill patternType="solid">
        <fgColor theme="7" tint="-0.249977111117893"/>
        <bgColor rgb="FF808000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4"/>
        <bgColor rgb="FF969696"/>
      </patternFill>
    </fill>
    <fill>
      <patternFill patternType="solid">
        <fgColor theme="9" tint="0.79989013336588644"/>
        <bgColor rgb="FFDAE3F3"/>
      </patternFill>
    </fill>
    <fill>
      <patternFill patternType="solid">
        <fgColor theme="1" tint="0.49989318521683401"/>
        <bgColor rgb="FF969696"/>
      </patternFill>
    </fill>
    <fill>
      <patternFill patternType="solid">
        <fgColor theme="8" tint="0.79989013336588644"/>
        <bgColor rgb="FFDDEBF7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9" tint="0.79989013336588644"/>
        <bgColor rgb="FFDDEBF7"/>
      </patternFill>
    </fill>
    <fill>
      <patternFill patternType="solid">
        <fgColor theme="5"/>
        <bgColor rgb="FFFF8080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</borders>
  <cellStyleXfs count="11">
    <xf numFmtId="0" fontId="0" fillId="0" borderId="0"/>
    <xf numFmtId="0" fontId="2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9" fillId="0" borderId="0"/>
    <xf numFmtId="0" fontId="2" fillId="0" borderId="0"/>
    <xf numFmtId="9" fontId="9" fillId="0" borderId="0" applyFont="0" applyFill="0" applyBorder="0" applyAlignment="0" applyProtection="0"/>
    <xf numFmtId="0" fontId="22" fillId="0" borderId="0"/>
    <xf numFmtId="9" fontId="22" fillId="0" borderId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6" fillId="0" borderId="0" xfId="0" applyFont="1" applyAlignment="1">
      <alignment horizontal="center"/>
    </xf>
    <xf numFmtId="164" fontId="6" fillId="0" borderId="0" xfId="2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" fontId="0" fillId="4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65" fontId="0" fillId="5" borderId="6" xfId="8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165" fontId="0" fillId="5" borderId="6" xfId="0" applyNumberForma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165" fontId="0" fillId="5" borderId="9" xfId="0" applyNumberFormat="1" applyFill="1" applyBorder="1" applyAlignment="1">
      <alignment horizontal="center" vertical="center"/>
    </xf>
    <xf numFmtId="9" fontId="0" fillId="4" borderId="6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2" fontId="0" fillId="5" borderId="9" xfId="0" applyNumberFormat="1" applyFill="1" applyBorder="1" applyAlignment="1">
      <alignment horizontal="center" vertical="center"/>
    </xf>
    <xf numFmtId="9" fontId="0" fillId="5" borderId="9" xfId="0" applyNumberFormat="1" applyFill="1" applyBorder="1" applyAlignment="1">
      <alignment horizontal="center" vertical="center"/>
    </xf>
    <xf numFmtId="167" fontId="0" fillId="4" borderId="6" xfId="0" applyNumberForma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7" borderId="10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7" borderId="15" xfId="0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168" fontId="0" fillId="0" borderId="9" xfId="0" applyNumberFormat="1" applyBorder="1" applyAlignment="1">
      <alignment vertical="center"/>
    </xf>
    <xf numFmtId="169" fontId="0" fillId="0" borderId="9" xfId="0" applyNumberFormat="1" applyBorder="1" applyAlignment="1">
      <alignment vertical="center"/>
    </xf>
    <xf numFmtId="170" fontId="0" fillId="0" borderId="9" xfId="0" applyNumberFormat="1" applyBorder="1" applyAlignment="1">
      <alignment vertical="center"/>
    </xf>
    <xf numFmtId="2" fontId="0" fillId="0" borderId="9" xfId="0" applyNumberFormat="1" applyBorder="1" applyAlignment="1">
      <alignment vertical="center"/>
    </xf>
    <xf numFmtId="9" fontId="0" fillId="0" borderId="9" xfId="0" applyNumberForma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166" fontId="0" fillId="0" borderId="9" xfId="0" applyNumberFormat="1" applyBorder="1" applyAlignment="1">
      <alignment vertical="center"/>
    </xf>
    <xf numFmtId="171" fontId="0" fillId="0" borderId="9" xfId="0" applyNumberFormat="1" applyBorder="1" applyAlignment="1">
      <alignment vertical="center"/>
    </xf>
    <xf numFmtId="165" fontId="0" fillId="0" borderId="6" xfId="8" applyNumberFormat="1" applyFont="1" applyFill="1" applyBorder="1" applyAlignment="1">
      <alignment vertical="center"/>
    </xf>
    <xf numFmtId="2" fontId="0" fillId="0" borderId="20" xfId="0" applyNumberFormat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2" fontId="0" fillId="0" borderId="22" xfId="0" applyNumberForma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2" fontId="0" fillId="0" borderId="25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14" fillId="8" borderId="17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0" xfId="0" applyFont="1" applyAlignment="1">
      <alignment vertical="center"/>
    </xf>
    <xf numFmtId="1" fontId="0" fillId="0" borderId="9" xfId="0" applyNumberFormat="1" applyBorder="1" applyAlignment="1">
      <alignment vertical="center"/>
    </xf>
    <xf numFmtId="0" fontId="8" fillId="9" borderId="5" xfId="0" applyFont="1" applyFill="1" applyBorder="1" applyAlignment="1">
      <alignment vertical="center"/>
    </xf>
    <xf numFmtId="0" fontId="8" fillId="9" borderId="9" xfId="0" applyFont="1" applyFill="1" applyBorder="1" applyAlignment="1">
      <alignment vertical="center"/>
    </xf>
    <xf numFmtId="1" fontId="8" fillId="9" borderId="9" xfId="0" applyNumberFormat="1" applyFont="1" applyFill="1" applyBorder="1" applyAlignment="1">
      <alignment vertical="center"/>
    </xf>
    <xf numFmtId="0" fontId="8" fillId="9" borderId="20" xfId="0" applyFont="1" applyFill="1" applyBorder="1" applyAlignment="1">
      <alignment vertical="center"/>
    </xf>
    <xf numFmtId="0" fontId="8" fillId="9" borderId="21" xfId="0" applyFont="1" applyFill="1" applyBorder="1" applyAlignment="1">
      <alignment vertical="center"/>
    </xf>
    <xf numFmtId="0" fontId="8" fillId="9" borderId="22" xfId="0" applyFont="1" applyFill="1" applyBorder="1" applyAlignment="1">
      <alignment vertical="center"/>
    </xf>
    <xf numFmtId="1" fontId="8" fillId="9" borderId="22" xfId="0" applyNumberFormat="1" applyFont="1" applyFill="1" applyBorder="1" applyAlignment="1">
      <alignment vertical="center"/>
    </xf>
    <xf numFmtId="0" fontId="8" fillId="9" borderId="23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9" fontId="15" fillId="0" borderId="9" xfId="8" applyFont="1" applyBorder="1" applyAlignment="1">
      <alignment vertical="center"/>
    </xf>
    <xf numFmtId="9" fontId="15" fillId="0" borderId="9" xfId="0" applyNumberFormat="1" applyFont="1" applyBorder="1" applyAlignment="1">
      <alignment vertical="center"/>
    </xf>
    <xf numFmtId="9" fontId="15" fillId="0" borderId="0" xfId="0" applyNumberFormat="1" applyFont="1" applyAlignment="1">
      <alignment vertical="center"/>
    </xf>
    <xf numFmtId="0" fontId="16" fillId="0" borderId="9" xfId="0" applyFont="1" applyBorder="1" applyAlignment="1">
      <alignment vertical="center"/>
    </xf>
    <xf numFmtId="1" fontId="1" fillId="0" borderId="9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5" fontId="0" fillId="9" borderId="9" xfId="0" applyNumberForma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165" fontId="16" fillId="0" borderId="0" xfId="0" applyNumberFormat="1" applyFont="1" applyAlignment="1">
      <alignment vertical="center"/>
    </xf>
    <xf numFmtId="0" fontId="0" fillId="10" borderId="0" xfId="0" applyFill="1" applyAlignment="1">
      <alignment vertical="center"/>
    </xf>
    <xf numFmtId="1" fontId="0" fillId="10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1" fontId="0" fillId="5" borderId="0" xfId="0" applyNumberFormat="1" applyFill="1" applyAlignment="1">
      <alignment vertical="center"/>
    </xf>
    <xf numFmtId="1" fontId="1" fillId="11" borderId="9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168" fontId="0" fillId="0" borderId="20" xfId="0" applyNumberFormat="1" applyBorder="1" applyAlignment="1">
      <alignment vertical="center"/>
    </xf>
    <xf numFmtId="165" fontId="0" fillId="0" borderId="9" xfId="8" applyNumberFormat="1" applyFont="1" applyFill="1" applyBorder="1" applyAlignment="1">
      <alignment vertical="center"/>
    </xf>
    <xf numFmtId="9" fontId="0" fillId="0" borderId="0" xfId="8" applyFont="1" applyAlignment="1">
      <alignment vertical="center"/>
    </xf>
    <xf numFmtId="1" fontId="0" fillId="0" borderId="0" xfId="0" applyNumberFormat="1" applyAlignment="1">
      <alignment vertical="center"/>
    </xf>
    <xf numFmtId="0" fontId="15" fillId="0" borderId="9" xfId="0" applyFont="1" applyBorder="1" applyAlignment="1">
      <alignment vertical="center"/>
    </xf>
    <xf numFmtId="2" fontId="1" fillId="0" borderId="9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28" xfId="0" applyFont="1" applyBorder="1" applyAlignment="1">
      <alignment vertical="center"/>
    </xf>
    <xf numFmtId="167" fontId="19" fillId="0" borderId="33" xfId="0" applyNumberFormat="1" applyFont="1" applyBorder="1" applyAlignment="1">
      <alignment horizontal="left" vertical="center"/>
    </xf>
    <xf numFmtId="2" fontId="20" fillId="0" borderId="34" xfId="0" applyNumberFormat="1" applyFont="1" applyBorder="1" applyAlignment="1">
      <alignment horizontal="right" vertical="center"/>
    </xf>
    <xf numFmtId="165" fontId="21" fillId="0" borderId="0" xfId="0" applyNumberFormat="1" applyFont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23" fillId="13" borderId="0" xfId="9" applyFont="1" applyFill="1" applyAlignment="1">
      <alignment horizontal="center" vertical="center"/>
    </xf>
    <xf numFmtId="0" fontId="22" fillId="0" borderId="0" xfId="9" applyAlignment="1">
      <alignment vertical="center"/>
    </xf>
    <xf numFmtId="0" fontId="24" fillId="0" borderId="0" xfId="9" applyFont="1" applyAlignment="1">
      <alignment vertical="center"/>
    </xf>
    <xf numFmtId="0" fontId="25" fillId="14" borderId="37" xfId="9" applyFont="1" applyFill="1" applyBorder="1" applyAlignment="1">
      <alignment horizontal="center" vertical="center"/>
    </xf>
    <xf numFmtId="0" fontId="22" fillId="0" borderId="5" xfId="9" applyBorder="1" applyAlignment="1">
      <alignment vertical="center"/>
    </xf>
    <xf numFmtId="0" fontId="22" fillId="0" borderId="6" xfId="9" applyBorder="1" applyAlignment="1">
      <alignment vertical="center"/>
    </xf>
    <xf numFmtId="1" fontId="22" fillId="15" borderId="6" xfId="9" applyNumberFormat="1" applyFill="1" applyBorder="1" applyAlignment="1">
      <alignment horizontal="center" vertical="center"/>
    </xf>
    <xf numFmtId="0" fontId="22" fillId="0" borderId="7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6" xfId="9" applyFont="1" applyBorder="1" applyAlignment="1">
      <alignment vertical="center"/>
    </xf>
    <xf numFmtId="0" fontId="22" fillId="0" borderId="5" xfId="9" applyBorder="1" applyAlignment="1">
      <alignment horizontal="left" vertical="center" wrapText="1"/>
    </xf>
    <xf numFmtId="165" fontId="22" fillId="16" borderId="6" xfId="9" applyNumberFormat="1" applyFill="1" applyBorder="1" applyAlignment="1">
      <alignment horizontal="center" vertical="center"/>
    </xf>
    <xf numFmtId="0" fontId="22" fillId="0" borderId="8" xfId="9" applyBorder="1" applyAlignment="1">
      <alignment vertical="center"/>
    </xf>
    <xf numFmtId="0" fontId="27" fillId="17" borderId="6" xfId="9" applyFont="1" applyFill="1" applyBorder="1" applyAlignment="1">
      <alignment horizontal="center" vertical="center"/>
    </xf>
    <xf numFmtId="0" fontId="22" fillId="0" borderId="7" xfId="9" applyBorder="1" applyAlignment="1">
      <alignment horizontal="center" vertical="center"/>
    </xf>
    <xf numFmtId="0" fontId="24" fillId="0" borderId="7" xfId="9" applyFont="1" applyBorder="1" applyAlignment="1">
      <alignment vertical="center"/>
    </xf>
    <xf numFmtId="0" fontId="22" fillId="0" borderId="9" xfId="9" applyBorder="1" applyAlignment="1">
      <alignment vertical="center"/>
    </xf>
    <xf numFmtId="165" fontId="22" fillId="16" borderId="9" xfId="9" applyNumberFormat="1" applyFill="1" applyBorder="1" applyAlignment="1">
      <alignment horizontal="center" vertical="center"/>
    </xf>
    <xf numFmtId="9" fontId="22" fillId="15" borderId="6" xfId="9" applyNumberFormat="1" applyFill="1" applyBorder="1" applyAlignment="1">
      <alignment horizontal="center" vertical="center"/>
    </xf>
    <xf numFmtId="0" fontId="22" fillId="18" borderId="6" xfId="9" applyFill="1" applyBorder="1" applyAlignment="1">
      <alignment horizontal="center" vertical="center"/>
    </xf>
    <xf numFmtId="166" fontId="22" fillId="0" borderId="0" xfId="9" applyNumberFormat="1" applyAlignment="1">
      <alignment vertical="center"/>
    </xf>
    <xf numFmtId="2" fontId="22" fillId="16" borderId="9" xfId="9" applyNumberFormat="1" applyFill="1" applyBorder="1" applyAlignment="1">
      <alignment horizontal="center" vertical="center"/>
    </xf>
    <xf numFmtId="9" fontId="22" fillId="16" borderId="9" xfId="9" applyNumberFormat="1" applyFill="1" applyBorder="1" applyAlignment="1">
      <alignment horizontal="center" vertical="center"/>
    </xf>
    <xf numFmtId="167" fontId="22" fillId="15" borderId="6" xfId="9" applyNumberFormat="1" applyFill="1" applyBorder="1" applyAlignment="1">
      <alignment horizontal="center" vertical="center"/>
    </xf>
    <xf numFmtId="0" fontId="22" fillId="0" borderId="10" xfId="9" applyBorder="1" applyAlignment="1">
      <alignment vertical="center"/>
    </xf>
    <xf numFmtId="9" fontId="22" fillId="0" borderId="10" xfId="9" applyNumberFormat="1" applyBorder="1" applyAlignment="1">
      <alignment horizontal="center" vertical="center"/>
    </xf>
    <xf numFmtId="0" fontId="22" fillId="0" borderId="11" xfId="9" applyBorder="1" applyAlignment="1">
      <alignment vertical="center"/>
    </xf>
    <xf numFmtId="0" fontId="22" fillId="0" borderId="11" xfId="9" applyBorder="1" applyAlignment="1">
      <alignment horizontal="center" vertical="center"/>
    </xf>
    <xf numFmtId="0" fontId="22" fillId="0" borderId="12" xfId="9" applyBorder="1" applyAlignment="1">
      <alignment vertical="center"/>
    </xf>
    <xf numFmtId="0" fontId="22" fillId="18" borderId="10" xfId="9" applyFill="1" applyBorder="1" applyAlignment="1">
      <alignment horizontal="center" vertical="center"/>
    </xf>
    <xf numFmtId="0" fontId="22" fillId="0" borderId="13" xfId="9" applyBorder="1"/>
    <xf numFmtId="0" fontId="22" fillId="0" borderId="14" xfId="9" applyBorder="1" applyAlignment="1">
      <alignment vertical="center"/>
    </xf>
    <xf numFmtId="0" fontId="22" fillId="0" borderId="15" xfId="9" applyBorder="1" applyAlignment="1">
      <alignment vertical="center"/>
    </xf>
    <xf numFmtId="0" fontId="22" fillId="0" borderId="16" xfId="9" applyBorder="1" applyAlignment="1">
      <alignment vertical="center"/>
    </xf>
    <xf numFmtId="0" fontId="22" fillId="18" borderId="15" xfId="9" applyFill="1" applyBorder="1" applyAlignment="1">
      <alignment horizontal="center" vertical="center"/>
    </xf>
    <xf numFmtId="0" fontId="25" fillId="0" borderId="0" xfId="9" applyFont="1" applyAlignment="1">
      <alignment vertical="center"/>
    </xf>
    <xf numFmtId="0" fontId="25" fillId="14" borderId="38" xfId="9" applyFont="1" applyFill="1" applyBorder="1" applyAlignment="1">
      <alignment horizontal="center" vertical="center"/>
    </xf>
    <xf numFmtId="0" fontId="25" fillId="0" borderId="5" xfId="9" applyFont="1" applyBorder="1" applyAlignment="1">
      <alignment vertical="center"/>
    </xf>
    <xf numFmtId="0" fontId="25" fillId="0" borderId="9" xfId="9" applyFont="1" applyBorder="1" applyAlignment="1">
      <alignment vertical="center"/>
    </xf>
    <xf numFmtId="0" fontId="25" fillId="0" borderId="20" xfId="9" applyFont="1" applyBorder="1" applyAlignment="1">
      <alignment vertical="center"/>
    </xf>
    <xf numFmtId="0" fontId="22" fillId="0" borderId="20" xfId="9" applyBorder="1" applyAlignment="1">
      <alignment vertical="center"/>
    </xf>
    <xf numFmtId="168" fontId="22" fillId="0" borderId="9" xfId="9" applyNumberFormat="1" applyBorder="1" applyAlignment="1">
      <alignment vertical="center"/>
    </xf>
    <xf numFmtId="169" fontId="22" fillId="0" borderId="9" xfId="9" applyNumberFormat="1" applyBorder="1" applyAlignment="1">
      <alignment vertical="center"/>
    </xf>
    <xf numFmtId="170" fontId="22" fillId="0" borderId="9" xfId="9" applyNumberFormat="1" applyBorder="1" applyAlignment="1">
      <alignment vertical="center"/>
    </xf>
    <xf numFmtId="2" fontId="22" fillId="0" borderId="9" xfId="9" applyNumberFormat="1" applyBorder="1" applyAlignment="1">
      <alignment vertical="center"/>
    </xf>
    <xf numFmtId="9" fontId="22" fillId="0" borderId="9" xfId="9" applyNumberFormat="1" applyBorder="1" applyAlignment="1">
      <alignment vertical="center"/>
    </xf>
    <xf numFmtId="0" fontId="26" fillId="0" borderId="5" xfId="9" applyFont="1" applyBorder="1" applyAlignment="1">
      <alignment vertical="center"/>
    </xf>
    <xf numFmtId="0" fontId="26" fillId="0" borderId="9" xfId="9" applyFont="1" applyBorder="1" applyAlignment="1">
      <alignment vertical="center"/>
    </xf>
    <xf numFmtId="167" fontId="22" fillId="0" borderId="9" xfId="9" applyNumberFormat="1" applyBorder="1" applyAlignment="1">
      <alignment vertical="center"/>
    </xf>
    <xf numFmtId="166" fontId="22" fillId="0" borderId="9" xfId="9" applyNumberFormat="1" applyBorder="1" applyAlignment="1">
      <alignment vertical="center"/>
    </xf>
    <xf numFmtId="171" fontId="22" fillId="0" borderId="9" xfId="9" applyNumberFormat="1" applyBorder="1" applyAlignment="1">
      <alignment vertical="center"/>
    </xf>
    <xf numFmtId="165" fontId="22" fillId="0" borderId="6" xfId="9" applyNumberFormat="1" applyBorder="1" applyAlignment="1">
      <alignment vertical="center"/>
    </xf>
    <xf numFmtId="2" fontId="22" fillId="0" borderId="20" xfId="9" applyNumberFormat="1" applyBorder="1" applyAlignment="1">
      <alignment vertical="center"/>
    </xf>
    <xf numFmtId="1" fontId="22" fillId="14" borderId="9" xfId="9" applyNumberFormat="1" applyFill="1" applyBorder="1" applyAlignment="1">
      <alignment vertical="center"/>
    </xf>
    <xf numFmtId="0" fontId="22" fillId="0" borderId="21" xfId="9" applyBorder="1" applyAlignment="1">
      <alignment vertical="center"/>
    </xf>
    <xf numFmtId="0" fontId="22" fillId="0" borderId="22" xfId="9" applyBorder="1" applyAlignment="1">
      <alignment vertical="center"/>
    </xf>
    <xf numFmtId="2" fontId="22" fillId="0" borderId="22" xfId="9" applyNumberFormat="1" applyBorder="1" applyAlignment="1">
      <alignment vertical="center"/>
    </xf>
    <xf numFmtId="0" fontId="22" fillId="0" borderId="23" xfId="9" applyBorder="1" applyAlignment="1">
      <alignment vertical="center"/>
    </xf>
    <xf numFmtId="0" fontId="22" fillId="0" borderId="24" xfId="9" applyBorder="1" applyAlignment="1">
      <alignment vertical="center"/>
    </xf>
    <xf numFmtId="0" fontId="22" fillId="0" borderId="25" xfId="9" applyBorder="1" applyAlignment="1">
      <alignment vertical="center"/>
    </xf>
    <xf numFmtId="2" fontId="22" fillId="0" borderId="25" xfId="9" applyNumberFormat="1" applyBorder="1" applyAlignment="1">
      <alignment vertical="center"/>
    </xf>
    <xf numFmtId="0" fontId="22" fillId="0" borderId="26" xfId="9" applyBorder="1" applyAlignment="1">
      <alignment vertical="center"/>
    </xf>
    <xf numFmtId="0" fontId="25" fillId="19" borderId="38" xfId="9" applyFont="1" applyFill="1" applyBorder="1" applyAlignment="1">
      <alignment horizontal="center" vertical="center"/>
    </xf>
    <xf numFmtId="0" fontId="22" fillId="0" borderId="27" xfId="9" applyBorder="1" applyAlignment="1">
      <alignment vertical="center"/>
    </xf>
    <xf numFmtId="0" fontId="22" fillId="0" borderId="28" xfId="9" applyBorder="1" applyAlignment="1">
      <alignment vertical="center"/>
    </xf>
    <xf numFmtId="0" fontId="26" fillId="0" borderId="0" xfId="9" applyFont="1" applyAlignment="1">
      <alignment vertical="center"/>
    </xf>
    <xf numFmtId="1" fontId="22" fillId="0" borderId="9" xfId="9" applyNumberFormat="1" applyBorder="1" applyAlignment="1">
      <alignment vertical="center"/>
    </xf>
    <xf numFmtId="0" fontId="28" fillId="20" borderId="5" xfId="9" applyFont="1" applyFill="1" applyBorder="1" applyAlignment="1">
      <alignment vertical="center"/>
    </xf>
    <xf numFmtId="0" fontId="28" fillId="20" borderId="9" xfId="9" applyFont="1" applyFill="1" applyBorder="1" applyAlignment="1">
      <alignment vertical="center"/>
    </xf>
    <xf numFmtId="1" fontId="28" fillId="20" borderId="9" xfId="9" applyNumberFormat="1" applyFont="1" applyFill="1" applyBorder="1" applyAlignment="1">
      <alignment vertical="center"/>
    </xf>
    <xf numFmtId="0" fontId="28" fillId="20" borderId="20" xfId="9" applyFont="1" applyFill="1" applyBorder="1" applyAlignment="1">
      <alignment vertical="center"/>
    </xf>
    <xf numFmtId="0" fontId="28" fillId="20" borderId="21" xfId="9" applyFont="1" applyFill="1" applyBorder="1" applyAlignment="1">
      <alignment vertical="center"/>
    </xf>
    <xf numFmtId="0" fontId="28" fillId="20" borderId="22" xfId="9" applyFont="1" applyFill="1" applyBorder="1" applyAlignment="1">
      <alignment vertical="center"/>
    </xf>
    <xf numFmtId="1" fontId="28" fillId="20" borderId="22" xfId="9" applyNumberFormat="1" applyFont="1" applyFill="1" applyBorder="1" applyAlignment="1">
      <alignment vertical="center"/>
    </xf>
    <xf numFmtId="0" fontId="28" fillId="20" borderId="23" xfId="9" applyFont="1" applyFill="1" applyBorder="1" applyAlignment="1">
      <alignment vertical="center"/>
    </xf>
    <xf numFmtId="0" fontId="29" fillId="0" borderId="0" xfId="9" applyFont="1"/>
    <xf numFmtId="0" fontId="26" fillId="0" borderId="0" xfId="9" applyFont="1" applyAlignment="1">
      <alignment horizontal="center" vertical="center"/>
    </xf>
    <xf numFmtId="2" fontId="22" fillId="0" borderId="9" xfId="9" applyNumberFormat="1" applyBorder="1" applyAlignment="1">
      <alignment horizontal="center" vertical="center"/>
    </xf>
    <xf numFmtId="2" fontId="22" fillId="20" borderId="9" xfId="9" applyNumberFormat="1" applyFill="1" applyBorder="1" applyAlignment="1">
      <alignment horizontal="center" vertical="center"/>
    </xf>
    <xf numFmtId="9" fontId="30" fillId="0" borderId="9" xfId="9" applyNumberFormat="1" applyFont="1" applyBorder="1" applyAlignment="1">
      <alignment vertical="center"/>
    </xf>
    <xf numFmtId="9" fontId="30" fillId="0" borderId="0" xfId="9" applyNumberFormat="1" applyFont="1" applyAlignment="1">
      <alignment vertical="center"/>
    </xf>
    <xf numFmtId="0" fontId="31" fillId="0" borderId="9" xfId="9" applyFont="1" applyBorder="1" applyAlignment="1">
      <alignment vertical="center"/>
    </xf>
    <xf numFmtId="1" fontId="26" fillId="0" borderId="9" xfId="9" applyNumberFormat="1" applyFont="1" applyBorder="1" applyAlignment="1">
      <alignment horizontal="center" vertical="center"/>
    </xf>
    <xf numFmtId="1" fontId="22" fillId="0" borderId="9" xfId="9" applyNumberFormat="1" applyBorder="1" applyAlignment="1">
      <alignment horizontal="center" vertical="center"/>
    </xf>
    <xf numFmtId="165" fontId="22" fillId="20" borderId="9" xfId="9" applyNumberFormat="1" applyFill="1" applyBorder="1" applyAlignment="1">
      <alignment horizontal="center" vertical="center"/>
    </xf>
    <xf numFmtId="0" fontId="22" fillId="0" borderId="29" xfId="9" applyBorder="1" applyAlignment="1">
      <alignment vertical="center"/>
    </xf>
    <xf numFmtId="165" fontId="31" fillId="0" borderId="0" xfId="9" applyNumberFormat="1" applyFont="1" applyAlignment="1">
      <alignment vertical="center"/>
    </xf>
    <xf numFmtId="0" fontId="22" fillId="21" borderId="0" xfId="9" applyFill="1" applyAlignment="1">
      <alignment vertical="center"/>
    </xf>
    <xf numFmtId="1" fontId="22" fillId="21" borderId="0" xfId="9" applyNumberFormat="1" applyFill="1" applyAlignment="1">
      <alignment vertical="center"/>
    </xf>
    <xf numFmtId="0" fontId="22" fillId="16" borderId="0" xfId="9" applyFill="1" applyAlignment="1">
      <alignment vertical="center"/>
    </xf>
    <xf numFmtId="1" fontId="22" fillId="16" borderId="0" xfId="9" applyNumberFormat="1" applyFill="1" applyAlignment="1">
      <alignment vertical="center"/>
    </xf>
    <xf numFmtId="0" fontId="24" fillId="0" borderId="20" xfId="9" applyFont="1" applyBorder="1" applyAlignment="1">
      <alignment vertical="center"/>
    </xf>
    <xf numFmtId="9" fontId="22" fillId="0" borderId="9" xfId="9" applyNumberFormat="1" applyBorder="1" applyAlignment="1">
      <alignment horizontal="center" vertical="center"/>
    </xf>
    <xf numFmtId="0" fontId="25" fillId="22" borderId="38" xfId="9" applyFont="1" applyFill="1" applyBorder="1" applyAlignment="1">
      <alignment horizontal="center" vertical="center"/>
    </xf>
    <xf numFmtId="0" fontId="25" fillId="22" borderId="37" xfId="9" applyFont="1" applyFill="1" applyBorder="1" applyAlignment="1">
      <alignment horizontal="center" vertical="center"/>
    </xf>
    <xf numFmtId="165" fontId="22" fillId="16" borderId="6" xfId="10" applyNumberFormat="1" applyFill="1" applyBorder="1" applyAlignment="1">
      <alignment horizontal="center" vertical="center"/>
    </xf>
    <xf numFmtId="0" fontId="22" fillId="0" borderId="6" xfId="9" applyBorder="1" applyAlignment="1">
      <alignment horizontal="center" vertical="center"/>
    </xf>
    <xf numFmtId="0" fontId="27" fillId="23" borderId="6" xfId="9" applyFont="1" applyFill="1" applyBorder="1" applyAlignment="1">
      <alignment horizontal="center" vertical="center"/>
    </xf>
    <xf numFmtId="2" fontId="22" fillId="0" borderId="0" xfId="9" applyNumberFormat="1" applyAlignment="1">
      <alignment vertical="center"/>
    </xf>
    <xf numFmtId="168" fontId="22" fillId="0" borderId="20" xfId="9" applyNumberFormat="1" applyBorder="1" applyAlignment="1">
      <alignment vertical="center"/>
    </xf>
    <xf numFmtId="165" fontId="22" fillId="0" borderId="9" xfId="10" applyNumberFormat="1" applyBorder="1" applyAlignment="1">
      <alignment vertical="center"/>
    </xf>
    <xf numFmtId="9" fontId="22" fillId="0" borderId="0" xfId="10" applyAlignment="1">
      <alignment vertical="center"/>
    </xf>
    <xf numFmtId="0" fontId="28" fillId="24" borderId="5" xfId="9" applyFont="1" applyFill="1" applyBorder="1" applyAlignment="1">
      <alignment vertical="center"/>
    </xf>
    <xf numFmtId="0" fontId="28" fillId="24" borderId="9" xfId="9" applyFont="1" applyFill="1" applyBorder="1" applyAlignment="1">
      <alignment vertical="center"/>
    </xf>
    <xf numFmtId="1" fontId="28" fillId="24" borderId="9" xfId="9" applyNumberFormat="1" applyFont="1" applyFill="1" applyBorder="1" applyAlignment="1">
      <alignment vertical="center"/>
    </xf>
    <xf numFmtId="0" fontId="28" fillId="24" borderId="20" xfId="9" applyFont="1" applyFill="1" applyBorder="1" applyAlignment="1">
      <alignment vertical="center"/>
    </xf>
    <xf numFmtId="0" fontId="28" fillId="24" borderId="21" xfId="9" applyFont="1" applyFill="1" applyBorder="1" applyAlignment="1">
      <alignment vertical="center"/>
    </xf>
    <xf numFmtId="0" fontId="28" fillId="24" borderId="22" xfId="9" applyFont="1" applyFill="1" applyBorder="1" applyAlignment="1">
      <alignment vertical="center"/>
    </xf>
    <xf numFmtId="1" fontId="28" fillId="24" borderId="22" xfId="9" applyNumberFormat="1" applyFont="1" applyFill="1" applyBorder="1" applyAlignment="1">
      <alignment vertical="center"/>
    </xf>
    <xf numFmtId="0" fontId="28" fillId="24" borderId="23" xfId="9" applyFont="1" applyFill="1" applyBorder="1" applyAlignment="1">
      <alignment vertical="center"/>
    </xf>
    <xf numFmtId="1" fontId="22" fillId="0" borderId="0" xfId="9" applyNumberFormat="1" applyAlignment="1">
      <alignment vertical="center"/>
    </xf>
    <xf numFmtId="0" fontId="32" fillId="0" borderId="9" xfId="9" applyFont="1" applyBorder="1" applyAlignment="1">
      <alignment vertical="center"/>
    </xf>
    <xf numFmtId="2" fontId="22" fillId="24" borderId="9" xfId="9" applyNumberFormat="1" applyFill="1" applyBorder="1" applyAlignment="1">
      <alignment horizontal="center" vertical="center"/>
    </xf>
    <xf numFmtId="0" fontId="30" fillId="0" borderId="9" xfId="9" applyFont="1" applyBorder="1" applyAlignment="1">
      <alignment vertical="center"/>
    </xf>
    <xf numFmtId="2" fontId="26" fillId="0" borderId="9" xfId="9" applyNumberFormat="1" applyFont="1" applyBorder="1" applyAlignment="1">
      <alignment horizontal="center" vertical="center"/>
    </xf>
    <xf numFmtId="1" fontId="26" fillId="25" borderId="9" xfId="9" applyNumberFormat="1" applyFont="1" applyFill="1" applyBorder="1" applyAlignment="1">
      <alignment horizontal="center" vertical="center"/>
    </xf>
    <xf numFmtId="165" fontId="22" fillId="24" borderId="9" xfId="9" applyNumberFormat="1" applyFill="1" applyBorder="1" applyAlignment="1">
      <alignment horizontal="center" vertical="center"/>
    </xf>
    <xf numFmtId="0" fontId="25" fillId="0" borderId="30" xfId="9" applyFont="1" applyBorder="1" applyAlignment="1">
      <alignment vertical="center"/>
    </xf>
    <xf numFmtId="0" fontId="22" fillId="0" borderId="31" xfId="9" applyBorder="1" applyAlignment="1">
      <alignment vertical="center"/>
    </xf>
    <xf numFmtId="0" fontId="22" fillId="0" borderId="32" xfId="9" applyBorder="1" applyAlignment="1">
      <alignment vertical="center"/>
    </xf>
    <xf numFmtId="0" fontId="25" fillId="22" borderId="0" xfId="9" applyFont="1" applyFill="1" applyAlignment="1">
      <alignment horizontal="center" vertical="center"/>
    </xf>
    <xf numFmtId="0" fontId="25" fillId="26" borderId="0" xfId="9" applyFont="1" applyFill="1" applyAlignment="1">
      <alignment horizontal="center" vertical="center"/>
    </xf>
    <xf numFmtId="0" fontId="22" fillId="0" borderId="0" xfId="9" applyAlignment="1">
      <alignment vertical="center" wrapText="1"/>
    </xf>
    <xf numFmtId="0" fontId="26" fillId="0" borderId="0" xfId="9" applyFont="1" applyAlignment="1">
      <alignment vertical="center" wrapText="1"/>
    </xf>
    <xf numFmtId="0" fontId="26" fillId="0" borderId="0" xfId="9" applyFont="1" applyAlignment="1">
      <alignment horizontal="center" vertical="center" wrapText="1"/>
    </xf>
    <xf numFmtId="0" fontId="33" fillId="0" borderId="0" xfId="9" applyFont="1" applyAlignment="1">
      <alignment vertical="center"/>
    </xf>
    <xf numFmtId="0" fontId="34" fillId="0" borderId="28" xfId="9" applyFont="1" applyBorder="1" applyAlignment="1">
      <alignment vertical="center"/>
    </xf>
    <xf numFmtId="167" fontId="35" fillId="0" borderId="33" xfId="9" applyNumberFormat="1" applyFont="1" applyBorder="1" applyAlignment="1">
      <alignment horizontal="left" vertical="center"/>
    </xf>
    <xf numFmtId="2" fontId="36" fillId="0" borderId="34" xfId="9" applyNumberFormat="1" applyFont="1" applyBorder="1" applyAlignment="1">
      <alignment horizontal="right" vertical="center"/>
    </xf>
    <xf numFmtId="165" fontId="37" fillId="0" borderId="0" xfId="9" applyNumberFormat="1" applyFont="1" applyAlignment="1">
      <alignment vertical="center"/>
    </xf>
    <xf numFmtId="0" fontId="22" fillId="0" borderId="35" xfId="9" applyBorder="1" applyAlignment="1">
      <alignment vertical="center"/>
    </xf>
    <xf numFmtId="0" fontId="22" fillId="0" borderId="36" xfId="9" applyBorder="1" applyAlignment="1">
      <alignment vertical="center"/>
    </xf>
    <xf numFmtId="0" fontId="22" fillId="0" borderId="15" xfId="9" applyBorder="1" applyAlignment="1">
      <alignment horizontal="center" vertical="center"/>
    </xf>
    <xf numFmtId="0" fontId="22" fillId="0" borderId="16" xfId="9" applyBorder="1" applyAlignment="1">
      <alignment horizontal="center" vertical="center"/>
    </xf>
    <xf numFmtId="0" fontId="32" fillId="0" borderId="0" xfId="9" applyFont="1" applyAlignment="1">
      <alignment vertical="top" wrapText="1"/>
    </xf>
    <xf numFmtId="0" fontId="32" fillId="0" borderId="0" xfId="9" applyFont="1" applyBorder="1" applyAlignment="1">
      <alignment vertical="top" wrapText="1"/>
    </xf>
    <xf numFmtId="0" fontId="32" fillId="0" borderId="0" xfId="9" applyFont="1" applyAlignment="1">
      <alignment vertical="top" wrapText="1"/>
    </xf>
    <xf numFmtId="164" fontId="38" fillId="0" borderId="1" xfId="2" applyNumberFormat="1" applyFont="1" applyBorder="1" applyAlignment="1">
      <alignment horizontal="center" vertical="center"/>
    </xf>
    <xf numFmtId="165" fontId="22" fillId="0" borderId="6" xfId="10" applyNumberFormat="1" applyBorder="1" applyAlignment="1">
      <alignment vertical="center"/>
    </xf>
    <xf numFmtId="1" fontId="22" fillId="22" borderId="9" xfId="9" applyNumberFormat="1" applyFill="1" applyBorder="1" applyAlignment="1">
      <alignment vertical="center"/>
    </xf>
    <xf numFmtId="0" fontId="22" fillId="0" borderId="9" xfId="10" applyNumberFormat="1" applyBorder="1" applyAlignment="1">
      <alignment vertical="center"/>
    </xf>
    <xf numFmtId="1" fontId="22" fillId="24" borderId="9" xfId="9" applyNumberForma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0" fontId="39" fillId="0" borderId="1" xfId="1" applyFont="1" applyBorder="1" applyAlignment="1">
      <alignment horizontal="left" vertical="center" wrapText="1"/>
    </xf>
    <xf numFmtId="0" fontId="0" fillId="27" borderId="1" xfId="0" applyFont="1" applyFill="1" applyBorder="1"/>
    <xf numFmtId="0" fontId="0" fillId="0" borderId="0" xfId="0" applyFont="1" applyBorder="1"/>
    <xf numFmtId="0" fontId="0" fillId="0" borderId="0" xfId="0" applyBorder="1"/>
    <xf numFmtId="0" fontId="40" fillId="0" borderId="1" xfId="0" applyFont="1" applyBorder="1"/>
    <xf numFmtId="167" fontId="0" fillId="0" borderId="1" xfId="0" applyNumberFormat="1" applyFont="1" applyBorder="1" applyAlignment="1">
      <alignment horizontal="center"/>
    </xf>
    <xf numFmtId="167" fontId="40" fillId="0" borderId="1" xfId="0" applyNumberFormat="1" applyFont="1" applyBorder="1" applyAlignment="1">
      <alignment horizontal="center"/>
    </xf>
  </cellXfs>
  <cellStyles count="11">
    <cellStyle name="Comma" xfId="2" builtinId="3"/>
    <cellStyle name="Normal" xfId="0" builtinId="0"/>
    <cellStyle name="Normal 2" xfId="1" xr:uid="{F4BDA194-FB75-499C-876E-E0B437AB6F01}"/>
    <cellStyle name="Normal 2 2" xfId="4" xr:uid="{03A7D184-3840-4132-8939-C251A26CEF83}"/>
    <cellStyle name="Normal 2 3" xfId="9" xr:uid="{0A2A5C4C-2D50-4788-8571-A156AFBBE5EE}"/>
    <cellStyle name="Normal 3" xfId="7" xr:uid="{F34ABA61-019A-4C88-BDA4-906556E6495A}"/>
    <cellStyle name="Normal 4" xfId="5" xr:uid="{71B95BA4-2291-48CA-8FCC-9053E6BDF78A}"/>
    <cellStyle name="Normal 4 2" xfId="6" xr:uid="{33BB1889-3692-4BA1-A031-660B7EB71C4D}"/>
    <cellStyle name="Normal 5" xfId="3" xr:uid="{FE7D1189-4380-4092-86B5-FA2365C3AB86}"/>
    <cellStyle name="Percent" xfId="8" builtinId="5"/>
    <cellStyle name="Percent 2" xfId="10" xr:uid="{93BA9C32-B20B-4C77-9229-28A254712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mgrp.sharepoint.com/sites/Tplbusinesstransformation/Shared%20Documents/General/Tata%20Projects/9%20Working%20files/12.%20NMR%20Analysis/2.%20Workings/3.%20Cost%20Models/Cable%20trays/290926_Cable%20Tray_Cost_Model.xlsx" TargetMode="External"/><Relationship Id="rId1" Type="http://schemas.openxmlformats.org/officeDocument/2006/relationships/externalLinkPath" Target="290926_Cable%20Tray_Cost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ushreeGhurka\Downloads\Cable_Tray_Trough_U-Shaped_Cost_Model_2perf_1.xlsx" TargetMode="External"/><Relationship Id="rId1" Type="http://schemas.openxmlformats.org/officeDocument/2006/relationships/externalLinkPath" Target="file:///C:\Users\AnushreeGhurka\Downloads\Cable_Tray_Trough_U-Shaped_Cost_Model_2perf_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ushreeGhurka\Downloads\Cable_Tray_Ladder_Bends_Tees_Crosses_Cost_Model.xlsx" TargetMode="External"/><Relationship Id="rId1" Type="http://schemas.openxmlformats.org/officeDocument/2006/relationships/externalLinkPath" Target="file:///C:\Users\AnushreeGhurka\Downloads\Cable_Tray_Ladder_Bends_Tees_Crosses_Cost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summary"/>
      <sheetName val="Data_SBG PG"/>
      <sheetName val="Data_SBG O&amp;G"/>
      <sheetName val="Data_SCM FY25"/>
      <sheetName val="Pivot_SCM Data"/>
      <sheetName val="Calculations&gt;&gt;"/>
      <sheetName val="Notes"/>
      <sheetName val="Perforated&gt;&gt;"/>
      <sheetName val="Indices"/>
      <sheetName val="Comparison"/>
      <sheetName val="Old Perforated type"/>
      <sheetName val="Comparison_Final"/>
      <sheetName val="SCM Data"/>
      <sheetName val="Old Ladder type "/>
      <sheetName val="Final Perforated"/>
      <sheetName val="Final Ladder "/>
      <sheetName val="Final Coupler Plate"/>
      <sheetName val="Coupler plate dimensions"/>
      <sheetName val="U Trough"/>
      <sheetName val="Horizontal bend"/>
      <sheetName val="Vertical bend up"/>
      <sheetName val="Vertical bend down"/>
      <sheetName val="Horizontal Tee"/>
      <sheetName val="Horizontal Cross"/>
      <sheetName val="Old Ladder type  (2)"/>
      <sheetName val="Coupler Plate"/>
      <sheetName val="Coupler plate dimensions (2 (3)"/>
      <sheetName val="Trough 50x25x2"/>
      <sheetName val="Coupler Plate 75x25"/>
      <sheetName val="Coupler Plate 50x25"/>
      <sheetName val="Coupler plate dimensions (2)"/>
      <sheetName val="Ladder"/>
      <sheetName val="Perforated temp&gt;&gt;"/>
      <sheetName val="600 mm"/>
      <sheetName val="300 mm"/>
      <sheetName val="150 mm"/>
      <sheetName val="Ladder temp&gt;&gt;"/>
      <sheetName val="600 mm (2)"/>
      <sheetName val="300 mm (2)"/>
      <sheetName val="150 mm (2)"/>
      <sheetName val="Coupler Pla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">
          <cell r="B9" t="str">
            <v>600mm(W)X100mm(H)</v>
          </cell>
          <cell r="K9">
            <v>11.775</v>
          </cell>
          <cell r="L9">
            <v>8.4779999999999998</v>
          </cell>
          <cell r="M9">
            <v>0.46157999999999999</v>
          </cell>
          <cell r="Q9">
            <v>21.034580000000002</v>
          </cell>
          <cell r="U9">
            <v>1.0517290000000001</v>
          </cell>
          <cell r="Z9">
            <v>1774.5718244100003</v>
          </cell>
        </row>
        <row r="10">
          <cell r="B10" t="str">
            <v>450mm(W)X100mm(H)</v>
          </cell>
          <cell r="Q10">
            <v>18.915080000000003</v>
          </cell>
          <cell r="U10">
            <v>0.94575400000000021</v>
          </cell>
          <cell r="Z10">
            <v>1214.6224046600005</v>
          </cell>
        </row>
        <row r="11">
          <cell r="B11" t="str">
            <v>300mm(W)X100mm(H)</v>
          </cell>
          <cell r="Q11">
            <v>16.795580000000001</v>
          </cell>
          <cell r="U11">
            <v>0.83977900000000005</v>
          </cell>
          <cell r="Z11">
            <v>1078.5197719100001</v>
          </cell>
        </row>
      </sheetData>
      <sheetData sheetId="14">
        <row r="6">
          <cell r="D6">
            <v>73</v>
          </cell>
          <cell r="H6">
            <v>86</v>
          </cell>
        </row>
        <row r="7">
          <cell r="D7">
            <v>0</v>
          </cell>
          <cell r="H7">
            <v>7135</v>
          </cell>
        </row>
        <row r="8">
          <cell r="H8">
            <v>425.6</v>
          </cell>
        </row>
        <row r="9">
          <cell r="D9">
            <v>0</v>
          </cell>
          <cell r="H9">
            <v>0</v>
          </cell>
        </row>
        <row r="10">
          <cell r="D10">
            <v>0</v>
          </cell>
          <cell r="H10">
            <v>0.12</v>
          </cell>
        </row>
        <row r="11">
          <cell r="H11">
            <v>0.08</v>
          </cell>
        </row>
        <row r="12">
          <cell r="D12">
            <v>0</v>
          </cell>
          <cell r="H12">
            <v>0.26</v>
          </cell>
        </row>
        <row r="13">
          <cell r="D13">
            <v>0</v>
          </cell>
          <cell r="H13">
            <v>0.52</v>
          </cell>
        </row>
        <row r="14">
          <cell r="D14">
            <v>0</v>
          </cell>
          <cell r="H14">
            <v>0</v>
          </cell>
        </row>
        <row r="15">
          <cell r="D15">
            <v>2.5</v>
          </cell>
        </row>
        <row r="16">
          <cell r="D16">
            <v>0</v>
          </cell>
        </row>
        <row r="17">
          <cell r="D17">
            <v>7.8</v>
          </cell>
        </row>
      </sheetData>
      <sheetData sheetId="15"/>
      <sheetData sheetId="16">
        <row r="11">
          <cell r="D11">
            <v>0.3</v>
          </cell>
        </row>
        <row r="24">
          <cell r="D24">
            <v>0.24727499999999999</v>
          </cell>
        </row>
        <row r="34">
          <cell r="D34">
            <v>2.3785499999999998E-2</v>
          </cell>
        </row>
        <row r="37">
          <cell r="D37">
            <v>0.22348950000000001</v>
          </cell>
        </row>
      </sheetData>
      <sheetData sheetId="17">
        <row r="2">
          <cell r="D2">
            <v>600</v>
          </cell>
          <cell r="E2">
            <v>100</v>
          </cell>
          <cell r="F2">
            <v>70</v>
          </cell>
          <cell r="G2">
            <v>210</v>
          </cell>
        </row>
        <row r="3">
          <cell r="D3">
            <v>450</v>
          </cell>
          <cell r="E3">
            <v>100</v>
          </cell>
          <cell r="F3">
            <v>70</v>
          </cell>
          <cell r="G3">
            <v>210</v>
          </cell>
        </row>
        <row r="4">
          <cell r="D4">
            <v>300</v>
          </cell>
          <cell r="E4">
            <v>100</v>
          </cell>
          <cell r="F4">
            <v>70</v>
          </cell>
          <cell r="G4">
            <v>210</v>
          </cell>
        </row>
        <row r="5">
          <cell r="D5">
            <v>600</v>
          </cell>
          <cell r="E5">
            <v>75</v>
          </cell>
          <cell r="F5">
            <v>70</v>
          </cell>
          <cell r="G5">
            <v>210</v>
          </cell>
        </row>
        <row r="6">
          <cell r="D6">
            <v>450</v>
          </cell>
          <cell r="E6">
            <v>60</v>
          </cell>
          <cell r="F6">
            <v>75</v>
          </cell>
          <cell r="G6">
            <v>210</v>
          </cell>
        </row>
        <row r="7">
          <cell r="D7">
            <v>300</v>
          </cell>
          <cell r="E7">
            <v>60</v>
          </cell>
          <cell r="F7">
            <v>75</v>
          </cell>
          <cell r="G7">
            <v>210</v>
          </cell>
        </row>
        <row r="8">
          <cell r="D8">
            <v>300</v>
          </cell>
          <cell r="E8">
            <v>75</v>
          </cell>
          <cell r="F8">
            <v>45</v>
          </cell>
          <cell r="G8">
            <v>210</v>
          </cell>
        </row>
        <row r="9">
          <cell r="D9">
            <v>450</v>
          </cell>
          <cell r="E9">
            <v>75</v>
          </cell>
          <cell r="F9">
            <v>45</v>
          </cell>
          <cell r="G9">
            <v>210</v>
          </cell>
        </row>
        <row r="10">
          <cell r="D10">
            <v>150</v>
          </cell>
          <cell r="E10">
            <v>100</v>
          </cell>
          <cell r="F10">
            <v>70</v>
          </cell>
          <cell r="G10">
            <v>210</v>
          </cell>
        </row>
        <row r="11">
          <cell r="D11">
            <v>150</v>
          </cell>
          <cell r="E11">
            <v>50</v>
          </cell>
          <cell r="F11">
            <v>70</v>
          </cell>
          <cell r="G11">
            <v>210</v>
          </cell>
        </row>
        <row r="12">
          <cell r="D12">
            <v>150</v>
          </cell>
          <cell r="E12">
            <v>75</v>
          </cell>
          <cell r="F12">
            <v>45</v>
          </cell>
          <cell r="G12">
            <v>210</v>
          </cell>
        </row>
        <row r="13">
          <cell r="D13">
            <v>100</v>
          </cell>
          <cell r="E13">
            <v>50</v>
          </cell>
          <cell r="F13">
            <v>25</v>
          </cell>
          <cell r="G13">
            <v>210</v>
          </cell>
        </row>
        <row r="14">
          <cell r="D14">
            <v>50</v>
          </cell>
          <cell r="E14">
            <v>50</v>
          </cell>
          <cell r="F14">
            <v>25</v>
          </cell>
          <cell r="G14">
            <v>210</v>
          </cell>
        </row>
        <row r="15">
          <cell r="D15">
            <v>50</v>
          </cell>
          <cell r="E15">
            <v>20</v>
          </cell>
          <cell r="F15">
            <v>25</v>
          </cell>
          <cell r="G15">
            <v>210</v>
          </cell>
        </row>
        <row r="16">
          <cell r="D16">
            <v>50</v>
          </cell>
          <cell r="E16">
            <v>25</v>
          </cell>
          <cell r="F16">
            <v>25</v>
          </cell>
          <cell r="G16">
            <v>210</v>
          </cell>
        </row>
        <row r="17">
          <cell r="D17">
            <v>600</v>
          </cell>
          <cell r="E17">
            <v>50</v>
          </cell>
          <cell r="F17">
            <v>70</v>
          </cell>
          <cell r="G17">
            <v>210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24">
          <cell r="B24" t="str">
            <v>600mm(W)X100mm(H) - B2-i vertical bend</v>
          </cell>
          <cell r="K24">
            <v>8.9489999999999998</v>
          </cell>
          <cell r="L24">
            <v>6.7824</v>
          </cell>
          <cell r="M24">
            <v>0.46157999999999999</v>
          </cell>
          <cell r="Q24">
            <v>16.512980000000002</v>
          </cell>
          <cell r="U24">
            <v>0.82564900000000019</v>
          </cell>
          <cell r="Z24">
            <v>1393.1093012100002</v>
          </cell>
        </row>
        <row r="27">
          <cell r="B27" t="str">
            <v>600mm(W)X100mm(H) - B3-i vertical bend</v>
          </cell>
          <cell r="K27">
            <v>8.9489999999999998</v>
          </cell>
          <cell r="L27">
            <v>6.7824</v>
          </cell>
          <cell r="M27">
            <v>0.46157999999999999</v>
          </cell>
          <cell r="Q27">
            <v>16.512980000000002</v>
          </cell>
          <cell r="U27">
            <v>0.82564900000000019</v>
          </cell>
          <cell r="Z27">
            <v>1393.1093012100002</v>
          </cell>
        </row>
        <row r="30">
          <cell r="B30" t="str">
            <v>600mm(W)X100mm(H) - B4-i horizontal tee</v>
          </cell>
          <cell r="K30">
            <v>19.782</v>
          </cell>
          <cell r="L30">
            <v>14.412600000000001</v>
          </cell>
          <cell r="M30">
            <v>0.46157999999999999</v>
          </cell>
          <cell r="Q30">
            <v>34.976179999999999</v>
          </cell>
          <cell r="U30">
            <v>1.7488090000000001</v>
          </cell>
          <cell r="Z30">
            <v>2950.74793761</v>
          </cell>
        </row>
        <row r="33">
          <cell r="B33" t="str">
            <v>600mm(W)X100mm(H) - B5-i horizontal cross</v>
          </cell>
          <cell r="K33">
            <v>27.318000000000001</v>
          </cell>
          <cell r="L33">
            <v>19.499400000000001</v>
          </cell>
          <cell r="M33">
            <v>0.46157999999999999</v>
          </cell>
          <cell r="Q33">
            <v>47.598980000000005</v>
          </cell>
          <cell r="U33">
            <v>2.3799490000000003</v>
          </cell>
          <cell r="Z33">
            <v>4015.6641482100003</v>
          </cell>
        </row>
      </sheetData>
      <sheetData sheetId="25">
        <row r="6">
          <cell r="N6">
            <v>70</v>
          </cell>
        </row>
        <row r="7">
          <cell r="N7">
            <v>210</v>
          </cell>
        </row>
        <row r="8">
          <cell r="N8">
            <v>2</v>
          </cell>
        </row>
        <row r="24">
          <cell r="D24">
            <v>0.23079000000000002</v>
          </cell>
        </row>
        <row r="34">
          <cell r="D34">
            <v>2.3785499999999998E-2</v>
          </cell>
        </row>
        <row r="37">
          <cell r="D37">
            <v>0.20700450000000004</v>
          </cell>
        </row>
      </sheetData>
      <sheetData sheetId="26"/>
      <sheetData sheetId="27"/>
      <sheetData sheetId="28">
        <row r="11">
          <cell r="D11">
            <v>0.3</v>
          </cell>
        </row>
        <row r="24">
          <cell r="D24">
            <v>8.2425000000000012E-2</v>
          </cell>
        </row>
        <row r="34">
          <cell r="D34">
            <v>2.3785499999999998E-2</v>
          </cell>
        </row>
      </sheetData>
      <sheetData sheetId="29"/>
      <sheetData sheetId="30">
        <row r="2">
          <cell r="D2">
            <v>600</v>
          </cell>
          <cell r="E2">
            <v>100</v>
          </cell>
          <cell r="F2">
            <v>70</v>
          </cell>
          <cell r="G2">
            <v>210</v>
          </cell>
        </row>
        <row r="3">
          <cell r="D3">
            <v>450</v>
          </cell>
          <cell r="E3">
            <v>100</v>
          </cell>
          <cell r="F3">
            <v>70</v>
          </cell>
          <cell r="G3">
            <v>210</v>
          </cell>
        </row>
        <row r="4">
          <cell r="D4">
            <v>300</v>
          </cell>
          <cell r="E4">
            <v>100</v>
          </cell>
          <cell r="F4">
            <v>70</v>
          </cell>
          <cell r="G4">
            <v>210</v>
          </cell>
        </row>
        <row r="5">
          <cell r="D5">
            <v>600</v>
          </cell>
          <cell r="E5">
            <v>75</v>
          </cell>
          <cell r="F5">
            <v>70</v>
          </cell>
          <cell r="G5">
            <v>210</v>
          </cell>
        </row>
        <row r="6">
          <cell r="D6">
            <v>450</v>
          </cell>
          <cell r="E6">
            <v>60</v>
          </cell>
          <cell r="F6">
            <v>75</v>
          </cell>
          <cell r="G6">
            <v>210</v>
          </cell>
        </row>
        <row r="7">
          <cell r="D7">
            <v>300</v>
          </cell>
          <cell r="E7">
            <v>60</v>
          </cell>
          <cell r="F7">
            <v>75</v>
          </cell>
          <cell r="G7">
            <v>210</v>
          </cell>
        </row>
        <row r="8">
          <cell r="D8">
            <v>300</v>
          </cell>
          <cell r="E8">
            <v>75</v>
          </cell>
          <cell r="F8">
            <v>45</v>
          </cell>
          <cell r="G8">
            <v>210</v>
          </cell>
        </row>
        <row r="9">
          <cell r="D9">
            <v>450</v>
          </cell>
          <cell r="E9">
            <v>75</v>
          </cell>
          <cell r="F9">
            <v>45</v>
          </cell>
          <cell r="G9">
            <v>210</v>
          </cell>
        </row>
        <row r="10">
          <cell r="D10">
            <v>150</v>
          </cell>
          <cell r="E10">
            <v>100</v>
          </cell>
          <cell r="F10">
            <v>70</v>
          </cell>
          <cell r="G10">
            <v>210</v>
          </cell>
        </row>
        <row r="11">
          <cell r="D11">
            <v>150</v>
          </cell>
          <cell r="E11">
            <v>50</v>
          </cell>
          <cell r="F11">
            <v>70</v>
          </cell>
          <cell r="G11">
            <v>210</v>
          </cell>
        </row>
        <row r="12">
          <cell r="D12">
            <v>150</v>
          </cell>
          <cell r="E12">
            <v>75</v>
          </cell>
          <cell r="F12">
            <v>45</v>
          </cell>
          <cell r="G12">
            <v>210</v>
          </cell>
        </row>
        <row r="13">
          <cell r="D13">
            <v>100</v>
          </cell>
          <cell r="E13">
            <v>50</v>
          </cell>
          <cell r="F13">
            <v>25</v>
          </cell>
          <cell r="G13">
            <v>210</v>
          </cell>
        </row>
        <row r="14">
          <cell r="D14">
            <v>50</v>
          </cell>
          <cell r="E14">
            <v>50</v>
          </cell>
          <cell r="F14">
            <v>25</v>
          </cell>
          <cell r="G14">
            <v>210</v>
          </cell>
        </row>
        <row r="15">
          <cell r="D15">
            <v>50</v>
          </cell>
          <cell r="E15">
            <v>20</v>
          </cell>
          <cell r="F15">
            <v>25</v>
          </cell>
          <cell r="G15">
            <v>210</v>
          </cell>
        </row>
        <row r="16">
          <cell r="D16">
            <v>50</v>
          </cell>
          <cell r="E16">
            <v>25</v>
          </cell>
          <cell r="F16">
            <v>25</v>
          </cell>
          <cell r="G16">
            <v>210</v>
          </cell>
        </row>
        <row r="17">
          <cell r="D17">
            <v>75</v>
          </cell>
          <cell r="E17">
            <v>25</v>
          </cell>
          <cell r="F17">
            <v>25</v>
          </cell>
          <cell r="G17">
            <v>210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ough 75x25x2"/>
      <sheetName val="Trough 50x25x2"/>
      <sheetName val="Coupler Plate 75x25"/>
      <sheetName val="Coupler Plate 50x25"/>
      <sheetName val="Coupler plate dimensions"/>
    </sheetNames>
    <sheetDataSet>
      <sheetData sheetId="0" refreshError="1"/>
      <sheetData sheetId="1"/>
      <sheetData sheetId="2" refreshError="1"/>
      <sheetData sheetId="3">
        <row r="11">
          <cell r="D11">
            <v>0.3</v>
          </cell>
        </row>
        <row r="24">
          <cell r="D24">
            <v>8.2425000000000012E-2</v>
          </cell>
        </row>
        <row r="34">
          <cell r="D34">
            <v>2.3785499999999998E-2</v>
          </cell>
        </row>
      </sheetData>
      <sheetData sheetId="4">
        <row r="2">
          <cell r="D2">
            <v>600</v>
          </cell>
          <cell r="E2">
            <v>100</v>
          </cell>
          <cell r="F2">
            <v>70</v>
          </cell>
          <cell r="G2">
            <v>210</v>
          </cell>
        </row>
        <row r="3">
          <cell r="D3">
            <v>450</v>
          </cell>
          <cell r="E3">
            <v>100</v>
          </cell>
          <cell r="F3">
            <v>70</v>
          </cell>
          <cell r="G3">
            <v>210</v>
          </cell>
        </row>
        <row r="4">
          <cell r="D4">
            <v>300</v>
          </cell>
          <cell r="E4">
            <v>100</v>
          </cell>
          <cell r="F4">
            <v>70</v>
          </cell>
          <cell r="G4">
            <v>210</v>
          </cell>
        </row>
        <row r="5">
          <cell r="D5">
            <v>600</v>
          </cell>
          <cell r="E5">
            <v>75</v>
          </cell>
          <cell r="F5">
            <v>70</v>
          </cell>
          <cell r="G5">
            <v>210</v>
          </cell>
        </row>
        <row r="6">
          <cell r="D6">
            <v>450</v>
          </cell>
          <cell r="E6">
            <v>60</v>
          </cell>
          <cell r="F6">
            <v>75</v>
          </cell>
          <cell r="G6">
            <v>210</v>
          </cell>
        </row>
        <row r="7">
          <cell r="D7">
            <v>300</v>
          </cell>
          <cell r="E7">
            <v>60</v>
          </cell>
          <cell r="F7">
            <v>75</v>
          </cell>
          <cell r="G7">
            <v>210</v>
          </cell>
        </row>
        <row r="8">
          <cell r="D8">
            <v>300</v>
          </cell>
          <cell r="E8">
            <v>75</v>
          </cell>
          <cell r="F8">
            <v>45</v>
          </cell>
          <cell r="G8">
            <v>210</v>
          </cell>
        </row>
        <row r="9">
          <cell r="D9">
            <v>450</v>
          </cell>
          <cell r="E9">
            <v>75</v>
          </cell>
          <cell r="F9">
            <v>45</v>
          </cell>
          <cell r="G9">
            <v>210</v>
          </cell>
        </row>
        <row r="10">
          <cell r="D10">
            <v>150</v>
          </cell>
          <cell r="E10">
            <v>100</v>
          </cell>
          <cell r="F10">
            <v>70</v>
          </cell>
          <cell r="G10">
            <v>210</v>
          </cell>
        </row>
        <row r="11">
          <cell r="D11">
            <v>150</v>
          </cell>
          <cell r="E11">
            <v>50</v>
          </cell>
          <cell r="F11">
            <v>70</v>
          </cell>
          <cell r="G11">
            <v>210</v>
          </cell>
        </row>
        <row r="12">
          <cell r="D12">
            <v>150</v>
          </cell>
          <cell r="E12">
            <v>75</v>
          </cell>
          <cell r="F12">
            <v>45</v>
          </cell>
          <cell r="G12">
            <v>210</v>
          </cell>
        </row>
        <row r="13">
          <cell r="D13">
            <v>100</v>
          </cell>
          <cell r="E13">
            <v>50</v>
          </cell>
          <cell r="F13">
            <v>25</v>
          </cell>
          <cell r="G13">
            <v>210</v>
          </cell>
        </row>
        <row r="14">
          <cell r="D14">
            <v>50</v>
          </cell>
          <cell r="E14">
            <v>50</v>
          </cell>
          <cell r="F14">
            <v>25</v>
          </cell>
          <cell r="G14">
            <v>210</v>
          </cell>
        </row>
        <row r="15">
          <cell r="D15">
            <v>50</v>
          </cell>
          <cell r="E15">
            <v>20</v>
          </cell>
          <cell r="F15">
            <v>25</v>
          </cell>
          <cell r="G15">
            <v>210</v>
          </cell>
        </row>
        <row r="16">
          <cell r="D16">
            <v>50</v>
          </cell>
          <cell r="E16">
            <v>25</v>
          </cell>
          <cell r="F16">
            <v>25</v>
          </cell>
          <cell r="G16">
            <v>210</v>
          </cell>
        </row>
        <row r="17">
          <cell r="D17">
            <v>75</v>
          </cell>
          <cell r="E17">
            <v>25</v>
          </cell>
          <cell r="F17">
            <v>25</v>
          </cell>
          <cell r="G17">
            <v>210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1-i HB90 R1200 600W"/>
      <sheetName val="B1-ii HB90 R1200 300W"/>
      <sheetName val="B1-iii HB90 R1200 150W"/>
      <sheetName val="B2-i VB90 Up R1050 600W"/>
      <sheetName val="B2-ii VB90 Up R1050 300W"/>
      <sheetName val="B2-iii VB90 Up R1050 150W"/>
      <sheetName val="B3-i VB90 Dn R1050 600W"/>
      <sheetName val="B3-ii VB90 Dn R1050 300W"/>
      <sheetName val="B3-iii VB90 Dn R1050 150W"/>
      <sheetName val="B4-i Tee R1200 600W"/>
      <sheetName val="B4-ii Tee R1200 300W"/>
      <sheetName val="B4-iii Tee R1200 150W"/>
      <sheetName val="B5-i Cross R1050 600W"/>
      <sheetName val="B5-ii Cross R1050 300W"/>
      <sheetName val="Old Ladder type "/>
      <sheetName val="Coupler Plate"/>
      <sheetName val="Coupler plate dimensions"/>
    </sheetNames>
    <sheetDataSet>
      <sheetData sheetId="0" refreshError="1"/>
      <sheetData sheetId="1" refreshError="1"/>
      <sheetData sheetId="2">
        <row r="12">
          <cell r="O12">
            <v>2360</v>
          </cell>
        </row>
      </sheetData>
      <sheetData sheetId="3">
        <row r="12">
          <cell r="O12">
            <v>2120</v>
          </cell>
        </row>
      </sheetData>
      <sheetData sheetId="4" refreshError="1"/>
      <sheetData sheetId="5">
        <row r="12">
          <cell r="O12">
            <v>1900</v>
          </cell>
        </row>
      </sheetData>
      <sheetData sheetId="6">
        <row r="12">
          <cell r="O12">
            <v>1900</v>
          </cell>
        </row>
      </sheetData>
      <sheetData sheetId="7" refreshError="1"/>
      <sheetData sheetId="8">
        <row r="12">
          <cell r="O12">
            <v>1900</v>
          </cell>
        </row>
      </sheetData>
      <sheetData sheetId="9">
        <row r="12">
          <cell r="O12">
            <v>1900</v>
          </cell>
        </row>
      </sheetData>
      <sheetData sheetId="10" refreshError="1"/>
      <sheetData sheetId="11">
        <row r="12">
          <cell r="O12">
            <v>3900</v>
          </cell>
        </row>
      </sheetData>
      <sheetData sheetId="12">
        <row r="12">
          <cell r="O12">
            <v>3700</v>
          </cell>
        </row>
      </sheetData>
      <sheetData sheetId="13" refreshError="1"/>
      <sheetData sheetId="14">
        <row r="12">
          <cell r="O12">
            <v>5800</v>
          </cell>
        </row>
      </sheetData>
      <sheetData sheetId="15">
        <row r="21">
          <cell r="B21" t="str">
            <v>600mm(W)X100mm(H) - B1-i horizontal bend</v>
          </cell>
          <cell r="K21">
            <v>11.115599999999999</v>
          </cell>
          <cell r="L21">
            <v>7.6302000000000003</v>
          </cell>
          <cell r="M21">
            <v>0.46157999999999999</v>
          </cell>
          <cell r="Q21">
            <v>19.527380000000001</v>
          </cell>
          <cell r="U21">
            <v>0.97636900000000004</v>
          </cell>
          <cell r="Z21">
            <v>1647.4176500100002</v>
          </cell>
        </row>
      </sheetData>
      <sheetData sheetId="16">
        <row r="6">
          <cell r="N6">
            <v>70</v>
          </cell>
        </row>
        <row r="7">
          <cell r="N7">
            <v>210</v>
          </cell>
        </row>
        <row r="8">
          <cell r="N8">
            <v>2</v>
          </cell>
        </row>
        <row r="24">
          <cell r="D24">
            <v>0.23079000000000002</v>
          </cell>
        </row>
        <row r="34">
          <cell r="D34">
            <v>2.3785499999999998E-2</v>
          </cell>
        </row>
        <row r="37">
          <cell r="D37">
            <v>0.20700450000000004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AD87-C697-4DE2-A549-933AC3176935}">
  <dimension ref="A2:D6"/>
  <sheetViews>
    <sheetView showGridLines="0" workbookViewId="0">
      <selection activeCell="C2" sqref="C2:D6"/>
    </sheetView>
  </sheetViews>
  <sheetFormatPr defaultRowHeight="14.5" x14ac:dyDescent="0.35"/>
  <cols>
    <col min="2" max="2" width="2.453125" customWidth="1"/>
    <col min="3" max="3" width="44.26953125" customWidth="1"/>
    <col min="4" max="4" width="27.90625" bestFit="1" customWidth="1"/>
  </cols>
  <sheetData>
    <row r="2" spans="1:4" x14ac:dyDescent="0.35">
      <c r="B2" s="288"/>
      <c r="C2" s="287" t="s">
        <v>353</v>
      </c>
      <c r="D2" s="287" t="s">
        <v>352</v>
      </c>
    </row>
    <row r="3" spans="1:4" x14ac:dyDescent="0.35">
      <c r="A3" s="289"/>
      <c r="B3" s="288" t="s">
        <v>10</v>
      </c>
      <c r="C3" s="286" t="s">
        <v>349</v>
      </c>
      <c r="D3" s="291">
        <f>SUM('Cable Tray &amp; Accessories'!F8:F17)/10^7</f>
        <v>14.100601051058497</v>
      </c>
    </row>
    <row r="4" spans="1:4" x14ac:dyDescent="0.35">
      <c r="A4" s="289"/>
      <c r="B4" s="288" t="s">
        <v>11</v>
      </c>
      <c r="C4" s="285" t="s">
        <v>350</v>
      </c>
      <c r="D4" s="291">
        <f>SUM('Cable Tray &amp; Accessories'!F20:F37)/10^7</f>
        <v>7.1049789253002496E-2</v>
      </c>
    </row>
    <row r="5" spans="1:4" x14ac:dyDescent="0.35">
      <c r="A5" s="289"/>
      <c r="B5" s="288" t="s">
        <v>12</v>
      </c>
      <c r="C5" s="286" t="s">
        <v>51</v>
      </c>
      <c r="D5" s="291">
        <f>SUM('Cable Tray &amp; Accessories'!F39:F43)/10^7</f>
        <v>2.7241413265043879</v>
      </c>
    </row>
    <row r="6" spans="1:4" x14ac:dyDescent="0.35">
      <c r="A6" s="289"/>
      <c r="B6" s="288"/>
      <c r="C6" s="290" t="s">
        <v>351</v>
      </c>
      <c r="D6" s="292">
        <f>SUM(D3:D5)</f>
        <v>16.895792166815887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G62"/>
  <sheetViews>
    <sheetView showGridLines="0" tabSelected="1" zoomScale="70" zoomScaleNormal="70" workbookViewId="0">
      <selection activeCell="B38" sqref="B38"/>
    </sheetView>
  </sheetViews>
  <sheetFormatPr defaultRowHeight="15.5" x14ac:dyDescent="0.35"/>
  <cols>
    <col min="1" max="1" width="4.90625" customWidth="1"/>
    <col min="2" max="2" width="74.54296875" customWidth="1"/>
    <col min="3" max="3" width="7.36328125" style="10" customWidth="1"/>
    <col min="4" max="4" width="8.6328125" style="10" customWidth="1"/>
    <col min="5" max="5" width="14.1796875" style="1" customWidth="1"/>
    <col min="6" max="6" width="16.36328125" style="1" customWidth="1"/>
    <col min="7" max="7" width="26.36328125" style="1" customWidth="1"/>
  </cols>
  <sheetData>
    <row r="1" spans="1:7" ht="24" customHeight="1" x14ac:dyDescent="0.35">
      <c r="A1" s="14" t="s">
        <v>5</v>
      </c>
      <c r="B1" s="14"/>
      <c r="C1" s="14"/>
      <c r="D1" s="14"/>
      <c r="E1" s="14"/>
      <c r="F1" s="14"/>
      <c r="G1" s="14"/>
    </row>
    <row r="2" spans="1:7" ht="18" x14ac:dyDescent="0.35">
      <c r="A2" s="14" t="s">
        <v>73</v>
      </c>
      <c r="B2" s="14"/>
      <c r="C2" s="14"/>
      <c r="D2" s="14"/>
      <c r="E2" s="14"/>
      <c r="F2" s="14"/>
      <c r="G2" s="14"/>
    </row>
    <row r="3" spans="1:7" ht="18" x14ac:dyDescent="0.35">
      <c r="A3" s="14" t="s">
        <v>6</v>
      </c>
      <c r="B3" s="14"/>
      <c r="C3" s="14"/>
      <c r="D3" s="14"/>
      <c r="E3" s="14"/>
      <c r="F3" s="14"/>
      <c r="G3" s="14"/>
    </row>
    <row r="4" spans="1:7" ht="31" x14ac:dyDescent="0.35">
      <c r="A4" s="5" t="s">
        <v>75</v>
      </c>
      <c r="B4" s="5" t="s">
        <v>0</v>
      </c>
      <c r="C4" s="5" t="s">
        <v>1</v>
      </c>
      <c r="D4" s="5" t="s">
        <v>8</v>
      </c>
      <c r="E4" s="2" t="s">
        <v>2</v>
      </c>
      <c r="F4" s="2" t="s">
        <v>3</v>
      </c>
      <c r="G4" s="2" t="s">
        <v>4</v>
      </c>
    </row>
    <row r="5" spans="1:7" ht="55" customHeight="1" x14ac:dyDescent="0.35">
      <c r="A5" s="1"/>
      <c r="B5" s="9" t="s">
        <v>74</v>
      </c>
      <c r="C5" s="6"/>
      <c r="D5" s="6"/>
      <c r="E5" s="3"/>
      <c r="F5" s="3"/>
      <c r="G5" s="7"/>
    </row>
    <row r="6" spans="1:7" x14ac:dyDescent="0.35">
      <c r="A6" s="12" t="s">
        <v>10</v>
      </c>
      <c r="B6" s="13" t="s">
        <v>13</v>
      </c>
      <c r="C6" s="6"/>
      <c r="D6" s="6"/>
      <c r="E6" s="3"/>
      <c r="F6" s="3"/>
      <c r="G6" s="3"/>
    </row>
    <row r="7" spans="1:7" x14ac:dyDescent="0.35">
      <c r="A7" s="12" t="s">
        <v>14</v>
      </c>
      <c r="B7" s="13" t="s">
        <v>15</v>
      </c>
      <c r="C7" s="6"/>
      <c r="D7" s="6"/>
      <c r="E7" s="3"/>
      <c r="F7" s="3"/>
      <c r="G7" s="3"/>
    </row>
    <row r="8" spans="1:7" x14ac:dyDescent="0.35">
      <c r="A8" s="3" t="s">
        <v>19</v>
      </c>
      <c r="B8" s="4" t="s">
        <v>16</v>
      </c>
      <c r="C8" s="6" t="s">
        <v>9</v>
      </c>
      <c r="D8" s="6">
        <v>107</v>
      </c>
      <c r="E8" s="279">
        <f>'Ladder 600x100x2'!D113*1000</f>
        <v>845424.62522799999</v>
      </c>
      <c r="F8" s="279">
        <f t="shared" ref="F8:F34" si="0">D8*E8</f>
        <v>90460434.899396002</v>
      </c>
      <c r="G8" s="3"/>
    </row>
    <row r="9" spans="1:7" x14ac:dyDescent="0.35">
      <c r="A9" s="3" t="s">
        <v>20</v>
      </c>
      <c r="B9" s="4" t="s">
        <v>17</v>
      </c>
      <c r="C9" s="6" t="s">
        <v>9</v>
      </c>
      <c r="D9" s="6">
        <v>20</v>
      </c>
      <c r="E9" s="279">
        <f>'Ladder 300x100x2'!D113*1000</f>
        <v>679444.4607279998</v>
      </c>
      <c r="F9" s="279">
        <f t="shared" si="0"/>
        <v>13588889.214559997</v>
      </c>
      <c r="G9" s="3"/>
    </row>
    <row r="10" spans="1:7" x14ac:dyDescent="0.35">
      <c r="A10" s="3" t="s">
        <v>21</v>
      </c>
      <c r="B10" s="4" t="s">
        <v>18</v>
      </c>
      <c r="C10" s="6" t="s">
        <v>9</v>
      </c>
      <c r="D10" s="6">
        <v>8</v>
      </c>
      <c r="E10" s="279">
        <f>'Ladder 150x100x2'!D113*1000</f>
        <v>596454.37847800006</v>
      </c>
      <c r="F10" s="279">
        <f t="shared" si="0"/>
        <v>4771635.0278240005</v>
      </c>
      <c r="G10" s="3"/>
    </row>
    <row r="11" spans="1:7" x14ac:dyDescent="0.35">
      <c r="A11" s="12" t="s">
        <v>23</v>
      </c>
      <c r="B11" s="13" t="s">
        <v>22</v>
      </c>
      <c r="C11" s="6"/>
      <c r="D11" s="6"/>
      <c r="E11" s="279"/>
      <c r="F11" s="279"/>
      <c r="G11" s="3"/>
    </row>
    <row r="12" spans="1:7" x14ac:dyDescent="0.35">
      <c r="A12" s="3" t="s">
        <v>19</v>
      </c>
      <c r="B12" s="4" t="s">
        <v>16</v>
      </c>
      <c r="C12" s="6" t="s">
        <v>9</v>
      </c>
      <c r="D12" s="6">
        <v>13.5</v>
      </c>
      <c r="E12" s="279">
        <f>'Perforated 600x100x2'!D93*1000</f>
        <v>1519478.5594002316</v>
      </c>
      <c r="F12" s="279">
        <f t="shared" si="0"/>
        <v>20512960.551903125</v>
      </c>
      <c r="G12" s="3"/>
    </row>
    <row r="13" spans="1:7" x14ac:dyDescent="0.35">
      <c r="A13" s="3" t="s">
        <v>20</v>
      </c>
      <c r="B13" s="4" t="s">
        <v>17</v>
      </c>
      <c r="C13" s="6" t="s">
        <v>9</v>
      </c>
      <c r="D13" s="6">
        <v>5</v>
      </c>
      <c r="E13" s="279">
        <f>'Perforated 300x100x2'!D93*1000</f>
        <v>978059.13753111172</v>
      </c>
      <c r="F13" s="279">
        <f t="shared" si="0"/>
        <v>4890295.6876555588</v>
      </c>
      <c r="G13" s="3"/>
    </row>
    <row r="14" spans="1:7" x14ac:dyDescent="0.35">
      <c r="A14" s="3" t="s">
        <v>21</v>
      </c>
      <c r="B14" s="4" t="s">
        <v>18</v>
      </c>
      <c r="C14" s="6" t="s">
        <v>9</v>
      </c>
      <c r="D14" s="6">
        <v>5</v>
      </c>
      <c r="E14" s="279">
        <f>'Perforated 150x100x2'!D93*1000</f>
        <v>653207.48440963938</v>
      </c>
      <c r="F14" s="279">
        <f t="shared" si="0"/>
        <v>3266037.4220481971</v>
      </c>
      <c r="G14" s="3"/>
    </row>
    <row r="15" spans="1:7" x14ac:dyDescent="0.35">
      <c r="A15" s="12" t="s">
        <v>24</v>
      </c>
      <c r="B15" s="13" t="s">
        <v>25</v>
      </c>
      <c r="C15" s="6"/>
      <c r="D15" s="6"/>
      <c r="E15" s="279"/>
      <c r="F15" s="279"/>
      <c r="G15" s="3"/>
    </row>
    <row r="16" spans="1:7" x14ac:dyDescent="0.35">
      <c r="A16" s="3" t="s">
        <v>19</v>
      </c>
      <c r="B16" s="4" t="s">
        <v>26</v>
      </c>
      <c r="C16" s="6" t="s">
        <v>9</v>
      </c>
      <c r="D16" s="6">
        <v>8</v>
      </c>
      <c r="E16" s="279">
        <f>'U Trough 75x25x2'!D93*1000</f>
        <v>242293.99927776048</v>
      </c>
      <c r="F16" s="279">
        <f t="shared" si="0"/>
        <v>1938351.9942220838</v>
      </c>
      <c r="G16" s="3"/>
    </row>
    <row r="17" spans="1:7" x14ac:dyDescent="0.35">
      <c r="A17" s="3" t="s">
        <v>20</v>
      </c>
      <c r="B17" s="4" t="s">
        <v>27</v>
      </c>
      <c r="C17" s="6" t="s">
        <v>9</v>
      </c>
      <c r="D17" s="6">
        <v>8</v>
      </c>
      <c r="E17" s="279">
        <f>'U Trough 50x25x2'!D93*1000</f>
        <v>197175.7141220005</v>
      </c>
      <c r="F17" s="279">
        <f t="shared" si="0"/>
        <v>1577405.712976004</v>
      </c>
      <c r="G17" s="3"/>
    </row>
    <row r="18" spans="1:7" x14ac:dyDescent="0.35">
      <c r="A18" s="12" t="s">
        <v>11</v>
      </c>
      <c r="B18" s="13" t="s">
        <v>28</v>
      </c>
      <c r="C18" s="6"/>
      <c r="D18" s="6"/>
      <c r="E18" s="279"/>
      <c r="F18" s="279"/>
      <c r="G18" s="3"/>
    </row>
    <row r="19" spans="1:7" x14ac:dyDescent="0.35">
      <c r="A19" s="12" t="s">
        <v>30</v>
      </c>
      <c r="B19" s="13" t="s">
        <v>29</v>
      </c>
      <c r="C19" s="6"/>
      <c r="D19" s="6"/>
      <c r="E19" s="279"/>
      <c r="F19" s="279"/>
      <c r="G19" s="3"/>
    </row>
    <row r="20" spans="1:7" x14ac:dyDescent="0.35">
      <c r="A20" s="3" t="s">
        <v>19</v>
      </c>
      <c r="B20" s="4" t="s">
        <v>31</v>
      </c>
      <c r="C20" s="6" t="s">
        <v>34</v>
      </c>
      <c r="D20" s="6">
        <v>50</v>
      </c>
      <c r="E20" s="279">
        <f>'H Bend 600x100x2'!D112</f>
        <v>1959.6243269199997</v>
      </c>
      <c r="F20" s="279">
        <f t="shared" si="0"/>
        <v>97981.216345999987</v>
      </c>
      <c r="G20" s="3"/>
    </row>
    <row r="21" spans="1:7" x14ac:dyDescent="0.35">
      <c r="A21" s="3" t="s">
        <v>20</v>
      </c>
      <c r="B21" s="4" t="s">
        <v>37</v>
      </c>
      <c r="C21" s="6" t="s">
        <v>34</v>
      </c>
      <c r="D21" s="6">
        <v>25</v>
      </c>
      <c r="E21" s="279">
        <f>'H Bend 300x100x2'!D112</f>
        <v>1586.1689567949995</v>
      </c>
      <c r="F21" s="279">
        <f t="shared" si="0"/>
        <v>39654.223919874988</v>
      </c>
      <c r="G21" s="3"/>
    </row>
    <row r="22" spans="1:7" x14ac:dyDescent="0.35">
      <c r="A22" s="3" t="s">
        <v>21</v>
      </c>
      <c r="B22" s="4" t="s">
        <v>38</v>
      </c>
      <c r="C22" s="6" t="s">
        <v>34</v>
      </c>
      <c r="D22" s="6">
        <v>25</v>
      </c>
      <c r="E22" s="279">
        <f>'H Bend 150x100x2'!D112</f>
        <v>1399.4412717324999</v>
      </c>
      <c r="F22" s="279">
        <f t="shared" si="0"/>
        <v>34986.031793312497</v>
      </c>
      <c r="G22" s="3"/>
    </row>
    <row r="23" spans="1:7" x14ac:dyDescent="0.35">
      <c r="A23" s="12" t="s">
        <v>35</v>
      </c>
      <c r="B23" s="13" t="s">
        <v>36</v>
      </c>
      <c r="C23" s="6"/>
      <c r="D23" s="6"/>
      <c r="E23" s="279"/>
      <c r="F23" s="279"/>
      <c r="G23" s="3"/>
    </row>
    <row r="24" spans="1:7" x14ac:dyDescent="0.35">
      <c r="A24" s="3" t="s">
        <v>19</v>
      </c>
      <c r="B24" s="4" t="s">
        <v>39</v>
      </c>
      <c r="C24" s="6" t="s">
        <v>34</v>
      </c>
      <c r="D24" s="6">
        <v>25</v>
      </c>
      <c r="E24" s="279">
        <f>'Vertical bend up 600x100x2'!D112</f>
        <v>1654.62274267</v>
      </c>
      <c r="F24" s="279">
        <f t="shared" si="0"/>
        <v>41365.56856675</v>
      </c>
      <c r="G24" s="3"/>
    </row>
    <row r="25" spans="1:7" x14ac:dyDescent="0.35">
      <c r="A25" s="3" t="s">
        <v>20</v>
      </c>
      <c r="B25" s="4" t="s">
        <v>32</v>
      </c>
      <c r="C25" s="6" t="s">
        <v>34</v>
      </c>
      <c r="D25" s="6">
        <v>13</v>
      </c>
      <c r="E25" s="279">
        <f>'Vertical bend up 300x100x2'!D112</f>
        <v>1322.6624136700002</v>
      </c>
      <c r="F25" s="279">
        <f t="shared" si="0"/>
        <v>17194.611377710004</v>
      </c>
      <c r="G25" s="3"/>
    </row>
    <row r="26" spans="1:7" x14ac:dyDescent="0.35">
      <c r="A26" s="3" t="s">
        <v>21</v>
      </c>
      <c r="B26" s="4" t="s">
        <v>33</v>
      </c>
      <c r="C26" s="6" t="s">
        <v>34</v>
      </c>
      <c r="D26" s="6">
        <v>13</v>
      </c>
      <c r="E26" s="279">
        <f>'Vertical bend up 150x100x2'!D112</f>
        <v>1156.68224917</v>
      </c>
      <c r="F26" s="279">
        <f t="shared" si="0"/>
        <v>15036.86923921</v>
      </c>
      <c r="G26" s="3"/>
    </row>
    <row r="27" spans="1:7" x14ac:dyDescent="0.35">
      <c r="A27" s="12" t="s">
        <v>40</v>
      </c>
      <c r="B27" s="13" t="s">
        <v>41</v>
      </c>
      <c r="C27" s="6"/>
      <c r="D27" s="6"/>
      <c r="E27" s="279"/>
      <c r="F27" s="279"/>
      <c r="G27" s="3"/>
    </row>
    <row r="28" spans="1:7" x14ac:dyDescent="0.35">
      <c r="A28" s="3" t="s">
        <v>19</v>
      </c>
      <c r="B28" s="4" t="s">
        <v>39</v>
      </c>
      <c r="C28" s="6" t="s">
        <v>34</v>
      </c>
      <c r="D28" s="6">
        <v>25</v>
      </c>
      <c r="E28" s="279">
        <f>'Vertical bend down 600x100x2'!D112</f>
        <v>1654.62274267</v>
      </c>
      <c r="F28" s="279">
        <f t="shared" si="0"/>
        <v>41365.56856675</v>
      </c>
      <c r="G28" s="3"/>
    </row>
    <row r="29" spans="1:7" x14ac:dyDescent="0.35">
      <c r="A29" s="3" t="s">
        <v>20</v>
      </c>
      <c r="B29" s="4" t="s">
        <v>32</v>
      </c>
      <c r="C29" s="6" t="s">
        <v>34</v>
      </c>
      <c r="D29" s="6">
        <v>12</v>
      </c>
      <c r="E29" s="279">
        <f>'Vertical bend down 300x100x2'!D112</f>
        <v>1322.6624136700002</v>
      </c>
      <c r="F29" s="279">
        <f t="shared" si="0"/>
        <v>15871.948964040002</v>
      </c>
      <c r="G29" s="3"/>
    </row>
    <row r="30" spans="1:7" x14ac:dyDescent="0.35">
      <c r="A30" s="3" t="s">
        <v>21</v>
      </c>
      <c r="B30" s="4" t="s">
        <v>33</v>
      </c>
      <c r="C30" s="6" t="s">
        <v>34</v>
      </c>
      <c r="D30" s="6">
        <v>12</v>
      </c>
      <c r="E30" s="279">
        <f>'Vertical bend down 150x100x2'!D112</f>
        <v>1156.68224917</v>
      </c>
      <c r="F30" s="279">
        <f t="shared" si="0"/>
        <v>13880.18699004</v>
      </c>
      <c r="G30" s="3"/>
    </row>
    <row r="31" spans="1:7" x14ac:dyDescent="0.35">
      <c r="A31" s="12" t="s">
        <v>43</v>
      </c>
      <c r="B31" s="13" t="s">
        <v>42</v>
      </c>
      <c r="C31" s="6"/>
      <c r="D31" s="6"/>
      <c r="E31" s="279"/>
      <c r="F31" s="279"/>
      <c r="G31" s="3"/>
    </row>
    <row r="32" spans="1:7" x14ac:dyDescent="0.35">
      <c r="A32" s="3" t="s">
        <v>19</v>
      </c>
      <c r="B32" s="4" t="s">
        <v>44</v>
      </c>
      <c r="C32" s="6" t="s">
        <v>34</v>
      </c>
      <c r="D32" s="6">
        <v>50</v>
      </c>
      <c r="E32" s="279">
        <f>'Horizontal Tee 600x100x2'!D112</f>
        <v>3511.5909929199993</v>
      </c>
      <c r="F32" s="279">
        <f t="shared" si="0"/>
        <v>175579.54964599997</v>
      </c>
      <c r="G32" s="3"/>
    </row>
    <row r="33" spans="1:7" x14ac:dyDescent="0.35">
      <c r="A33" s="3" t="s">
        <v>20</v>
      </c>
      <c r="B33" s="4" t="s">
        <v>45</v>
      </c>
      <c r="C33" s="6" t="s">
        <v>34</v>
      </c>
      <c r="D33" s="6">
        <v>25</v>
      </c>
      <c r="E33" s="279">
        <f>'Horizontal Tee 300x100x2'!D112</f>
        <v>2806.1752937949996</v>
      </c>
      <c r="F33" s="279">
        <f t="shared" si="0"/>
        <v>70154.38234487499</v>
      </c>
      <c r="G33" s="3"/>
    </row>
    <row r="34" spans="1:7" x14ac:dyDescent="0.35">
      <c r="A34" s="3" t="s">
        <v>21</v>
      </c>
      <c r="B34" s="4" t="s">
        <v>46</v>
      </c>
      <c r="C34" s="6" t="s">
        <v>34</v>
      </c>
      <c r="D34" s="6">
        <v>25</v>
      </c>
      <c r="E34" s="279">
        <f>'Horizontal Tee 150x100x2'!D112</f>
        <v>2453.4674442324995</v>
      </c>
      <c r="F34" s="279">
        <f t="shared" si="0"/>
        <v>61336.686105812485</v>
      </c>
      <c r="G34" s="3"/>
    </row>
    <row r="35" spans="1:7" x14ac:dyDescent="0.35">
      <c r="A35" s="12" t="s">
        <v>47</v>
      </c>
      <c r="B35" s="13" t="s">
        <v>48</v>
      </c>
      <c r="C35" s="6"/>
      <c r="D35" s="6"/>
      <c r="E35" s="279"/>
      <c r="F35" s="279"/>
      <c r="G35" s="3"/>
    </row>
    <row r="36" spans="1:7" x14ac:dyDescent="0.35">
      <c r="A36" s="3" t="s">
        <v>19</v>
      </c>
      <c r="B36" s="4" t="s">
        <v>49</v>
      </c>
      <c r="C36" s="6" t="s">
        <v>34</v>
      </c>
      <c r="D36" s="6">
        <v>10</v>
      </c>
      <c r="E36" s="279">
        <f>'Horizontal Cross 600x100x2'!D112</f>
        <v>4781.7454064199992</v>
      </c>
      <c r="F36" s="279">
        <f t="shared" ref="F36:F37" si="1">D36*E36</f>
        <v>47817.454064199992</v>
      </c>
      <c r="G36" s="3"/>
    </row>
    <row r="37" spans="1:7" x14ac:dyDescent="0.35">
      <c r="A37" s="3" t="s">
        <v>20</v>
      </c>
      <c r="B37" s="4" t="s">
        <v>50</v>
      </c>
      <c r="C37" s="6" t="s">
        <v>34</v>
      </c>
      <c r="D37" s="6">
        <v>10</v>
      </c>
      <c r="E37" s="279">
        <f>'Horizontal Cross 300x100x2'!D112</f>
        <v>3827.3594605449998</v>
      </c>
      <c r="F37" s="279">
        <f t="shared" si="1"/>
        <v>38273.594605449995</v>
      </c>
      <c r="G37" s="3"/>
    </row>
    <row r="38" spans="1:7" x14ac:dyDescent="0.35">
      <c r="A38" s="12" t="s">
        <v>12</v>
      </c>
      <c r="B38" s="13" t="s">
        <v>51</v>
      </c>
      <c r="C38" s="6"/>
      <c r="D38" s="6"/>
      <c r="E38" s="279"/>
      <c r="F38" s="279"/>
      <c r="G38" s="3"/>
    </row>
    <row r="39" spans="1:7" x14ac:dyDescent="0.35">
      <c r="A39" s="3" t="s">
        <v>19</v>
      </c>
      <c r="B39" s="4" t="s">
        <v>52</v>
      </c>
      <c r="C39" s="6" t="s">
        <v>53</v>
      </c>
      <c r="D39" s="6">
        <v>25000</v>
      </c>
      <c r="E39" s="279">
        <f>'Channel 41x41x2.5'!D91</f>
        <v>293.3681178239014</v>
      </c>
      <c r="F39" s="279">
        <f t="shared" ref="F39:F57" si="2">D39*E39</f>
        <v>7334202.945597535</v>
      </c>
      <c r="G39" s="3"/>
    </row>
    <row r="40" spans="1:7" x14ac:dyDescent="0.35">
      <c r="A40" s="3" t="s">
        <v>20</v>
      </c>
      <c r="B40" s="4" t="s">
        <v>54</v>
      </c>
      <c r="C40" s="6" t="s">
        <v>53</v>
      </c>
      <c r="D40" s="6">
        <v>22000</v>
      </c>
      <c r="E40" s="279">
        <f>'Channel 41x82x2.5'!D91</f>
        <v>468.16619813479423</v>
      </c>
      <c r="F40" s="279">
        <f t="shared" si="2"/>
        <v>10299656.358965473</v>
      </c>
      <c r="G40" s="3"/>
    </row>
    <row r="41" spans="1:7" x14ac:dyDescent="0.35">
      <c r="A41" s="3" t="s">
        <v>21</v>
      </c>
      <c r="B41" s="4" t="s">
        <v>55</v>
      </c>
      <c r="C41" s="6" t="s">
        <v>34</v>
      </c>
      <c r="D41" s="6">
        <v>15000</v>
      </c>
      <c r="E41" s="279">
        <f>'Cantilever Arm 750'!D90</f>
        <v>220.02608836792604</v>
      </c>
      <c r="F41" s="279">
        <f t="shared" si="2"/>
        <v>3300391.3255188907</v>
      </c>
      <c r="G41" s="3"/>
    </row>
    <row r="42" spans="1:7" x14ac:dyDescent="0.35">
      <c r="A42" s="3" t="s">
        <v>58</v>
      </c>
      <c r="B42" s="4" t="s">
        <v>56</v>
      </c>
      <c r="C42" s="6" t="s">
        <v>34</v>
      </c>
      <c r="D42" s="6">
        <v>30000</v>
      </c>
      <c r="E42" s="279">
        <f>'Cantilever Arm 620'!D90</f>
        <v>182.03221930991054</v>
      </c>
      <c r="F42" s="279">
        <f t="shared" si="2"/>
        <v>5460966.5792973163</v>
      </c>
      <c r="G42" s="3"/>
    </row>
    <row r="43" spans="1:7" x14ac:dyDescent="0.35">
      <c r="A43" s="3" t="s">
        <v>59</v>
      </c>
      <c r="B43" s="4" t="s">
        <v>57</v>
      </c>
      <c r="C43" s="6" t="s">
        <v>34</v>
      </c>
      <c r="D43" s="6">
        <v>9000</v>
      </c>
      <c r="E43" s="279">
        <f>'Cantilever Arm 320'!D90</f>
        <v>94.021783962740159</v>
      </c>
      <c r="F43" s="279">
        <f t="shared" si="2"/>
        <v>846196.05566466146</v>
      </c>
      <c r="G43" s="3"/>
    </row>
    <row r="44" spans="1:7" x14ac:dyDescent="0.35">
      <c r="A44" s="12" t="s">
        <v>61</v>
      </c>
      <c r="B44" s="13" t="s">
        <v>60</v>
      </c>
      <c r="C44" s="6"/>
      <c r="D44" s="6"/>
      <c r="E44" s="3"/>
      <c r="F44" s="3"/>
      <c r="G44" s="3"/>
    </row>
    <row r="45" spans="1:7" x14ac:dyDescent="0.35">
      <c r="A45" s="3" t="s">
        <v>19</v>
      </c>
      <c r="B45" s="4" t="s">
        <v>76</v>
      </c>
      <c r="C45" s="6" t="s">
        <v>34</v>
      </c>
      <c r="D45" s="6">
        <v>500</v>
      </c>
      <c r="E45" s="3"/>
      <c r="F45" s="3">
        <f>D45*E45</f>
        <v>0</v>
      </c>
      <c r="G45" s="3"/>
    </row>
    <row r="46" spans="1:7" ht="31" x14ac:dyDescent="0.35">
      <c r="A46" s="3" t="s">
        <v>20</v>
      </c>
      <c r="B46" s="4" t="s">
        <v>77</v>
      </c>
      <c r="C46" s="6" t="s">
        <v>34</v>
      </c>
      <c r="D46" s="6">
        <v>400</v>
      </c>
      <c r="E46" s="3"/>
      <c r="F46" s="3">
        <f t="shared" si="2"/>
        <v>0</v>
      </c>
      <c r="G46" s="3"/>
    </row>
    <row r="47" spans="1:7" ht="31" x14ac:dyDescent="0.35">
      <c r="A47" s="3" t="s">
        <v>21</v>
      </c>
      <c r="B47" s="4" t="s">
        <v>78</v>
      </c>
      <c r="C47" s="6" t="s">
        <v>34</v>
      </c>
      <c r="D47" s="6">
        <v>100</v>
      </c>
      <c r="E47" s="3"/>
      <c r="F47" s="3">
        <f t="shared" si="2"/>
        <v>0</v>
      </c>
      <c r="G47" s="3"/>
    </row>
    <row r="48" spans="1:7" ht="31" x14ac:dyDescent="0.35">
      <c r="A48" s="3" t="s">
        <v>58</v>
      </c>
      <c r="B48" s="4" t="s">
        <v>79</v>
      </c>
      <c r="C48" s="6" t="s">
        <v>34</v>
      </c>
      <c r="D48" s="6">
        <v>1500</v>
      </c>
      <c r="E48" s="3"/>
      <c r="F48" s="3">
        <f t="shared" si="2"/>
        <v>0</v>
      </c>
      <c r="G48" s="3"/>
    </row>
    <row r="49" spans="1:7" ht="31" x14ac:dyDescent="0.35">
      <c r="A49" s="3" t="s">
        <v>59</v>
      </c>
      <c r="B49" s="4" t="s">
        <v>80</v>
      </c>
      <c r="C49" s="6" t="s">
        <v>34</v>
      </c>
      <c r="D49" s="6">
        <v>12000</v>
      </c>
      <c r="E49" s="3"/>
      <c r="F49" s="3">
        <f t="shared" si="2"/>
        <v>0</v>
      </c>
      <c r="G49" s="3"/>
    </row>
    <row r="50" spans="1:7" x14ac:dyDescent="0.35">
      <c r="A50" s="3" t="s">
        <v>66</v>
      </c>
      <c r="B50" s="4" t="s">
        <v>81</v>
      </c>
      <c r="C50" s="6" t="s">
        <v>34</v>
      </c>
      <c r="D50" s="6">
        <v>75000</v>
      </c>
      <c r="E50" s="3"/>
      <c r="F50" s="3">
        <f t="shared" si="2"/>
        <v>0</v>
      </c>
      <c r="G50" s="3"/>
    </row>
    <row r="51" spans="1:7" x14ac:dyDescent="0.35">
      <c r="A51" s="3" t="s">
        <v>67</v>
      </c>
      <c r="B51" s="4" t="s">
        <v>82</v>
      </c>
      <c r="C51" s="6" t="s">
        <v>34</v>
      </c>
      <c r="D51" s="6">
        <v>11500</v>
      </c>
      <c r="E51" s="3"/>
      <c r="F51" s="3">
        <f t="shared" si="2"/>
        <v>0</v>
      </c>
      <c r="G51" s="3"/>
    </row>
    <row r="52" spans="1:7" ht="31" x14ac:dyDescent="0.35">
      <c r="A52" s="3" t="s">
        <v>68</v>
      </c>
      <c r="B52" s="4" t="s">
        <v>83</v>
      </c>
      <c r="C52" s="6" t="s">
        <v>34</v>
      </c>
      <c r="D52" s="6">
        <v>1000</v>
      </c>
      <c r="E52" s="3"/>
      <c r="F52" s="3">
        <f t="shared" si="2"/>
        <v>0</v>
      </c>
      <c r="G52" s="3"/>
    </row>
    <row r="53" spans="1:7" x14ac:dyDescent="0.35">
      <c r="A53" s="3" t="s">
        <v>69</v>
      </c>
      <c r="B53" s="4" t="s">
        <v>62</v>
      </c>
      <c r="C53" s="6" t="s">
        <v>34</v>
      </c>
      <c r="D53" s="6">
        <v>100</v>
      </c>
      <c r="E53" s="3"/>
      <c r="F53" s="3">
        <f t="shared" si="2"/>
        <v>0</v>
      </c>
      <c r="G53" s="3"/>
    </row>
    <row r="54" spans="1:7" x14ac:dyDescent="0.35">
      <c r="A54" s="3" t="s">
        <v>70</v>
      </c>
      <c r="B54" s="4" t="s">
        <v>84</v>
      </c>
      <c r="C54" s="6" t="s">
        <v>34</v>
      </c>
      <c r="D54" s="6">
        <v>100</v>
      </c>
      <c r="E54" s="3"/>
      <c r="F54" s="3">
        <f t="shared" si="2"/>
        <v>0</v>
      </c>
      <c r="G54" s="3"/>
    </row>
    <row r="55" spans="1:7" x14ac:dyDescent="0.35">
      <c r="A55" s="3" t="s">
        <v>71</v>
      </c>
      <c r="B55" s="4" t="s">
        <v>87</v>
      </c>
      <c r="C55" s="6" t="s">
        <v>34</v>
      </c>
      <c r="D55" s="6">
        <v>500</v>
      </c>
      <c r="E55" s="3"/>
      <c r="F55" s="3">
        <f t="shared" si="2"/>
        <v>0</v>
      </c>
      <c r="G55" s="3"/>
    </row>
    <row r="56" spans="1:7" x14ac:dyDescent="0.35">
      <c r="A56" s="3" t="s">
        <v>72</v>
      </c>
      <c r="B56" s="4" t="s">
        <v>63</v>
      </c>
      <c r="C56" s="6" t="s">
        <v>34</v>
      </c>
      <c r="D56" s="6">
        <v>10000</v>
      </c>
      <c r="E56" s="3"/>
      <c r="F56" s="3">
        <f t="shared" si="2"/>
        <v>0</v>
      </c>
      <c r="G56" s="3"/>
    </row>
    <row r="57" spans="1:7" x14ac:dyDescent="0.35">
      <c r="A57" s="3" t="s">
        <v>85</v>
      </c>
      <c r="B57" s="4" t="s">
        <v>64</v>
      </c>
      <c r="C57" s="6" t="s">
        <v>34</v>
      </c>
      <c r="D57" s="6">
        <v>100</v>
      </c>
      <c r="E57" s="3"/>
      <c r="F57" s="3">
        <f t="shared" si="2"/>
        <v>0</v>
      </c>
      <c r="G57" s="3"/>
    </row>
    <row r="58" spans="1:7" x14ac:dyDescent="0.35">
      <c r="A58" s="3" t="s">
        <v>86</v>
      </c>
      <c r="B58" s="4" t="s">
        <v>65</v>
      </c>
      <c r="C58" s="6" t="s">
        <v>34</v>
      </c>
      <c r="D58" s="6">
        <v>175250</v>
      </c>
      <c r="E58" s="3"/>
      <c r="F58" s="3">
        <f>D58*E58</f>
        <v>0</v>
      </c>
      <c r="G58" s="3"/>
    </row>
    <row r="59" spans="1:7" ht="18" customHeight="1" x14ac:dyDescent="0.45">
      <c r="A59" s="15" t="s">
        <v>7</v>
      </c>
      <c r="B59" s="15"/>
      <c r="C59" s="15"/>
      <c r="D59" s="15"/>
      <c r="E59" s="15"/>
      <c r="F59" s="284">
        <f>SUM(F8:F58)</f>
        <v>168957921.66815883</v>
      </c>
      <c r="G59" s="8"/>
    </row>
    <row r="62" spans="1:7" x14ac:dyDescent="0.35">
      <c r="D62" s="11"/>
    </row>
  </sheetData>
  <mergeCells count="4">
    <mergeCell ref="A1:G1"/>
    <mergeCell ref="A2:G2"/>
    <mergeCell ref="A3:G3"/>
    <mergeCell ref="A59:E59"/>
  </mergeCells>
  <pageMargins left="0.7" right="0.7" top="0.75" bottom="0.75" header="0.3" footer="0.3"/>
  <pageSetup paperSize="9" orientation="portrait" r:id="rId1"/>
  <headerFooter>
    <oddHeader>&amp;L&amp;"Aptos"&amp;12&amp;K000000 Internal&amp;1#_x000D_</oddHeader>
    <oddFooter>&amp;L_x000D_&amp;1#&amp;"Aptos"&amp;12&amp;K000000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151B-EC61-458C-9EDC-4635B25D06F3}">
  <dimension ref="A1"/>
  <sheetViews>
    <sheetView workbookViewId="0">
      <selection activeCell="F28" sqref="F28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7AC8-270E-4A5C-A85B-0A92D221C586}">
  <dimension ref="A1:W132"/>
  <sheetViews>
    <sheetView showGridLines="0" zoomScale="55" zoomScaleNormal="55" workbookViewId="0">
      <selection activeCell="C8" sqref="C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281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300</v>
      </c>
      <c r="P8" s="147"/>
      <c r="Q8" s="147" t="s">
        <v>206</v>
      </c>
      <c r="R8" s="147"/>
      <c r="S8" s="147"/>
      <c r="T8" s="147"/>
      <c r="U8" s="156">
        <f>O8</f>
        <v>300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5800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23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300</v>
      </c>
      <c r="E24" s="158"/>
      <c r="F24" s="158" t="s">
        <v>206</v>
      </c>
      <c r="G24" s="158"/>
      <c r="H24" s="158"/>
      <c r="I24" s="158"/>
      <c r="J24" s="182">
        <f>U8</f>
        <v>300</v>
      </c>
      <c r="M24" s="146" t="s">
        <v>220</v>
      </c>
      <c r="N24" s="158"/>
      <c r="O24" s="158">
        <f>2*(2*(2*D27+D25)/1000*D28/1000)</f>
        <v>3.48</v>
      </c>
      <c r="P24" s="158"/>
      <c r="Q24" s="158" t="s">
        <v>221</v>
      </c>
      <c r="R24" s="158"/>
      <c r="S24" s="158"/>
      <c r="T24" s="186">
        <f>2*J24/1000*(J25+2*J26)/1000</f>
        <v>5.3999999999999999E-2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5.8278400000000001E-2</v>
      </c>
      <c r="P25" s="158"/>
      <c r="Q25" s="158" t="s">
        <v>223</v>
      </c>
      <c r="R25" s="158"/>
      <c r="S25" s="158"/>
      <c r="T25" s="158">
        <f>(2*(J38+J39)/1000*D26/1000)*D24/40</f>
        <v>1.0500000000000002E-3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7.284800000000001E-2</v>
      </c>
      <c r="P26" s="158"/>
      <c r="Q26" s="158" t="s">
        <v>224</v>
      </c>
      <c r="R26" s="158"/>
      <c r="S26" s="158"/>
      <c r="T26" s="185">
        <f>J38/1000*J39/1000*D24/40</f>
        <v>1.8749999999999999E-3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5800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3.4654303999999998</v>
      </c>
      <c r="P28" s="158"/>
      <c r="Q28" s="158" t="s">
        <v>225</v>
      </c>
      <c r="R28" s="158"/>
      <c r="S28" s="158"/>
      <c r="T28" s="158">
        <f>(T24+T25-T26)*J23</f>
        <v>1.223025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5.3999999999999998E-5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0.4239</v>
      </c>
      <c r="M30" s="146" t="s">
        <v>141</v>
      </c>
      <c r="N30" s="158"/>
      <c r="O30" s="184">
        <f>O28+T28</f>
        <v>4.6884553999999996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3.4799999999999996E-3</v>
      </c>
      <c r="E31" s="158"/>
      <c r="F31" s="158" t="s">
        <v>229</v>
      </c>
      <c r="G31" s="158"/>
      <c r="H31" s="158"/>
      <c r="I31" s="158"/>
      <c r="J31" s="194">
        <f>J30*(D6*(1+D7))</f>
        <v>30.944700000000001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27.317999999999998</v>
      </c>
      <c r="E32" s="158"/>
      <c r="F32" s="158" t="s">
        <v>231</v>
      </c>
      <c r="G32" s="158"/>
      <c r="H32" s="158"/>
      <c r="I32" s="158"/>
      <c r="J32" s="194">
        <f>J31*J23</f>
        <v>711.72810000000004</v>
      </c>
      <c r="M32" s="146" t="s">
        <v>144</v>
      </c>
      <c r="N32" s="158"/>
      <c r="O32" s="186">
        <f>O30*H6*10^-6*H7</f>
        <v>2.8768831179939998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1994.2139999999999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2.8768831179939998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1224.4014550182465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0.34522597415927997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0.23015064943951999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89.136425925328339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3.7499999999999997E-6</v>
      </c>
      <c r="M41" s="146" t="s">
        <v>164</v>
      </c>
      <c r="N41" s="158"/>
      <c r="O41" s="186">
        <f>O35-O39</f>
        <v>1135.2650290929182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2.9437499999999998E-2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0.67706250000000001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49.425562499999998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24.712781249999999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1992.4146229999999</v>
      </c>
      <c r="E47" s="158"/>
      <c r="F47" s="158" t="s">
        <v>240</v>
      </c>
      <c r="G47" s="158"/>
      <c r="H47" s="158"/>
      <c r="I47" s="158"/>
      <c r="J47" s="194">
        <f>J32-J45</f>
        <v>687.01531875000001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2679.4299417499997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2679.4299417499997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2679.4299417499997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1135.2650290929182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9536.7374271072949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13351.432397950213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13351.432397950213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282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27.317999999999998</v>
      </c>
      <c r="E98" s="219">
        <f>'[1]Old Ladder type  (2)'!K33</f>
        <v>27.318000000000001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9.7497000000000007</v>
      </c>
      <c r="E100" s="219">
        <f>'[1]Old Ladder type  (2)'!L33</f>
        <v>19.499400000000001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0.67706250000000001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(2)'!M33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37.075348499999997</v>
      </c>
      <c r="E104" s="219">
        <f>E98-E99+E100-E101+E102+E103</f>
        <v>47.598980000000005</v>
      </c>
      <c r="F104" s="221">
        <f>(E104-D104)/D104</f>
        <v>0.28384443911565682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2734.7489402499996</v>
      </c>
      <c r="E105" s="256">
        <f>E104*D6</f>
        <v>3474.7255400000004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1.853767425</v>
      </c>
      <c r="E107" s="219">
        <f>5%*E104</f>
        <v>2.3799490000000003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788.96341608</v>
      </c>
      <c r="E108" s="219">
        <f>E107*$H$8</f>
        <v>1012.9062944000002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303.64710421499996</v>
      </c>
      <c r="E110" s="219">
        <f>(E104+E107)*$D$17</f>
        <v>389.83564620000004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3827.3594605449998</v>
      </c>
      <c r="E112" s="256">
        <f>E110+E105+E108</f>
        <v>4877.4674806000003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659.88956216293104</v>
      </c>
      <c r="E113" s="257">
        <f>E112/(O12/1000)</f>
        <v>840.94266906896564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0.27436879939818076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283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(2)'!B33</f>
        <v>600mm(W)X100mm(H) - B5-i horizontal cross</v>
      </c>
      <c r="D124" s="270">
        <f>'[1]Old Ladder type  (2)'!Q33</f>
        <v>47.598980000000005</v>
      </c>
      <c r="E124" s="270">
        <f>'[1]Old Ladder type  (2)'!U33</f>
        <v>2.3799490000000003</v>
      </c>
      <c r="F124" s="270">
        <f>'[1]Old Ladder type  (2)'!Z33</f>
        <v>4015.6641482100003</v>
      </c>
      <c r="H124" s="270">
        <f>D104</f>
        <v>37.075348499999997</v>
      </c>
      <c r="I124" s="270">
        <f>D107</f>
        <v>1.853767425</v>
      </c>
      <c r="J124" s="270">
        <f>D112</f>
        <v>3827.3594605449998</v>
      </c>
      <c r="K124" s="271">
        <f>(F124-J124)/J124</f>
        <v>4.9199634788990199E-2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BFC6-5E77-4E6D-9568-583D226A3A78}">
  <dimension ref="A1:W132"/>
  <sheetViews>
    <sheetView showGridLines="0" topLeftCell="A40" zoomScale="55" zoomScaleNormal="55" workbookViewId="0">
      <selection activeCell="C8" sqref="C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281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600</v>
      </c>
      <c r="P8" s="147"/>
      <c r="Q8" s="147" t="s">
        <v>206</v>
      </c>
      <c r="R8" s="147"/>
      <c r="S8" s="147"/>
      <c r="T8" s="147"/>
      <c r="U8" s="156">
        <f>O8</f>
        <v>600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5800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23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600</v>
      </c>
      <c r="E24" s="158"/>
      <c r="F24" s="158" t="s">
        <v>206</v>
      </c>
      <c r="G24" s="158"/>
      <c r="H24" s="158"/>
      <c r="I24" s="158"/>
      <c r="J24" s="182">
        <f>U8</f>
        <v>600</v>
      </c>
      <c r="M24" s="146" t="s">
        <v>220</v>
      </c>
      <c r="N24" s="158"/>
      <c r="O24" s="158">
        <f>2*(2*(2*D27+D25)/1000*D28/1000)</f>
        <v>3.48</v>
      </c>
      <c r="P24" s="158"/>
      <c r="Q24" s="158" t="s">
        <v>221</v>
      </c>
      <c r="R24" s="158"/>
      <c r="S24" s="158"/>
      <c r="T24" s="186">
        <f>2*J24/1000*(J25+2*J26)/1000</f>
        <v>0.108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5.8278400000000001E-2</v>
      </c>
      <c r="P25" s="158"/>
      <c r="Q25" s="158" t="s">
        <v>223</v>
      </c>
      <c r="R25" s="158"/>
      <c r="S25" s="158"/>
      <c r="T25" s="158">
        <f>(2*(J38+J39)/1000*D26/1000)*D24/40</f>
        <v>2.1000000000000003E-3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7.284800000000001E-2</v>
      </c>
      <c r="P26" s="158"/>
      <c r="Q26" s="158" t="s">
        <v>224</v>
      </c>
      <c r="R26" s="158"/>
      <c r="S26" s="158"/>
      <c r="T26" s="185">
        <f>J38/1000*J39/1000*D24/40</f>
        <v>3.7499999999999999E-3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5800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3.4654303999999998</v>
      </c>
      <c r="P28" s="158"/>
      <c r="Q28" s="158" t="s">
        <v>225</v>
      </c>
      <c r="R28" s="158"/>
      <c r="S28" s="158"/>
      <c r="T28" s="158">
        <f>(T24+T25-T26)*J23</f>
        <v>2.4460500000000001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1.08E-4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0.8478</v>
      </c>
      <c r="M30" s="146" t="s">
        <v>141</v>
      </c>
      <c r="N30" s="158"/>
      <c r="O30" s="184">
        <f>O28+T28</f>
        <v>5.9114804000000003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3.4799999999999996E-3</v>
      </c>
      <c r="E31" s="158"/>
      <c r="F31" s="158" t="s">
        <v>229</v>
      </c>
      <c r="G31" s="158"/>
      <c r="H31" s="158"/>
      <c r="I31" s="158"/>
      <c r="J31" s="194">
        <f>J30*(D6*(1+D7))</f>
        <v>61.889400000000002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27.317999999999998</v>
      </c>
      <c r="E32" s="158"/>
      <c r="F32" s="158" t="s">
        <v>231</v>
      </c>
      <c r="G32" s="158"/>
      <c r="H32" s="158"/>
      <c r="I32" s="158"/>
      <c r="J32" s="194">
        <f>J31*J23</f>
        <v>1423.4562000000001</v>
      </c>
      <c r="M32" s="146" t="s">
        <v>144</v>
      </c>
      <c r="N32" s="158"/>
      <c r="O32" s="186">
        <f>O30*H6*10^-6*H7</f>
        <v>3.6273434882439997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1994.2139999999999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3.6273434882439997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1543.7973885966464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0.43528121858927993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0.29018747905951997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112.38844988983585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7.4999999999999993E-6</v>
      </c>
      <c r="M41" s="146" t="s">
        <v>164</v>
      </c>
      <c r="N41" s="158"/>
      <c r="O41" s="186">
        <f>O35-O39</f>
        <v>1431.4089387068107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5.8874999999999997E-2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1.354125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98.851124999999996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49.425562499999998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1992.4146229999999</v>
      </c>
      <c r="E47" s="158"/>
      <c r="F47" s="158" t="s">
        <v>240</v>
      </c>
      <c r="G47" s="158"/>
      <c r="H47" s="158"/>
      <c r="I47" s="158"/>
      <c r="J47" s="194">
        <f>J32-J45</f>
        <v>1374.0306375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3366.4452604999997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3366.4452604999997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3366.4452604999997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1431.4089387068107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11994.635498017025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16792.489697223835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16792.489697223835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282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27.317999999999998</v>
      </c>
      <c r="E98" s="219">
        <f>'[1]Old Ladder type  (2)'!K33</f>
        <v>27.318000000000001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19.499400000000001</v>
      </c>
      <c r="E100" s="219">
        <f>'[1]Old Ladder type  (2)'!L33</f>
        <v>19.499400000000001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1.354125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(2)'!M33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46.147985999999996</v>
      </c>
      <c r="E104" s="219">
        <f>E98-E99+E100-E101+E102+E103</f>
        <v>47.598980000000005</v>
      </c>
      <c r="F104" s="221">
        <f>(E104-D104)/D104</f>
        <v>3.1442195548902367E-2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3421.7642589999996</v>
      </c>
      <c r="E105" s="256">
        <f>E104*D6</f>
        <v>3474.7255400000004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2.3073992999999997</v>
      </c>
      <c r="E107" s="219">
        <f>5%*E104</f>
        <v>2.3799490000000003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982.02914207999993</v>
      </c>
      <c r="E108" s="219">
        <f>E107*$H$8</f>
        <v>1012.9062944000002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377.95200533999997</v>
      </c>
      <c r="E110" s="219">
        <f>(E104+E107)*$D$17</f>
        <v>389.83564620000004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4781.7454064199992</v>
      </c>
      <c r="E112" s="256">
        <f>E110+E105+E108</f>
        <v>4877.4674806000003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824.43886317586191</v>
      </c>
      <c r="E113" s="257">
        <f>E112/(O12/1000)</f>
        <v>840.94266906896564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2.0018228919399191E-2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283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(2)'!B33</f>
        <v>600mm(W)X100mm(H) - B5-i horizontal cross</v>
      </c>
      <c r="D124" s="270">
        <f>'[1]Old Ladder type  (2)'!Q33</f>
        <v>47.598980000000005</v>
      </c>
      <c r="E124" s="270">
        <f>'[1]Old Ladder type  (2)'!U33</f>
        <v>2.3799490000000003</v>
      </c>
      <c r="F124" s="270">
        <f>'[1]Old Ladder type  (2)'!Z33</f>
        <v>4015.6641482100003</v>
      </c>
      <c r="H124" s="270">
        <f>D104</f>
        <v>46.147985999999996</v>
      </c>
      <c r="I124" s="270">
        <f>D107</f>
        <v>2.3073992999999997</v>
      </c>
      <c r="J124" s="270">
        <f>D112</f>
        <v>4781.7454064199992</v>
      </c>
      <c r="K124" s="271">
        <f>(F124-J124)/J124</f>
        <v>-0.1602095454896979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FCB6-FE32-4632-AB3F-02544C4EF8D0}">
  <dimension ref="A1:W100"/>
  <sheetViews>
    <sheetView showGridLines="0" topLeftCell="A56" zoomScale="70" zoomScaleNormal="70" workbookViewId="0">
      <selection activeCell="C8" sqref="C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284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236" t="s">
        <v>89</v>
      </c>
      <c r="C5" s="236"/>
      <c r="D5" s="236"/>
      <c r="E5" s="236"/>
      <c r="F5" s="236"/>
      <c r="G5" s="236"/>
      <c r="H5" s="236"/>
      <c r="I5" s="236"/>
      <c r="J5" s="236"/>
      <c r="M5" s="236" t="s">
        <v>285</v>
      </c>
      <c r="N5" s="236"/>
      <c r="O5" s="236"/>
      <c r="P5" s="236"/>
      <c r="Q5" s="236"/>
      <c r="R5" s="236"/>
      <c r="S5" s="236"/>
      <c r="T5" s="236"/>
      <c r="U5" s="236"/>
    </row>
    <row r="6" spans="1:23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 t="s">
        <v>286</v>
      </c>
      <c r="N6" s="147"/>
      <c r="O6" s="147" t="s">
        <v>287</v>
      </c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237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288</v>
      </c>
      <c r="N7" s="147"/>
      <c r="O7" s="155">
        <v>41</v>
      </c>
      <c r="P7" s="147"/>
      <c r="Q7" s="147"/>
      <c r="R7" s="147"/>
      <c r="S7" s="147"/>
      <c r="T7" s="147"/>
      <c r="U7" s="156"/>
    </row>
    <row r="8" spans="1:23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289</v>
      </c>
      <c r="N8" s="147"/>
      <c r="O8" s="155">
        <v>41</v>
      </c>
      <c r="P8" s="147"/>
      <c r="Q8" s="147"/>
      <c r="R8" s="147"/>
      <c r="S8" s="147"/>
      <c r="T8" s="147"/>
      <c r="U8" s="156"/>
    </row>
    <row r="9" spans="1:23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290</v>
      </c>
      <c r="N9" s="147"/>
      <c r="O9" s="155">
        <v>2.5</v>
      </c>
      <c r="P9" s="147"/>
      <c r="Q9" s="147"/>
      <c r="R9" s="147"/>
      <c r="S9" s="147"/>
      <c r="T9" s="147"/>
      <c r="U9" s="156"/>
    </row>
    <row r="10" spans="1:23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291</v>
      </c>
      <c r="N10" s="147"/>
      <c r="O10" s="161">
        <v>9</v>
      </c>
      <c r="P10" s="147"/>
      <c r="Q10" s="147"/>
      <c r="R10" s="147"/>
      <c r="S10" s="147"/>
      <c r="T10" s="147"/>
      <c r="U10" s="156"/>
      <c r="W10" s="162"/>
    </row>
    <row r="11" spans="1:23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292</v>
      </c>
      <c r="N11" s="147"/>
      <c r="O11" s="155">
        <v>1000</v>
      </c>
      <c r="P11" s="147"/>
      <c r="Q11" s="147"/>
      <c r="R11" s="147"/>
      <c r="S11" s="147"/>
      <c r="T11" s="147"/>
      <c r="U11" s="156"/>
    </row>
    <row r="12" spans="1:23" x14ac:dyDescent="0.35">
      <c r="B12" s="154" t="s">
        <v>108</v>
      </c>
      <c r="C12" s="147"/>
      <c r="D12" s="237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293</v>
      </c>
      <c r="N12" s="147"/>
      <c r="O12" s="161">
        <v>28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294</v>
      </c>
      <c r="N13" s="147"/>
      <c r="O13" s="161">
        <v>13</v>
      </c>
      <c r="P13" s="147"/>
      <c r="Q13" s="147"/>
      <c r="R13" s="147"/>
      <c r="S13" s="147"/>
      <c r="T13" s="147"/>
      <c r="U13" s="156"/>
    </row>
    <row r="14" spans="1:23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295</v>
      </c>
      <c r="N14" s="147"/>
      <c r="O14" s="161">
        <v>50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296</v>
      </c>
      <c r="N15" s="147"/>
      <c r="O15" s="161">
        <f>ROUNDDOWN(O11/O14,0)</f>
        <v>20</v>
      </c>
      <c r="P15" s="147"/>
      <c r="Q15" s="147"/>
      <c r="R15" s="166"/>
      <c r="S15" s="166"/>
      <c r="T15" s="166"/>
      <c r="U15" s="169"/>
    </row>
    <row r="16" spans="1:23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/>
      <c r="N16" s="147"/>
      <c r="O16" s="166"/>
      <c r="P16" s="147"/>
      <c r="Q16" s="147"/>
      <c r="R16" s="166"/>
      <c r="S16" s="166"/>
      <c r="T16" s="166"/>
      <c r="U16" s="169"/>
    </row>
    <row r="17" spans="2:2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/>
      <c r="N17" s="147"/>
      <c r="O17" s="166"/>
      <c r="P17" s="166"/>
      <c r="Q17" s="166"/>
      <c r="R17" s="166"/>
      <c r="S17" s="166"/>
      <c r="T17" s="166"/>
      <c r="U17" s="169"/>
    </row>
    <row r="18" spans="2:2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/>
      <c r="N18" s="147"/>
      <c r="O18" s="166"/>
      <c r="P18" s="166"/>
      <c r="Q18" s="166"/>
      <c r="R18" s="166"/>
      <c r="S18" s="166"/>
      <c r="T18" s="166"/>
      <c r="U18" s="169"/>
    </row>
    <row r="19" spans="2:2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66"/>
      <c r="P19" s="166"/>
      <c r="Q19" s="166"/>
      <c r="R19" s="166"/>
      <c r="S19" s="166"/>
      <c r="T19" s="166"/>
      <c r="U19" s="169"/>
    </row>
    <row r="20" spans="2:2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/>
      <c r="N20" s="147"/>
      <c r="O20" s="166"/>
      <c r="P20" s="166"/>
      <c r="Q20" s="166"/>
      <c r="R20" s="166"/>
      <c r="S20" s="166"/>
      <c r="T20" s="166"/>
      <c r="U20" s="169"/>
    </row>
    <row r="21" spans="2:2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/>
      <c r="N21" s="147"/>
      <c r="O21" s="166"/>
      <c r="P21" s="166"/>
      <c r="Q21" s="166"/>
      <c r="R21" s="166"/>
      <c r="S21" s="166"/>
      <c r="T21" s="166"/>
      <c r="U21" s="169"/>
    </row>
    <row r="22" spans="2:2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/>
      <c r="N22" s="147"/>
      <c r="O22" s="166"/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/>
      <c r="N23" s="174"/>
      <c r="O23" s="174"/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235" t="s">
        <v>297</v>
      </c>
      <c r="C26" s="235"/>
      <c r="D26" s="235"/>
      <c r="E26" s="235"/>
      <c r="F26" s="235"/>
      <c r="G26" s="235"/>
      <c r="H26" s="235"/>
      <c r="I26" s="235"/>
      <c r="J26" s="235"/>
      <c r="M26" s="235" t="s">
        <v>130</v>
      </c>
      <c r="N26" s="235"/>
      <c r="O26" s="235"/>
      <c r="P26" s="235"/>
      <c r="Q26" s="235"/>
      <c r="R26" s="235"/>
      <c r="S26" s="235"/>
      <c r="T26" s="235"/>
      <c r="U26" s="235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298</v>
      </c>
      <c r="C28" s="158"/>
      <c r="D28" s="190">
        <f>O7+2*O8+2*O10</f>
        <v>141</v>
      </c>
      <c r="E28" s="158"/>
      <c r="F28" s="158"/>
      <c r="G28" s="158"/>
      <c r="H28" s="158"/>
      <c r="I28" s="158"/>
      <c r="J28" s="182"/>
      <c r="M28" s="179"/>
      <c r="N28" s="158"/>
      <c r="O28" s="158"/>
      <c r="P28" s="158"/>
      <c r="Q28" s="180"/>
      <c r="R28" s="158"/>
      <c r="S28" s="158"/>
      <c r="T28" s="158"/>
      <c r="U28" s="182"/>
    </row>
    <row r="29" spans="2:21" outlineLevel="1" x14ac:dyDescent="0.35">
      <c r="B29" s="146" t="s">
        <v>299</v>
      </c>
      <c r="C29" s="158"/>
      <c r="D29" s="190">
        <f>D28*O9</f>
        <v>352.5</v>
      </c>
      <c r="E29" s="158"/>
      <c r="F29" s="158"/>
      <c r="G29" s="158"/>
      <c r="H29" s="158"/>
      <c r="I29" s="158"/>
      <c r="J29" s="182"/>
      <c r="M29" s="146" t="s">
        <v>300</v>
      </c>
      <c r="N29" s="158"/>
      <c r="O29" s="185">
        <f>2*D28/1000*D30/1000</f>
        <v>0.28199999999999997</v>
      </c>
      <c r="P29" s="158"/>
      <c r="Q29" s="158"/>
      <c r="R29" s="158"/>
      <c r="S29" s="158"/>
      <c r="T29" s="183"/>
      <c r="U29" s="182"/>
    </row>
    <row r="30" spans="2:21" outlineLevel="1" x14ac:dyDescent="0.35">
      <c r="B30" s="146" t="s">
        <v>292</v>
      </c>
      <c r="C30" s="158"/>
      <c r="D30" s="158">
        <f>O11</f>
        <v>1000</v>
      </c>
      <c r="E30" s="158"/>
      <c r="F30" s="158"/>
      <c r="G30" s="158"/>
      <c r="H30" s="158"/>
      <c r="I30" s="158"/>
      <c r="J30" s="182"/>
      <c r="M30" s="146" t="s">
        <v>301</v>
      </c>
      <c r="N30" s="158"/>
      <c r="O30" s="185">
        <f>2*(O12+O13)/1000*O9/1000*D42</f>
        <v>4.1000000000000003E-3</v>
      </c>
      <c r="P30" s="158"/>
      <c r="Q30" s="158"/>
      <c r="R30" s="158"/>
      <c r="S30" s="158"/>
      <c r="T30" s="183"/>
      <c r="U30" s="182"/>
    </row>
    <row r="31" spans="2:21" outlineLevel="1" x14ac:dyDescent="0.35">
      <c r="B31" s="146"/>
      <c r="C31" s="158"/>
      <c r="D31" s="158"/>
      <c r="E31" s="158"/>
      <c r="F31" s="158"/>
      <c r="G31" s="158"/>
      <c r="H31" s="158"/>
      <c r="I31" s="158"/>
      <c r="J31" s="182"/>
      <c r="M31" s="146" t="s">
        <v>302</v>
      </c>
      <c r="N31" s="158"/>
      <c r="O31" s="185">
        <f>2*O12/1000*O13/1000*D42</f>
        <v>1.456E-2</v>
      </c>
      <c r="P31" s="158"/>
      <c r="Q31" s="158"/>
      <c r="R31" s="158"/>
      <c r="S31" s="158"/>
      <c r="T31" s="185"/>
      <c r="U31" s="182"/>
    </row>
    <row r="32" spans="2:21" outlineLevel="1" x14ac:dyDescent="0.35">
      <c r="B32" s="146" t="s">
        <v>290</v>
      </c>
      <c r="C32" s="158"/>
      <c r="D32" s="158">
        <f>O9</f>
        <v>2.5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303</v>
      </c>
      <c r="N33" s="158"/>
      <c r="O33" s="185">
        <f>O29+O30-O31</f>
        <v>0.27153999999999995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outlineLevel="1" x14ac:dyDescent="0.35">
      <c r="B35" s="146" t="s">
        <v>304</v>
      </c>
      <c r="C35" s="158"/>
      <c r="D35" s="192">
        <f>D29*D30/10^9</f>
        <v>3.525E-4</v>
      </c>
      <c r="E35" s="158"/>
      <c r="F35" s="158"/>
      <c r="G35" s="158"/>
      <c r="H35" s="158"/>
      <c r="I35" s="158"/>
      <c r="J35" s="182"/>
      <c r="M35" s="146" t="s">
        <v>305</v>
      </c>
      <c r="N35" s="158"/>
      <c r="O35" s="185">
        <f>O33</f>
        <v>0.27153999999999995</v>
      </c>
      <c r="P35" s="158"/>
      <c r="Q35" s="158"/>
      <c r="R35" s="158"/>
      <c r="S35" s="158"/>
      <c r="T35" s="158"/>
      <c r="U35" s="182"/>
    </row>
    <row r="36" spans="2:21" outlineLevel="1" x14ac:dyDescent="0.35">
      <c r="B36" s="146" t="s">
        <v>260</v>
      </c>
      <c r="C36" s="158"/>
      <c r="D36" s="184">
        <f>D35*D8</f>
        <v>2.7671250000000001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176</v>
      </c>
      <c r="C37" s="158"/>
      <c r="D37" s="186">
        <f>D36*(D6*(1+D7))</f>
        <v>202.000125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0.16661965939999995</v>
      </c>
      <c r="P37" s="158"/>
      <c r="Q37" s="158"/>
      <c r="R37" s="158"/>
      <c r="S37" s="158"/>
      <c r="T37" s="158"/>
      <c r="U37" s="182"/>
    </row>
    <row r="38" spans="2:2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outlineLevel="1" x14ac:dyDescent="0.35">
      <c r="B39" s="188" t="s">
        <v>306</v>
      </c>
      <c r="C39" s="158"/>
      <c r="D39" s="158"/>
      <c r="E39" s="158"/>
      <c r="F39" s="189"/>
      <c r="G39" s="158"/>
      <c r="H39" s="158"/>
      <c r="I39" s="158"/>
      <c r="J39" s="182"/>
      <c r="M39" s="146" t="s">
        <v>147</v>
      </c>
      <c r="N39" s="158"/>
      <c r="O39" s="186">
        <f>(1+O38)*O37</f>
        <v>0.16661965939999995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307</v>
      </c>
      <c r="N40" s="158"/>
      <c r="O40" s="190">
        <f>O39*H8</f>
        <v>70.913327040639984</v>
      </c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296</v>
      </c>
      <c r="C41" s="158"/>
      <c r="D41" s="158">
        <f>O15</f>
        <v>20</v>
      </c>
      <c r="E41" s="158"/>
      <c r="F41" s="158"/>
      <c r="G41" s="158"/>
      <c r="H41" s="158"/>
      <c r="I41" s="158"/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308</v>
      </c>
      <c r="C42" s="158"/>
      <c r="D42" s="158">
        <f>D41</f>
        <v>20</v>
      </c>
      <c r="E42" s="158"/>
      <c r="F42" s="158"/>
      <c r="G42" s="158"/>
      <c r="H42" s="158"/>
      <c r="I42" s="158"/>
      <c r="J42" s="182"/>
      <c r="M42" s="146" t="s">
        <v>309</v>
      </c>
      <c r="N42" s="158"/>
      <c r="O42" s="186">
        <f>H10*O37</f>
        <v>1.9994359127999992E-2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outlineLevel="1" x14ac:dyDescent="0.35">
      <c r="B43" s="146" t="s">
        <v>310</v>
      </c>
      <c r="C43" s="158"/>
      <c r="D43" s="191">
        <f>D42*O12/1000*O13/1000*O9/1000</f>
        <v>1.8200000000000002E-5</v>
      </c>
      <c r="E43" s="158"/>
      <c r="F43" s="158"/>
      <c r="G43" s="158"/>
      <c r="H43" s="158"/>
      <c r="I43" s="192"/>
      <c r="J43" s="182"/>
      <c r="M43" s="146" t="s">
        <v>311</v>
      </c>
      <c r="N43" s="158"/>
      <c r="O43" s="186">
        <f>H11*O37</f>
        <v>1.3329572751999997E-2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outlineLevel="1" x14ac:dyDescent="0.35">
      <c r="B44" s="146" t="s">
        <v>312</v>
      </c>
      <c r="C44" s="158"/>
      <c r="D44" s="186">
        <f>D43*D8</f>
        <v>0.14287000000000002</v>
      </c>
      <c r="E44" s="158"/>
      <c r="F44" s="158"/>
      <c r="G44" s="158"/>
      <c r="H44" s="158"/>
      <c r="I44" s="192"/>
      <c r="J44" s="182"/>
      <c r="M44" s="146" t="s">
        <v>313</v>
      </c>
      <c r="N44" s="158"/>
      <c r="O44" s="186">
        <f>O42*T42+O43*T43</f>
        <v>5.1624902085585909</v>
      </c>
      <c r="P44" s="158"/>
      <c r="Q44" s="158"/>
      <c r="R44" s="158"/>
      <c r="S44" s="158"/>
      <c r="T44" s="158"/>
      <c r="U44" s="182"/>
    </row>
    <row r="45" spans="2:21" outlineLevel="1" x14ac:dyDescent="0.35">
      <c r="B45" s="146" t="s">
        <v>266</v>
      </c>
      <c r="C45" s="158"/>
      <c r="D45" s="186">
        <f>D44*D6</f>
        <v>10.429510000000002</v>
      </c>
      <c r="E45" s="158"/>
      <c r="F45" s="158"/>
      <c r="G45" s="158"/>
      <c r="H45" s="158"/>
      <c r="I45" s="186"/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 t="s">
        <v>163</v>
      </c>
      <c r="C46" s="158"/>
      <c r="D46" s="187">
        <f>D11</f>
        <v>0.3</v>
      </c>
      <c r="E46" s="158"/>
      <c r="F46" s="158"/>
      <c r="G46" s="158"/>
      <c r="H46" s="158"/>
      <c r="I46" s="186"/>
      <c r="J46" s="182"/>
      <c r="M46" s="146" t="s">
        <v>314</v>
      </c>
      <c r="N46" s="158"/>
      <c r="O46" s="186">
        <f>O40-O44</f>
        <v>65.75083683208139</v>
      </c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315</v>
      </c>
      <c r="C47" s="158"/>
      <c r="D47" s="186">
        <f>D45*D46</f>
        <v>3.1288530000000008</v>
      </c>
      <c r="E47" s="158"/>
      <c r="F47" s="158"/>
      <c r="G47" s="158"/>
      <c r="H47" s="158"/>
      <c r="I47" s="186"/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316</v>
      </c>
      <c r="C49" s="158"/>
      <c r="D49" s="186">
        <f>D37-D47</f>
        <v>198.871272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317</v>
      </c>
      <c r="C51" s="158"/>
      <c r="D51" s="186">
        <f>D49</f>
        <v>198.871272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outlineLevel="1" x14ac:dyDescent="0.35">
      <c r="B52" s="146" t="s">
        <v>108</v>
      </c>
      <c r="C52" s="158"/>
      <c r="D52" s="280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outlineLevel="1" x14ac:dyDescent="0.35">
      <c r="B53" s="146" t="s">
        <v>318</v>
      </c>
      <c r="C53" s="158"/>
      <c r="D53" s="281">
        <f>(1+D52)*D51</f>
        <v>198.871272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235" t="s">
        <v>170</v>
      </c>
      <c r="C56" s="235"/>
      <c r="D56" s="235"/>
      <c r="E56" s="235"/>
      <c r="F56" s="235"/>
      <c r="G56" s="235"/>
      <c r="H56" s="235"/>
      <c r="I56" s="235"/>
      <c r="J56" s="235"/>
    </row>
    <row r="57" spans="2:2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319</v>
      </c>
      <c r="C61" s="204"/>
      <c r="D61" s="204"/>
      <c r="E61" s="204"/>
      <c r="F61" s="204"/>
      <c r="G61" s="204"/>
      <c r="H61" s="204"/>
      <c r="I61" s="204"/>
      <c r="J61" s="204"/>
    </row>
    <row r="62" spans="2:21" x14ac:dyDescent="0.35">
      <c r="B62" s="205"/>
      <c r="J62" s="206"/>
    </row>
    <row r="63" spans="2:21" x14ac:dyDescent="0.35">
      <c r="B63" s="205"/>
      <c r="C63" s="207"/>
      <c r="J63" s="206"/>
    </row>
    <row r="64" spans="2:21" x14ac:dyDescent="0.35">
      <c r="B64" s="205"/>
      <c r="J64" s="206"/>
    </row>
    <row r="65" spans="2:10" ht="15" hidden="1" customHeight="1" x14ac:dyDescent="0.35">
      <c r="B65" s="235" t="s">
        <v>320</v>
      </c>
      <c r="C65" s="235"/>
      <c r="D65" s="235"/>
      <c r="E65" s="235"/>
      <c r="F65" s="235"/>
      <c r="G65" s="235"/>
      <c r="H65" s="235"/>
      <c r="I65" s="235"/>
      <c r="J65" s="235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198.871272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65.75083683208139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O40*H14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661.55527208020339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44" t="s">
        <v>184</v>
      </c>
      <c r="C77" s="245"/>
      <c r="D77" s="246">
        <f>SUM(D67:D75)</f>
        <v>926.17738091228478</v>
      </c>
      <c r="E77" s="245"/>
      <c r="F77" s="245"/>
      <c r="G77" s="245"/>
      <c r="H77" s="245"/>
      <c r="I77" s="245"/>
      <c r="J77" s="247"/>
    </row>
    <row r="78" spans="2:10" ht="18.75" hidden="1" customHeight="1" x14ac:dyDescent="0.35">
      <c r="B78" s="248" t="s">
        <v>185</v>
      </c>
      <c r="C78" s="249"/>
      <c r="D78" s="250">
        <f>SUM(D67:D74)</f>
        <v>926.17738091228478</v>
      </c>
      <c r="E78" s="249"/>
      <c r="F78" s="249"/>
      <c r="G78" s="249"/>
      <c r="H78" s="249"/>
      <c r="I78" s="249"/>
      <c r="J78" s="251"/>
    </row>
    <row r="79" spans="2:10" x14ac:dyDescent="0.35">
      <c r="B79" s="205"/>
      <c r="D79" s="218" t="s">
        <v>321</v>
      </c>
      <c r="E79" s="158"/>
      <c r="F79" s="158"/>
      <c r="J79" s="206"/>
    </row>
    <row r="80" spans="2:10" x14ac:dyDescent="0.35">
      <c r="B80" s="146"/>
      <c r="C80" s="158" t="s">
        <v>260</v>
      </c>
      <c r="D80" s="219">
        <f>D36</f>
        <v>2.7671250000000001</v>
      </c>
      <c r="E80" s="158"/>
      <c r="F80" s="158"/>
      <c r="G80" s="158"/>
      <c r="H80" s="158"/>
      <c r="I80" s="158"/>
      <c r="J80" s="182"/>
    </row>
    <row r="81" spans="2:10" x14ac:dyDescent="0.35">
      <c r="B81" s="146"/>
      <c r="C81" s="158" t="s">
        <v>322</v>
      </c>
      <c r="D81" s="254">
        <f>D44</f>
        <v>0.14287000000000002</v>
      </c>
      <c r="E81" s="158"/>
      <c r="F81" s="282"/>
      <c r="G81" s="158"/>
      <c r="H81" s="158"/>
      <c r="I81" s="158"/>
      <c r="J81" s="182"/>
    </row>
    <row r="82" spans="2:10" x14ac:dyDescent="0.35">
      <c r="B82" s="146"/>
      <c r="C82" s="158" t="s">
        <v>192</v>
      </c>
      <c r="D82" s="219">
        <f>D80-D81</f>
        <v>2.6242550000000002</v>
      </c>
      <c r="E82" s="158"/>
      <c r="F82" s="158"/>
      <c r="G82" s="187"/>
      <c r="H82" s="158"/>
      <c r="I82" s="158"/>
      <c r="J82" s="182"/>
    </row>
    <row r="83" spans="2:10" x14ac:dyDescent="0.35">
      <c r="B83" s="146"/>
      <c r="C83" s="189" t="s">
        <v>193</v>
      </c>
      <c r="D83" s="224">
        <f>(D80-D81*D46)*D6</f>
        <v>198.871272</v>
      </c>
      <c r="E83" s="158"/>
      <c r="F83" s="158"/>
      <c r="G83" s="187"/>
      <c r="H83" s="158"/>
      <c r="I83" s="158"/>
      <c r="J83" s="182"/>
    </row>
    <row r="84" spans="2:10" x14ac:dyDescent="0.35">
      <c r="B84" s="146"/>
      <c r="C84" s="158"/>
      <c r="D84" s="219"/>
      <c r="E84" s="158"/>
      <c r="F84" s="158"/>
      <c r="G84" s="158"/>
      <c r="H84" s="158"/>
      <c r="I84" s="158"/>
      <c r="J84" s="182"/>
    </row>
    <row r="85" spans="2:10" x14ac:dyDescent="0.35">
      <c r="B85" s="146"/>
      <c r="C85" s="158" t="s">
        <v>144</v>
      </c>
      <c r="D85" s="219">
        <f>O39</f>
        <v>0.16661965939999995</v>
      </c>
      <c r="E85" s="158"/>
      <c r="F85" s="158"/>
      <c r="G85" s="223"/>
      <c r="H85" s="158"/>
      <c r="I85" s="158"/>
      <c r="J85" s="182"/>
    </row>
    <row r="86" spans="2:10" x14ac:dyDescent="0.35">
      <c r="B86" s="146"/>
      <c r="C86" s="158" t="s">
        <v>195</v>
      </c>
      <c r="D86" s="225">
        <f>D85*H8-O44</f>
        <v>65.75083683208139</v>
      </c>
      <c r="E86" s="158"/>
      <c r="F86" s="158"/>
      <c r="G86" s="158"/>
      <c r="H86" s="158"/>
      <c r="I86" s="158"/>
      <c r="J86" s="182"/>
    </row>
    <row r="87" spans="2:10" x14ac:dyDescent="0.35">
      <c r="B87" s="146"/>
      <c r="C87" s="158"/>
      <c r="D87" s="219"/>
      <c r="E87" s="158"/>
      <c r="F87" s="158"/>
      <c r="G87" s="158"/>
      <c r="H87" s="158"/>
      <c r="I87" s="158"/>
      <c r="J87" s="182"/>
    </row>
    <row r="88" spans="2:10" x14ac:dyDescent="0.35">
      <c r="B88" s="146"/>
      <c r="C88" s="158" t="s">
        <v>196</v>
      </c>
      <c r="D88" s="225">
        <f>(D82+D85)*($D$17+$D$15)</f>
        <v>28.746008991820002</v>
      </c>
      <c r="E88" s="158"/>
      <c r="F88" s="158"/>
      <c r="G88" s="158"/>
      <c r="H88" s="158"/>
      <c r="I88" s="158"/>
      <c r="J88" s="182"/>
    </row>
    <row r="89" spans="2:10" x14ac:dyDescent="0.35">
      <c r="B89" s="146"/>
      <c r="C89" s="158"/>
      <c r="D89" s="219"/>
      <c r="E89" s="158"/>
      <c r="F89" s="158"/>
      <c r="G89" s="158"/>
      <c r="H89" s="158"/>
      <c r="I89" s="158"/>
      <c r="J89" s="182"/>
    </row>
    <row r="90" spans="2:10" x14ac:dyDescent="0.35">
      <c r="B90" s="146"/>
      <c r="C90" s="189" t="s">
        <v>323</v>
      </c>
      <c r="D90" s="224">
        <f>D88+D83+D86</f>
        <v>293.3681178239014</v>
      </c>
      <c r="E90" s="158"/>
      <c r="F90" s="158"/>
      <c r="G90" s="158"/>
      <c r="H90" s="158"/>
      <c r="I90" s="158"/>
      <c r="J90" s="182"/>
    </row>
    <row r="91" spans="2:10" x14ac:dyDescent="0.35">
      <c r="B91" s="146"/>
      <c r="C91" s="158" t="s">
        <v>324</v>
      </c>
      <c r="D91" s="283">
        <f>D90/(D30/1000)</f>
        <v>293.3681178239014</v>
      </c>
      <c r="E91" s="158"/>
      <c r="F91" s="158"/>
      <c r="G91" s="158"/>
      <c r="H91" s="158"/>
      <c r="I91" s="158"/>
      <c r="J91" s="182"/>
    </row>
    <row r="92" spans="2:10" ht="15" thickBot="1" x14ac:dyDescent="0.4">
      <c r="B92" s="196"/>
      <c r="C92" s="227"/>
      <c r="D92" s="227"/>
      <c r="E92" s="227"/>
      <c r="F92" s="197"/>
      <c r="G92" s="197"/>
      <c r="H92" s="197"/>
      <c r="I92" s="197"/>
      <c r="J92" s="199"/>
    </row>
    <row r="94" spans="2:10" ht="15" customHeight="1" x14ac:dyDescent="0.35"/>
    <row r="95" spans="2:10" x14ac:dyDescent="0.35">
      <c r="E95" s="228"/>
    </row>
    <row r="96" spans="2:10" x14ac:dyDescent="0.35">
      <c r="D96" s="232"/>
      <c r="E96" s="232"/>
    </row>
    <row r="97" spans="3:3" s="229" customFormat="1" ht="6" customHeight="1" x14ac:dyDescent="0.35"/>
    <row r="98" spans="3:3" s="231" customFormat="1" x14ac:dyDescent="0.35"/>
    <row r="100" spans="3:3" x14ac:dyDescent="0.35">
      <c r="C100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1BE2-D2B1-440E-9588-78C17105315E}">
  <dimension ref="A1:W100"/>
  <sheetViews>
    <sheetView showGridLines="0" topLeftCell="A50" zoomScale="70" zoomScaleNormal="70" workbookViewId="0">
      <selection activeCell="O9" sqref="O9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284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236" t="s">
        <v>89</v>
      </c>
      <c r="C5" s="236"/>
      <c r="D5" s="236"/>
      <c r="E5" s="236"/>
      <c r="F5" s="236"/>
      <c r="G5" s="236"/>
      <c r="H5" s="236"/>
      <c r="I5" s="236"/>
      <c r="J5" s="236"/>
      <c r="M5" s="236" t="s">
        <v>285</v>
      </c>
      <c r="N5" s="236"/>
      <c r="O5" s="236"/>
      <c r="P5" s="236"/>
      <c r="Q5" s="236"/>
      <c r="R5" s="236"/>
      <c r="S5" s="236"/>
      <c r="T5" s="236"/>
      <c r="U5" s="236"/>
    </row>
    <row r="6" spans="1:23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 t="s">
        <v>286</v>
      </c>
      <c r="N6" s="147"/>
      <c r="O6" s="147" t="s">
        <v>287</v>
      </c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237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288</v>
      </c>
      <c r="N7" s="147"/>
      <c r="O7" s="155">
        <v>41</v>
      </c>
      <c r="P7" s="147"/>
      <c r="Q7" s="147"/>
      <c r="R7" s="147"/>
      <c r="S7" s="147"/>
      <c r="T7" s="147"/>
      <c r="U7" s="156"/>
    </row>
    <row r="8" spans="1:23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289</v>
      </c>
      <c r="N8" s="147"/>
      <c r="O8" s="155">
        <v>82</v>
      </c>
      <c r="P8" s="147"/>
      <c r="Q8" s="147"/>
      <c r="R8" s="147"/>
      <c r="S8" s="147"/>
      <c r="T8" s="147"/>
      <c r="U8" s="156"/>
    </row>
    <row r="9" spans="1:23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290</v>
      </c>
      <c r="N9" s="147"/>
      <c r="O9" s="155">
        <v>2.5</v>
      </c>
      <c r="P9" s="147"/>
      <c r="Q9" s="147"/>
      <c r="R9" s="147"/>
      <c r="S9" s="147"/>
      <c r="T9" s="147"/>
      <c r="U9" s="156"/>
    </row>
    <row r="10" spans="1:23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291</v>
      </c>
      <c r="N10" s="147"/>
      <c r="O10" s="161">
        <v>9</v>
      </c>
      <c r="P10" s="147"/>
      <c r="Q10" s="147"/>
      <c r="R10" s="147"/>
      <c r="S10" s="147"/>
      <c r="T10" s="147"/>
      <c r="U10" s="156"/>
      <c r="W10" s="162"/>
    </row>
    <row r="11" spans="1:23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292</v>
      </c>
      <c r="N11" s="147"/>
      <c r="O11" s="155">
        <v>1000</v>
      </c>
      <c r="P11" s="147"/>
      <c r="Q11" s="147"/>
      <c r="R11" s="147"/>
      <c r="S11" s="147"/>
      <c r="T11" s="147"/>
      <c r="U11" s="156"/>
    </row>
    <row r="12" spans="1:23" x14ac:dyDescent="0.35">
      <c r="B12" s="154" t="s">
        <v>108</v>
      </c>
      <c r="C12" s="147"/>
      <c r="D12" s="237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293</v>
      </c>
      <c r="N12" s="147"/>
      <c r="O12" s="161">
        <v>28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294</v>
      </c>
      <c r="N13" s="147"/>
      <c r="O13" s="161">
        <v>13</v>
      </c>
      <c r="P13" s="147"/>
      <c r="Q13" s="147"/>
      <c r="R13" s="147"/>
      <c r="S13" s="147"/>
      <c r="T13" s="147"/>
      <c r="U13" s="156"/>
    </row>
    <row r="14" spans="1:23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295</v>
      </c>
      <c r="N14" s="147"/>
      <c r="O14" s="161">
        <v>50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296</v>
      </c>
      <c r="N15" s="147"/>
      <c r="O15" s="161">
        <f>ROUNDDOWN(O11/O14,0)</f>
        <v>20</v>
      </c>
      <c r="P15" s="147"/>
      <c r="Q15" s="147"/>
      <c r="R15" s="166"/>
      <c r="S15" s="166"/>
      <c r="T15" s="166"/>
      <c r="U15" s="169"/>
    </row>
    <row r="16" spans="1:23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/>
      <c r="N16" s="147"/>
      <c r="O16" s="166"/>
      <c r="P16" s="147"/>
      <c r="Q16" s="147"/>
      <c r="R16" s="166"/>
      <c r="S16" s="166"/>
      <c r="T16" s="166"/>
      <c r="U16" s="169"/>
    </row>
    <row r="17" spans="2:2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/>
      <c r="N17" s="147"/>
      <c r="O17" s="166"/>
      <c r="P17" s="166"/>
      <c r="Q17" s="166"/>
      <c r="R17" s="166"/>
      <c r="S17" s="166"/>
      <c r="T17" s="166"/>
      <c r="U17" s="169"/>
    </row>
    <row r="18" spans="2:2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/>
      <c r="N18" s="147"/>
      <c r="O18" s="166"/>
      <c r="P18" s="166"/>
      <c r="Q18" s="166"/>
      <c r="R18" s="166"/>
      <c r="S18" s="166"/>
      <c r="T18" s="166"/>
      <c r="U18" s="169"/>
    </row>
    <row r="19" spans="2:2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66"/>
      <c r="P19" s="166"/>
      <c r="Q19" s="166"/>
      <c r="R19" s="166"/>
      <c r="S19" s="166"/>
      <c r="T19" s="166"/>
      <c r="U19" s="169"/>
    </row>
    <row r="20" spans="2:2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/>
      <c r="N20" s="147"/>
      <c r="O20" s="166"/>
      <c r="P20" s="166"/>
      <c r="Q20" s="166"/>
      <c r="R20" s="166"/>
      <c r="S20" s="166"/>
      <c r="T20" s="166"/>
      <c r="U20" s="169"/>
    </row>
    <row r="21" spans="2:2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/>
      <c r="N21" s="147"/>
      <c r="O21" s="166"/>
      <c r="P21" s="166"/>
      <c r="Q21" s="166"/>
      <c r="R21" s="166"/>
      <c r="S21" s="166"/>
      <c r="T21" s="166"/>
      <c r="U21" s="169"/>
    </row>
    <row r="22" spans="2:2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/>
      <c r="N22" s="147"/>
      <c r="O22" s="166"/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/>
      <c r="N23" s="174"/>
      <c r="O23" s="174"/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235" t="s">
        <v>297</v>
      </c>
      <c r="C26" s="235"/>
      <c r="D26" s="235"/>
      <c r="E26" s="235"/>
      <c r="F26" s="235"/>
      <c r="G26" s="235"/>
      <c r="H26" s="235"/>
      <c r="I26" s="235"/>
      <c r="J26" s="235"/>
      <c r="M26" s="235" t="s">
        <v>130</v>
      </c>
      <c r="N26" s="235"/>
      <c r="O26" s="235"/>
      <c r="P26" s="235"/>
      <c r="Q26" s="235"/>
      <c r="R26" s="235"/>
      <c r="S26" s="235"/>
      <c r="T26" s="235"/>
      <c r="U26" s="235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298</v>
      </c>
      <c r="C28" s="158"/>
      <c r="D28" s="190">
        <f>O7+2*O8+2*O10</f>
        <v>223</v>
      </c>
      <c r="E28" s="158"/>
      <c r="F28" s="158"/>
      <c r="G28" s="158"/>
      <c r="H28" s="158"/>
      <c r="I28" s="158"/>
      <c r="J28" s="182"/>
      <c r="M28" s="179"/>
      <c r="N28" s="158"/>
      <c r="O28" s="158"/>
      <c r="P28" s="158"/>
      <c r="Q28" s="180"/>
      <c r="R28" s="158"/>
      <c r="S28" s="158"/>
      <c r="T28" s="158"/>
      <c r="U28" s="182"/>
    </row>
    <row r="29" spans="2:21" outlineLevel="1" x14ac:dyDescent="0.35">
      <c r="B29" s="146" t="s">
        <v>299</v>
      </c>
      <c r="C29" s="158"/>
      <c r="D29" s="190">
        <f>D28*O9</f>
        <v>557.5</v>
      </c>
      <c r="E29" s="158"/>
      <c r="F29" s="158"/>
      <c r="G29" s="158"/>
      <c r="H29" s="158"/>
      <c r="I29" s="158"/>
      <c r="J29" s="182"/>
      <c r="M29" s="146" t="s">
        <v>300</v>
      </c>
      <c r="N29" s="158"/>
      <c r="O29" s="185">
        <f>2*D28/1000*D30/1000</f>
        <v>0.44600000000000001</v>
      </c>
      <c r="P29" s="158"/>
      <c r="Q29" s="158"/>
      <c r="R29" s="158"/>
      <c r="S29" s="158"/>
      <c r="T29" s="183"/>
      <c r="U29" s="182"/>
    </row>
    <row r="30" spans="2:21" outlineLevel="1" x14ac:dyDescent="0.35">
      <c r="B30" s="146" t="s">
        <v>292</v>
      </c>
      <c r="C30" s="158"/>
      <c r="D30" s="158">
        <f>O11</f>
        <v>1000</v>
      </c>
      <c r="E30" s="158"/>
      <c r="F30" s="158"/>
      <c r="G30" s="158"/>
      <c r="H30" s="158"/>
      <c r="I30" s="158"/>
      <c r="J30" s="182"/>
      <c r="M30" s="146" t="s">
        <v>301</v>
      </c>
      <c r="N30" s="158"/>
      <c r="O30" s="185">
        <f>2*(O12+O13)/1000*O9/1000*D42</f>
        <v>4.1000000000000003E-3</v>
      </c>
      <c r="P30" s="158"/>
      <c r="Q30" s="158"/>
      <c r="R30" s="158"/>
      <c r="S30" s="158"/>
      <c r="T30" s="183"/>
      <c r="U30" s="182"/>
    </row>
    <row r="31" spans="2:21" outlineLevel="1" x14ac:dyDescent="0.35">
      <c r="B31" s="146"/>
      <c r="C31" s="158"/>
      <c r="D31" s="158"/>
      <c r="E31" s="158"/>
      <c r="F31" s="158"/>
      <c r="G31" s="158"/>
      <c r="H31" s="158"/>
      <c r="I31" s="158"/>
      <c r="J31" s="182"/>
      <c r="M31" s="146" t="s">
        <v>302</v>
      </c>
      <c r="N31" s="158"/>
      <c r="O31" s="185">
        <f>2*O12/1000*O13/1000*D42</f>
        <v>1.456E-2</v>
      </c>
      <c r="P31" s="158"/>
      <c r="Q31" s="158"/>
      <c r="R31" s="158"/>
      <c r="S31" s="158"/>
      <c r="T31" s="185"/>
      <c r="U31" s="182"/>
    </row>
    <row r="32" spans="2:21" outlineLevel="1" x14ac:dyDescent="0.35">
      <c r="B32" s="146" t="s">
        <v>290</v>
      </c>
      <c r="C32" s="158"/>
      <c r="D32" s="158">
        <f>O9</f>
        <v>2.5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303</v>
      </c>
      <c r="N33" s="158"/>
      <c r="O33" s="185">
        <f>O29+O30-O31</f>
        <v>0.43553999999999998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outlineLevel="1" x14ac:dyDescent="0.35">
      <c r="B35" s="146" t="s">
        <v>304</v>
      </c>
      <c r="C35" s="158"/>
      <c r="D35" s="192">
        <f>D29*D30/10^9</f>
        <v>5.5750000000000005E-4</v>
      </c>
      <c r="E35" s="158"/>
      <c r="F35" s="158"/>
      <c r="G35" s="158"/>
      <c r="H35" s="158"/>
      <c r="I35" s="158"/>
      <c r="J35" s="182"/>
      <c r="M35" s="146" t="s">
        <v>305</v>
      </c>
      <c r="N35" s="158"/>
      <c r="O35" s="185">
        <f>O33</f>
        <v>0.43553999999999998</v>
      </c>
      <c r="P35" s="158"/>
      <c r="Q35" s="158"/>
      <c r="R35" s="158"/>
      <c r="S35" s="158"/>
      <c r="T35" s="158"/>
      <c r="U35" s="182"/>
    </row>
    <row r="36" spans="2:21" outlineLevel="1" x14ac:dyDescent="0.35">
      <c r="B36" s="146" t="s">
        <v>260</v>
      </c>
      <c r="C36" s="158"/>
      <c r="D36" s="184">
        <f>D35*D8</f>
        <v>4.3763750000000003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176</v>
      </c>
      <c r="C37" s="158"/>
      <c r="D37" s="186">
        <f>D36*(D6*(1+D7))</f>
        <v>319.47537500000004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0.26725169939999999</v>
      </c>
      <c r="P37" s="158"/>
      <c r="Q37" s="158"/>
      <c r="R37" s="158"/>
      <c r="S37" s="158"/>
      <c r="T37" s="158"/>
      <c r="U37" s="182"/>
    </row>
    <row r="38" spans="2:2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outlineLevel="1" x14ac:dyDescent="0.35">
      <c r="B39" s="188" t="s">
        <v>306</v>
      </c>
      <c r="C39" s="158"/>
      <c r="D39" s="158"/>
      <c r="E39" s="158"/>
      <c r="F39" s="189"/>
      <c r="G39" s="158"/>
      <c r="H39" s="158"/>
      <c r="I39" s="158"/>
      <c r="J39" s="182"/>
      <c r="M39" s="146" t="s">
        <v>147</v>
      </c>
      <c r="N39" s="158"/>
      <c r="O39" s="186">
        <f>(1+O38)*O37</f>
        <v>0.26725169939999999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307</v>
      </c>
      <c r="N40" s="158"/>
      <c r="O40" s="190">
        <f>O39*H8</f>
        <v>113.74232326464001</v>
      </c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296</v>
      </c>
      <c r="C41" s="158"/>
      <c r="D41" s="158">
        <f>O15</f>
        <v>20</v>
      </c>
      <c r="E41" s="158"/>
      <c r="F41" s="158"/>
      <c r="G41" s="158"/>
      <c r="H41" s="158"/>
      <c r="I41" s="158"/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308</v>
      </c>
      <c r="C42" s="158"/>
      <c r="D42" s="158">
        <f>D41</f>
        <v>20</v>
      </c>
      <c r="E42" s="158"/>
      <c r="F42" s="158"/>
      <c r="G42" s="158"/>
      <c r="H42" s="158"/>
      <c r="I42" s="158"/>
      <c r="J42" s="182"/>
      <c r="M42" s="146" t="s">
        <v>309</v>
      </c>
      <c r="N42" s="158"/>
      <c r="O42" s="186">
        <f>H10*O37</f>
        <v>3.2070203927999995E-2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outlineLevel="1" x14ac:dyDescent="0.35">
      <c r="B43" s="146" t="s">
        <v>310</v>
      </c>
      <c r="C43" s="158"/>
      <c r="D43" s="191">
        <f>D42*O12/1000*O13/1000*O9/1000</f>
        <v>1.8200000000000002E-5</v>
      </c>
      <c r="E43" s="158"/>
      <c r="F43" s="158"/>
      <c r="G43" s="158"/>
      <c r="H43" s="158"/>
      <c r="I43" s="192"/>
      <c r="J43" s="182"/>
      <c r="M43" s="146" t="s">
        <v>311</v>
      </c>
      <c r="N43" s="158"/>
      <c r="O43" s="186">
        <f>H11*O37</f>
        <v>2.1380135951999998E-2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outlineLevel="1" x14ac:dyDescent="0.35">
      <c r="B44" s="146" t="s">
        <v>312</v>
      </c>
      <c r="C44" s="158"/>
      <c r="D44" s="186">
        <f>D43*D8</f>
        <v>0.14287000000000002</v>
      </c>
      <c r="E44" s="158"/>
      <c r="F44" s="158"/>
      <c r="G44" s="158"/>
      <c r="H44" s="158"/>
      <c r="I44" s="192"/>
      <c r="J44" s="182"/>
      <c r="M44" s="146" t="s">
        <v>313</v>
      </c>
      <c r="N44" s="158"/>
      <c r="O44" s="186">
        <f>O42*T42+O43*T43</f>
        <v>8.280441133665791</v>
      </c>
      <c r="P44" s="158"/>
      <c r="Q44" s="158"/>
      <c r="R44" s="158"/>
      <c r="S44" s="158"/>
      <c r="T44" s="158"/>
      <c r="U44" s="182"/>
    </row>
    <row r="45" spans="2:21" outlineLevel="1" x14ac:dyDescent="0.35">
      <c r="B45" s="146" t="s">
        <v>266</v>
      </c>
      <c r="C45" s="158"/>
      <c r="D45" s="186">
        <f>D44*D6</f>
        <v>10.429510000000002</v>
      </c>
      <c r="E45" s="158"/>
      <c r="F45" s="158"/>
      <c r="G45" s="158"/>
      <c r="H45" s="158"/>
      <c r="I45" s="186"/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 t="s">
        <v>163</v>
      </c>
      <c r="C46" s="158"/>
      <c r="D46" s="187">
        <f>D11</f>
        <v>0.3</v>
      </c>
      <c r="E46" s="158"/>
      <c r="F46" s="158"/>
      <c r="G46" s="158"/>
      <c r="H46" s="158"/>
      <c r="I46" s="186"/>
      <c r="J46" s="182"/>
      <c r="M46" s="146" t="s">
        <v>314</v>
      </c>
      <c r="N46" s="158"/>
      <c r="O46" s="186">
        <f>O40-O44</f>
        <v>105.46188213097422</v>
      </c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315</v>
      </c>
      <c r="C47" s="158"/>
      <c r="D47" s="186">
        <f>D45*D46</f>
        <v>3.1288530000000008</v>
      </c>
      <c r="E47" s="158"/>
      <c r="F47" s="158"/>
      <c r="G47" s="158"/>
      <c r="H47" s="158"/>
      <c r="I47" s="186"/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316</v>
      </c>
      <c r="C49" s="158"/>
      <c r="D49" s="186">
        <f>D37-D47</f>
        <v>316.34652200000005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317</v>
      </c>
      <c r="C51" s="158"/>
      <c r="D51" s="186">
        <f>D49</f>
        <v>316.34652200000005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outlineLevel="1" x14ac:dyDescent="0.35">
      <c r="B52" s="146" t="s">
        <v>108</v>
      </c>
      <c r="C52" s="158"/>
      <c r="D52" s="280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outlineLevel="1" x14ac:dyDescent="0.35">
      <c r="B53" s="146" t="s">
        <v>318</v>
      </c>
      <c r="C53" s="158"/>
      <c r="D53" s="281">
        <f>(1+D52)*D51</f>
        <v>316.34652200000005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235" t="s">
        <v>170</v>
      </c>
      <c r="C56" s="235"/>
      <c r="D56" s="235"/>
      <c r="E56" s="235"/>
      <c r="F56" s="235"/>
      <c r="G56" s="235"/>
      <c r="H56" s="235"/>
      <c r="I56" s="235"/>
      <c r="J56" s="235"/>
    </row>
    <row r="57" spans="2:2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319</v>
      </c>
      <c r="C61" s="204"/>
      <c r="D61" s="204"/>
      <c r="E61" s="204"/>
      <c r="F61" s="204"/>
      <c r="G61" s="204"/>
      <c r="H61" s="204"/>
      <c r="I61" s="204"/>
      <c r="J61" s="204"/>
    </row>
    <row r="62" spans="2:21" x14ac:dyDescent="0.35">
      <c r="B62" s="205"/>
      <c r="J62" s="206"/>
    </row>
    <row r="63" spans="2:21" x14ac:dyDescent="0.35">
      <c r="B63" s="205"/>
      <c r="C63" s="207"/>
      <c r="J63" s="206"/>
    </row>
    <row r="64" spans="2:21" x14ac:dyDescent="0.35">
      <c r="B64" s="205"/>
      <c r="J64" s="206"/>
    </row>
    <row r="65" spans="2:10" ht="15" hidden="1" customHeight="1" x14ac:dyDescent="0.35">
      <c r="B65" s="235" t="s">
        <v>320</v>
      </c>
      <c r="C65" s="235"/>
      <c r="D65" s="235"/>
      <c r="E65" s="235"/>
      <c r="F65" s="235"/>
      <c r="G65" s="235"/>
      <c r="H65" s="235"/>
      <c r="I65" s="235"/>
      <c r="J65" s="235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316.34652200000005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105.46188213097422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O40*H14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1054.5210103274358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44" t="s">
        <v>184</v>
      </c>
      <c r="C77" s="245"/>
      <c r="D77" s="246">
        <f>SUM(D67:D75)</f>
        <v>1476.3294144584102</v>
      </c>
      <c r="E77" s="245"/>
      <c r="F77" s="245"/>
      <c r="G77" s="245"/>
      <c r="H77" s="245"/>
      <c r="I77" s="245"/>
      <c r="J77" s="247"/>
    </row>
    <row r="78" spans="2:10" ht="18.75" hidden="1" customHeight="1" x14ac:dyDescent="0.35">
      <c r="B78" s="248" t="s">
        <v>185</v>
      </c>
      <c r="C78" s="249"/>
      <c r="D78" s="250">
        <f>SUM(D67:D74)</f>
        <v>1476.3294144584102</v>
      </c>
      <c r="E78" s="249"/>
      <c r="F78" s="249"/>
      <c r="G78" s="249"/>
      <c r="H78" s="249"/>
      <c r="I78" s="249"/>
      <c r="J78" s="251"/>
    </row>
    <row r="79" spans="2:10" x14ac:dyDescent="0.35">
      <c r="B79" s="205"/>
      <c r="D79" s="218" t="s">
        <v>321</v>
      </c>
      <c r="E79" s="158"/>
      <c r="F79" s="158"/>
      <c r="J79" s="206"/>
    </row>
    <row r="80" spans="2:10" x14ac:dyDescent="0.35">
      <c r="B80" s="146"/>
      <c r="C80" s="158" t="s">
        <v>260</v>
      </c>
      <c r="D80" s="219">
        <f>D36</f>
        <v>4.3763750000000003</v>
      </c>
      <c r="E80" s="158"/>
      <c r="F80" s="158"/>
      <c r="G80" s="158"/>
      <c r="H80" s="158"/>
      <c r="I80" s="158"/>
      <c r="J80" s="182"/>
    </row>
    <row r="81" spans="2:10" x14ac:dyDescent="0.35">
      <c r="B81" s="146"/>
      <c r="C81" s="158" t="s">
        <v>322</v>
      </c>
      <c r="D81" s="254">
        <f>D44</f>
        <v>0.14287000000000002</v>
      </c>
      <c r="E81" s="158"/>
      <c r="F81" s="282"/>
      <c r="G81" s="158"/>
      <c r="H81" s="158"/>
      <c r="I81" s="158"/>
      <c r="J81" s="182"/>
    </row>
    <row r="82" spans="2:10" x14ac:dyDescent="0.35">
      <c r="B82" s="146"/>
      <c r="C82" s="158" t="s">
        <v>192</v>
      </c>
      <c r="D82" s="219">
        <f>D80-D81</f>
        <v>4.2335050000000001</v>
      </c>
      <c r="E82" s="158"/>
      <c r="F82" s="158"/>
      <c r="G82" s="187"/>
      <c r="H82" s="158"/>
      <c r="I82" s="158"/>
      <c r="J82" s="182"/>
    </row>
    <row r="83" spans="2:10" x14ac:dyDescent="0.35">
      <c r="B83" s="146"/>
      <c r="C83" s="189" t="s">
        <v>193</v>
      </c>
      <c r="D83" s="224">
        <f>(D80-D81*D46)*D6</f>
        <v>316.34652199999999</v>
      </c>
      <c r="E83" s="158"/>
      <c r="F83" s="158"/>
      <c r="G83" s="187"/>
      <c r="H83" s="158"/>
      <c r="I83" s="158"/>
      <c r="J83" s="182"/>
    </row>
    <row r="84" spans="2:10" x14ac:dyDescent="0.35">
      <c r="B84" s="146"/>
      <c r="C84" s="158"/>
      <c r="D84" s="219"/>
      <c r="E84" s="158"/>
      <c r="F84" s="158"/>
      <c r="G84" s="158"/>
      <c r="H84" s="158"/>
      <c r="I84" s="158"/>
      <c r="J84" s="182"/>
    </row>
    <row r="85" spans="2:10" x14ac:dyDescent="0.35">
      <c r="B85" s="146"/>
      <c r="C85" s="158" t="s">
        <v>144</v>
      </c>
      <c r="D85" s="219">
        <f>O39</f>
        <v>0.26725169939999999</v>
      </c>
      <c r="E85" s="158"/>
      <c r="F85" s="158"/>
      <c r="G85" s="223"/>
      <c r="H85" s="158"/>
      <c r="I85" s="158"/>
      <c r="J85" s="182"/>
    </row>
    <row r="86" spans="2:10" x14ac:dyDescent="0.35">
      <c r="B86" s="146"/>
      <c r="C86" s="158" t="s">
        <v>195</v>
      </c>
      <c r="D86" s="225">
        <f>D85*H8-O44</f>
        <v>105.46188213097422</v>
      </c>
      <c r="E86" s="158"/>
      <c r="F86" s="158"/>
      <c r="G86" s="158"/>
      <c r="H86" s="158"/>
      <c r="I86" s="158"/>
      <c r="J86" s="182"/>
    </row>
    <row r="87" spans="2:10" x14ac:dyDescent="0.35">
      <c r="B87" s="146"/>
      <c r="C87" s="158"/>
      <c r="D87" s="219"/>
      <c r="E87" s="158"/>
      <c r="F87" s="158"/>
      <c r="G87" s="158"/>
      <c r="H87" s="158"/>
      <c r="I87" s="158"/>
      <c r="J87" s="182"/>
    </row>
    <row r="88" spans="2:10" x14ac:dyDescent="0.35">
      <c r="B88" s="146"/>
      <c r="C88" s="158" t="s">
        <v>196</v>
      </c>
      <c r="D88" s="225">
        <f>(D82+D85)*($D$17+$D$15)</f>
        <v>46.357794003820004</v>
      </c>
      <c r="E88" s="158"/>
      <c r="F88" s="158"/>
      <c r="G88" s="158"/>
      <c r="H88" s="158"/>
      <c r="I88" s="158"/>
      <c r="J88" s="182"/>
    </row>
    <row r="89" spans="2:10" x14ac:dyDescent="0.35">
      <c r="B89" s="146"/>
      <c r="C89" s="158"/>
      <c r="D89" s="219"/>
      <c r="E89" s="158"/>
      <c r="F89" s="158"/>
      <c r="G89" s="158"/>
      <c r="H89" s="158"/>
      <c r="I89" s="158"/>
      <c r="J89" s="182"/>
    </row>
    <row r="90" spans="2:10" x14ac:dyDescent="0.35">
      <c r="B90" s="146"/>
      <c r="C90" s="189" t="s">
        <v>323</v>
      </c>
      <c r="D90" s="224">
        <f>D88+D83+D86</f>
        <v>468.16619813479423</v>
      </c>
      <c r="E90" s="158"/>
      <c r="F90" s="158"/>
      <c r="G90" s="158"/>
      <c r="H90" s="158"/>
      <c r="I90" s="158"/>
      <c r="J90" s="182"/>
    </row>
    <row r="91" spans="2:10" x14ac:dyDescent="0.35">
      <c r="B91" s="146"/>
      <c r="C91" s="158" t="s">
        <v>324</v>
      </c>
      <c r="D91" s="283">
        <f>D90/(D30/1000)</f>
        <v>468.16619813479423</v>
      </c>
      <c r="E91" s="158"/>
      <c r="F91" s="158"/>
      <c r="G91" s="158"/>
      <c r="H91" s="158"/>
      <c r="I91" s="158"/>
      <c r="J91" s="182"/>
    </row>
    <row r="92" spans="2:10" ht="15" thickBot="1" x14ac:dyDescent="0.4">
      <c r="B92" s="196"/>
      <c r="C92" s="227"/>
      <c r="D92" s="227"/>
      <c r="E92" s="227"/>
      <c r="F92" s="197"/>
      <c r="G92" s="197"/>
      <c r="H92" s="197"/>
      <c r="I92" s="197"/>
      <c r="J92" s="199"/>
    </row>
    <row r="94" spans="2:10" ht="15" customHeight="1" x14ac:dyDescent="0.35"/>
    <row r="95" spans="2:10" x14ac:dyDescent="0.35">
      <c r="E95" s="228"/>
    </row>
    <row r="96" spans="2:10" x14ac:dyDescent="0.35">
      <c r="D96" s="232"/>
      <c r="E96" s="232"/>
    </row>
    <row r="97" spans="3:3" s="229" customFormat="1" ht="6" customHeight="1" x14ac:dyDescent="0.35"/>
    <row r="98" spans="3:3" s="231" customFormat="1" x14ac:dyDescent="0.35"/>
    <row r="100" spans="3:3" x14ac:dyDescent="0.35">
      <c r="C100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0393-6333-4D19-99F7-ABE3AF3B0F67}">
  <dimension ref="A1:W101"/>
  <sheetViews>
    <sheetView showGridLines="0" topLeftCell="A53" zoomScale="70" zoomScaleNormal="70" workbookViewId="0">
      <selection activeCell="K15" sqref="K15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348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236" t="s">
        <v>89</v>
      </c>
      <c r="C5" s="236"/>
      <c r="D5" s="236"/>
      <c r="E5" s="236"/>
      <c r="F5" s="236"/>
      <c r="G5" s="236"/>
      <c r="H5" s="236"/>
      <c r="I5" s="236"/>
      <c r="J5" s="236"/>
      <c r="M5" s="236" t="s">
        <v>325</v>
      </c>
      <c r="N5" s="236"/>
      <c r="O5" s="236"/>
      <c r="P5" s="236"/>
      <c r="Q5" s="236"/>
      <c r="R5" s="236"/>
      <c r="S5" s="236"/>
      <c r="T5" s="236"/>
      <c r="U5" s="236"/>
    </row>
    <row r="6" spans="1:23" ht="14.25" customHeight="1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/>
      <c r="N6" s="147"/>
      <c r="O6" s="147"/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153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326</v>
      </c>
      <c r="N7" s="147"/>
      <c r="O7" s="155">
        <v>41</v>
      </c>
      <c r="P7" s="147"/>
      <c r="Q7" s="147"/>
      <c r="R7" s="147"/>
      <c r="S7" s="147"/>
      <c r="T7" s="147"/>
      <c r="U7" s="156"/>
    </row>
    <row r="8" spans="1:23" ht="14.25" customHeight="1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327</v>
      </c>
      <c r="N8" s="147"/>
      <c r="O8" s="155">
        <v>41</v>
      </c>
      <c r="P8" s="147"/>
      <c r="Q8" s="147"/>
      <c r="R8" s="147"/>
      <c r="S8" s="147"/>
      <c r="T8" s="147"/>
      <c r="U8" s="156"/>
    </row>
    <row r="9" spans="1:23" ht="14.25" customHeight="1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328</v>
      </c>
      <c r="N9" s="147"/>
      <c r="O9" s="155">
        <v>2.5</v>
      </c>
      <c r="P9" s="147"/>
      <c r="Q9" s="147"/>
      <c r="R9" s="147"/>
      <c r="S9" s="147"/>
      <c r="T9" s="147"/>
      <c r="U9" s="156"/>
    </row>
    <row r="10" spans="1:23" ht="14.25" customHeight="1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329</v>
      </c>
      <c r="N10" s="147"/>
      <c r="O10" s="161">
        <v>9</v>
      </c>
      <c r="P10" s="147"/>
      <c r="Q10" s="147"/>
      <c r="R10" s="147"/>
      <c r="S10" s="147"/>
      <c r="T10" s="147"/>
      <c r="U10" s="156"/>
      <c r="W10" s="162"/>
    </row>
    <row r="11" spans="1:23" ht="14.25" customHeight="1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330</v>
      </c>
      <c r="N11" s="147"/>
      <c r="O11" s="155">
        <v>750</v>
      </c>
      <c r="P11" s="147"/>
      <c r="Q11" s="147"/>
      <c r="R11" s="147"/>
      <c r="S11" s="147"/>
      <c r="T11" s="147"/>
      <c r="U11" s="156"/>
    </row>
    <row r="12" spans="1:23" ht="14.25" customHeight="1" x14ac:dyDescent="0.35">
      <c r="B12" s="154" t="s">
        <v>108</v>
      </c>
      <c r="C12" s="147"/>
      <c r="D12" s="153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331</v>
      </c>
      <c r="N12" s="147"/>
      <c r="O12" s="161">
        <v>28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332</v>
      </c>
      <c r="N13" s="147"/>
      <c r="O13" s="161">
        <v>13</v>
      </c>
      <c r="P13" s="147"/>
      <c r="Q13" s="147"/>
      <c r="R13" s="147"/>
      <c r="S13" s="147"/>
      <c r="T13" s="147"/>
      <c r="U13" s="156"/>
    </row>
    <row r="14" spans="1:23" ht="14.25" customHeight="1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333</v>
      </c>
      <c r="N14" s="147"/>
      <c r="O14" s="161">
        <v>50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334</v>
      </c>
      <c r="N15" s="147"/>
      <c r="O15" s="161">
        <f>ROUNDDOWN(O11/O14,0)</f>
        <v>15</v>
      </c>
      <c r="P15" s="147"/>
      <c r="Q15" s="147"/>
      <c r="R15" s="166"/>
      <c r="S15" s="166"/>
      <c r="T15" s="166"/>
      <c r="U15" s="169"/>
    </row>
    <row r="16" spans="1:23" ht="14.25" customHeight="1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/>
      <c r="N16" s="147"/>
      <c r="O16" s="166"/>
      <c r="P16" s="147"/>
      <c r="Q16" s="147"/>
      <c r="R16" s="166"/>
      <c r="S16" s="166"/>
      <c r="T16" s="166"/>
      <c r="U16" s="169"/>
    </row>
    <row r="17" spans="2:21" ht="14.25" customHeight="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/>
      <c r="N17" s="147"/>
      <c r="O17" s="166"/>
      <c r="P17" s="166"/>
      <c r="Q17" s="166"/>
      <c r="R17" s="166"/>
      <c r="S17" s="166"/>
      <c r="T17" s="166"/>
      <c r="U17" s="169"/>
    </row>
    <row r="18" spans="2:21" ht="14.25" customHeight="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/>
      <c r="N18" s="147"/>
      <c r="O18" s="166"/>
      <c r="P18" s="166"/>
      <c r="Q18" s="166"/>
      <c r="R18" s="166"/>
      <c r="S18" s="166"/>
      <c r="T18" s="166"/>
      <c r="U18" s="169"/>
    </row>
    <row r="19" spans="2:21" ht="14.25" customHeight="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66"/>
      <c r="P19" s="166"/>
      <c r="Q19" s="166"/>
      <c r="R19" s="166"/>
      <c r="S19" s="166"/>
      <c r="T19" s="166"/>
      <c r="U19" s="169"/>
    </row>
    <row r="20" spans="2:21" ht="14.25" customHeight="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/>
      <c r="N20" s="147"/>
      <c r="O20" s="166"/>
      <c r="P20" s="166"/>
      <c r="Q20" s="166"/>
      <c r="R20" s="166"/>
      <c r="S20" s="166"/>
      <c r="T20" s="166"/>
      <c r="U20" s="169"/>
    </row>
    <row r="21" spans="2:21" ht="14.25" customHeight="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/>
      <c r="N21" s="147"/>
      <c r="O21" s="166"/>
      <c r="P21" s="166"/>
      <c r="Q21" s="166"/>
      <c r="R21" s="166"/>
      <c r="S21" s="166"/>
      <c r="T21" s="166"/>
      <c r="U21" s="169"/>
    </row>
    <row r="22" spans="2:21" ht="14.25" customHeight="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/>
      <c r="N22" s="147"/>
      <c r="O22" s="166"/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/>
      <c r="N23" s="174"/>
      <c r="O23" s="166"/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235" t="s">
        <v>335</v>
      </c>
      <c r="C26" s="235"/>
      <c r="D26" s="235"/>
      <c r="E26" s="235"/>
      <c r="F26" s="235"/>
      <c r="G26" s="235"/>
      <c r="H26" s="235"/>
      <c r="I26" s="235"/>
      <c r="J26" s="235"/>
      <c r="M26" s="235" t="s">
        <v>130</v>
      </c>
      <c r="N26" s="235"/>
      <c r="O26" s="235"/>
      <c r="P26" s="235"/>
      <c r="Q26" s="235"/>
      <c r="R26" s="235"/>
      <c r="S26" s="235"/>
      <c r="T26" s="235"/>
      <c r="U26" s="235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336</v>
      </c>
      <c r="C28" s="158"/>
      <c r="D28" s="190">
        <f>O7+2*O8+2*O10</f>
        <v>141</v>
      </c>
      <c r="E28" s="158"/>
      <c r="F28" s="158"/>
      <c r="G28" s="158"/>
      <c r="H28" s="158"/>
      <c r="I28" s="158"/>
      <c r="J28" s="182"/>
      <c r="M28" s="179"/>
      <c r="N28" s="158"/>
      <c r="O28" s="158"/>
      <c r="P28" s="158"/>
      <c r="Q28" s="180"/>
      <c r="R28" s="158"/>
      <c r="S28" s="158"/>
      <c r="T28" s="158"/>
      <c r="U28" s="182"/>
    </row>
    <row r="29" spans="2:21" ht="14.25" customHeight="1" outlineLevel="1" x14ac:dyDescent="0.35">
      <c r="B29" s="146" t="s">
        <v>337</v>
      </c>
      <c r="C29" s="158"/>
      <c r="D29" s="190">
        <f>D28*O9</f>
        <v>352.5</v>
      </c>
      <c r="E29" s="158"/>
      <c r="F29" s="158"/>
      <c r="G29" s="158"/>
      <c r="H29" s="158"/>
      <c r="I29" s="158"/>
      <c r="J29" s="182"/>
      <c r="M29" s="146" t="s">
        <v>300</v>
      </c>
      <c r="N29" s="158"/>
      <c r="O29" s="185">
        <f>2*D28/1000*D30/1000</f>
        <v>0.21149999999999997</v>
      </c>
      <c r="P29" s="158"/>
      <c r="Q29" s="158"/>
      <c r="R29" s="158"/>
      <c r="S29" s="158"/>
      <c r="T29" s="183"/>
      <c r="U29" s="182"/>
    </row>
    <row r="30" spans="2:21" ht="14.25" customHeight="1" outlineLevel="1" x14ac:dyDescent="0.35">
      <c r="B30" s="146" t="s">
        <v>330</v>
      </c>
      <c r="C30" s="158"/>
      <c r="D30" s="158">
        <f>O11</f>
        <v>750</v>
      </c>
      <c r="E30" s="158"/>
      <c r="F30" s="158"/>
      <c r="G30" s="158"/>
      <c r="H30" s="158"/>
      <c r="I30" s="158"/>
      <c r="J30" s="182"/>
      <c r="M30" s="146" t="s">
        <v>301</v>
      </c>
      <c r="N30" s="158"/>
      <c r="O30" s="185">
        <f>2*(O12+O13)/1000*O9/1000*D42</f>
        <v>3.0750000000000005E-3</v>
      </c>
      <c r="P30" s="158"/>
      <c r="Q30" s="158"/>
      <c r="R30" s="158"/>
      <c r="S30" s="158"/>
      <c r="T30" s="183"/>
      <c r="U30" s="182"/>
    </row>
    <row r="31" spans="2:21" ht="14.25" customHeight="1" outlineLevel="1" x14ac:dyDescent="0.35">
      <c r="B31" s="146"/>
      <c r="C31" s="158"/>
      <c r="D31" s="158"/>
      <c r="E31" s="158"/>
      <c r="F31" s="158"/>
      <c r="G31" s="158"/>
      <c r="H31" s="158"/>
      <c r="I31" s="158"/>
      <c r="J31" s="182"/>
      <c r="M31" s="146" t="s">
        <v>302</v>
      </c>
      <c r="N31" s="158"/>
      <c r="O31" s="185">
        <f>2*O12/1000*O13/1000*D42</f>
        <v>1.0920000000000001E-2</v>
      </c>
      <c r="P31" s="158"/>
      <c r="Q31" s="158"/>
      <c r="R31" s="158"/>
      <c r="S31" s="158"/>
      <c r="T31" s="185"/>
      <c r="U31" s="182"/>
    </row>
    <row r="32" spans="2:21" ht="14.25" customHeight="1" outlineLevel="1" x14ac:dyDescent="0.35">
      <c r="B32" s="146" t="s">
        <v>328</v>
      </c>
      <c r="C32" s="158"/>
      <c r="D32" s="158">
        <f>O9</f>
        <v>2.5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ht="14.25" customHeight="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303</v>
      </c>
      <c r="N33" s="158"/>
      <c r="O33" s="185">
        <f>O29+O30-O31</f>
        <v>0.20365499999999995</v>
      </c>
      <c r="P33" s="158"/>
      <c r="Q33" s="158"/>
      <c r="R33" s="158"/>
      <c r="S33" s="158"/>
      <c r="T33" s="158"/>
      <c r="U33" s="182"/>
    </row>
    <row r="34" spans="2:21" ht="14.25" customHeight="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ht="14.25" customHeight="1" outlineLevel="1" x14ac:dyDescent="0.35">
      <c r="B35" s="146" t="s">
        <v>338</v>
      </c>
      <c r="C35" s="158"/>
      <c r="D35" s="192">
        <f>D29*D30/10^9</f>
        <v>2.6437500000000002E-4</v>
      </c>
      <c r="E35" s="158"/>
      <c r="F35" s="158"/>
      <c r="G35" s="158"/>
      <c r="H35" s="158"/>
      <c r="I35" s="158"/>
      <c r="J35" s="182"/>
      <c r="M35" s="146" t="s">
        <v>305</v>
      </c>
      <c r="N35" s="158"/>
      <c r="O35" s="185">
        <f>O33</f>
        <v>0.20365499999999995</v>
      </c>
      <c r="P35" s="158"/>
      <c r="Q35" s="158"/>
      <c r="R35" s="158"/>
      <c r="S35" s="158"/>
      <c r="T35" s="158"/>
      <c r="U35" s="182"/>
    </row>
    <row r="36" spans="2:21" ht="14.25" customHeight="1" outlineLevel="1" x14ac:dyDescent="0.35">
      <c r="B36" s="146" t="s">
        <v>339</v>
      </c>
      <c r="C36" s="158"/>
      <c r="D36" s="184">
        <f>D35*D8</f>
        <v>2.07534375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ht="14.25" customHeight="1" outlineLevel="1" x14ac:dyDescent="0.35">
      <c r="B37" s="146" t="s">
        <v>340</v>
      </c>
      <c r="C37" s="158"/>
      <c r="D37" s="186">
        <f>D36*(D6*(1+D7))</f>
        <v>151.50009374999999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0.12496474454999996</v>
      </c>
      <c r="P37" s="158"/>
      <c r="Q37" s="158"/>
      <c r="R37" s="158"/>
      <c r="S37" s="158"/>
      <c r="T37" s="158"/>
      <c r="U37" s="182"/>
    </row>
    <row r="38" spans="2:21" ht="14.25" customHeight="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ht="14.25" customHeight="1" outlineLevel="1" x14ac:dyDescent="0.35">
      <c r="B39" s="188" t="s">
        <v>306</v>
      </c>
      <c r="C39" s="158"/>
      <c r="D39" s="158"/>
      <c r="E39" s="158"/>
      <c r="F39" s="189"/>
      <c r="G39" s="158"/>
      <c r="H39" s="158"/>
      <c r="I39" s="158"/>
      <c r="J39" s="182"/>
      <c r="M39" s="146" t="s">
        <v>147</v>
      </c>
      <c r="N39" s="158"/>
      <c r="O39" s="186">
        <f>(1+O38)*O37</f>
        <v>0.12496474454999996</v>
      </c>
      <c r="P39" s="158"/>
      <c r="Q39" s="158"/>
      <c r="R39" s="158"/>
      <c r="S39" s="158"/>
      <c r="T39" s="158"/>
      <c r="U39" s="182"/>
    </row>
    <row r="40" spans="2:21" ht="14.25" customHeight="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307</v>
      </c>
      <c r="N40" s="158"/>
      <c r="O40" s="190">
        <f>O39*H8</f>
        <v>53.184995280479988</v>
      </c>
      <c r="P40" s="158"/>
      <c r="Q40" s="158"/>
      <c r="R40" s="158"/>
      <c r="S40" s="158"/>
      <c r="T40" s="158"/>
      <c r="U40" s="182"/>
    </row>
    <row r="41" spans="2:21" ht="14.25" customHeight="1" outlineLevel="1" x14ac:dyDescent="0.35">
      <c r="B41" s="146" t="s">
        <v>334</v>
      </c>
      <c r="C41" s="158"/>
      <c r="D41" s="158">
        <f>O15</f>
        <v>15</v>
      </c>
      <c r="E41" s="158"/>
      <c r="F41" s="158"/>
      <c r="G41" s="158"/>
      <c r="H41" s="158"/>
      <c r="I41" s="158"/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ht="14.25" customHeight="1" outlineLevel="1" x14ac:dyDescent="0.35">
      <c r="B42" s="146" t="s">
        <v>308</v>
      </c>
      <c r="C42" s="158"/>
      <c r="D42" s="158">
        <f>D41</f>
        <v>15</v>
      </c>
      <c r="E42" s="158"/>
      <c r="F42" s="158"/>
      <c r="G42" s="158"/>
      <c r="H42" s="158"/>
      <c r="I42" s="158"/>
      <c r="J42" s="182"/>
      <c r="M42" s="146" t="s">
        <v>309</v>
      </c>
      <c r="N42" s="158"/>
      <c r="O42" s="186">
        <f>H10*O37</f>
        <v>1.4995769345999995E-2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ht="14.25" customHeight="1" outlineLevel="1" x14ac:dyDescent="0.35">
      <c r="B43" s="146" t="s">
        <v>310</v>
      </c>
      <c r="C43" s="158"/>
      <c r="D43" s="191">
        <f>D42*O12/1000*O13/1000*O9/1000</f>
        <v>1.365E-5</v>
      </c>
      <c r="E43" s="158"/>
      <c r="F43" s="158"/>
      <c r="G43" s="158"/>
      <c r="H43" s="158"/>
      <c r="I43" s="192"/>
      <c r="J43" s="182"/>
      <c r="M43" s="146" t="s">
        <v>311</v>
      </c>
      <c r="N43" s="158"/>
      <c r="O43" s="186">
        <f>H11*O37</f>
        <v>9.9971795639999979E-3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ht="14.25" customHeight="1" outlineLevel="1" x14ac:dyDescent="0.35">
      <c r="B44" s="146" t="s">
        <v>312</v>
      </c>
      <c r="C44" s="158"/>
      <c r="D44" s="186">
        <f>D43*D8</f>
        <v>0.1071525</v>
      </c>
      <c r="E44" s="158"/>
      <c r="F44" s="158"/>
      <c r="G44" s="158"/>
      <c r="H44" s="158"/>
      <c r="I44" s="192"/>
      <c r="J44" s="182"/>
      <c r="M44" s="146" t="s">
        <v>313</v>
      </c>
      <c r="N44" s="158"/>
      <c r="O44" s="186">
        <f>O42*T42+O43*T43</f>
        <v>3.8718676564189431</v>
      </c>
      <c r="P44" s="158"/>
      <c r="Q44" s="158"/>
      <c r="R44" s="158"/>
      <c r="S44" s="158"/>
      <c r="T44" s="158"/>
      <c r="U44" s="182"/>
    </row>
    <row r="45" spans="2:21" ht="14.25" customHeight="1" outlineLevel="1" x14ac:dyDescent="0.35">
      <c r="B45" s="146" t="s">
        <v>266</v>
      </c>
      <c r="C45" s="158"/>
      <c r="D45" s="186">
        <f>D44*D6</f>
        <v>7.8221324999999995</v>
      </c>
      <c r="E45" s="158"/>
      <c r="F45" s="158"/>
      <c r="G45" s="158"/>
      <c r="H45" s="158"/>
      <c r="I45" s="186"/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ht="14.25" customHeight="1" outlineLevel="1" x14ac:dyDescent="0.35">
      <c r="B46" s="146" t="s">
        <v>163</v>
      </c>
      <c r="C46" s="158"/>
      <c r="D46" s="187">
        <f>D11</f>
        <v>0.3</v>
      </c>
      <c r="E46" s="158"/>
      <c r="F46" s="158"/>
      <c r="G46" s="158"/>
      <c r="H46" s="158"/>
      <c r="I46" s="186"/>
      <c r="J46" s="182"/>
      <c r="M46" s="146" t="s">
        <v>314</v>
      </c>
      <c r="N46" s="158"/>
      <c r="O46" s="186">
        <f>O40-O44</f>
        <v>49.313127624061046</v>
      </c>
      <c r="P46" s="158"/>
      <c r="Q46" s="158"/>
      <c r="R46" s="158"/>
      <c r="S46" s="158"/>
      <c r="T46" s="158"/>
      <c r="U46" s="182"/>
    </row>
    <row r="47" spans="2:21" ht="14.25" customHeight="1" outlineLevel="1" x14ac:dyDescent="0.35">
      <c r="B47" s="146" t="s">
        <v>315</v>
      </c>
      <c r="C47" s="158"/>
      <c r="D47" s="186">
        <f>D45*D46</f>
        <v>2.3466397499999996</v>
      </c>
      <c r="E47" s="158"/>
      <c r="F47" s="158"/>
      <c r="G47" s="158"/>
      <c r="H47" s="158"/>
      <c r="I47" s="186"/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ht="14.25" customHeight="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ht="14.25" customHeight="1" outlineLevel="1" x14ac:dyDescent="0.35">
      <c r="B49" s="146" t="s">
        <v>316</v>
      </c>
      <c r="C49" s="158"/>
      <c r="D49" s="186">
        <f>D37-D47</f>
        <v>149.15345399999998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ht="14.25" customHeight="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ht="14.25" customHeight="1" outlineLevel="1" x14ac:dyDescent="0.35">
      <c r="B51" s="146" t="s">
        <v>341</v>
      </c>
      <c r="C51" s="158"/>
      <c r="D51" s="186">
        <f>D49</f>
        <v>149.15345399999998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4.25" customHeight="1" outlineLevel="1" x14ac:dyDescent="0.35">
      <c r="B52" s="146" t="s">
        <v>108</v>
      </c>
      <c r="C52" s="158"/>
      <c r="D52" s="193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ht="14.25" customHeight="1" outlineLevel="1" x14ac:dyDescent="0.35">
      <c r="B53" s="146" t="s">
        <v>342</v>
      </c>
      <c r="C53" s="158"/>
      <c r="D53" s="281">
        <f>(1+D52)*D51</f>
        <v>149.15345399999998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235" t="s">
        <v>170</v>
      </c>
      <c r="C56" s="235"/>
      <c r="D56" s="235"/>
      <c r="E56" s="235"/>
      <c r="F56" s="235"/>
      <c r="G56" s="235"/>
      <c r="H56" s="235"/>
      <c r="I56" s="235"/>
      <c r="J56" s="235"/>
    </row>
    <row r="57" spans="2:21" ht="14.25" customHeight="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ht="14.25" customHeight="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343</v>
      </c>
      <c r="C61" s="204"/>
      <c r="D61" s="204"/>
      <c r="E61" s="204"/>
      <c r="F61" s="204"/>
      <c r="G61" s="204"/>
      <c r="H61" s="204"/>
      <c r="I61" s="204"/>
      <c r="J61" s="204"/>
    </row>
    <row r="62" spans="2:21" ht="14.25" customHeight="1" x14ac:dyDescent="0.35">
      <c r="B62" s="205"/>
      <c r="J62" s="206"/>
    </row>
    <row r="63" spans="2:21" ht="14.25" customHeight="1" x14ac:dyDescent="0.35">
      <c r="B63" s="205"/>
      <c r="C63" s="207"/>
      <c r="J63" s="206"/>
    </row>
    <row r="64" spans="2:21" ht="14.25" customHeight="1" x14ac:dyDescent="0.35">
      <c r="B64" s="205"/>
      <c r="J64" s="206"/>
    </row>
    <row r="65" spans="2:10" ht="15" hidden="1" customHeight="1" x14ac:dyDescent="0.35">
      <c r="B65" s="235" t="s">
        <v>344</v>
      </c>
      <c r="C65" s="235"/>
      <c r="D65" s="235"/>
      <c r="E65" s="235"/>
      <c r="F65" s="235"/>
      <c r="G65" s="235"/>
      <c r="H65" s="235"/>
      <c r="I65" s="235"/>
      <c r="J65" s="235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149.15345399999998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49.313127624061046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O40*H14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496.1664540601526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44" t="s">
        <v>184</v>
      </c>
      <c r="C77" s="245"/>
      <c r="D77" s="246">
        <f>SUM(D67:D75)</f>
        <v>694.63303568421361</v>
      </c>
      <c r="E77" s="245"/>
      <c r="F77" s="245"/>
      <c r="G77" s="245"/>
      <c r="H77" s="245"/>
      <c r="I77" s="245"/>
      <c r="J77" s="247"/>
    </row>
    <row r="78" spans="2:10" ht="18.75" hidden="1" customHeight="1" x14ac:dyDescent="0.35">
      <c r="B78" s="248" t="s">
        <v>185</v>
      </c>
      <c r="C78" s="249"/>
      <c r="D78" s="250">
        <f>SUM(D67:D74)</f>
        <v>694.63303568421361</v>
      </c>
      <c r="E78" s="249"/>
      <c r="F78" s="249"/>
      <c r="G78" s="249"/>
      <c r="H78" s="249"/>
      <c r="I78" s="249"/>
      <c r="J78" s="251"/>
    </row>
    <row r="79" spans="2:10" ht="14.25" customHeight="1" x14ac:dyDescent="0.35">
      <c r="B79" s="205"/>
      <c r="D79" s="218" t="s">
        <v>321</v>
      </c>
      <c r="E79" s="158"/>
      <c r="F79" s="158"/>
      <c r="J79" s="206"/>
    </row>
    <row r="80" spans="2:10" ht="14.25" customHeight="1" x14ac:dyDescent="0.35">
      <c r="B80" s="146"/>
      <c r="C80" s="158" t="s">
        <v>339</v>
      </c>
      <c r="D80" s="219">
        <f>D36</f>
        <v>2.07534375</v>
      </c>
      <c r="E80" s="158"/>
      <c r="F80" s="158"/>
      <c r="G80" s="158"/>
      <c r="H80" s="158"/>
      <c r="I80" s="158"/>
      <c r="J80" s="182"/>
    </row>
    <row r="81" spans="2:10" ht="14.25" customHeight="1" x14ac:dyDescent="0.35">
      <c r="B81" s="146"/>
      <c r="C81" s="158" t="s">
        <v>322</v>
      </c>
      <c r="D81" s="254">
        <f>D44</f>
        <v>0.1071525</v>
      </c>
      <c r="E81" s="158"/>
      <c r="F81" s="158"/>
      <c r="G81" s="158"/>
      <c r="H81" s="158"/>
      <c r="I81" s="158"/>
      <c r="J81" s="182"/>
    </row>
    <row r="82" spans="2:10" ht="14.25" customHeight="1" x14ac:dyDescent="0.35">
      <c r="B82" s="146"/>
      <c r="C82" s="158" t="s">
        <v>345</v>
      </c>
      <c r="D82" s="219">
        <f>D80-D81</f>
        <v>1.9681912500000001</v>
      </c>
      <c r="E82" s="158"/>
      <c r="F82" s="158"/>
      <c r="G82" s="187"/>
      <c r="H82" s="158"/>
      <c r="I82" s="158"/>
      <c r="J82" s="182"/>
    </row>
    <row r="83" spans="2:10" ht="14.25" customHeight="1" x14ac:dyDescent="0.35">
      <c r="B83" s="146"/>
      <c r="C83" s="189" t="s">
        <v>193</v>
      </c>
      <c r="D83" s="224">
        <f>(D80-D81*D46)*D6</f>
        <v>149.15345399999998</v>
      </c>
      <c r="E83" s="158"/>
      <c r="F83" s="158"/>
      <c r="G83" s="187"/>
      <c r="H83" s="158"/>
      <c r="I83" s="158"/>
      <c r="J83" s="182"/>
    </row>
    <row r="84" spans="2:10" ht="14.25" customHeight="1" x14ac:dyDescent="0.35">
      <c r="B84" s="146"/>
      <c r="C84" s="158"/>
      <c r="D84" s="219"/>
      <c r="E84" s="158"/>
      <c r="F84" s="158"/>
      <c r="G84" s="158"/>
      <c r="H84" s="158"/>
      <c r="I84" s="158"/>
      <c r="J84" s="182"/>
    </row>
    <row r="85" spans="2:10" ht="14.25" customHeight="1" x14ac:dyDescent="0.35">
      <c r="B85" s="146"/>
      <c r="C85" s="158" t="s">
        <v>144</v>
      </c>
      <c r="D85" s="219">
        <f>O39</f>
        <v>0.12496474454999996</v>
      </c>
      <c r="E85" s="158"/>
      <c r="F85" s="158"/>
      <c r="G85" s="223"/>
      <c r="H85" s="158"/>
      <c r="I85" s="158"/>
      <c r="J85" s="182"/>
    </row>
    <row r="86" spans="2:10" ht="14.25" customHeight="1" x14ac:dyDescent="0.35">
      <c r="B86" s="146"/>
      <c r="C86" s="158" t="s">
        <v>195</v>
      </c>
      <c r="D86" s="225">
        <f>D85*H8-O44</f>
        <v>49.313127624061046</v>
      </c>
      <c r="E86" s="158"/>
      <c r="F86" s="158"/>
      <c r="G86" s="158"/>
      <c r="H86" s="158"/>
      <c r="I86" s="158"/>
      <c r="J86" s="182"/>
    </row>
    <row r="87" spans="2:10" ht="14.25" customHeight="1" x14ac:dyDescent="0.35">
      <c r="B87" s="146"/>
      <c r="C87" s="158"/>
      <c r="D87" s="219"/>
      <c r="E87" s="158"/>
      <c r="F87" s="158"/>
      <c r="G87" s="158"/>
      <c r="H87" s="158"/>
      <c r="I87" s="158"/>
      <c r="J87" s="182"/>
    </row>
    <row r="88" spans="2:10" ht="14.25" customHeight="1" x14ac:dyDescent="0.35">
      <c r="B88" s="146"/>
      <c r="C88" s="158" t="s">
        <v>196</v>
      </c>
      <c r="D88" s="225">
        <f>(D82+D85)*($D$17+$D$15)</f>
        <v>21.559506743865001</v>
      </c>
      <c r="E88" s="158"/>
      <c r="F88" s="158"/>
      <c r="G88" s="158"/>
      <c r="H88" s="158"/>
      <c r="I88" s="158"/>
      <c r="J88" s="182"/>
    </row>
    <row r="89" spans="2:10" ht="14.25" customHeight="1" x14ac:dyDescent="0.35">
      <c r="B89" s="146"/>
      <c r="C89" s="158"/>
      <c r="D89" s="219"/>
      <c r="E89" s="158"/>
      <c r="F89" s="158"/>
      <c r="G89" s="158"/>
      <c r="H89" s="158"/>
      <c r="I89" s="158"/>
      <c r="J89" s="182"/>
    </row>
    <row r="90" spans="2:10" ht="14.25" customHeight="1" x14ac:dyDescent="0.35">
      <c r="B90" s="146"/>
      <c r="C90" s="189" t="s">
        <v>346</v>
      </c>
      <c r="D90" s="224">
        <f>D88+D83+D86</f>
        <v>220.02608836792604</v>
      </c>
      <c r="E90" s="158"/>
      <c r="F90" s="158"/>
      <c r="G90" s="158"/>
      <c r="H90" s="158"/>
      <c r="I90" s="158"/>
      <c r="J90" s="182"/>
    </row>
    <row r="91" spans="2:10" ht="14.25" customHeight="1" x14ac:dyDescent="0.35">
      <c r="B91" s="146"/>
      <c r="C91" s="158" t="s">
        <v>347</v>
      </c>
      <c r="D91" s="283">
        <f>D90/(D30/1000)</f>
        <v>293.3681178239014</v>
      </c>
      <c r="E91" s="158"/>
      <c r="F91" s="158"/>
      <c r="G91" s="158"/>
      <c r="H91" s="158"/>
      <c r="I91" s="158"/>
      <c r="J91" s="182"/>
    </row>
    <row r="92" spans="2:10" ht="14.25" customHeight="1" thickBot="1" x14ac:dyDescent="0.4">
      <c r="B92" s="196"/>
      <c r="C92" s="227"/>
      <c r="D92" s="227"/>
      <c r="E92" s="227"/>
      <c r="F92" s="197"/>
      <c r="G92" s="197"/>
      <c r="H92" s="197"/>
      <c r="I92" s="197"/>
      <c r="J92" s="199"/>
    </row>
    <row r="94" spans="2:10" ht="15" customHeight="1" x14ac:dyDescent="0.35"/>
    <row r="95" spans="2:10" ht="14.25" customHeight="1" x14ac:dyDescent="0.35">
      <c r="E95" s="228"/>
    </row>
    <row r="96" spans="2:10" ht="14.25" customHeight="1" x14ac:dyDescent="0.35">
      <c r="D96" s="230"/>
      <c r="E96" s="230"/>
    </row>
    <row r="97" spans="3:5" ht="14.25" customHeight="1" x14ac:dyDescent="0.35">
      <c r="D97" s="232"/>
      <c r="E97" s="232"/>
    </row>
    <row r="98" spans="3:5" s="229" customFormat="1" ht="6" customHeight="1" x14ac:dyDescent="0.35"/>
    <row r="99" spans="3:5" s="231" customFormat="1" ht="14.25" customHeight="1" x14ac:dyDescent="0.35"/>
    <row r="101" spans="3:5" ht="14.25" customHeight="1" x14ac:dyDescent="0.35">
      <c r="C101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4B46-6080-416B-AF23-ECA38411637B}">
  <dimension ref="A1:W101"/>
  <sheetViews>
    <sheetView showGridLines="0" topLeftCell="A59" zoomScale="70" zoomScaleNormal="70" workbookViewId="0">
      <selection activeCell="O12" sqref="O12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348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236" t="s">
        <v>89</v>
      </c>
      <c r="C5" s="236"/>
      <c r="D5" s="236"/>
      <c r="E5" s="236"/>
      <c r="F5" s="236"/>
      <c r="G5" s="236"/>
      <c r="H5" s="236"/>
      <c r="I5" s="236"/>
      <c r="J5" s="236"/>
      <c r="M5" s="236" t="s">
        <v>325</v>
      </c>
      <c r="N5" s="236"/>
      <c r="O5" s="236"/>
      <c r="P5" s="236"/>
      <c r="Q5" s="236"/>
      <c r="R5" s="236"/>
      <c r="S5" s="236"/>
      <c r="T5" s="236"/>
      <c r="U5" s="236"/>
    </row>
    <row r="6" spans="1:23" ht="14.25" customHeight="1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/>
      <c r="N6" s="147"/>
      <c r="O6" s="147"/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153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326</v>
      </c>
      <c r="N7" s="147"/>
      <c r="O7" s="155">
        <v>41</v>
      </c>
      <c r="P7" s="147"/>
      <c r="Q7" s="147"/>
      <c r="R7" s="147"/>
      <c r="S7" s="147"/>
      <c r="T7" s="147"/>
      <c r="U7" s="156"/>
    </row>
    <row r="8" spans="1:23" ht="14.25" customHeight="1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327</v>
      </c>
      <c r="N8" s="147"/>
      <c r="O8" s="155">
        <v>41</v>
      </c>
      <c r="P8" s="147"/>
      <c r="Q8" s="147"/>
      <c r="R8" s="147"/>
      <c r="S8" s="147"/>
      <c r="T8" s="147"/>
      <c r="U8" s="156"/>
    </row>
    <row r="9" spans="1:23" ht="14.25" customHeight="1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328</v>
      </c>
      <c r="N9" s="147"/>
      <c r="O9" s="155">
        <v>2.5</v>
      </c>
      <c r="P9" s="147"/>
      <c r="Q9" s="147"/>
      <c r="R9" s="147"/>
      <c r="S9" s="147"/>
      <c r="T9" s="147"/>
      <c r="U9" s="156"/>
    </row>
    <row r="10" spans="1:23" ht="14.25" customHeight="1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329</v>
      </c>
      <c r="N10" s="147"/>
      <c r="O10" s="161">
        <v>9</v>
      </c>
      <c r="P10" s="147"/>
      <c r="Q10" s="147"/>
      <c r="R10" s="147"/>
      <c r="S10" s="147"/>
      <c r="T10" s="147"/>
      <c r="U10" s="156"/>
      <c r="W10" s="162"/>
    </row>
    <row r="11" spans="1:23" ht="14.25" customHeight="1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330</v>
      </c>
      <c r="N11" s="147"/>
      <c r="O11" s="155">
        <v>620</v>
      </c>
      <c r="P11" s="147"/>
      <c r="Q11" s="147"/>
      <c r="R11" s="147"/>
      <c r="S11" s="147"/>
      <c r="T11" s="147"/>
      <c r="U11" s="156"/>
    </row>
    <row r="12" spans="1:23" ht="14.25" customHeight="1" x14ac:dyDescent="0.35">
      <c r="B12" s="154" t="s">
        <v>108</v>
      </c>
      <c r="C12" s="147"/>
      <c r="D12" s="153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331</v>
      </c>
      <c r="N12" s="147"/>
      <c r="O12" s="161">
        <v>28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332</v>
      </c>
      <c r="N13" s="147"/>
      <c r="O13" s="161">
        <v>13</v>
      </c>
      <c r="P13" s="147"/>
      <c r="Q13" s="147"/>
      <c r="R13" s="147"/>
      <c r="S13" s="147"/>
      <c r="T13" s="147"/>
      <c r="U13" s="156"/>
    </row>
    <row r="14" spans="1:23" ht="14.25" customHeight="1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333</v>
      </c>
      <c r="N14" s="147"/>
      <c r="O14" s="161">
        <v>50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334</v>
      </c>
      <c r="N15" s="147"/>
      <c r="O15" s="161">
        <f>ROUNDDOWN(O11/O14,0)</f>
        <v>12</v>
      </c>
      <c r="P15" s="147"/>
      <c r="Q15" s="147"/>
      <c r="R15" s="166"/>
      <c r="S15" s="166"/>
      <c r="T15" s="166"/>
      <c r="U15" s="169"/>
    </row>
    <row r="16" spans="1:23" ht="14.25" customHeight="1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/>
      <c r="N16" s="147"/>
      <c r="O16" s="166"/>
      <c r="P16" s="147"/>
      <c r="Q16" s="147"/>
      <c r="R16" s="166"/>
      <c r="S16" s="166"/>
      <c r="T16" s="166"/>
      <c r="U16" s="169"/>
    </row>
    <row r="17" spans="2:21" ht="14.25" customHeight="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/>
      <c r="N17" s="147"/>
      <c r="O17" s="166"/>
      <c r="P17" s="166"/>
      <c r="Q17" s="166"/>
      <c r="R17" s="166"/>
      <c r="S17" s="166"/>
      <c r="T17" s="166"/>
      <c r="U17" s="169"/>
    </row>
    <row r="18" spans="2:21" ht="14.25" customHeight="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/>
      <c r="N18" s="147"/>
      <c r="O18" s="166"/>
      <c r="P18" s="166"/>
      <c r="Q18" s="166"/>
      <c r="R18" s="166"/>
      <c r="S18" s="166"/>
      <c r="T18" s="166"/>
      <c r="U18" s="169"/>
    </row>
    <row r="19" spans="2:21" ht="14.25" customHeight="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66"/>
      <c r="P19" s="166"/>
      <c r="Q19" s="166"/>
      <c r="R19" s="166"/>
      <c r="S19" s="166"/>
      <c r="T19" s="166"/>
      <c r="U19" s="169"/>
    </row>
    <row r="20" spans="2:21" ht="14.25" customHeight="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/>
      <c r="N20" s="147"/>
      <c r="O20" s="166"/>
      <c r="P20" s="166"/>
      <c r="Q20" s="166"/>
      <c r="R20" s="166"/>
      <c r="S20" s="166"/>
      <c r="T20" s="166"/>
      <c r="U20" s="169"/>
    </row>
    <row r="21" spans="2:21" ht="14.25" customHeight="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/>
      <c r="N21" s="147"/>
      <c r="O21" s="166"/>
      <c r="P21" s="166"/>
      <c r="Q21" s="166"/>
      <c r="R21" s="166"/>
      <c r="S21" s="166"/>
      <c r="T21" s="166"/>
      <c r="U21" s="169"/>
    </row>
    <row r="22" spans="2:21" ht="14.25" customHeight="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/>
      <c r="N22" s="147"/>
      <c r="O22" s="166"/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/>
      <c r="N23" s="174"/>
      <c r="O23" s="166"/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235" t="s">
        <v>335</v>
      </c>
      <c r="C26" s="235"/>
      <c r="D26" s="235"/>
      <c r="E26" s="235"/>
      <c r="F26" s="235"/>
      <c r="G26" s="235"/>
      <c r="H26" s="235"/>
      <c r="I26" s="235"/>
      <c r="J26" s="235"/>
      <c r="M26" s="235" t="s">
        <v>130</v>
      </c>
      <c r="N26" s="235"/>
      <c r="O26" s="235"/>
      <c r="P26" s="235"/>
      <c r="Q26" s="235"/>
      <c r="R26" s="235"/>
      <c r="S26" s="235"/>
      <c r="T26" s="235"/>
      <c r="U26" s="235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336</v>
      </c>
      <c r="C28" s="158"/>
      <c r="D28" s="190">
        <f>O7+2*O8+2*O10</f>
        <v>141</v>
      </c>
      <c r="E28" s="158"/>
      <c r="F28" s="158"/>
      <c r="G28" s="158"/>
      <c r="H28" s="158"/>
      <c r="I28" s="158"/>
      <c r="J28" s="182"/>
      <c r="M28" s="179"/>
      <c r="N28" s="158"/>
      <c r="O28" s="158"/>
      <c r="P28" s="158"/>
      <c r="Q28" s="180"/>
      <c r="R28" s="158"/>
      <c r="S28" s="158"/>
      <c r="T28" s="158"/>
      <c r="U28" s="182"/>
    </row>
    <row r="29" spans="2:21" ht="14.25" customHeight="1" outlineLevel="1" x14ac:dyDescent="0.35">
      <c r="B29" s="146" t="s">
        <v>337</v>
      </c>
      <c r="C29" s="158"/>
      <c r="D29" s="190">
        <f>D28*O9</f>
        <v>352.5</v>
      </c>
      <c r="E29" s="158"/>
      <c r="F29" s="158"/>
      <c r="G29" s="158"/>
      <c r="H29" s="158"/>
      <c r="I29" s="158"/>
      <c r="J29" s="182"/>
      <c r="M29" s="146" t="s">
        <v>300</v>
      </c>
      <c r="N29" s="158"/>
      <c r="O29" s="185">
        <f>2*D28/1000*D30/1000</f>
        <v>0.17483999999999997</v>
      </c>
      <c r="P29" s="158"/>
      <c r="Q29" s="158"/>
      <c r="R29" s="158"/>
      <c r="S29" s="158"/>
      <c r="T29" s="183"/>
      <c r="U29" s="182"/>
    </row>
    <row r="30" spans="2:21" ht="14.25" customHeight="1" outlineLevel="1" x14ac:dyDescent="0.35">
      <c r="B30" s="146" t="s">
        <v>330</v>
      </c>
      <c r="C30" s="158"/>
      <c r="D30" s="158">
        <f>O11</f>
        <v>620</v>
      </c>
      <c r="E30" s="158"/>
      <c r="F30" s="158"/>
      <c r="G30" s="158"/>
      <c r="H30" s="158"/>
      <c r="I30" s="158"/>
      <c r="J30" s="182"/>
      <c r="M30" s="146" t="s">
        <v>301</v>
      </c>
      <c r="N30" s="158"/>
      <c r="O30" s="185">
        <f>2*(O12+O13)/1000*O9/1000*D42</f>
        <v>2.4600000000000004E-3</v>
      </c>
      <c r="P30" s="158"/>
      <c r="Q30" s="158"/>
      <c r="R30" s="158"/>
      <c r="S30" s="158"/>
      <c r="T30" s="183"/>
      <c r="U30" s="182"/>
    </row>
    <row r="31" spans="2:21" ht="14.25" customHeight="1" outlineLevel="1" x14ac:dyDescent="0.35">
      <c r="B31" s="146"/>
      <c r="C31" s="158"/>
      <c r="D31" s="158"/>
      <c r="E31" s="158"/>
      <c r="F31" s="158"/>
      <c r="G31" s="158"/>
      <c r="H31" s="158"/>
      <c r="I31" s="158"/>
      <c r="J31" s="182"/>
      <c r="M31" s="146" t="s">
        <v>302</v>
      </c>
      <c r="N31" s="158"/>
      <c r="O31" s="185">
        <f>2*O12/1000*O13/1000*D42</f>
        <v>8.7360000000000007E-3</v>
      </c>
      <c r="P31" s="158"/>
      <c r="Q31" s="158"/>
      <c r="R31" s="158"/>
      <c r="S31" s="158"/>
      <c r="T31" s="185"/>
      <c r="U31" s="182"/>
    </row>
    <row r="32" spans="2:21" ht="14.25" customHeight="1" outlineLevel="1" x14ac:dyDescent="0.35">
      <c r="B32" s="146" t="s">
        <v>328</v>
      </c>
      <c r="C32" s="158"/>
      <c r="D32" s="158">
        <f>O9</f>
        <v>2.5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ht="14.25" customHeight="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303</v>
      </c>
      <c r="N33" s="158"/>
      <c r="O33" s="185">
        <f>O29+O30-O31</f>
        <v>0.16856399999999996</v>
      </c>
      <c r="P33" s="158"/>
      <c r="Q33" s="158"/>
      <c r="R33" s="158"/>
      <c r="S33" s="158"/>
      <c r="T33" s="158"/>
      <c r="U33" s="182"/>
    </row>
    <row r="34" spans="2:21" ht="14.25" customHeight="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ht="14.25" customHeight="1" outlineLevel="1" x14ac:dyDescent="0.35">
      <c r="B35" s="146" t="s">
        <v>338</v>
      </c>
      <c r="C35" s="158"/>
      <c r="D35" s="192">
        <f>D29*D30/10^9</f>
        <v>2.1855E-4</v>
      </c>
      <c r="E35" s="158"/>
      <c r="F35" s="158"/>
      <c r="G35" s="158"/>
      <c r="H35" s="158"/>
      <c r="I35" s="158"/>
      <c r="J35" s="182"/>
      <c r="M35" s="146" t="s">
        <v>305</v>
      </c>
      <c r="N35" s="158"/>
      <c r="O35" s="185">
        <f>O33</f>
        <v>0.16856399999999996</v>
      </c>
      <c r="P35" s="158"/>
      <c r="Q35" s="158"/>
      <c r="R35" s="158"/>
      <c r="S35" s="158"/>
      <c r="T35" s="158"/>
      <c r="U35" s="182"/>
    </row>
    <row r="36" spans="2:21" ht="14.25" customHeight="1" outlineLevel="1" x14ac:dyDescent="0.35">
      <c r="B36" s="146" t="s">
        <v>339</v>
      </c>
      <c r="C36" s="158"/>
      <c r="D36" s="184">
        <f>D35*D8</f>
        <v>1.7156175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ht="14.25" customHeight="1" outlineLevel="1" x14ac:dyDescent="0.35">
      <c r="B37" s="146" t="s">
        <v>340</v>
      </c>
      <c r="C37" s="158"/>
      <c r="D37" s="186">
        <f>D36*(D6*(1+D7))</f>
        <v>125.2400775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0.10343255603999997</v>
      </c>
      <c r="P37" s="158"/>
      <c r="Q37" s="158"/>
      <c r="R37" s="158"/>
      <c r="S37" s="158"/>
      <c r="T37" s="158"/>
      <c r="U37" s="182"/>
    </row>
    <row r="38" spans="2:21" ht="14.25" customHeight="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ht="14.25" customHeight="1" outlineLevel="1" x14ac:dyDescent="0.35">
      <c r="B39" s="188" t="s">
        <v>306</v>
      </c>
      <c r="C39" s="158"/>
      <c r="D39" s="158"/>
      <c r="E39" s="158"/>
      <c r="F39" s="189"/>
      <c r="G39" s="158"/>
      <c r="H39" s="158"/>
      <c r="I39" s="158"/>
      <c r="J39" s="182"/>
      <c r="M39" s="146" t="s">
        <v>147</v>
      </c>
      <c r="N39" s="158"/>
      <c r="O39" s="186">
        <f>(1+O38)*O37</f>
        <v>0.10343255603999997</v>
      </c>
      <c r="P39" s="158"/>
      <c r="Q39" s="158"/>
      <c r="R39" s="158"/>
      <c r="S39" s="158"/>
      <c r="T39" s="158"/>
      <c r="U39" s="182"/>
    </row>
    <row r="40" spans="2:21" ht="14.25" customHeight="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307</v>
      </c>
      <c r="N40" s="158"/>
      <c r="O40" s="190">
        <f>O39*H8</f>
        <v>44.020895850623987</v>
      </c>
      <c r="P40" s="158"/>
      <c r="Q40" s="158"/>
      <c r="R40" s="158"/>
      <c r="S40" s="158"/>
      <c r="T40" s="158"/>
      <c r="U40" s="182"/>
    </row>
    <row r="41" spans="2:21" ht="14.25" customHeight="1" outlineLevel="1" x14ac:dyDescent="0.35">
      <c r="B41" s="146" t="s">
        <v>334</v>
      </c>
      <c r="C41" s="158"/>
      <c r="D41" s="158">
        <f>O15</f>
        <v>12</v>
      </c>
      <c r="E41" s="158"/>
      <c r="F41" s="158"/>
      <c r="G41" s="158"/>
      <c r="H41" s="158"/>
      <c r="I41" s="158"/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ht="14.25" customHeight="1" outlineLevel="1" x14ac:dyDescent="0.35">
      <c r="B42" s="146" t="s">
        <v>308</v>
      </c>
      <c r="C42" s="158"/>
      <c r="D42" s="158">
        <f>D41</f>
        <v>12</v>
      </c>
      <c r="E42" s="158"/>
      <c r="F42" s="158"/>
      <c r="G42" s="158"/>
      <c r="H42" s="158"/>
      <c r="I42" s="158"/>
      <c r="J42" s="182"/>
      <c r="M42" s="146" t="s">
        <v>309</v>
      </c>
      <c r="N42" s="158"/>
      <c r="O42" s="186">
        <f>H10*O37</f>
        <v>1.2411906724799996E-2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ht="14.25" customHeight="1" outlineLevel="1" x14ac:dyDescent="0.35">
      <c r="B43" s="146" t="s">
        <v>310</v>
      </c>
      <c r="C43" s="158"/>
      <c r="D43" s="191">
        <f>D42*O12/1000*O13/1000*O9/1000</f>
        <v>1.092E-5</v>
      </c>
      <c r="E43" s="158"/>
      <c r="F43" s="158"/>
      <c r="G43" s="158"/>
      <c r="H43" s="158"/>
      <c r="I43" s="192"/>
      <c r="J43" s="182"/>
      <c r="M43" s="146" t="s">
        <v>311</v>
      </c>
      <c r="N43" s="158"/>
      <c r="O43" s="186">
        <f>H11*O37</f>
        <v>8.274604483199997E-3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ht="14.25" customHeight="1" outlineLevel="1" x14ac:dyDescent="0.35">
      <c r="B44" s="146" t="s">
        <v>312</v>
      </c>
      <c r="C44" s="158"/>
      <c r="D44" s="186">
        <f>D43*D8</f>
        <v>8.5722000000000007E-2</v>
      </c>
      <c r="E44" s="158"/>
      <c r="F44" s="158"/>
      <c r="G44" s="158"/>
      <c r="H44" s="158"/>
      <c r="I44" s="192"/>
      <c r="J44" s="182"/>
      <c r="M44" s="146" t="s">
        <v>313</v>
      </c>
      <c r="N44" s="158"/>
      <c r="O44" s="186">
        <f>O42*T42+O43*T43</f>
        <v>3.2047212179254263</v>
      </c>
      <c r="P44" s="158"/>
      <c r="Q44" s="158"/>
      <c r="R44" s="158"/>
      <c r="S44" s="158"/>
      <c r="T44" s="158"/>
      <c r="U44" s="182"/>
    </row>
    <row r="45" spans="2:21" ht="14.25" customHeight="1" outlineLevel="1" x14ac:dyDescent="0.35">
      <c r="B45" s="146" t="s">
        <v>266</v>
      </c>
      <c r="C45" s="158"/>
      <c r="D45" s="186">
        <f>D44*D6</f>
        <v>6.2577060000000007</v>
      </c>
      <c r="E45" s="158"/>
      <c r="F45" s="158"/>
      <c r="G45" s="158"/>
      <c r="H45" s="158"/>
      <c r="I45" s="186"/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ht="14.25" customHeight="1" outlineLevel="1" x14ac:dyDescent="0.35">
      <c r="B46" s="146" t="s">
        <v>163</v>
      </c>
      <c r="C46" s="158"/>
      <c r="D46" s="187">
        <f>D11</f>
        <v>0.3</v>
      </c>
      <c r="E46" s="158"/>
      <c r="F46" s="158"/>
      <c r="G46" s="158"/>
      <c r="H46" s="158"/>
      <c r="I46" s="186"/>
      <c r="J46" s="182"/>
      <c r="M46" s="146" t="s">
        <v>314</v>
      </c>
      <c r="N46" s="158"/>
      <c r="O46" s="186">
        <f>O40-O44</f>
        <v>40.816174632698562</v>
      </c>
      <c r="P46" s="158"/>
      <c r="Q46" s="158"/>
      <c r="R46" s="158"/>
      <c r="S46" s="158"/>
      <c r="T46" s="158"/>
      <c r="U46" s="182"/>
    </row>
    <row r="47" spans="2:21" ht="14.25" customHeight="1" outlineLevel="1" x14ac:dyDescent="0.35">
      <c r="B47" s="146" t="s">
        <v>315</v>
      </c>
      <c r="C47" s="158"/>
      <c r="D47" s="186">
        <f>D45*D46</f>
        <v>1.8773118000000002</v>
      </c>
      <c r="E47" s="158"/>
      <c r="F47" s="158"/>
      <c r="G47" s="158"/>
      <c r="H47" s="158"/>
      <c r="I47" s="186"/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ht="14.25" customHeight="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ht="14.25" customHeight="1" outlineLevel="1" x14ac:dyDescent="0.35">
      <c r="B49" s="146" t="s">
        <v>316</v>
      </c>
      <c r="C49" s="158"/>
      <c r="D49" s="186">
        <f>D37-D47</f>
        <v>123.3627657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ht="14.25" customHeight="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ht="14.25" customHeight="1" outlineLevel="1" x14ac:dyDescent="0.35">
      <c r="B51" s="146" t="s">
        <v>341</v>
      </c>
      <c r="C51" s="158"/>
      <c r="D51" s="186">
        <f>D49</f>
        <v>123.3627657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4.25" customHeight="1" outlineLevel="1" x14ac:dyDescent="0.35">
      <c r="B52" s="146" t="s">
        <v>108</v>
      </c>
      <c r="C52" s="158"/>
      <c r="D52" s="193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ht="14.25" customHeight="1" outlineLevel="1" x14ac:dyDescent="0.35">
      <c r="B53" s="146" t="s">
        <v>342</v>
      </c>
      <c r="C53" s="158"/>
      <c r="D53" s="281">
        <f>(1+D52)*D51</f>
        <v>123.3627657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235" t="s">
        <v>170</v>
      </c>
      <c r="C56" s="235"/>
      <c r="D56" s="235"/>
      <c r="E56" s="235"/>
      <c r="F56" s="235"/>
      <c r="G56" s="235"/>
      <c r="H56" s="235"/>
      <c r="I56" s="235"/>
      <c r="J56" s="235"/>
    </row>
    <row r="57" spans="2:21" ht="14.25" customHeight="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ht="14.25" customHeight="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343</v>
      </c>
      <c r="C61" s="204"/>
      <c r="D61" s="204"/>
      <c r="E61" s="204"/>
      <c r="F61" s="204"/>
      <c r="G61" s="204"/>
      <c r="H61" s="204"/>
      <c r="I61" s="204"/>
      <c r="J61" s="204"/>
    </row>
    <row r="62" spans="2:21" ht="14.25" customHeight="1" x14ac:dyDescent="0.35">
      <c r="B62" s="205"/>
      <c r="J62" s="206"/>
    </row>
    <row r="63" spans="2:21" ht="14.25" customHeight="1" x14ac:dyDescent="0.35">
      <c r="B63" s="205"/>
      <c r="C63" s="207"/>
      <c r="J63" s="206"/>
    </row>
    <row r="64" spans="2:21" ht="14.25" customHeight="1" x14ac:dyDescent="0.35">
      <c r="B64" s="205"/>
      <c r="J64" s="206"/>
    </row>
    <row r="65" spans="2:10" ht="15" hidden="1" customHeight="1" x14ac:dyDescent="0.35">
      <c r="B65" s="235" t="s">
        <v>344</v>
      </c>
      <c r="C65" s="235"/>
      <c r="D65" s="235"/>
      <c r="E65" s="235"/>
      <c r="F65" s="235"/>
      <c r="G65" s="235"/>
      <c r="H65" s="235"/>
      <c r="I65" s="235"/>
      <c r="J65" s="235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123.3627657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40.816174632698562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O40*H14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410.44735083174646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44" t="s">
        <v>184</v>
      </c>
      <c r="C77" s="245"/>
      <c r="D77" s="246">
        <f>SUM(D67:D75)</f>
        <v>574.62629116444509</v>
      </c>
      <c r="E77" s="245"/>
      <c r="F77" s="245"/>
      <c r="G77" s="245"/>
      <c r="H77" s="245"/>
      <c r="I77" s="245"/>
      <c r="J77" s="247"/>
    </row>
    <row r="78" spans="2:10" ht="18.75" hidden="1" customHeight="1" x14ac:dyDescent="0.35">
      <c r="B78" s="248" t="s">
        <v>185</v>
      </c>
      <c r="C78" s="249"/>
      <c r="D78" s="250">
        <f>SUM(D67:D74)</f>
        <v>574.62629116444509</v>
      </c>
      <c r="E78" s="249"/>
      <c r="F78" s="249"/>
      <c r="G78" s="249"/>
      <c r="H78" s="249"/>
      <c r="I78" s="249"/>
      <c r="J78" s="251"/>
    </row>
    <row r="79" spans="2:10" ht="14.25" customHeight="1" x14ac:dyDescent="0.35">
      <c r="B79" s="205"/>
      <c r="D79" s="218" t="s">
        <v>321</v>
      </c>
      <c r="E79" s="158"/>
      <c r="F79" s="158"/>
      <c r="J79" s="206"/>
    </row>
    <row r="80" spans="2:10" ht="14.25" customHeight="1" x14ac:dyDescent="0.35">
      <c r="B80" s="146"/>
      <c r="C80" s="158" t="s">
        <v>339</v>
      </c>
      <c r="D80" s="219">
        <f>D36</f>
        <v>1.7156175</v>
      </c>
      <c r="E80" s="158"/>
      <c r="F80" s="158"/>
      <c r="G80" s="158"/>
      <c r="H80" s="158"/>
      <c r="I80" s="158"/>
      <c r="J80" s="182"/>
    </row>
    <row r="81" spans="2:10" ht="14.25" customHeight="1" x14ac:dyDescent="0.35">
      <c r="B81" s="146"/>
      <c r="C81" s="158" t="s">
        <v>322</v>
      </c>
      <c r="D81" s="254">
        <f>D44</f>
        <v>8.5722000000000007E-2</v>
      </c>
      <c r="E81" s="158"/>
      <c r="F81" s="158"/>
      <c r="G81" s="158"/>
      <c r="H81" s="158"/>
      <c r="I81" s="158"/>
      <c r="J81" s="182"/>
    </row>
    <row r="82" spans="2:10" ht="14.25" customHeight="1" x14ac:dyDescent="0.35">
      <c r="B82" s="146"/>
      <c r="C82" s="158" t="s">
        <v>345</v>
      </c>
      <c r="D82" s="219">
        <f>D80-D81</f>
        <v>1.6298954999999999</v>
      </c>
      <c r="E82" s="158"/>
      <c r="F82" s="158"/>
      <c r="G82" s="187"/>
      <c r="H82" s="158"/>
      <c r="I82" s="158"/>
      <c r="J82" s="182"/>
    </row>
    <row r="83" spans="2:10" ht="14.25" customHeight="1" x14ac:dyDescent="0.35">
      <c r="B83" s="146"/>
      <c r="C83" s="189" t="s">
        <v>193</v>
      </c>
      <c r="D83" s="224">
        <f>(D80-D81*D46)*D6</f>
        <v>123.3627657</v>
      </c>
      <c r="E83" s="158"/>
      <c r="F83" s="158"/>
      <c r="G83" s="187"/>
      <c r="H83" s="158"/>
      <c r="I83" s="158"/>
      <c r="J83" s="182"/>
    </row>
    <row r="84" spans="2:10" ht="14.25" customHeight="1" x14ac:dyDescent="0.35">
      <c r="B84" s="146"/>
      <c r="C84" s="158"/>
      <c r="D84" s="219"/>
      <c r="E84" s="158"/>
      <c r="F84" s="158"/>
      <c r="G84" s="158"/>
      <c r="H84" s="158"/>
      <c r="I84" s="158"/>
      <c r="J84" s="182"/>
    </row>
    <row r="85" spans="2:10" ht="14.25" customHeight="1" x14ac:dyDescent="0.35">
      <c r="B85" s="146"/>
      <c r="C85" s="158" t="s">
        <v>144</v>
      </c>
      <c r="D85" s="219">
        <f>O39</f>
        <v>0.10343255603999997</v>
      </c>
      <c r="E85" s="158"/>
      <c r="F85" s="158"/>
      <c r="G85" s="223"/>
      <c r="H85" s="158"/>
      <c r="I85" s="158"/>
      <c r="J85" s="182"/>
    </row>
    <row r="86" spans="2:10" ht="14.25" customHeight="1" x14ac:dyDescent="0.35">
      <c r="B86" s="146"/>
      <c r="C86" s="158" t="s">
        <v>195</v>
      </c>
      <c r="D86" s="225">
        <f>D85*H8-O44</f>
        <v>40.816174632698562</v>
      </c>
      <c r="E86" s="158"/>
      <c r="F86" s="158"/>
      <c r="G86" s="158"/>
      <c r="H86" s="158"/>
      <c r="I86" s="158"/>
      <c r="J86" s="182"/>
    </row>
    <row r="87" spans="2:10" ht="14.25" customHeight="1" x14ac:dyDescent="0.35">
      <c r="B87" s="146"/>
      <c r="C87" s="158"/>
      <c r="D87" s="219"/>
      <c r="E87" s="158"/>
      <c r="F87" s="158"/>
      <c r="G87" s="158"/>
      <c r="H87" s="158"/>
      <c r="I87" s="158"/>
      <c r="J87" s="182"/>
    </row>
    <row r="88" spans="2:10" ht="14.25" customHeight="1" x14ac:dyDescent="0.35">
      <c r="B88" s="146"/>
      <c r="C88" s="158" t="s">
        <v>196</v>
      </c>
      <c r="D88" s="225">
        <f>(D82+D85)*($D$17+$D$15)</f>
        <v>17.853278977212</v>
      </c>
      <c r="E88" s="158"/>
      <c r="F88" s="158"/>
      <c r="G88" s="158"/>
      <c r="H88" s="158"/>
      <c r="I88" s="158"/>
      <c r="J88" s="182"/>
    </row>
    <row r="89" spans="2:10" ht="14.25" customHeight="1" x14ac:dyDescent="0.35">
      <c r="B89" s="146"/>
      <c r="C89" s="158"/>
      <c r="D89" s="219"/>
      <c r="E89" s="158"/>
      <c r="F89" s="158"/>
      <c r="G89" s="158"/>
      <c r="H89" s="158"/>
      <c r="I89" s="158"/>
      <c r="J89" s="182"/>
    </row>
    <row r="90" spans="2:10" ht="14.25" customHeight="1" x14ac:dyDescent="0.35">
      <c r="B90" s="146"/>
      <c r="C90" s="189" t="s">
        <v>346</v>
      </c>
      <c r="D90" s="224">
        <f>D88+D83+D86</f>
        <v>182.03221930991054</v>
      </c>
      <c r="E90" s="158"/>
      <c r="F90" s="158"/>
      <c r="G90" s="158"/>
      <c r="H90" s="158"/>
      <c r="I90" s="158"/>
      <c r="J90" s="182"/>
    </row>
    <row r="91" spans="2:10" ht="14.25" customHeight="1" x14ac:dyDescent="0.35">
      <c r="B91" s="146"/>
      <c r="C91" s="158" t="s">
        <v>347</v>
      </c>
      <c r="D91" s="283">
        <f>D90/(D30/1000)</f>
        <v>293.60035372566216</v>
      </c>
      <c r="E91" s="158"/>
      <c r="F91" s="158"/>
      <c r="G91" s="158"/>
      <c r="H91" s="158"/>
      <c r="I91" s="158"/>
      <c r="J91" s="182"/>
    </row>
    <row r="92" spans="2:10" ht="14.25" customHeight="1" thickBot="1" x14ac:dyDescent="0.4">
      <c r="B92" s="196"/>
      <c r="C92" s="227"/>
      <c r="D92" s="227"/>
      <c r="E92" s="227"/>
      <c r="F92" s="197"/>
      <c r="G92" s="197"/>
      <c r="H92" s="197"/>
      <c r="I92" s="197"/>
      <c r="J92" s="199"/>
    </row>
    <row r="94" spans="2:10" ht="15" customHeight="1" x14ac:dyDescent="0.35"/>
    <row r="95" spans="2:10" ht="14.25" customHeight="1" x14ac:dyDescent="0.35">
      <c r="E95" s="228"/>
    </row>
    <row r="96" spans="2:10" ht="14.25" customHeight="1" x14ac:dyDescent="0.35">
      <c r="D96" s="230"/>
      <c r="E96" s="230"/>
    </row>
    <row r="97" spans="3:5" ht="14.25" customHeight="1" x14ac:dyDescent="0.35">
      <c r="D97" s="232"/>
      <c r="E97" s="232"/>
    </row>
    <row r="98" spans="3:5" s="229" customFormat="1" ht="6" customHeight="1" x14ac:dyDescent="0.35"/>
    <row r="99" spans="3:5" s="231" customFormat="1" ht="14.25" customHeight="1" x14ac:dyDescent="0.35"/>
    <row r="101" spans="3:5" ht="14.25" customHeight="1" x14ac:dyDescent="0.35">
      <c r="C101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A882-76E6-42BB-B9C0-890944988F42}">
  <dimension ref="A1:W101"/>
  <sheetViews>
    <sheetView showGridLines="0" topLeftCell="A53" zoomScale="70" zoomScaleNormal="70" workbookViewId="0">
      <selection activeCell="O11" sqref="O11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348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236" t="s">
        <v>89</v>
      </c>
      <c r="C5" s="236"/>
      <c r="D5" s="236"/>
      <c r="E5" s="236"/>
      <c r="F5" s="236"/>
      <c r="G5" s="236"/>
      <c r="H5" s="236"/>
      <c r="I5" s="236"/>
      <c r="J5" s="236"/>
      <c r="M5" s="236" t="s">
        <v>325</v>
      </c>
      <c r="N5" s="236"/>
      <c r="O5" s="236"/>
      <c r="P5" s="236"/>
      <c r="Q5" s="236"/>
      <c r="R5" s="236"/>
      <c r="S5" s="236"/>
      <c r="T5" s="236"/>
      <c r="U5" s="236"/>
    </row>
    <row r="6" spans="1:23" ht="14.25" customHeight="1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/>
      <c r="N6" s="147"/>
      <c r="O6" s="147"/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153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326</v>
      </c>
      <c r="N7" s="147"/>
      <c r="O7" s="155">
        <v>41</v>
      </c>
      <c r="P7" s="147"/>
      <c r="Q7" s="147"/>
      <c r="R7" s="147"/>
      <c r="S7" s="147"/>
      <c r="T7" s="147"/>
      <c r="U7" s="156"/>
    </row>
    <row r="8" spans="1:23" ht="14.25" customHeight="1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327</v>
      </c>
      <c r="N8" s="147"/>
      <c r="O8" s="155">
        <v>41</v>
      </c>
      <c r="P8" s="147"/>
      <c r="Q8" s="147"/>
      <c r="R8" s="147"/>
      <c r="S8" s="147"/>
      <c r="T8" s="147"/>
      <c r="U8" s="156"/>
    </row>
    <row r="9" spans="1:23" ht="14.25" customHeight="1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328</v>
      </c>
      <c r="N9" s="147"/>
      <c r="O9" s="155">
        <v>2.5</v>
      </c>
      <c r="P9" s="147"/>
      <c r="Q9" s="147"/>
      <c r="R9" s="147"/>
      <c r="S9" s="147"/>
      <c r="T9" s="147"/>
      <c r="U9" s="156"/>
    </row>
    <row r="10" spans="1:23" ht="14.25" customHeight="1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329</v>
      </c>
      <c r="N10" s="147"/>
      <c r="O10" s="161">
        <v>9</v>
      </c>
      <c r="P10" s="147"/>
      <c r="Q10" s="147"/>
      <c r="R10" s="147"/>
      <c r="S10" s="147"/>
      <c r="T10" s="147"/>
      <c r="U10" s="156"/>
      <c r="W10" s="162"/>
    </row>
    <row r="11" spans="1:23" ht="14.25" customHeight="1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330</v>
      </c>
      <c r="N11" s="147"/>
      <c r="O11" s="155">
        <v>320</v>
      </c>
      <c r="P11" s="147"/>
      <c r="Q11" s="147"/>
      <c r="R11" s="147"/>
      <c r="S11" s="147"/>
      <c r="T11" s="147"/>
      <c r="U11" s="156"/>
    </row>
    <row r="12" spans="1:23" ht="14.25" customHeight="1" x14ac:dyDescent="0.35">
      <c r="B12" s="154" t="s">
        <v>108</v>
      </c>
      <c r="C12" s="147"/>
      <c r="D12" s="153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331</v>
      </c>
      <c r="N12" s="147"/>
      <c r="O12" s="161">
        <v>28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332</v>
      </c>
      <c r="N13" s="147"/>
      <c r="O13" s="161">
        <v>13</v>
      </c>
      <c r="P13" s="147"/>
      <c r="Q13" s="147"/>
      <c r="R13" s="147"/>
      <c r="S13" s="147"/>
      <c r="T13" s="147"/>
      <c r="U13" s="156"/>
    </row>
    <row r="14" spans="1:23" ht="14.25" customHeight="1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333</v>
      </c>
      <c r="N14" s="147"/>
      <c r="O14" s="161">
        <v>50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334</v>
      </c>
      <c r="N15" s="147"/>
      <c r="O15" s="161">
        <f>ROUNDDOWN(O11/O14,0)</f>
        <v>6</v>
      </c>
      <c r="P15" s="147"/>
      <c r="Q15" s="147"/>
      <c r="R15" s="166"/>
      <c r="S15" s="166"/>
      <c r="T15" s="166"/>
      <c r="U15" s="169"/>
    </row>
    <row r="16" spans="1:23" ht="14.25" customHeight="1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/>
      <c r="N16" s="147"/>
      <c r="O16" s="166"/>
      <c r="P16" s="147"/>
      <c r="Q16" s="147"/>
      <c r="R16" s="166"/>
      <c r="S16" s="166"/>
      <c r="T16" s="166"/>
      <c r="U16" s="169"/>
    </row>
    <row r="17" spans="2:21" ht="14.25" customHeight="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/>
      <c r="N17" s="147"/>
      <c r="O17" s="166"/>
      <c r="P17" s="166"/>
      <c r="Q17" s="166"/>
      <c r="R17" s="166"/>
      <c r="S17" s="166"/>
      <c r="T17" s="166"/>
      <c r="U17" s="169"/>
    </row>
    <row r="18" spans="2:21" ht="14.25" customHeight="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/>
      <c r="N18" s="147"/>
      <c r="O18" s="166"/>
      <c r="P18" s="166"/>
      <c r="Q18" s="166"/>
      <c r="R18" s="166"/>
      <c r="S18" s="166"/>
      <c r="T18" s="166"/>
      <c r="U18" s="169"/>
    </row>
    <row r="19" spans="2:21" ht="14.25" customHeight="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66"/>
      <c r="P19" s="166"/>
      <c r="Q19" s="166"/>
      <c r="R19" s="166"/>
      <c r="S19" s="166"/>
      <c r="T19" s="166"/>
      <c r="U19" s="169"/>
    </row>
    <row r="20" spans="2:21" ht="14.25" customHeight="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/>
      <c r="N20" s="147"/>
      <c r="O20" s="166"/>
      <c r="P20" s="166"/>
      <c r="Q20" s="166"/>
      <c r="R20" s="166"/>
      <c r="S20" s="166"/>
      <c r="T20" s="166"/>
      <c r="U20" s="169"/>
    </row>
    <row r="21" spans="2:21" ht="14.25" customHeight="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/>
      <c r="N21" s="147"/>
      <c r="O21" s="166"/>
      <c r="P21" s="166"/>
      <c r="Q21" s="166"/>
      <c r="R21" s="166"/>
      <c r="S21" s="166"/>
      <c r="T21" s="166"/>
      <c r="U21" s="169"/>
    </row>
    <row r="22" spans="2:21" ht="14.25" customHeight="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/>
      <c r="N22" s="147"/>
      <c r="O22" s="166"/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/>
      <c r="N23" s="174"/>
      <c r="O23" s="166"/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235" t="s">
        <v>335</v>
      </c>
      <c r="C26" s="235"/>
      <c r="D26" s="235"/>
      <c r="E26" s="235"/>
      <c r="F26" s="235"/>
      <c r="G26" s="235"/>
      <c r="H26" s="235"/>
      <c r="I26" s="235"/>
      <c r="J26" s="235"/>
      <c r="M26" s="235" t="s">
        <v>130</v>
      </c>
      <c r="N26" s="235"/>
      <c r="O26" s="235"/>
      <c r="P26" s="235"/>
      <c r="Q26" s="235"/>
      <c r="R26" s="235"/>
      <c r="S26" s="235"/>
      <c r="T26" s="235"/>
      <c r="U26" s="235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336</v>
      </c>
      <c r="C28" s="158"/>
      <c r="D28" s="190">
        <f>O7+2*O8+2*O10</f>
        <v>141</v>
      </c>
      <c r="E28" s="158"/>
      <c r="F28" s="158"/>
      <c r="G28" s="158"/>
      <c r="H28" s="158"/>
      <c r="I28" s="158"/>
      <c r="J28" s="182"/>
      <c r="M28" s="179"/>
      <c r="N28" s="158"/>
      <c r="O28" s="158"/>
      <c r="P28" s="158"/>
      <c r="Q28" s="180"/>
      <c r="R28" s="158"/>
      <c r="S28" s="158"/>
      <c r="T28" s="158"/>
      <c r="U28" s="182"/>
    </row>
    <row r="29" spans="2:21" ht="14.25" customHeight="1" outlineLevel="1" x14ac:dyDescent="0.35">
      <c r="B29" s="146" t="s">
        <v>337</v>
      </c>
      <c r="C29" s="158"/>
      <c r="D29" s="190">
        <f>D28*O9</f>
        <v>352.5</v>
      </c>
      <c r="E29" s="158"/>
      <c r="F29" s="158"/>
      <c r="G29" s="158"/>
      <c r="H29" s="158"/>
      <c r="I29" s="158"/>
      <c r="J29" s="182"/>
      <c r="M29" s="146" t="s">
        <v>300</v>
      </c>
      <c r="N29" s="158"/>
      <c r="O29" s="185">
        <f>2*D28/1000*D30/1000</f>
        <v>9.0240000000000001E-2</v>
      </c>
      <c r="P29" s="158"/>
      <c r="Q29" s="158"/>
      <c r="R29" s="158"/>
      <c r="S29" s="158"/>
      <c r="T29" s="183"/>
      <c r="U29" s="182"/>
    </row>
    <row r="30" spans="2:21" ht="14.25" customHeight="1" outlineLevel="1" x14ac:dyDescent="0.35">
      <c r="B30" s="146" t="s">
        <v>330</v>
      </c>
      <c r="C30" s="158"/>
      <c r="D30" s="158">
        <f>O11</f>
        <v>320</v>
      </c>
      <c r="E30" s="158"/>
      <c r="F30" s="158"/>
      <c r="G30" s="158"/>
      <c r="H30" s="158"/>
      <c r="I30" s="158"/>
      <c r="J30" s="182"/>
      <c r="M30" s="146" t="s">
        <v>301</v>
      </c>
      <c r="N30" s="158"/>
      <c r="O30" s="185">
        <f>2*(O12+O13)/1000*O9/1000*D42</f>
        <v>1.2300000000000002E-3</v>
      </c>
      <c r="P30" s="158"/>
      <c r="Q30" s="158"/>
      <c r="R30" s="158"/>
      <c r="S30" s="158"/>
      <c r="T30" s="183"/>
      <c r="U30" s="182"/>
    </row>
    <row r="31" spans="2:21" ht="14.25" customHeight="1" outlineLevel="1" x14ac:dyDescent="0.35">
      <c r="B31" s="146"/>
      <c r="C31" s="158"/>
      <c r="D31" s="158"/>
      <c r="E31" s="158"/>
      <c r="F31" s="158"/>
      <c r="G31" s="158"/>
      <c r="H31" s="158"/>
      <c r="I31" s="158"/>
      <c r="J31" s="182"/>
      <c r="M31" s="146" t="s">
        <v>302</v>
      </c>
      <c r="N31" s="158"/>
      <c r="O31" s="185">
        <f>2*O12/1000*O13/1000*D42</f>
        <v>4.3680000000000004E-3</v>
      </c>
      <c r="P31" s="158"/>
      <c r="Q31" s="158"/>
      <c r="R31" s="158"/>
      <c r="S31" s="158"/>
      <c r="T31" s="185"/>
      <c r="U31" s="182"/>
    </row>
    <row r="32" spans="2:21" ht="14.25" customHeight="1" outlineLevel="1" x14ac:dyDescent="0.35">
      <c r="B32" s="146" t="s">
        <v>328</v>
      </c>
      <c r="C32" s="158"/>
      <c r="D32" s="158">
        <f>O9</f>
        <v>2.5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ht="14.25" customHeight="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303</v>
      </c>
      <c r="N33" s="158"/>
      <c r="O33" s="185">
        <f>O29+O30-O31</f>
        <v>8.7101999999999999E-2</v>
      </c>
      <c r="P33" s="158"/>
      <c r="Q33" s="158"/>
      <c r="R33" s="158"/>
      <c r="S33" s="158"/>
      <c r="T33" s="158"/>
      <c r="U33" s="182"/>
    </row>
    <row r="34" spans="2:21" ht="14.25" customHeight="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ht="14.25" customHeight="1" outlineLevel="1" x14ac:dyDescent="0.35">
      <c r="B35" s="146" t="s">
        <v>338</v>
      </c>
      <c r="C35" s="158"/>
      <c r="D35" s="192">
        <f>D29*D30/10^9</f>
        <v>1.128E-4</v>
      </c>
      <c r="E35" s="158"/>
      <c r="F35" s="158"/>
      <c r="G35" s="158"/>
      <c r="H35" s="158"/>
      <c r="I35" s="158"/>
      <c r="J35" s="182"/>
      <c r="M35" s="146" t="s">
        <v>305</v>
      </c>
      <c r="N35" s="158"/>
      <c r="O35" s="185">
        <f>O33</f>
        <v>8.7101999999999999E-2</v>
      </c>
      <c r="P35" s="158"/>
      <c r="Q35" s="158"/>
      <c r="R35" s="158"/>
      <c r="S35" s="158"/>
      <c r="T35" s="158"/>
      <c r="U35" s="182"/>
    </row>
    <row r="36" spans="2:21" ht="14.25" customHeight="1" outlineLevel="1" x14ac:dyDescent="0.35">
      <c r="B36" s="146" t="s">
        <v>339</v>
      </c>
      <c r="C36" s="158"/>
      <c r="D36" s="184">
        <f>D35*D8</f>
        <v>0.88548000000000004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ht="14.25" customHeight="1" outlineLevel="1" x14ac:dyDescent="0.35">
      <c r="B37" s="146" t="s">
        <v>340</v>
      </c>
      <c r="C37" s="158"/>
      <c r="D37" s="186">
        <f>D36*(D6*(1+D7))</f>
        <v>64.640039999999999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5.3446658219999998E-2</v>
      </c>
      <c r="P37" s="158"/>
      <c r="Q37" s="158"/>
      <c r="R37" s="158"/>
      <c r="S37" s="158"/>
      <c r="T37" s="158"/>
      <c r="U37" s="182"/>
    </row>
    <row r="38" spans="2:21" ht="14.25" customHeight="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ht="14.25" customHeight="1" outlineLevel="1" x14ac:dyDescent="0.35">
      <c r="B39" s="188" t="s">
        <v>306</v>
      </c>
      <c r="C39" s="158"/>
      <c r="D39" s="158"/>
      <c r="E39" s="158"/>
      <c r="F39" s="189"/>
      <c r="G39" s="158"/>
      <c r="H39" s="158"/>
      <c r="I39" s="158"/>
      <c r="J39" s="182"/>
      <c r="M39" s="146" t="s">
        <v>147</v>
      </c>
      <c r="N39" s="158"/>
      <c r="O39" s="186">
        <f>(1+O38)*O37</f>
        <v>5.3446658219999998E-2</v>
      </c>
      <c r="P39" s="158"/>
      <c r="Q39" s="158"/>
      <c r="R39" s="158"/>
      <c r="S39" s="158"/>
      <c r="T39" s="158"/>
      <c r="U39" s="182"/>
    </row>
    <row r="40" spans="2:21" ht="14.25" customHeight="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307</v>
      </c>
      <c r="N40" s="158"/>
      <c r="O40" s="190">
        <f>O39*H8</f>
        <v>22.746897738432001</v>
      </c>
      <c r="P40" s="158"/>
      <c r="Q40" s="158"/>
      <c r="R40" s="158"/>
      <c r="S40" s="158"/>
      <c r="T40" s="158"/>
      <c r="U40" s="182"/>
    </row>
    <row r="41" spans="2:21" ht="14.25" customHeight="1" outlineLevel="1" x14ac:dyDescent="0.35">
      <c r="B41" s="146" t="s">
        <v>334</v>
      </c>
      <c r="C41" s="158"/>
      <c r="D41" s="158">
        <f>O15</f>
        <v>6</v>
      </c>
      <c r="E41" s="158"/>
      <c r="F41" s="158"/>
      <c r="G41" s="158"/>
      <c r="H41" s="158"/>
      <c r="I41" s="158"/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ht="14.25" customHeight="1" outlineLevel="1" x14ac:dyDescent="0.35">
      <c r="B42" s="146" t="s">
        <v>308</v>
      </c>
      <c r="C42" s="158"/>
      <c r="D42" s="158">
        <f>D41</f>
        <v>6</v>
      </c>
      <c r="E42" s="158"/>
      <c r="F42" s="158"/>
      <c r="G42" s="158"/>
      <c r="H42" s="158"/>
      <c r="I42" s="158"/>
      <c r="J42" s="182"/>
      <c r="M42" s="146" t="s">
        <v>309</v>
      </c>
      <c r="N42" s="158"/>
      <c r="O42" s="186">
        <f>H10*O37</f>
        <v>6.4135989863999994E-3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ht="14.25" customHeight="1" outlineLevel="1" x14ac:dyDescent="0.35">
      <c r="B43" s="146" t="s">
        <v>310</v>
      </c>
      <c r="C43" s="158"/>
      <c r="D43" s="191">
        <f>D42*O12/1000*O13/1000*O9/1000</f>
        <v>5.4600000000000002E-6</v>
      </c>
      <c r="E43" s="158"/>
      <c r="F43" s="158"/>
      <c r="G43" s="158"/>
      <c r="H43" s="158"/>
      <c r="I43" s="192"/>
      <c r="J43" s="182"/>
      <c r="M43" s="146" t="s">
        <v>311</v>
      </c>
      <c r="N43" s="158"/>
      <c r="O43" s="186">
        <f>H11*O37</f>
        <v>4.2757326575999996E-3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ht="14.25" customHeight="1" outlineLevel="1" x14ac:dyDescent="0.35">
      <c r="B44" s="146" t="s">
        <v>312</v>
      </c>
      <c r="C44" s="158"/>
      <c r="D44" s="186">
        <f>D43*D8</f>
        <v>4.2861000000000003E-2</v>
      </c>
      <c r="E44" s="158"/>
      <c r="F44" s="158"/>
      <c r="G44" s="158"/>
      <c r="H44" s="158"/>
      <c r="I44" s="192"/>
      <c r="J44" s="182"/>
      <c r="M44" s="146" t="s">
        <v>313</v>
      </c>
      <c r="N44" s="158"/>
      <c r="O44" s="186">
        <f>O42*T42+O43*T43</f>
        <v>1.6559741553578495</v>
      </c>
      <c r="P44" s="158"/>
      <c r="Q44" s="158"/>
      <c r="R44" s="158"/>
      <c r="S44" s="158"/>
      <c r="T44" s="158"/>
      <c r="U44" s="182"/>
    </row>
    <row r="45" spans="2:21" ht="14.25" customHeight="1" outlineLevel="1" x14ac:dyDescent="0.35">
      <c r="B45" s="146" t="s">
        <v>266</v>
      </c>
      <c r="C45" s="158"/>
      <c r="D45" s="186">
        <f>D44*D6</f>
        <v>3.1288530000000003</v>
      </c>
      <c r="E45" s="158"/>
      <c r="F45" s="158"/>
      <c r="G45" s="158"/>
      <c r="H45" s="158"/>
      <c r="I45" s="186"/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ht="14.25" customHeight="1" outlineLevel="1" x14ac:dyDescent="0.35">
      <c r="B46" s="146" t="s">
        <v>163</v>
      </c>
      <c r="C46" s="158"/>
      <c r="D46" s="187">
        <f>D11</f>
        <v>0.3</v>
      </c>
      <c r="E46" s="158"/>
      <c r="F46" s="158"/>
      <c r="G46" s="158"/>
      <c r="H46" s="158"/>
      <c r="I46" s="186"/>
      <c r="J46" s="182"/>
      <c r="M46" s="146" t="s">
        <v>314</v>
      </c>
      <c r="N46" s="158"/>
      <c r="O46" s="186">
        <f>O40-O44</f>
        <v>21.090923583074151</v>
      </c>
      <c r="P46" s="158"/>
      <c r="Q46" s="158"/>
      <c r="R46" s="158"/>
      <c r="S46" s="158"/>
      <c r="T46" s="158"/>
      <c r="U46" s="182"/>
    </row>
    <row r="47" spans="2:21" ht="14.25" customHeight="1" outlineLevel="1" x14ac:dyDescent="0.35">
      <c r="B47" s="146" t="s">
        <v>315</v>
      </c>
      <c r="C47" s="158"/>
      <c r="D47" s="186">
        <f>D45*D46</f>
        <v>0.9386559000000001</v>
      </c>
      <c r="E47" s="158"/>
      <c r="F47" s="158"/>
      <c r="G47" s="158"/>
      <c r="H47" s="158"/>
      <c r="I47" s="186"/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ht="14.25" customHeight="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ht="14.25" customHeight="1" outlineLevel="1" x14ac:dyDescent="0.35">
      <c r="B49" s="146" t="s">
        <v>316</v>
      </c>
      <c r="C49" s="158"/>
      <c r="D49" s="186">
        <f>D37-D47</f>
        <v>63.701384099999999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ht="14.25" customHeight="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ht="14.25" customHeight="1" outlineLevel="1" x14ac:dyDescent="0.35">
      <c r="B51" s="146" t="s">
        <v>341</v>
      </c>
      <c r="C51" s="158"/>
      <c r="D51" s="186">
        <f>D49</f>
        <v>63.701384099999999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4.25" customHeight="1" outlineLevel="1" x14ac:dyDescent="0.35">
      <c r="B52" s="146" t="s">
        <v>108</v>
      </c>
      <c r="C52" s="158"/>
      <c r="D52" s="193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ht="14.25" customHeight="1" outlineLevel="1" x14ac:dyDescent="0.35">
      <c r="B53" s="146" t="s">
        <v>342</v>
      </c>
      <c r="C53" s="158"/>
      <c r="D53" s="281">
        <f>(1+D52)*D51</f>
        <v>63.701384099999999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235" t="s">
        <v>170</v>
      </c>
      <c r="C56" s="235"/>
      <c r="D56" s="235"/>
      <c r="E56" s="235"/>
      <c r="F56" s="235"/>
      <c r="G56" s="235"/>
      <c r="H56" s="235"/>
      <c r="I56" s="235"/>
      <c r="J56" s="235"/>
    </row>
    <row r="57" spans="2:21" ht="14.25" customHeight="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ht="14.25" customHeight="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343</v>
      </c>
      <c r="C61" s="204"/>
      <c r="D61" s="204"/>
      <c r="E61" s="204"/>
      <c r="F61" s="204"/>
      <c r="G61" s="204"/>
      <c r="H61" s="204"/>
      <c r="I61" s="204"/>
      <c r="J61" s="204"/>
    </row>
    <row r="62" spans="2:21" ht="14.25" customHeight="1" x14ac:dyDescent="0.35">
      <c r="B62" s="205"/>
      <c r="J62" s="206"/>
    </row>
    <row r="63" spans="2:21" ht="14.25" customHeight="1" x14ac:dyDescent="0.35">
      <c r="B63" s="205"/>
      <c r="C63" s="207"/>
      <c r="J63" s="206"/>
    </row>
    <row r="64" spans="2:21" ht="14.25" customHeight="1" x14ac:dyDescent="0.35">
      <c r="B64" s="205"/>
      <c r="J64" s="206"/>
    </row>
    <row r="65" spans="2:10" ht="15" hidden="1" customHeight="1" x14ac:dyDescent="0.35">
      <c r="B65" s="235" t="s">
        <v>344</v>
      </c>
      <c r="C65" s="235"/>
      <c r="D65" s="235"/>
      <c r="E65" s="235"/>
      <c r="F65" s="235"/>
      <c r="G65" s="235"/>
      <c r="H65" s="235"/>
      <c r="I65" s="235"/>
      <c r="J65" s="235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63.701384099999999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21.090923583074151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O40*H14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211.98076920768534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44" t="s">
        <v>184</v>
      </c>
      <c r="C77" s="245"/>
      <c r="D77" s="246">
        <f>SUM(D67:D75)</f>
        <v>296.77307689075951</v>
      </c>
      <c r="E77" s="245"/>
      <c r="F77" s="245"/>
      <c r="G77" s="245"/>
      <c r="H77" s="245"/>
      <c r="I77" s="245"/>
      <c r="J77" s="247"/>
    </row>
    <row r="78" spans="2:10" ht="18.75" hidden="1" customHeight="1" x14ac:dyDescent="0.35">
      <c r="B78" s="248" t="s">
        <v>185</v>
      </c>
      <c r="C78" s="249"/>
      <c r="D78" s="250">
        <f>SUM(D67:D74)</f>
        <v>296.77307689075951</v>
      </c>
      <c r="E78" s="249"/>
      <c r="F78" s="249"/>
      <c r="G78" s="249"/>
      <c r="H78" s="249"/>
      <c r="I78" s="249"/>
      <c r="J78" s="251"/>
    </row>
    <row r="79" spans="2:10" ht="14.25" customHeight="1" x14ac:dyDescent="0.35">
      <c r="B79" s="205"/>
      <c r="D79" s="218" t="s">
        <v>321</v>
      </c>
      <c r="E79" s="158"/>
      <c r="F79" s="158"/>
      <c r="J79" s="206"/>
    </row>
    <row r="80" spans="2:10" ht="14.25" customHeight="1" x14ac:dyDescent="0.35">
      <c r="B80" s="146"/>
      <c r="C80" s="158" t="s">
        <v>339</v>
      </c>
      <c r="D80" s="219">
        <f>D36</f>
        <v>0.88548000000000004</v>
      </c>
      <c r="E80" s="158"/>
      <c r="F80" s="158"/>
      <c r="G80" s="158"/>
      <c r="H80" s="158"/>
      <c r="I80" s="158"/>
      <c r="J80" s="182"/>
    </row>
    <row r="81" spans="2:10" ht="14.25" customHeight="1" x14ac:dyDescent="0.35">
      <c r="B81" s="146"/>
      <c r="C81" s="158" t="s">
        <v>322</v>
      </c>
      <c r="D81" s="254">
        <f>D44</f>
        <v>4.2861000000000003E-2</v>
      </c>
      <c r="E81" s="158"/>
      <c r="F81" s="158"/>
      <c r="G81" s="158"/>
      <c r="H81" s="158"/>
      <c r="I81" s="158"/>
      <c r="J81" s="182"/>
    </row>
    <row r="82" spans="2:10" ht="14.25" customHeight="1" x14ac:dyDescent="0.35">
      <c r="B82" s="146"/>
      <c r="C82" s="158" t="s">
        <v>345</v>
      </c>
      <c r="D82" s="219">
        <f>D80-D81</f>
        <v>0.84261900000000001</v>
      </c>
      <c r="E82" s="158"/>
      <c r="F82" s="158"/>
      <c r="G82" s="187"/>
      <c r="H82" s="158"/>
      <c r="I82" s="158"/>
      <c r="J82" s="182"/>
    </row>
    <row r="83" spans="2:10" ht="14.25" customHeight="1" x14ac:dyDescent="0.35">
      <c r="B83" s="146"/>
      <c r="C83" s="189" t="s">
        <v>193</v>
      </c>
      <c r="D83" s="224">
        <f>(D80-D81*D46)*D6</f>
        <v>63.701384100000006</v>
      </c>
      <c r="E83" s="158"/>
      <c r="F83" s="158"/>
      <c r="G83" s="187"/>
      <c r="H83" s="158"/>
      <c r="I83" s="158"/>
      <c r="J83" s="182"/>
    </row>
    <row r="84" spans="2:10" ht="14.25" customHeight="1" x14ac:dyDescent="0.35">
      <c r="B84" s="146"/>
      <c r="C84" s="158"/>
      <c r="D84" s="219"/>
      <c r="E84" s="158"/>
      <c r="F84" s="158"/>
      <c r="G84" s="158"/>
      <c r="H84" s="158"/>
      <c r="I84" s="158"/>
      <c r="J84" s="182"/>
    </row>
    <row r="85" spans="2:10" ht="14.25" customHeight="1" x14ac:dyDescent="0.35">
      <c r="B85" s="146"/>
      <c r="C85" s="158" t="s">
        <v>144</v>
      </c>
      <c r="D85" s="219">
        <f>O39</f>
        <v>5.3446658219999998E-2</v>
      </c>
      <c r="E85" s="158"/>
      <c r="F85" s="158"/>
      <c r="G85" s="223"/>
      <c r="H85" s="158"/>
      <c r="I85" s="158"/>
      <c r="J85" s="182"/>
    </row>
    <row r="86" spans="2:10" ht="14.25" customHeight="1" x14ac:dyDescent="0.35">
      <c r="B86" s="146"/>
      <c r="C86" s="158" t="s">
        <v>195</v>
      </c>
      <c r="D86" s="225">
        <f>D85*H8-O44</f>
        <v>21.090923583074151</v>
      </c>
      <c r="E86" s="158"/>
      <c r="F86" s="158"/>
      <c r="G86" s="158"/>
      <c r="H86" s="158"/>
      <c r="I86" s="158"/>
      <c r="J86" s="182"/>
    </row>
    <row r="87" spans="2:10" ht="14.25" customHeight="1" x14ac:dyDescent="0.35">
      <c r="B87" s="146"/>
      <c r="C87" s="158"/>
      <c r="D87" s="219"/>
      <c r="E87" s="158"/>
      <c r="F87" s="158"/>
      <c r="G87" s="158"/>
      <c r="H87" s="158"/>
      <c r="I87" s="158"/>
      <c r="J87" s="182"/>
    </row>
    <row r="88" spans="2:10" ht="14.25" customHeight="1" x14ac:dyDescent="0.35">
      <c r="B88" s="146"/>
      <c r="C88" s="158" t="s">
        <v>196</v>
      </c>
      <c r="D88" s="225">
        <f>(D82+D85)*($D$17+$D$15)</f>
        <v>9.2294762796660006</v>
      </c>
      <c r="E88" s="158"/>
      <c r="F88" s="158"/>
      <c r="G88" s="158"/>
      <c r="H88" s="158"/>
      <c r="I88" s="158"/>
      <c r="J88" s="182"/>
    </row>
    <row r="89" spans="2:10" ht="14.25" customHeight="1" x14ac:dyDescent="0.35">
      <c r="B89" s="146"/>
      <c r="C89" s="158"/>
      <c r="D89" s="219"/>
      <c r="E89" s="158"/>
      <c r="F89" s="158"/>
      <c r="G89" s="158"/>
      <c r="H89" s="158"/>
      <c r="I89" s="158"/>
      <c r="J89" s="182"/>
    </row>
    <row r="90" spans="2:10" ht="14.25" customHeight="1" x14ac:dyDescent="0.35">
      <c r="B90" s="146"/>
      <c r="C90" s="189" t="s">
        <v>346</v>
      </c>
      <c r="D90" s="224">
        <f>D88+D83+D86</f>
        <v>94.021783962740159</v>
      </c>
      <c r="E90" s="158"/>
      <c r="F90" s="158"/>
      <c r="G90" s="158"/>
      <c r="H90" s="158"/>
      <c r="I90" s="158"/>
      <c r="J90" s="182"/>
    </row>
    <row r="91" spans="2:10" ht="14.25" customHeight="1" x14ac:dyDescent="0.35">
      <c r="B91" s="146"/>
      <c r="C91" s="158" t="s">
        <v>347</v>
      </c>
      <c r="D91" s="283">
        <f>D90/(D30/1000)</f>
        <v>293.81807488356299</v>
      </c>
      <c r="E91" s="158"/>
      <c r="F91" s="158"/>
      <c r="G91" s="158"/>
      <c r="H91" s="158"/>
      <c r="I91" s="158"/>
      <c r="J91" s="182"/>
    </row>
    <row r="92" spans="2:10" ht="14.25" customHeight="1" thickBot="1" x14ac:dyDescent="0.4">
      <c r="B92" s="196"/>
      <c r="C92" s="227"/>
      <c r="D92" s="227"/>
      <c r="E92" s="227"/>
      <c r="F92" s="197"/>
      <c r="G92" s="197"/>
      <c r="H92" s="197"/>
      <c r="I92" s="197"/>
      <c r="J92" s="199"/>
    </row>
    <row r="94" spans="2:10" ht="15" customHeight="1" x14ac:dyDescent="0.35"/>
    <row r="95" spans="2:10" ht="14.25" customHeight="1" x14ac:dyDescent="0.35">
      <c r="E95" s="228"/>
    </row>
    <row r="96" spans="2:10" ht="14.25" customHeight="1" x14ac:dyDescent="0.35">
      <c r="D96" s="230"/>
      <c r="E96" s="230"/>
    </row>
    <row r="97" spans="3:5" ht="14.25" customHeight="1" x14ac:dyDescent="0.35">
      <c r="D97" s="232"/>
      <c r="E97" s="232"/>
    </row>
    <row r="98" spans="3:5" s="229" customFormat="1" ht="6" customHeight="1" x14ac:dyDescent="0.35"/>
    <row r="99" spans="3:5" s="231" customFormat="1" ht="14.25" customHeight="1" x14ac:dyDescent="0.35"/>
    <row r="101" spans="3:5" ht="14.25" customHeight="1" x14ac:dyDescent="0.35">
      <c r="C101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BCEF-D40C-4742-9473-5E2AA3C7D713}">
  <dimension ref="A1:W132"/>
  <sheetViews>
    <sheetView showGridLines="0" topLeftCell="A47" zoomScale="55" zoomScaleNormal="55" workbookViewId="0">
      <selection activeCell="L18" sqref="L1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600</v>
      </c>
      <c r="P8" s="147"/>
      <c r="Q8" s="147" t="s">
        <v>206</v>
      </c>
      <c r="R8" s="147"/>
      <c r="S8" s="147"/>
      <c r="T8" s="147"/>
      <c r="U8" s="156">
        <f>O8</f>
        <v>600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4200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17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600</v>
      </c>
      <c r="E24" s="158"/>
      <c r="F24" s="158" t="s">
        <v>206</v>
      </c>
      <c r="G24" s="158"/>
      <c r="H24" s="158"/>
      <c r="I24" s="158"/>
      <c r="J24" s="182">
        <f>U8</f>
        <v>600</v>
      </c>
      <c r="M24" s="146" t="s">
        <v>220</v>
      </c>
      <c r="N24" s="158"/>
      <c r="O24" s="158">
        <f>2*(2*(2*D27+D25)/1000*D28/1000)</f>
        <v>2.52</v>
      </c>
      <c r="P24" s="158"/>
      <c r="Q24" s="158" t="s">
        <v>221</v>
      </c>
      <c r="R24" s="158"/>
      <c r="S24" s="158"/>
      <c r="T24" s="186">
        <f>2*J24/1000*(J25+2*J26)/1000</f>
        <v>0.108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4.2201599999999999E-2</v>
      </c>
      <c r="P25" s="158"/>
      <c r="Q25" s="158" t="s">
        <v>223</v>
      </c>
      <c r="R25" s="158"/>
      <c r="S25" s="158"/>
      <c r="T25" s="158">
        <f>(2*(J38+J39)/1000*D26/1000)*D24/40</f>
        <v>2.1000000000000003E-3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5.2752000000000007E-2</v>
      </c>
      <c r="P26" s="158"/>
      <c r="Q26" s="158" t="s">
        <v>224</v>
      </c>
      <c r="R26" s="158"/>
      <c r="S26" s="158"/>
      <c r="T26" s="185">
        <f>J38/1000*J39/1000*D24/40</f>
        <v>3.7499999999999999E-3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4200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2.5094495999999999</v>
      </c>
      <c r="P28" s="158"/>
      <c r="Q28" s="158" t="s">
        <v>225</v>
      </c>
      <c r="R28" s="158"/>
      <c r="S28" s="158"/>
      <c r="T28" s="158">
        <f>(T24+T25-T26)*J23</f>
        <v>1.8079499999999999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1.08E-4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0.8478</v>
      </c>
      <c r="M30" s="146" t="s">
        <v>141</v>
      </c>
      <c r="N30" s="158"/>
      <c r="O30" s="184">
        <f>O28+T28</f>
        <v>4.3173995999999999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2.5199999999999997E-3</v>
      </c>
      <c r="E31" s="158"/>
      <c r="F31" s="158" t="s">
        <v>229</v>
      </c>
      <c r="G31" s="158"/>
      <c r="H31" s="158"/>
      <c r="I31" s="158"/>
      <c r="J31" s="194">
        <f>J30*(D6*(1+D7))</f>
        <v>61.889400000000002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19.781999999999996</v>
      </c>
      <c r="E32" s="158"/>
      <c r="F32" s="158" t="s">
        <v>231</v>
      </c>
      <c r="G32" s="158"/>
      <c r="H32" s="158"/>
      <c r="I32" s="158"/>
      <c r="J32" s="194">
        <f>J31*J23</f>
        <v>1052.1197999999999</v>
      </c>
      <c r="M32" s="146" t="s">
        <v>144</v>
      </c>
      <c r="N32" s="158"/>
      <c r="O32" s="186">
        <f>O30*H6*10^-6*H7</f>
        <v>2.6491995685559999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1444.0859999999998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2.6491995685559999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1127.4993363774336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0.31790394822671997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0.21193596548447999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82.081951688277172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7.4999999999999993E-6</v>
      </c>
      <c r="M41" s="146" t="s">
        <v>164</v>
      </c>
      <c r="N41" s="158"/>
      <c r="O41" s="186">
        <f>O35-O39</f>
        <v>1045.4173846891563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5.8874999999999997E-2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1.000875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73.063874999999996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36.531937499999998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1442.2866229999997</v>
      </c>
      <c r="E47" s="158"/>
      <c r="F47" s="158" t="s">
        <v>240</v>
      </c>
      <c r="G47" s="158"/>
      <c r="H47" s="158"/>
      <c r="I47" s="158"/>
      <c r="J47" s="194">
        <f>J32-J45</f>
        <v>1015.5878624999999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2457.8744854999995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2457.8744854999995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2457.8744854999995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1045.4173846891563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8758.2296754728886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12261.521545662044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12261.521545662044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279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19.781999999999996</v>
      </c>
      <c r="E98" s="219">
        <f>'[1]Old Ladder type  (2)'!K30</f>
        <v>19.782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14.412599999999999</v>
      </c>
      <c r="E100" s="219">
        <f>'[1]Old Ladder type  (2)'!L30</f>
        <v>14.412600000000001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1.000875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(2)'!M30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33.878435999999994</v>
      </c>
      <c r="E104" s="219">
        <f>E98-E99+E100-E101+E102+E103</f>
        <v>34.976179999999999</v>
      </c>
      <c r="F104" s="221">
        <f>(E104-D104)/D104</f>
        <v>3.2402440301553648E-2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2513.1934839999994</v>
      </c>
      <c r="E105" s="256">
        <f>E104*D6</f>
        <v>2553.2611400000001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1.6939217999999998</v>
      </c>
      <c r="E107" s="219">
        <f>5%*E104</f>
        <v>1.7488090000000001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720.93311807999999</v>
      </c>
      <c r="E108" s="219">
        <f>E107*$H$8</f>
        <v>744.29311040000005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277.46439083999991</v>
      </c>
      <c r="E110" s="219">
        <f>(E104+E107)*$D$17</f>
        <v>286.45491420000002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3511.5909929199993</v>
      </c>
      <c r="E112" s="256">
        <f>E110+E105+E108</f>
        <v>3584.0091646000001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836.09309355238076</v>
      </c>
      <c r="E113" s="257">
        <f>E112/(O12/1000)</f>
        <v>853.33551538095242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2.0622610043712065E-2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280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(2)'!B30</f>
        <v>600mm(W)X100mm(H) - B4-i horizontal tee</v>
      </c>
      <c r="D124" s="270">
        <f>'[1]Old Ladder type  (2)'!Q30</f>
        <v>34.976179999999999</v>
      </c>
      <c r="E124" s="270">
        <f>'[1]Old Ladder type  (2)'!U30</f>
        <v>1.7488090000000001</v>
      </c>
      <c r="F124" s="270">
        <f>'[1]Old Ladder type  (2)'!Z30</f>
        <v>2950.74793761</v>
      </c>
      <c r="H124" s="270">
        <f>D104</f>
        <v>33.878435999999994</v>
      </c>
      <c r="I124" s="270">
        <f>D107</f>
        <v>1.6939217999999998</v>
      </c>
      <c r="J124" s="270">
        <f>D112</f>
        <v>3511.5909929199993</v>
      </c>
      <c r="K124" s="271">
        <f>(F124-J124)/J124</f>
        <v>-0.15971195291272816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A08B-C4C1-4161-8C09-F27505382F6A}">
  <dimension ref="A1:W132"/>
  <sheetViews>
    <sheetView showGridLines="0" zoomScale="55" zoomScaleNormal="55" workbookViewId="0">
      <selection activeCell="L18" sqref="L1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300</v>
      </c>
      <c r="P8" s="147"/>
      <c r="Q8" s="147" t="s">
        <v>206</v>
      </c>
      <c r="R8" s="147"/>
      <c r="S8" s="147"/>
      <c r="T8" s="147"/>
      <c r="U8" s="156">
        <f>O8</f>
        <v>300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4200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17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300</v>
      </c>
      <c r="E24" s="158"/>
      <c r="F24" s="158" t="s">
        <v>206</v>
      </c>
      <c r="G24" s="158"/>
      <c r="H24" s="158"/>
      <c r="I24" s="158"/>
      <c r="J24" s="182">
        <f>U8</f>
        <v>300</v>
      </c>
      <c r="M24" s="146" t="s">
        <v>220</v>
      </c>
      <c r="N24" s="158"/>
      <c r="O24" s="158">
        <f>2*(2*(2*D27+D25)/1000*D28/1000)</f>
        <v>2.52</v>
      </c>
      <c r="P24" s="158"/>
      <c r="Q24" s="158" t="s">
        <v>221</v>
      </c>
      <c r="R24" s="158"/>
      <c r="S24" s="158"/>
      <c r="T24" s="186">
        <f>2*J24/1000*(J25+2*J26)/1000</f>
        <v>5.3999999999999999E-2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4.2201599999999999E-2</v>
      </c>
      <c r="P25" s="158"/>
      <c r="Q25" s="158" t="s">
        <v>223</v>
      </c>
      <c r="R25" s="158"/>
      <c r="S25" s="158"/>
      <c r="T25" s="158">
        <f>(2*(J38+J39)/1000*D26/1000)*D24/40</f>
        <v>1.0500000000000002E-3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5.2752000000000007E-2</v>
      </c>
      <c r="P26" s="158"/>
      <c r="Q26" s="158" t="s">
        <v>224</v>
      </c>
      <c r="R26" s="158"/>
      <c r="S26" s="158"/>
      <c r="T26" s="185">
        <f>J38/1000*J39/1000*D24/40</f>
        <v>1.8749999999999999E-3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4200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2.5094495999999999</v>
      </c>
      <c r="P28" s="158"/>
      <c r="Q28" s="158" t="s">
        <v>225</v>
      </c>
      <c r="R28" s="158"/>
      <c r="S28" s="158"/>
      <c r="T28" s="158">
        <f>(T24+T25-T26)*J23</f>
        <v>0.90397499999999997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5.3999999999999998E-5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0.4239</v>
      </c>
      <c r="M30" s="146" t="s">
        <v>141</v>
      </c>
      <c r="N30" s="158"/>
      <c r="O30" s="184">
        <f>O28+T28</f>
        <v>3.4134245999999999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2.5199999999999997E-3</v>
      </c>
      <c r="E31" s="158"/>
      <c r="F31" s="158" t="s">
        <v>229</v>
      </c>
      <c r="G31" s="158"/>
      <c r="H31" s="158"/>
      <c r="I31" s="158"/>
      <c r="J31" s="194">
        <f>J30*(D6*(1+D7))</f>
        <v>30.944700000000001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19.781999999999996</v>
      </c>
      <c r="E32" s="158"/>
      <c r="F32" s="158" t="s">
        <v>231</v>
      </c>
      <c r="G32" s="158"/>
      <c r="H32" s="158"/>
      <c r="I32" s="158"/>
      <c r="J32" s="194">
        <f>J31*J23</f>
        <v>526.05989999999997</v>
      </c>
      <c r="M32" s="146" t="s">
        <v>144</v>
      </c>
      <c r="N32" s="158"/>
      <c r="O32" s="186">
        <f>O30*H6*10^-6*H7</f>
        <v>2.094511468806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1444.0859999999998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2.094511468806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891.42408112383362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0.25134137625671998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0.16756091750448002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64.895673105815092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3.7499999999999997E-6</v>
      </c>
      <c r="M41" s="146" t="s">
        <v>164</v>
      </c>
      <c r="N41" s="158"/>
      <c r="O41" s="186">
        <f>O35-O39</f>
        <v>826.52840801801858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2.9437499999999998E-2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0.50043749999999998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36.531937499999998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18.265968749999999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1442.2866229999997</v>
      </c>
      <c r="E47" s="158"/>
      <c r="F47" s="158" t="s">
        <v>240</v>
      </c>
      <c r="G47" s="158"/>
      <c r="H47" s="158"/>
      <c r="I47" s="158"/>
      <c r="J47" s="194">
        <f>J32-J45</f>
        <v>507.79393124999996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1950.0805542499998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1950.0805542499998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1950.0805542499998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826.52840801801858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6941.5224056700463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9718.1313679380655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9718.1313679380655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279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19.781999999999996</v>
      </c>
      <c r="E98" s="219">
        <f>'[1]Old Ladder type  (2)'!K30</f>
        <v>19.782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7.2062999999999997</v>
      </c>
      <c r="E100" s="219">
        <f>'[1]Old Ladder type  (2)'!L30</f>
        <v>14.412600000000001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0.50043749999999998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(2)'!M30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27.172573499999995</v>
      </c>
      <c r="E104" s="219">
        <f>E98-E99+E100-E101+E102+E103</f>
        <v>34.976179999999999</v>
      </c>
      <c r="F104" s="221">
        <f>(E104-D104)/D104</f>
        <v>0.28718687613449662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2005.3995527499997</v>
      </c>
      <c r="E105" s="256">
        <f>E104*D6</f>
        <v>2553.2611400000001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1.3586286749999998</v>
      </c>
      <c r="E107" s="219">
        <f>5%*E104</f>
        <v>1.7488090000000001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578.23236407999991</v>
      </c>
      <c r="E108" s="219">
        <f>E107*$H$8</f>
        <v>744.29311040000005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222.54337696499994</v>
      </c>
      <c r="E110" s="219">
        <f>(E104+E107)*$D$17</f>
        <v>286.45491420000002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2806.1752937949996</v>
      </c>
      <c r="E112" s="256">
        <f>E110+E105+E108</f>
        <v>3584.0091646000001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668.13697471309513</v>
      </c>
      <c r="E113" s="257">
        <f>E112/(O12/1000)</f>
        <v>853.33551538095242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0.27718648671910939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280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(2)'!B30</f>
        <v>600mm(W)X100mm(H) - B4-i horizontal tee</v>
      </c>
      <c r="D124" s="270">
        <f>'[1]Old Ladder type  (2)'!Q30</f>
        <v>34.976179999999999</v>
      </c>
      <c r="E124" s="270">
        <f>'[1]Old Ladder type  (2)'!U30</f>
        <v>1.7488090000000001</v>
      </c>
      <c r="F124" s="270">
        <f>'[1]Old Ladder type  (2)'!Z30</f>
        <v>2950.74793761</v>
      </c>
      <c r="H124" s="270">
        <f>D104</f>
        <v>27.172573499999995</v>
      </c>
      <c r="I124" s="270">
        <f>D107</f>
        <v>1.3586286749999998</v>
      </c>
      <c r="J124" s="270">
        <f>D112</f>
        <v>2806.1752937949996</v>
      </c>
      <c r="K124" s="271">
        <f>(F124-J124)/J124</f>
        <v>5.151946285560946E-2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A6C0-AF7E-4813-8B53-E59339A44DF8}">
  <dimension ref="A1:W132"/>
  <sheetViews>
    <sheetView showGridLines="0" topLeftCell="B1" zoomScale="55" zoomScaleNormal="55" workbookViewId="0">
      <selection activeCell="L18" sqref="L1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150</v>
      </c>
      <c r="P8" s="147"/>
      <c r="Q8" s="147" t="s">
        <v>206</v>
      </c>
      <c r="R8" s="147"/>
      <c r="S8" s="147"/>
      <c r="T8" s="147"/>
      <c r="U8" s="156">
        <f>O8</f>
        <v>150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4200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17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150</v>
      </c>
      <c r="E24" s="158"/>
      <c r="F24" s="158" t="s">
        <v>206</v>
      </c>
      <c r="G24" s="158"/>
      <c r="H24" s="158"/>
      <c r="I24" s="158"/>
      <c r="J24" s="182">
        <f>U8</f>
        <v>150</v>
      </c>
      <c r="M24" s="146" t="s">
        <v>220</v>
      </c>
      <c r="N24" s="158"/>
      <c r="O24" s="158">
        <f>2*(2*(2*D27+D25)/1000*D28/1000)</f>
        <v>2.52</v>
      </c>
      <c r="P24" s="158"/>
      <c r="Q24" s="158" t="s">
        <v>221</v>
      </c>
      <c r="R24" s="158"/>
      <c r="S24" s="158"/>
      <c r="T24" s="186">
        <f>2*J24/1000*(J25+2*J26)/1000</f>
        <v>2.7E-2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4.2201599999999999E-2</v>
      </c>
      <c r="P25" s="158"/>
      <c r="Q25" s="158" t="s">
        <v>223</v>
      </c>
      <c r="R25" s="158"/>
      <c r="S25" s="158"/>
      <c r="T25" s="158">
        <f>(2*(J38+J39)/1000*D26/1000)*D24/40</f>
        <v>5.2500000000000008E-4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5.2752000000000007E-2</v>
      </c>
      <c r="P26" s="158"/>
      <c r="Q26" s="158" t="s">
        <v>224</v>
      </c>
      <c r="R26" s="158"/>
      <c r="S26" s="158"/>
      <c r="T26" s="185">
        <f>J38/1000*J39/1000*D24/40</f>
        <v>9.3749999999999997E-4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4200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2.5094495999999999</v>
      </c>
      <c r="P28" s="158"/>
      <c r="Q28" s="158" t="s">
        <v>225</v>
      </c>
      <c r="R28" s="158"/>
      <c r="S28" s="158"/>
      <c r="T28" s="158">
        <f>(T24+T25-T26)*J23</f>
        <v>0.45198749999999999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2.6999999999999999E-5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0.21195</v>
      </c>
      <c r="M30" s="146" t="s">
        <v>141</v>
      </c>
      <c r="N30" s="158"/>
      <c r="O30" s="184">
        <f>O28+T28</f>
        <v>2.9614370999999999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2.5199999999999997E-3</v>
      </c>
      <c r="E31" s="158"/>
      <c r="F31" s="158" t="s">
        <v>229</v>
      </c>
      <c r="G31" s="158"/>
      <c r="H31" s="158"/>
      <c r="I31" s="158"/>
      <c r="J31" s="194">
        <f>J30*(D6*(1+D7))</f>
        <v>15.47235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19.781999999999996</v>
      </c>
      <c r="E32" s="158"/>
      <c r="F32" s="158" t="s">
        <v>231</v>
      </c>
      <c r="G32" s="158"/>
      <c r="H32" s="158"/>
      <c r="I32" s="158"/>
      <c r="J32" s="194">
        <f>J31*J23</f>
        <v>263.02994999999999</v>
      </c>
      <c r="M32" s="146" t="s">
        <v>144</v>
      </c>
      <c r="N32" s="158"/>
      <c r="O32" s="186">
        <f>O30*H6*10^-6*H7</f>
        <v>1.8171674189309996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1444.0859999999998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1.8171674189309996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773.38645349703347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0.21806009027171994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0.14537339351447998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56.302533814584038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1.8749999999999998E-6</v>
      </c>
      <c r="M41" s="146" t="s">
        <v>164</v>
      </c>
      <c r="N41" s="158"/>
      <c r="O41" s="186">
        <f>O35-O39</f>
        <v>717.08391968244939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1.4718749999999999E-2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0.25021874999999999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18.265968749999999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9.1329843749999995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1442.2866229999997</v>
      </c>
      <c r="E47" s="158"/>
      <c r="F47" s="158" t="s">
        <v>240</v>
      </c>
      <c r="G47" s="158"/>
      <c r="H47" s="158"/>
      <c r="I47" s="158"/>
      <c r="J47" s="194">
        <f>J32-J45</f>
        <v>253.89696562499998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1696.1835886249996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1696.1835886249996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1696.1835886249996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717.08391968244939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6033.1687707686233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8446.4362790760715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8446.4362790760715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279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19.781999999999996</v>
      </c>
      <c r="E98" s="219">
        <f>'[1]Old Ladder type  (2)'!K30</f>
        <v>19.782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3.6031499999999999</v>
      </c>
      <c r="E100" s="219">
        <f>'[1]Old Ladder type  (2)'!L30</f>
        <v>14.412600000000001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0.25021874999999999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(2)'!M30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23.819642249999998</v>
      </c>
      <c r="E104" s="219">
        <f>E98-E99+E100-E101+E102+E103</f>
        <v>34.976179999999999</v>
      </c>
      <c r="F104" s="221">
        <f>(E104-D104)/D104</f>
        <v>0.46837553783999436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1751.5025871249995</v>
      </c>
      <c r="E105" s="256">
        <f>E104*D6</f>
        <v>2553.2611400000001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1.1909821125</v>
      </c>
      <c r="E107" s="219">
        <f>5%*E104</f>
        <v>1.7488090000000001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506.88198707999999</v>
      </c>
      <c r="E108" s="219">
        <f>E107*$H$8</f>
        <v>744.29311040000005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195.08287002749998</v>
      </c>
      <c r="E110" s="219">
        <f>(E104+E107)*$D$17</f>
        <v>286.45491420000002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2453.4674442324995</v>
      </c>
      <c r="E112" s="256">
        <f>E110+E105+E108</f>
        <v>3584.0091646000001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584.1589152934522</v>
      </c>
      <c r="E113" s="257">
        <f>E112/(O12/1000)</f>
        <v>853.33551538095242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0.46079344685217938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280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(2)'!B30</f>
        <v>600mm(W)X100mm(H) - B4-i horizontal tee</v>
      </c>
      <c r="D124" s="270">
        <f>'[1]Old Ladder type  (2)'!Q30</f>
        <v>34.976179999999999</v>
      </c>
      <c r="E124" s="270">
        <f>'[1]Old Ladder type  (2)'!U30</f>
        <v>1.7488090000000001</v>
      </c>
      <c r="F124" s="270">
        <f>'[1]Old Ladder type  (2)'!Z30</f>
        <v>2950.74793761</v>
      </c>
      <c r="H124" s="270">
        <f>D104</f>
        <v>23.819642249999998</v>
      </c>
      <c r="I124" s="270">
        <f>D107</f>
        <v>1.1909821125</v>
      </c>
      <c r="J124" s="270">
        <f>D112</f>
        <v>2453.4674442324995</v>
      </c>
      <c r="K124" s="271">
        <f>(F124-J124)/J124</f>
        <v>0.20268477356261036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87B1-E5CA-4309-9E92-56F8D858C9BB}">
  <dimension ref="A1:W132"/>
  <sheetViews>
    <sheetView showGridLines="0" topLeftCell="A49" zoomScale="70" zoomScaleNormal="70" workbookViewId="0">
      <selection activeCell="L24" sqref="L24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600</v>
      </c>
      <c r="P8" s="147"/>
      <c r="Q8" s="147" t="s">
        <v>206</v>
      </c>
      <c r="R8" s="147"/>
      <c r="S8" s="147"/>
      <c r="T8" s="147"/>
      <c r="U8" s="156">
        <f>O8</f>
        <v>600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1900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8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600</v>
      </c>
      <c r="E24" s="158"/>
      <c r="F24" s="158" t="s">
        <v>206</v>
      </c>
      <c r="G24" s="158"/>
      <c r="H24" s="158"/>
      <c r="I24" s="158"/>
      <c r="J24" s="182">
        <f>U8</f>
        <v>600</v>
      </c>
      <c r="M24" s="146" t="s">
        <v>220</v>
      </c>
      <c r="N24" s="158"/>
      <c r="O24" s="158">
        <f>2*(2*(2*D27+D25)/1000*D28/1000)</f>
        <v>1.1399999999999999</v>
      </c>
      <c r="P24" s="158"/>
      <c r="Q24" s="158" t="s">
        <v>221</v>
      </c>
      <c r="R24" s="158"/>
      <c r="S24" s="158"/>
      <c r="T24" s="186">
        <f>2*J24/1000*(J25+2*J26)/1000</f>
        <v>0.108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1.9091199999999999E-2</v>
      </c>
      <c r="P25" s="158"/>
      <c r="Q25" s="158" t="s">
        <v>223</v>
      </c>
      <c r="R25" s="158"/>
      <c r="S25" s="158"/>
      <c r="T25" s="158">
        <f>(2*(J38+J39)/1000*D26/1000)*D24/40</f>
        <v>2.1000000000000003E-3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2.3864000000000003E-2</v>
      </c>
      <c r="P26" s="158"/>
      <c r="Q26" s="158" t="s">
        <v>224</v>
      </c>
      <c r="R26" s="158"/>
      <c r="S26" s="158"/>
      <c r="T26" s="185">
        <f>J38/1000*J39/1000*D24/40</f>
        <v>3.7499999999999999E-3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1900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1.1352271999999999</v>
      </c>
      <c r="P28" s="158"/>
      <c r="Q28" s="158" t="s">
        <v>225</v>
      </c>
      <c r="R28" s="158"/>
      <c r="S28" s="158"/>
      <c r="T28" s="158">
        <f>(T24+T25-T26)*J23</f>
        <v>0.8508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1.08E-4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0.8478</v>
      </c>
      <c r="M30" s="146" t="s">
        <v>141</v>
      </c>
      <c r="N30" s="158"/>
      <c r="O30" s="184">
        <f>O28+T28</f>
        <v>1.9860271999999999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1.14E-3</v>
      </c>
      <c r="E31" s="158"/>
      <c r="F31" s="158" t="s">
        <v>229</v>
      </c>
      <c r="G31" s="158"/>
      <c r="H31" s="158"/>
      <c r="I31" s="158"/>
      <c r="J31" s="194">
        <f>J30*(D6*(1+D7))</f>
        <v>61.889400000000002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8.9489999999999998</v>
      </c>
      <c r="E32" s="158"/>
      <c r="F32" s="158" t="s">
        <v>231</v>
      </c>
      <c r="G32" s="158"/>
      <c r="H32" s="158"/>
      <c r="I32" s="158"/>
      <c r="J32" s="194">
        <f>J31*J23</f>
        <v>495.11520000000002</v>
      </c>
      <c r="M32" s="146" t="s">
        <v>144</v>
      </c>
      <c r="N32" s="158"/>
      <c r="O32" s="186">
        <f>O30*H6*10^-6*H7</f>
        <v>1.2186461501919998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653.27700000000004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1.2186461501919998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518.65580152171515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0.14623753802303999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9.7491692015359996E-2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37.758142350780872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7.4999999999999993E-6</v>
      </c>
      <c r="M41" s="146" t="s">
        <v>164</v>
      </c>
      <c r="N41" s="158"/>
      <c r="O41" s="186">
        <f>O35-O39</f>
        <v>480.89765917093428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5.8874999999999997E-2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0.47099999999999997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34.382999999999996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17.191499999999998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651.47762299999999</v>
      </c>
      <c r="E47" s="158"/>
      <c r="F47" s="158" t="s">
        <v>240</v>
      </c>
      <c r="G47" s="158"/>
      <c r="H47" s="158"/>
      <c r="I47" s="158"/>
      <c r="J47" s="194">
        <f>J32-J45</f>
        <v>477.9237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1129.401323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1129.401323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1129.401323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480.89765917093428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4025.7474554273358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5636.0464375982701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5636.0464375982701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276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8.9489999999999998</v>
      </c>
      <c r="E98" s="219">
        <f>'[1]Old Ladder type  (2)'!K27</f>
        <v>8.9489999999999998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6.7824</v>
      </c>
      <c r="E100" s="219">
        <f>'[1]Old Ladder type  (2)'!L27</f>
        <v>6.7824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0.47099999999999997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(2)'!M27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15.945111000000001</v>
      </c>
      <c r="E104" s="219">
        <f>E98-E99+E100-E101+E102+E103</f>
        <v>16.512980000000002</v>
      </c>
      <c r="F104" s="221">
        <f>(E104-D104)/D104</f>
        <v>3.5613988513469849E-2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1184.7203215</v>
      </c>
      <c r="E105" s="256">
        <f>E104*D6</f>
        <v>1205.4475400000001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0.79725555000000004</v>
      </c>
      <c r="E107" s="219">
        <f>5%*E104</f>
        <v>0.82564900000000019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339.31196208000006</v>
      </c>
      <c r="E108" s="219">
        <f>E107*$H$8</f>
        <v>351.39621440000008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130.59045909</v>
      </c>
      <c r="E110" s="219">
        <f>(E104+E107)*$D$17</f>
        <v>135.2413062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1654.62274267</v>
      </c>
      <c r="E112" s="256">
        <f>E110+E105+E108</f>
        <v>1692.0850606000004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870.85407508947367</v>
      </c>
      <c r="E113" s="257">
        <f>E112/(O12/1000)</f>
        <v>890.57108452631599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2.2641002667199477E-2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277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(2)'!B27</f>
        <v>600mm(W)X100mm(H) - B3-i vertical bend</v>
      </c>
      <c r="D124" s="270">
        <f>'[1]Old Ladder type  (2)'!Q27</f>
        <v>16.512980000000002</v>
      </c>
      <c r="E124" s="270">
        <f>'[1]Old Ladder type  (2)'!U27</f>
        <v>0.82564900000000019</v>
      </c>
      <c r="F124" s="270">
        <f>'[1]Old Ladder type  (2)'!Z27</f>
        <v>1393.1093012100002</v>
      </c>
      <c r="H124" s="270">
        <f>D104</f>
        <v>15.945111000000001</v>
      </c>
      <c r="I124" s="270">
        <f>D107</f>
        <v>0.79725555000000004</v>
      </c>
      <c r="J124" s="270">
        <f>D112</f>
        <v>1654.62274267</v>
      </c>
      <c r="K124" s="271">
        <f>(F124-J124)/J124</f>
        <v>-0.15805019157297798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C044-27AC-475B-87E3-FDB2445285D1}">
  <dimension ref="A1:W132"/>
  <sheetViews>
    <sheetView showGridLines="0" topLeftCell="A81" zoomScale="70" zoomScaleNormal="70" workbookViewId="0">
      <selection activeCell="L24" sqref="L24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300</v>
      </c>
      <c r="P8" s="147"/>
      <c r="Q8" s="147" t="s">
        <v>206</v>
      </c>
      <c r="R8" s="147"/>
      <c r="S8" s="147"/>
      <c r="T8" s="147"/>
      <c r="U8" s="156">
        <f>O8</f>
        <v>300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1900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8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300</v>
      </c>
      <c r="E24" s="158"/>
      <c r="F24" s="158" t="s">
        <v>206</v>
      </c>
      <c r="G24" s="158"/>
      <c r="H24" s="158"/>
      <c r="I24" s="158"/>
      <c r="J24" s="182">
        <f>U8</f>
        <v>300</v>
      </c>
      <c r="M24" s="146" t="s">
        <v>220</v>
      </c>
      <c r="N24" s="158"/>
      <c r="O24" s="158">
        <f>2*(2*(2*D27+D25)/1000*D28/1000)</f>
        <v>1.1399999999999999</v>
      </c>
      <c r="P24" s="158"/>
      <c r="Q24" s="158" t="s">
        <v>221</v>
      </c>
      <c r="R24" s="158"/>
      <c r="S24" s="158"/>
      <c r="T24" s="186">
        <f>2*J24/1000*(J25+2*J26)/1000</f>
        <v>5.3999999999999999E-2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1.9091199999999999E-2</v>
      </c>
      <c r="P25" s="158"/>
      <c r="Q25" s="158" t="s">
        <v>223</v>
      </c>
      <c r="R25" s="158"/>
      <c r="S25" s="158"/>
      <c r="T25" s="158">
        <f>(2*(J38+J39)/1000*D26/1000)*D24/40</f>
        <v>1.0500000000000002E-3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2.3864000000000003E-2</v>
      </c>
      <c r="P26" s="158"/>
      <c r="Q26" s="158" t="s">
        <v>224</v>
      </c>
      <c r="R26" s="158"/>
      <c r="S26" s="158"/>
      <c r="T26" s="185">
        <f>J38/1000*J39/1000*D24/40</f>
        <v>1.8749999999999999E-3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1900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1.1352271999999999</v>
      </c>
      <c r="P28" s="158"/>
      <c r="Q28" s="158" t="s">
        <v>225</v>
      </c>
      <c r="R28" s="158"/>
      <c r="S28" s="158"/>
      <c r="T28" s="158">
        <f>(T24+T25-T26)*J23</f>
        <v>0.4254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5.3999999999999998E-5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0.4239</v>
      </c>
      <c r="M30" s="146" t="s">
        <v>141</v>
      </c>
      <c r="N30" s="158"/>
      <c r="O30" s="184">
        <f>O28+T28</f>
        <v>1.5606271999999999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1.14E-3</v>
      </c>
      <c r="E31" s="158"/>
      <c r="F31" s="158" t="s">
        <v>229</v>
      </c>
      <c r="G31" s="158"/>
      <c r="H31" s="158"/>
      <c r="I31" s="158"/>
      <c r="J31" s="194">
        <f>J30*(D6*(1+D7))</f>
        <v>30.944700000000001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8.9489999999999998</v>
      </c>
      <c r="E32" s="158"/>
      <c r="F32" s="158" t="s">
        <v>231</v>
      </c>
      <c r="G32" s="158"/>
      <c r="H32" s="158"/>
      <c r="I32" s="158"/>
      <c r="J32" s="194">
        <f>J31*J23</f>
        <v>247.55760000000001</v>
      </c>
      <c r="M32" s="146" t="s">
        <v>144</v>
      </c>
      <c r="N32" s="158"/>
      <c r="O32" s="186">
        <f>O30*H6*10^-6*H7</f>
        <v>0.95761645619199998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653.27700000000004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0.95761645619199998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407.56156375531521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0.11491397474303999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7.660931649536E-2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29.670481841386945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3.7499999999999997E-6</v>
      </c>
      <c r="M41" s="146" t="s">
        <v>164</v>
      </c>
      <c r="N41" s="158"/>
      <c r="O41" s="186">
        <f>O35-O39</f>
        <v>377.89108191392825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2.9437499999999998E-2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0.23549999999999999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17.191499999999998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8.5957499999999989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651.47762299999999</v>
      </c>
      <c r="E47" s="158"/>
      <c r="F47" s="158" t="s">
        <v>240</v>
      </c>
      <c r="G47" s="158"/>
      <c r="H47" s="158"/>
      <c r="I47" s="158"/>
      <c r="J47" s="194">
        <f>J32-J45</f>
        <v>238.96185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890.43947300000002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890.43947300000002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890.43947300000002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377.89108191392825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3170.8263872848202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4439.1569421987479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4439.1569421987479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276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8.9489999999999998</v>
      </c>
      <c r="E98" s="219">
        <f>'[1]Old Ladder type  (2)'!K27</f>
        <v>8.9489999999999998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3.3912</v>
      </c>
      <c r="E100" s="219">
        <f>'[1]Old Ladder type  (2)'!L27</f>
        <v>6.7824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0.23549999999999999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(2)'!M27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12.789410999999999</v>
      </c>
      <c r="E104" s="219">
        <f>E98-E99+E100-E101+E102+E103</f>
        <v>16.512980000000002</v>
      </c>
      <c r="F104" s="221">
        <f>(E104-D104)/D104</f>
        <v>0.2911446821124134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945.75847150000004</v>
      </c>
      <c r="E105" s="256">
        <f>E104*D6</f>
        <v>1205.4475400000001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0.63947054999999997</v>
      </c>
      <c r="E107" s="219">
        <f>5%*E104</f>
        <v>0.82564900000000019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272.15866607999999</v>
      </c>
      <c r="E108" s="219">
        <f>E107*$H$8</f>
        <v>351.39621440000008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104.74527608999999</v>
      </c>
      <c r="E110" s="219">
        <f>(E104+E107)*$D$17</f>
        <v>135.2413062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1322.6624136700002</v>
      </c>
      <c r="E112" s="256">
        <f>E110+E105+E108</f>
        <v>1692.0850606000004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696.13811245789486</v>
      </c>
      <c r="E113" s="257">
        <f>E112/(O12/1000)</f>
        <v>890.57108452631599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0.27930229445695115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277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(2)'!B27</f>
        <v>600mm(W)X100mm(H) - B3-i vertical bend</v>
      </c>
      <c r="D124" s="270">
        <f>'[1]Old Ladder type  (2)'!Q27</f>
        <v>16.512980000000002</v>
      </c>
      <c r="E124" s="270">
        <f>'[1]Old Ladder type  (2)'!U27</f>
        <v>0.82564900000000019</v>
      </c>
      <c r="F124" s="270">
        <f>'[1]Old Ladder type  (2)'!Z27</f>
        <v>1393.1093012100002</v>
      </c>
      <c r="H124" s="270">
        <f>D104</f>
        <v>12.789410999999999</v>
      </c>
      <c r="I124" s="270">
        <f>D107</f>
        <v>0.63947054999999997</v>
      </c>
      <c r="J124" s="270">
        <f>D112</f>
        <v>1322.6624136700002</v>
      </c>
      <c r="K124" s="271">
        <f>(F124-J124)/J124</f>
        <v>5.3261426961193056E-2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069F-3A05-4B0A-BC70-8F1C9D3CF43E}">
  <dimension ref="A1:W132"/>
  <sheetViews>
    <sheetView showGridLines="0" topLeftCell="A49" zoomScale="70" zoomScaleNormal="70" workbookViewId="0">
      <selection activeCell="L24" sqref="L24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150</v>
      </c>
      <c r="P8" s="147"/>
      <c r="Q8" s="147" t="s">
        <v>206</v>
      </c>
      <c r="R8" s="147"/>
      <c r="S8" s="147"/>
      <c r="T8" s="147"/>
      <c r="U8" s="156">
        <f>O8</f>
        <v>150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1900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8"/>
      <c r="N16" s="278"/>
      <c r="O16" s="278"/>
      <c r="P16" s="278"/>
      <c r="Q16" s="278"/>
      <c r="R16" s="278"/>
      <c r="S16" s="278"/>
      <c r="T16" s="278"/>
      <c r="U16" s="278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2:23" x14ac:dyDescent="0.35">
      <c r="M19" s="278"/>
      <c r="N19" s="278"/>
      <c r="O19" s="278"/>
      <c r="P19" s="278"/>
      <c r="Q19" s="278"/>
      <c r="R19" s="278"/>
      <c r="S19" s="278"/>
      <c r="T19" s="278"/>
      <c r="U19" s="278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8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150</v>
      </c>
      <c r="E24" s="158"/>
      <c r="F24" s="158" t="s">
        <v>206</v>
      </c>
      <c r="G24" s="158"/>
      <c r="H24" s="158"/>
      <c r="I24" s="158"/>
      <c r="J24" s="182">
        <f>U8</f>
        <v>150</v>
      </c>
      <c r="M24" s="146" t="s">
        <v>220</v>
      </c>
      <c r="N24" s="158"/>
      <c r="O24" s="158">
        <f>2*(2*(2*D27+D25)/1000*D28/1000)</f>
        <v>1.1399999999999999</v>
      </c>
      <c r="P24" s="158"/>
      <c r="Q24" s="158" t="s">
        <v>221</v>
      </c>
      <c r="R24" s="158"/>
      <c r="S24" s="158"/>
      <c r="T24" s="186">
        <f>2*J24/1000*(J25+2*J26)/1000</f>
        <v>2.7E-2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1.9091199999999999E-2</v>
      </c>
      <c r="P25" s="158"/>
      <c r="Q25" s="158" t="s">
        <v>223</v>
      </c>
      <c r="R25" s="158"/>
      <c r="S25" s="158"/>
      <c r="T25" s="158">
        <f>(2*(J38+J39)/1000*D26/1000)*D24/40</f>
        <v>5.2500000000000008E-4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2.3864000000000003E-2</v>
      </c>
      <c r="P26" s="158"/>
      <c r="Q26" s="158" t="s">
        <v>224</v>
      </c>
      <c r="R26" s="158"/>
      <c r="S26" s="158"/>
      <c r="T26" s="185">
        <f>J38/1000*J39/1000*D24/40</f>
        <v>9.3749999999999997E-4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1900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1.1352271999999999</v>
      </c>
      <c r="P28" s="158"/>
      <c r="Q28" s="158" t="s">
        <v>225</v>
      </c>
      <c r="R28" s="158"/>
      <c r="S28" s="158"/>
      <c r="T28" s="158">
        <f>(T24+T25-T26)*J23</f>
        <v>0.2127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2.6999999999999999E-5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0.21195</v>
      </c>
      <c r="M30" s="146" t="s">
        <v>141</v>
      </c>
      <c r="N30" s="158"/>
      <c r="O30" s="184">
        <f>O28+T28</f>
        <v>1.3479272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1.14E-3</v>
      </c>
      <c r="E31" s="158"/>
      <c r="F31" s="158" t="s">
        <v>229</v>
      </c>
      <c r="G31" s="158"/>
      <c r="H31" s="158"/>
      <c r="I31" s="158"/>
      <c r="J31" s="194">
        <f>J30*(D6*(1+D7))</f>
        <v>15.47235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8.9489999999999998</v>
      </c>
      <c r="E32" s="158"/>
      <c r="F32" s="158" t="s">
        <v>231</v>
      </c>
      <c r="G32" s="158"/>
      <c r="H32" s="158"/>
      <c r="I32" s="158"/>
      <c r="J32" s="194">
        <f>J31*J23</f>
        <v>123.7788</v>
      </c>
      <c r="M32" s="146" t="s">
        <v>144</v>
      </c>
      <c r="N32" s="158"/>
      <c r="O32" s="186">
        <f>O30*H6*10^-6*H7</f>
        <v>0.82710160919200004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653.27700000000004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0.82710160919200004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352.01444487211523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9.9252193103039996E-2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6.6168128735360002E-2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25.626651586689988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1.8749999999999998E-6</v>
      </c>
      <c r="M41" s="146" t="s">
        <v>164</v>
      </c>
      <c r="N41" s="158"/>
      <c r="O41" s="186">
        <f>O35-O39</f>
        <v>326.38779328542523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1.4718749999999999E-2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0.11774999999999999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8.5957499999999989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4.2978749999999994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651.47762299999999</v>
      </c>
      <c r="E47" s="158"/>
      <c r="F47" s="158" t="s">
        <v>240</v>
      </c>
      <c r="G47" s="158"/>
      <c r="H47" s="158"/>
      <c r="I47" s="158"/>
      <c r="J47" s="194">
        <f>J32-J45</f>
        <v>119.480925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770.95854799999995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770.95854799999995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770.95854799999995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326.38779328542523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2743.3658532135632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3840.7121944989885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3840.7121944989885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276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8.9489999999999998</v>
      </c>
      <c r="E98" s="219">
        <f>'[1]Old Ladder type  (2)'!K27</f>
        <v>8.9489999999999998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1.6956</v>
      </c>
      <c r="E100" s="219">
        <f>'[1]Old Ladder type  (2)'!L27</f>
        <v>6.7824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0.11774999999999999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(2)'!M27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11.211561000000001</v>
      </c>
      <c r="E104" s="219">
        <f>E98-E99+E100-E101+E102+E103</f>
        <v>16.512980000000002</v>
      </c>
      <c r="F104" s="221">
        <f>(E104-D104)/D104</f>
        <v>0.47285288819282173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826.27754649999997</v>
      </c>
      <c r="E105" s="256">
        <f>E104*D6</f>
        <v>1205.4475400000001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0.56057805000000005</v>
      </c>
      <c r="E107" s="219">
        <f>5%*E104</f>
        <v>0.82564900000000019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238.58201808000004</v>
      </c>
      <c r="E108" s="219">
        <f>E107*$H$8</f>
        <v>351.39621440000008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91.822684590000009</v>
      </c>
      <c r="E110" s="219">
        <f>(E104+E107)*$D$17</f>
        <v>135.2413062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1156.68224917</v>
      </c>
      <c r="E112" s="256">
        <f>E110+E105+E108</f>
        <v>1692.0850606000004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608.78013114210523</v>
      </c>
      <c r="E113" s="257">
        <f>E112/(O12/1000)</f>
        <v>890.57108452631599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0.46287803916260423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277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(2)'!B27</f>
        <v>600mm(W)X100mm(H) - B3-i vertical bend</v>
      </c>
      <c r="D124" s="270">
        <f>'[1]Old Ladder type  (2)'!Q27</f>
        <v>16.512980000000002</v>
      </c>
      <c r="E124" s="270">
        <f>'[1]Old Ladder type  (2)'!U27</f>
        <v>0.82564900000000019</v>
      </c>
      <c r="F124" s="270">
        <f>'[1]Old Ladder type  (2)'!Z27</f>
        <v>1393.1093012100002</v>
      </c>
      <c r="H124" s="270">
        <f>D104</f>
        <v>11.211561000000001</v>
      </c>
      <c r="I124" s="270">
        <f>D107</f>
        <v>0.56057805000000005</v>
      </c>
      <c r="J124" s="270">
        <f>D112</f>
        <v>1156.68224917</v>
      </c>
      <c r="K124" s="271">
        <f>(F124-J124)/J124</f>
        <v>0.20440103771770782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6C0D-B7D7-41CC-B4B9-80CD2A09A9B8}">
  <dimension ref="A1:W132"/>
  <sheetViews>
    <sheetView showGridLines="0" topLeftCell="A31" zoomScale="55" zoomScaleNormal="55" workbookViewId="0">
      <selection activeCell="O9" sqref="O9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600</v>
      </c>
      <c r="P8" s="147"/>
      <c r="Q8" s="147" t="s">
        <v>206</v>
      </c>
      <c r="R8" s="147"/>
      <c r="S8" s="147"/>
      <c r="T8" s="147"/>
      <c r="U8" s="156">
        <f>O8</f>
        <v>600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1900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6"/>
      <c r="N16" s="276"/>
      <c r="O16" s="276"/>
      <c r="P16" s="276"/>
      <c r="Q16" s="276"/>
      <c r="R16" s="276"/>
      <c r="S16" s="276"/>
      <c r="T16" s="276"/>
      <c r="U16" s="276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6"/>
      <c r="N17" s="276"/>
      <c r="O17" s="276"/>
      <c r="P17" s="276"/>
      <c r="Q17" s="276"/>
      <c r="R17" s="276"/>
      <c r="S17" s="276"/>
      <c r="T17" s="276"/>
      <c r="U17" s="276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6"/>
      <c r="N18" s="276"/>
      <c r="O18" s="276"/>
      <c r="P18" s="276"/>
      <c r="Q18" s="276"/>
      <c r="R18" s="276"/>
      <c r="S18" s="276"/>
      <c r="T18" s="276"/>
      <c r="U18" s="276"/>
    </row>
    <row r="19" spans="2:23" x14ac:dyDescent="0.35">
      <c r="M19" s="276"/>
      <c r="N19" s="276"/>
      <c r="O19" s="276"/>
      <c r="P19" s="276"/>
      <c r="Q19" s="276"/>
      <c r="R19" s="276"/>
      <c r="S19" s="276"/>
      <c r="T19" s="276"/>
      <c r="U19" s="276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8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600</v>
      </c>
      <c r="E24" s="158"/>
      <c r="F24" s="158" t="s">
        <v>206</v>
      </c>
      <c r="G24" s="158"/>
      <c r="H24" s="158"/>
      <c r="I24" s="158"/>
      <c r="J24" s="182">
        <f>U8</f>
        <v>600</v>
      </c>
      <c r="M24" s="146" t="s">
        <v>220</v>
      </c>
      <c r="N24" s="158"/>
      <c r="O24" s="158">
        <f>2*(2*(2*D27+D25)/1000*D28/1000)</f>
        <v>1.1399999999999999</v>
      </c>
      <c r="P24" s="158"/>
      <c r="Q24" s="158" t="s">
        <v>221</v>
      </c>
      <c r="R24" s="158"/>
      <c r="S24" s="158"/>
      <c r="T24" s="186">
        <f>2*J24/1000*(J25+2*J26)/1000</f>
        <v>0.108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1.9091199999999999E-2</v>
      </c>
      <c r="P25" s="158"/>
      <c r="Q25" s="158" t="s">
        <v>223</v>
      </c>
      <c r="R25" s="158"/>
      <c r="S25" s="158"/>
      <c r="T25" s="158">
        <f>(2*(J38+J39)/1000*D26/1000)*D24/40</f>
        <v>2.1000000000000003E-3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2.3864000000000003E-2</v>
      </c>
      <c r="P26" s="158"/>
      <c r="Q26" s="158" t="s">
        <v>224</v>
      </c>
      <c r="R26" s="158"/>
      <c r="S26" s="158"/>
      <c r="T26" s="185">
        <f>J38/1000*J39/1000*D24/40</f>
        <v>3.7499999999999999E-3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1900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1.1352271999999999</v>
      </c>
      <c r="P28" s="158"/>
      <c r="Q28" s="158" t="s">
        <v>225</v>
      </c>
      <c r="R28" s="158"/>
      <c r="S28" s="158"/>
      <c r="T28" s="158">
        <f>(T24+T25-T26)*J23</f>
        <v>0.8508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1.08E-4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0.8478</v>
      </c>
      <c r="M30" s="146" t="s">
        <v>141</v>
      </c>
      <c r="N30" s="158"/>
      <c r="O30" s="184">
        <f>O28+T28</f>
        <v>1.9860271999999999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1.14E-3</v>
      </c>
      <c r="E31" s="158"/>
      <c r="F31" s="158" t="s">
        <v>229</v>
      </c>
      <c r="G31" s="158"/>
      <c r="H31" s="158"/>
      <c r="I31" s="158"/>
      <c r="J31" s="194">
        <f>J30*(D6*(1+D7))</f>
        <v>61.889400000000002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8.9489999999999998</v>
      </c>
      <c r="E32" s="158"/>
      <c r="F32" s="158" t="s">
        <v>231</v>
      </c>
      <c r="G32" s="158"/>
      <c r="H32" s="158"/>
      <c r="I32" s="158"/>
      <c r="J32" s="194">
        <f>J31*J23</f>
        <v>495.11520000000002</v>
      </c>
      <c r="M32" s="146" t="s">
        <v>144</v>
      </c>
      <c r="N32" s="158"/>
      <c r="O32" s="186">
        <f>O30*H6*10^-6*H7</f>
        <v>1.2186461501919998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653.27700000000004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1.2186461501919998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518.65580152171515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0.14623753802303999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9.7491692015359996E-2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37.758142350780872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7.4999999999999993E-6</v>
      </c>
      <c r="M41" s="146" t="s">
        <v>164</v>
      </c>
      <c r="N41" s="158"/>
      <c r="O41" s="186">
        <f>O35-O39</f>
        <v>480.89765917093428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5.8874999999999997E-2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0.47099999999999997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34.382999999999996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17.191499999999998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651.47762299999999</v>
      </c>
      <c r="E47" s="158"/>
      <c r="F47" s="158" t="s">
        <v>240</v>
      </c>
      <c r="G47" s="158"/>
      <c r="H47" s="158"/>
      <c r="I47" s="158"/>
      <c r="J47" s="194">
        <f>J32-J45</f>
        <v>477.9237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1129.401323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1129.401323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1129.401323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480.89765917093428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4025.7474554273358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5636.0464375982701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5636.0464375982701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273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8.9489999999999998</v>
      </c>
      <c r="E98" s="219">
        <f>'[1]Old Ladder type  (2)'!K24</f>
        <v>8.9489999999999998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6.7824</v>
      </c>
      <c r="E100" s="219">
        <f>'[1]Old Ladder type  (2)'!L24</f>
        <v>6.7824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0.47099999999999997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(2)'!M24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15.945111000000001</v>
      </c>
      <c r="E104" s="219">
        <f>E98-E99+E100-E101+E102+E103</f>
        <v>16.512980000000002</v>
      </c>
      <c r="F104" s="221">
        <f>(E104-D104)/D104</f>
        <v>3.5613988513469849E-2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1184.7203215</v>
      </c>
      <c r="E105" s="256">
        <f>E104*D6</f>
        <v>1205.4475400000001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0.79725555000000004</v>
      </c>
      <c r="E107" s="219">
        <f>5%*E104</f>
        <v>0.82564900000000019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339.31196208000006</v>
      </c>
      <c r="E108" s="219">
        <f>E107*$H$8</f>
        <v>351.39621440000008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130.59045909</v>
      </c>
      <c r="E110" s="219">
        <f>(E104+E107)*$D$17</f>
        <v>135.2413062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1654.62274267</v>
      </c>
      <c r="E112" s="256">
        <f>E110+E105+E108</f>
        <v>1692.0850606000004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870.85407508947367</v>
      </c>
      <c r="E113" s="257">
        <f>E112/(O12/1000)</f>
        <v>890.57108452631599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2.2641002667199477E-2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274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(2)'!B24</f>
        <v>600mm(W)X100mm(H) - B2-i vertical bend</v>
      </c>
      <c r="D124" s="270">
        <f>'[1]Old Ladder type  (2)'!Q24</f>
        <v>16.512980000000002</v>
      </c>
      <c r="E124" s="270">
        <f>'[1]Old Ladder type  (2)'!U24</f>
        <v>0.82564900000000019</v>
      </c>
      <c r="F124" s="270">
        <f>'[1]Old Ladder type  (2)'!Z24</f>
        <v>1393.1093012100002</v>
      </c>
      <c r="H124" s="270">
        <f>D104</f>
        <v>15.945111000000001</v>
      </c>
      <c r="I124" s="270">
        <f>D107</f>
        <v>0.79725555000000004</v>
      </c>
      <c r="J124" s="270">
        <f>D112</f>
        <v>1654.62274267</v>
      </c>
      <c r="K124" s="271">
        <f>(F124-J124)/J124</f>
        <v>-0.15805019157297798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4">
    <mergeCell ref="B54:J54"/>
    <mergeCell ref="M54:U54"/>
    <mergeCell ref="B61:J61"/>
    <mergeCell ref="B79:J79"/>
    <mergeCell ref="B83:J83"/>
    <mergeCell ref="D120:F120"/>
    <mergeCell ref="H120:J120"/>
    <mergeCell ref="A1:U2"/>
    <mergeCell ref="B5:J5"/>
    <mergeCell ref="M5:U5"/>
    <mergeCell ref="B7:C7"/>
    <mergeCell ref="B13:C13"/>
    <mergeCell ref="B21:J21"/>
    <mergeCell ref="M21:U21"/>
  </mergeCells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888F-4289-4A90-81B4-0605090B984D}">
  <dimension ref="A1:W132"/>
  <sheetViews>
    <sheetView showGridLines="0" topLeftCell="A28" zoomScale="55" zoomScaleNormal="55" workbookViewId="0">
      <selection activeCell="O9" sqref="O9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300</v>
      </c>
      <c r="P8" s="147"/>
      <c r="Q8" s="147" t="s">
        <v>206</v>
      </c>
      <c r="R8" s="147"/>
      <c r="S8" s="147"/>
      <c r="T8" s="147"/>
      <c r="U8" s="156">
        <f>O8</f>
        <v>300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1900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6"/>
      <c r="N16" s="276"/>
      <c r="O16" s="276"/>
      <c r="P16" s="276"/>
      <c r="Q16" s="276"/>
      <c r="R16" s="276"/>
      <c r="S16" s="276"/>
      <c r="T16" s="276"/>
      <c r="U16" s="276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6"/>
      <c r="N17" s="276"/>
      <c r="O17" s="276"/>
      <c r="P17" s="276"/>
      <c r="Q17" s="276"/>
      <c r="R17" s="276"/>
      <c r="S17" s="276"/>
      <c r="T17" s="276"/>
      <c r="U17" s="276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6"/>
      <c r="N18" s="276"/>
      <c r="O18" s="276"/>
      <c r="P18" s="276"/>
      <c r="Q18" s="276"/>
      <c r="R18" s="276"/>
      <c r="S18" s="276"/>
      <c r="T18" s="276"/>
      <c r="U18" s="276"/>
    </row>
    <row r="19" spans="2:23" x14ac:dyDescent="0.35">
      <c r="M19" s="276"/>
      <c r="N19" s="276"/>
      <c r="O19" s="276"/>
      <c r="P19" s="276"/>
      <c r="Q19" s="276"/>
      <c r="R19" s="276"/>
      <c r="S19" s="276"/>
      <c r="T19" s="276"/>
      <c r="U19" s="276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8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300</v>
      </c>
      <c r="E24" s="158"/>
      <c r="F24" s="158" t="s">
        <v>206</v>
      </c>
      <c r="G24" s="158"/>
      <c r="H24" s="158"/>
      <c r="I24" s="158"/>
      <c r="J24" s="182">
        <f>U8</f>
        <v>300</v>
      </c>
      <c r="M24" s="146" t="s">
        <v>220</v>
      </c>
      <c r="N24" s="158"/>
      <c r="O24" s="158">
        <f>2*(2*(2*D27+D25)/1000*D28/1000)</f>
        <v>1.1399999999999999</v>
      </c>
      <c r="P24" s="158"/>
      <c r="Q24" s="158" t="s">
        <v>221</v>
      </c>
      <c r="R24" s="158"/>
      <c r="S24" s="158"/>
      <c r="T24" s="186">
        <f>2*J24/1000*(J25+2*J26)/1000</f>
        <v>5.3999999999999999E-2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1.9091199999999999E-2</v>
      </c>
      <c r="P25" s="158"/>
      <c r="Q25" s="158" t="s">
        <v>223</v>
      </c>
      <c r="R25" s="158"/>
      <c r="S25" s="158"/>
      <c r="T25" s="158">
        <f>(2*(J38+J39)/1000*D26/1000)*D24/40</f>
        <v>1.0500000000000002E-3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2.3864000000000003E-2</v>
      </c>
      <c r="P26" s="158"/>
      <c r="Q26" s="158" t="s">
        <v>224</v>
      </c>
      <c r="R26" s="158"/>
      <c r="S26" s="158"/>
      <c r="T26" s="185">
        <f>J38/1000*J39/1000*D24/40</f>
        <v>1.8749999999999999E-3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1900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1.1352271999999999</v>
      </c>
      <c r="P28" s="158"/>
      <c r="Q28" s="158" t="s">
        <v>225</v>
      </c>
      <c r="R28" s="158"/>
      <c r="S28" s="158"/>
      <c r="T28" s="158">
        <f>(T24+T25-T26)*J23</f>
        <v>0.4254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5.3999999999999998E-5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0.4239</v>
      </c>
      <c r="M30" s="146" t="s">
        <v>141</v>
      </c>
      <c r="N30" s="158"/>
      <c r="O30" s="184">
        <f>O28+T28</f>
        <v>1.5606271999999999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1.14E-3</v>
      </c>
      <c r="E31" s="158"/>
      <c r="F31" s="158" t="s">
        <v>229</v>
      </c>
      <c r="G31" s="158"/>
      <c r="H31" s="158"/>
      <c r="I31" s="158"/>
      <c r="J31" s="194">
        <f>J30*(D6*(1+D7))</f>
        <v>30.944700000000001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8.9489999999999998</v>
      </c>
      <c r="E32" s="158"/>
      <c r="F32" s="158" t="s">
        <v>231</v>
      </c>
      <c r="G32" s="158"/>
      <c r="H32" s="158"/>
      <c r="I32" s="158"/>
      <c r="J32" s="194">
        <f>J31*J23</f>
        <v>247.55760000000001</v>
      </c>
      <c r="M32" s="146" t="s">
        <v>144</v>
      </c>
      <c r="N32" s="158"/>
      <c r="O32" s="186">
        <f>O30*H6*10^-6*H7</f>
        <v>0.95761645619199998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653.27700000000004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0.95761645619199998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407.56156375531521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0.11491397474303999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7.660931649536E-2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29.670481841386945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3.7499999999999997E-6</v>
      </c>
      <c r="M41" s="146" t="s">
        <v>164</v>
      </c>
      <c r="N41" s="158"/>
      <c r="O41" s="186">
        <f>O35-O39</f>
        <v>377.89108191392825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2.9437499999999998E-2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0.23549999999999999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17.191499999999998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8.5957499999999989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651.47762299999999</v>
      </c>
      <c r="E47" s="158"/>
      <c r="F47" s="158" t="s">
        <v>240</v>
      </c>
      <c r="G47" s="158"/>
      <c r="H47" s="158"/>
      <c r="I47" s="158"/>
      <c r="J47" s="194">
        <f>J32-J45</f>
        <v>238.96185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890.43947300000002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890.43947300000002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890.43947300000002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377.89108191392825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3170.8263872848202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4439.1569421987479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4439.1569421987479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273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8.9489999999999998</v>
      </c>
      <c r="E98" s="219">
        <f>'[1]Old Ladder type  (2)'!K24</f>
        <v>8.9489999999999998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3.3912</v>
      </c>
      <c r="E100" s="219">
        <f>'[1]Old Ladder type  (2)'!L24</f>
        <v>6.7824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0.23549999999999999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(2)'!M24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12.789410999999999</v>
      </c>
      <c r="E104" s="219">
        <f>E98-E99+E100-E101+E102+E103</f>
        <v>16.512980000000002</v>
      </c>
      <c r="F104" s="221">
        <f>(E104-D104)/D104</f>
        <v>0.2911446821124134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945.75847150000004</v>
      </c>
      <c r="E105" s="256">
        <f>E104*D6</f>
        <v>1205.4475400000001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0.63947054999999997</v>
      </c>
      <c r="E107" s="219">
        <f>5%*E104</f>
        <v>0.82564900000000019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272.15866607999999</v>
      </c>
      <c r="E108" s="219">
        <f>E107*$H$8</f>
        <v>351.39621440000008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104.74527608999999</v>
      </c>
      <c r="E110" s="219">
        <f>(E104+E107)*$D$17</f>
        <v>135.2413062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1322.6624136700002</v>
      </c>
      <c r="E112" s="256">
        <f>E110+E105+E108</f>
        <v>1692.0850606000004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696.13811245789486</v>
      </c>
      <c r="E113" s="257">
        <f>E112/(O12/1000)</f>
        <v>890.57108452631599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0.27930229445695115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274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(2)'!B24</f>
        <v>600mm(W)X100mm(H) - B2-i vertical bend</v>
      </c>
      <c r="D124" s="270">
        <f>'[1]Old Ladder type  (2)'!Q24</f>
        <v>16.512980000000002</v>
      </c>
      <c r="E124" s="270">
        <f>'[1]Old Ladder type  (2)'!U24</f>
        <v>0.82564900000000019</v>
      </c>
      <c r="F124" s="270">
        <f>'[1]Old Ladder type  (2)'!Z24</f>
        <v>1393.1093012100002</v>
      </c>
      <c r="H124" s="270">
        <f>D104</f>
        <v>12.789410999999999</v>
      </c>
      <c r="I124" s="270">
        <f>D107</f>
        <v>0.63947054999999997</v>
      </c>
      <c r="J124" s="270">
        <f>D112</f>
        <v>1322.6624136700002</v>
      </c>
      <c r="K124" s="271">
        <f>(F124-J124)/J124</f>
        <v>5.3261426961193056E-2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4">
    <mergeCell ref="B54:J54"/>
    <mergeCell ref="M54:U54"/>
    <mergeCell ref="B61:J61"/>
    <mergeCell ref="B79:J79"/>
    <mergeCell ref="B83:J83"/>
    <mergeCell ref="D120:F120"/>
    <mergeCell ref="H120:J120"/>
    <mergeCell ref="A1:U2"/>
    <mergeCell ref="B5:J5"/>
    <mergeCell ref="M5:U5"/>
    <mergeCell ref="B7:C7"/>
    <mergeCell ref="B13:C13"/>
    <mergeCell ref="B21:J21"/>
    <mergeCell ref="M21:U21"/>
  </mergeCells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766D-0E0A-4DCE-B6A9-59B4037353B4}">
  <dimension ref="A1:W132"/>
  <sheetViews>
    <sheetView showGridLines="0" topLeftCell="A28" zoomScale="55" zoomScaleNormal="55" workbookViewId="0">
      <selection activeCell="O9" sqref="O9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272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150</v>
      </c>
      <c r="P8" s="147"/>
      <c r="Q8" s="147" t="s">
        <v>206</v>
      </c>
      <c r="R8" s="147"/>
      <c r="S8" s="147"/>
      <c r="T8" s="147"/>
      <c r="U8" s="156">
        <f>O8</f>
        <v>150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1900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6"/>
      <c r="N16" s="276"/>
      <c r="O16" s="276"/>
      <c r="P16" s="276"/>
      <c r="Q16" s="276"/>
      <c r="R16" s="276"/>
      <c r="S16" s="276"/>
      <c r="T16" s="276"/>
      <c r="U16" s="276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6"/>
      <c r="N17" s="276"/>
      <c r="O17" s="276"/>
      <c r="P17" s="276"/>
      <c r="Q17" s="276"/>
      <c r="R17" s="276"/>
      <c r="S17" s="276"/>
      <c r="T17" s="276"/>
      <c r="U17" s="276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6"/>
      <c r="N18" s="276"/>
      <c r="O18" s="276"/>
      <c r="P18" s="276"/>
      <c r="Q18" s="276"/>
      <c r="R18" s="276"/>
      <c r="S18" s="276"/>
      <c r="T18" s="276"/>
      <c r="U18" s="276"/>
    </row>
    <row r="19" spans="2:23" x14ac:dyDescent="0.35">
      <c r="M19" s="276"/>
      <c r="N19" s="276"/>
      <c r="O19" s="276"/>
      <c r="P19" s="276"/>
      <c r="Q19" s="276"/>
      <c r="R19" s="276"/>
      <c r="S19" s="276"/>
      <c r="T19" s="276"/>
      <c r="U19" s="276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8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150</v>
      </c>
      <c r="E24" s="158"/>
      <c r="F24" s="158" t="s">
        <v>206</v>
      </c>
      <c r="G24" s="158"/>
      <c r="H24" s="158"/>
      <c r="I24" s="158"/>
      <c r="J24" s="182">
        <f>U8</f>
        <v>150</v>
      </c>
      <c r="M24" s="146" t="s">
        <v>220</v>
      </c>
      <c r="N24" s="158"/>
      <c r="O24" s="158">
        <f>2*(2*(2*D27+D25)/1000*D28/1000)</f>
        <v>1.1399999999999999</v>
      </c>
      <c r="P24" s="158"/>
      <c r="Q24" s="158" t="s">
        <v>221</v>
      </c>
      <c r="R24" s="158"/>
      <c r="S24" s="158"/>
      <c r="T24" s="186">
        <f>2*J24/1000*(J25+2*J26)/1000</f>
        <v>2.7E-2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1.9091199999999999E-2</v>
      </c>
      <c r="P25" s="158"/>
      <c r="Q25" s="158" t="s">
        <v>223</v>
      </c>
      <c r="R25" s="158"/>
      <c r="S25" s="158"/>
      <c r="T25" s="158">
        <f>(2*(J38+J39)/1000*D26/1000)*D24/40</f>
        <v>5.2500000000000008E-4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2.3864000000000003E-2</v>
      </c>
      <c r="P26" s="158"/>
      <c r="Q26" s="158" t="s">
        <v>224</v>
      </c>
      <c r="R26" s="158"/>
      <c r="S26" s="158"/>
      <c r="T26" s="185">
        <f>J38/1000*J39/1000*D24/40</f>
        <v>9.3749999999999997E-4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1900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1.1352271999999999</v>
      </c>
      <c r="P28" s="158"/>
      <c r="Q28" s="158" t="s">
        <v>225</v>
      </c>
      <c r="R28" s="158"/>
      <c r="S28" s="158"/>
      <c r="T28" s="158">
        <f>(T24+T25-T26)*J23</f>
        <v>0.2127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2.6999999999999999E-5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0.21195</v>
      </c>
      <c r="M30" s="146" t="s">
        <v>141</v>
      </c>
      <c r="N30" s="158"/>
      <c r="O30" s="184">
        <f>O28+T28</f>
        <v>1.3479272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1.14E-3</v>
      </c>
      <c r="E31" s="158"/>
      <c r="F31" s="158" t="s">
        <v>229</v>
      </c>
      <c r="G31" s="158"/>
      <c r="H31" s="158"/>
      <c r="I31" s="158"/>
      <c r="J31" s="194">
        <f>J30*(D6*(1+D7))</f>
        <v>15.47235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8.9489999999999998</v>
      </c>
      <c r="E32" s="158"/>
      <c r="F32" s="158" t="s">
        <v>231</v>
      </c>
      <c r="G32" s="158"/>
      <c r="H32" s="158"/>
      <c r="I32" s="158"/>
      <c r="J32" s="194">
        <f>J31*J23</f>
        <v>123.7788</v>
      </c>
      <c r="M32" s="146" t="s">
        <v>144</v>
      </c>
      <c r="N32" s="158"/>
      <c r="O32" s="186">
        <f>O30*H6*10^-6*H7</f>
        <v>0.82710160919200004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653.27700000000004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0.82710160919200004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352.01444487211523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9.9252193103039996E-2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6.6168128735360002E-2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25.626651586689988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1.8749999999999998E-6</v>
      </c>
      <c r="M41" s="146" t="s">
        <v>164</v>
      </c>
      <c r="N41" s="158"/>
      <c r="O41" s="186">
        <f>O35-O39</f>
        <v>326.38779328542523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1.4718749999999999E-2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0.11774999999999999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8.5957499999999989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4.2978749999999994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651.47762299999999</v>
      </c>
      <c r="E47" s="158"/>
      <c r="F47" s="158" t="s">
        <v>240</v>
      </c>
      <c r="G47" s="158"/>
      <c r="H47" s="158"/>
      <c r="I47" s="158"/>
      <c r="J47" s="194">
        <f>J32-J45</f>
        <v>119.480925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770.95854799999995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770.95854799999995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770.95854799999995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326.38779328542523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2743.3658532135632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3840.7121944989885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3840.7121944989885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273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8.9489999999999998</v>
      </c>
      <c r="E98" s="219">
        <f>'[1]Old Ladder type  (2)'!K24</f>
        <v>8.9489999999999998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1.6956</v>
      </c>
      <c r="E100" s="219">
        <f>'[1]Old Ladder type  (2)'!L24</f>
        <v>6.7824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0.11774999999999999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("&amp;'[1]Coupler Plate'!N6&amp;"X"&amp;'[1]Coupler Plate'!N7&amp;"X"&amp;'[1]Coupler Plate'!N8&amp;") (kg)"</f>
        <v>Weight of Coupler plate (70X210X2) (kg)</v>
      </c>
      <c r="D102" s="254">
        <f>'[1]Coupler Plate'!D37*2</f>
        <v>0.41400900000000007</v>
      </c>
      <c r="E102" s="254">
        <f>'[1]Old Ladder type  (2)'!M24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11.211561000000001</v>
      </c>
      <c r="E104" s="219">
        <f>E98-E99+E100-E101+E102+E103</f>
        <v>16.512980000000002</v>
      </c>
      <c r="F104" s="221">
        <f>(E104-D104)/D104</f>
        <v>0.47285288819282173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(D98*D6-D11*D99*D6)+(D100*D6-D11*D101*D6)+('[1]Coupler Plate'!D24-D43*'[1]Coupler Plate'!D34)*D6*2+D103*D6</f>
        <v>826.27754649999997</v>
      </c>
      <c r="E105" s="256">
        <f>E104*D6</f>
        <v>1205.4475400000001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0.56057805000000005</v>
      </c>
      <c r="E107" s="219">
        <f>5%*E104</f>
        <v>0.82564900000000019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238.58201808000004</v>
      </c>
      <c r="E108" s="219">
        <f>E107*$H$8</f>
        <v>351.39621440000008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91.822684590000009</v>
      </c>
      <c r="E110" s="219">
        <f>(E104+E107)*$D$17</f>
        <v>135.2413062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1156.68224917</v>
      </c>
      <c r="E112" s="256">
        <f>E110+E105+E108</f>
        <v>1692.0850606000004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608.78013114210523</v>
      </c>
      <c r="E113" s="257">
        <f>E112/(O12/1000)</f>
        <v>890.57108452631599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0.46287803916260423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274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'[1]Old Ladder type  (2)'!B24</f>
        <v>600mm(W)X100mm(H) - B2-i vertical bend</v>
      </c>
      <c r="D124" s="270">
        <f>'[1]Old Ladder type  (2)'!Q24</f>
        <v>16.512980000000002</v>
      </c>
      <c r="E124" s="270">
        <f>'[1]Old Ladder type  (2)'!U24</f>
        <v>0.82564900000000019</v>
      </c>
      <c r="F124" s="270">
        <f>'[1]Old Ladder type  (2)'!Z24</f>
        <v>1393.1093012100002</v>
      </c>
      <c r="H124" s="270">
        <f>D104</f>
        <v>11.211561000000001</v>
      </c>
      <c r="I124" s="270">
        <f>D107</f>
        <v>0.56057805000000005</v>
      </c>
      <c r="J124" s="270">
        <f>D112</f>
        <v>1156.68224917</v>
      </c>
      <c r="K124" s="271">
        <f>(F124-J124)/J124</f>
        <v>0.20440103771770782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4">
    <mergeCell ref="B54:J54"/>
    <mergeCell ref="M54:U54"/>
    <mergeCell ref="B61:J61"/>
    <mergeCell ref="B79:J79"/>
    <mergeCell ref="B83:J83"/>
    <mergeCell ref="D120:F120"/>
    <mergeCell ref="H120:J120"/>
    <mergeCell ref="A1:U2"/>
    <mergeCell ref="B5:J5"/>
    <mergeCell ref="M5:U5"/>
    <mergeCell ref="B7:C7"/>
    <mergeCell ref="B13:C13"/>
    <mergeCell ref="B21:J21"/>
    <mergeCell ref="M21:U21"/>
  </mergeCells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2F21-C7BA-4E99-AFAC-8AEC59F143EC}">
  <dimension ref="A1:W104"/>
  <sheetViews>
    <sheetView showGridLines="0" topLeftCell="A32" zoomScale="55" zoomScaleNormal="55" workbookViewId="0">
      <selection activeCell="C93" sqref="C93:E93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265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145" t="s">
        <v>89</v>
      </c>
      <c r="C5" s="145"/>
      <c r="D5" s="145"/>
      <c r="E5" s="145"/>
      <c r="F5" s="145"/>
      <c r="G5" s="145"/>
      <c r="H5" s="145"/>
      <c r="I5" s="145"/>
      <c r="J5" s="145"/>
      <c r="M5" s="145" t="s">
        <v>90</v>
      </c>
      <c r="N5" s="145"/>
      <c r="O5" s="145"/>
      <c r="P5" s="145"/>
      <c r="Q5" s="145"/>
      <c r="R5" s="145"/>
      <c r="S5" s="145"/>
      <c r="T5" s="145"/>
      <c r="U5" s="145"/>
    </row>
    <row r="6" spans="1:23" ht="14.25" customHeight="1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/>
      <c r="N6" s="147"/>
      <c r="O6" s="147"/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153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95</v>
      </c>
      <c r="N7" s="147"/>
      <c r="O7" s="155">
        <v>75</v>
      </c>
      <c r="P7" s="147"/>
      <c r="Q7" s="147"/>
      <c r="R7" s="147"/>
      <c r="S7" s="147"/>
      <c r="T7" s="147"/>
      <c r="U7" s="156"/>
    </row>
    <row r="8" spans="1:23" ht="14.25" customHeight="1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98</v>
      </c>
      <c r="N8" s="147"/>
      <c r="O8" s="155">
        <v>25</v>
      </c>
      <c r="P8" s="147"/>
      <c r="Q8" s="147"/>
      <c r="R8" s="147"/>
      <c r="S8" s="147"/>
      <c r="T8" s="147"/>
      <c r="U8" s="156"/>
    </row>
    <row r="9" spans="1:23" ht="14.25" customHeight="1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101</v>
      </c>
      <c r="N9" s="147"/>
      <c r="O9" s="155">
        <v>2</v>
      </c>
      <c r="P9" s="147"/>
      <c r="Q9" s="147"/>
      <c r="R9" s="147"/>
      <c r="S9" s="147"/>
      <c r="T9" s="147"/>
      <c r="U9" s="156"/>
    </row>
    <row r="10" spans="1:23" ht="14.25" customHeight="1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104</v>
      </c>
      <c r="N10" s="147"/>
      <c r="O10" s="161">
        <f>IF(AND(O7&gt;=300,O8&gt;=100),15,0)</f>
        <v>0</v>
      </c>
      <c r="P10" s="147"/>
      <c r="Q10" s="147"/>
      <c r="R10" s="147"/>
      <c r="S10" s="147"/>
      <c r="T10" s="147"/>
      <c r="U10" s="156"/>
      <c r="W10" s="162"/>
    </row>
    <row r="11" spans="1:23" ht="14.25" customHeight="1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107</v>
      </c>
      <c r="N11" s="147"/>
      <c r="O11" s="155">
        <v>2500</v>
      </c>
      <c r="P11" s="147"/>
      <c r="Q11" s="147"/>
      <c r="R11" s="147"/>
      <c r="S11" s="147"/>
      <c r="T11" s="147"/>
      <c r="U11" s="156"/>
    </row>
    <row r="12" spans="1:23" ht="14.25" customHeight="1" x14ac:dyDescent="0.35">
      <c r="B12" s="154" t="s">
        <v>108</v>
      </c>
      <c r="C12" s="147"/>
      <c r="D12" s="153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110</v>
      </c>
      <c r="N12" s="147"/>
      <c r="O12" s="161">
        <v>2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113</v>
      </c>
      <c r="N13" s="147"/>
      <c r="O13" s="161">
        <v>10</v>
      </c>
      <c r="P13" s="147"/>
      <c r="Q13" s="147"/>
      <c r="R13" s="147"/>
      <c r="S13" s="147"/>
      <c r="T13" s="147"/>
      <c r="U13" s="156"/>
    </row>
    <row r="14" spans="1:23" ht="14.25" customHeight="1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116</v>
      </c>
      <c r="N14" s="147"/>
      <c r="O14" s="161">
        <v>20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118</v>
      </c>
      <c r="N15" s="147"/>
      <c r="O15" s="161">
        <v>40</v>
      </c>
      <c r="P15" s="147"/>
      <c r="Q15" s="147"/>
      <c r="R15" s="166"/>
      <c r="S15" s="166"/>
      <c r="T15" s="166"/>
      <c r="U15" s="169"/>
    </row>
    <row r="16" spans="1:23" ht="14.25" customHeight="1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 t="s">
        <v>120</v>
      </c>
      <c r="N16" s="147"/>
      <c r="O16" s="161">
        <f>ROUNDUP(O11/O15-1,0)</f>
        <v>62</v>
      </c>
      <c r="P16" s="147"/>
      <c r="Q16" s="147"/>
      <c r="R16" s="166"/>
      <c r="S16" s="166"/>
      <c r="T16" s="166"/>
      <c r="U16" s="169"/>
    </row>
    <row r="17" spans="2:21" ht="14.25" customHeight="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 t="s">
        <v>122</v>
      </c>
      <c r="N17" s="147"/>
      <c r="O17" s="161">
        <f>4*2*2</f>
        <v>16</v>
      </c>
      <c r="P17" s="166"/>
      <c r="Q17" s="166"/>
      <c r="R17" s="166"/>
      <c r="S17" s="166"/>
      <c r="T17" s="166"/>
      <c r="U17" s="169"/>
    </row>
    <row r="18" spans="2:21" ht="14.25" customHeight="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 t="s">
        <v>123</v>
      </c>
      <c r="N18" s="147"/>
      <c r="O18" s="161">
        <v>10</v>
      </c>
      <c r="P18" s="166"/>
      <c r="Q18" s="166"/>
      <c r="R18" s="166"/>
      <c r="S18" s="166"/>
      <c r="T18" s="166"/>
      <c r="U18" s="169"/>
    </row>
    <row r="19" spans="2:21" ht="14.25" customHeight="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71"/>
      <c r="P19" s="166"/>
      <c r="Q19" s="166"/>
      <c r="R19" s="166"/>
      <c r="S19" s="166"/>
      <c r="T19" s="166"/>
      <c r="U19" s="169"/>
    </row>
    <row r="20" spans="2:21" ht="14.25" customHeight="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 t="s">
        <v>124</v>
      </c>
      <c r="N20" s="147"/>
      <c r="O20" s="161">
        <f>SUMPRODUCT('[1]Coupler plate dimensions (2)'!$F$2:$F$28,--('[1]Coupler plate dimensions (2)'!$D$2:$D$28=O7),--('[1]Coupler plate dimensions (2)'!$E$2:$E$28=O8))</f>
        <v>25</v>
      </c>
      <c r="P20" s="166"/>
      <c r="Q20" s="166"/>
      <c r="R20" s="166"/>
      <c r="S20" s="166"/>
      <c r="T20" s="166"/>
      <c r="U20" s="169"/>
    </row>
    <row r="21" spans="2:21" ht="14.25" customHeight="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 t="s">
        <v>125</v>
      </c>
      <c r="N21" s="147"/>
      <c r="O21" s="161">
        <f>SUMPRODUCT('[1]Coupler plate dimensions (2)'!$G$2:$G$28,--('[1]Coupler plate dimensions (2)'!$D$2:$D$28=O7),--('[1]Coupler plate dimensions (2)'!$E$2:$E$28=O8))</f>
        <v>210</v>
      </c>
      <c r="P21" s="166"/>
      <c r="Q21" s="166"/>
      <c r="R21" s="166"/>
      <c r="S21" s="166"/>
      <c r="T21" s="166"/>
      <c r="U21" s="169"/>
    </row>
    <row r="22" spans="2:21" ht="14.25" customHeight="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 t="s">
        <v>126</v>
      </c>
      <c r="N22" s="147"/>
      <c r="O22" s="161">
        <v>2</v>
      </c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 t="s">
        <v>127</v>
      </c>
      <c r="N23" s="174"/>
      <c r="O23" s="176">
        <f>(2+2)/2</f>
        <v>2</v>
      </c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178" t="s">
        <v>129</v>
      </c>
      <c r="C26" s="178"/>
      <c r="D26" s="178"/>
      <c r="E26" s="178"/>
      <c r="F26" s="178"/>
      <c r="G26" s="178"/>
      <c r="H26" s="178"/>
      <c r="I26" s="178"/>
      <c r="J26" s="178"/>
      <c r="M26" s="178" t="s">
        <v>130</v>
      </c>
      <c r="N26" s="178"/>
      <c r="O26" s="178"/>
      <c r="P26" s="178"/>
      <c r="Q26" s="178"/>
      <c r="R26" s="178"/>
      <c r="S26" s="178"/>
      <c r="T26" s="178"/>
      <c r="U26" s="178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95</v>
      </c>
      <c r="C28" s="158"/>
      <c r="D28" s="158">
        <f>O7</f>
        <v>75</v>
      </c>
      <c r="E28" s="158"/>
      <c r="F28" s="158"/>
      <c r="G28" s="158"/>
      <c r="H28" s="158"/>
      <c r="I28" s="158"/>
      <c r="J28" s="182"/>
      <c r="M28" s="179" t="s">
        <v>132</v>
      </c>
      <c r="N28" s="158"/>
      <c r="O28" s="158"/>
      <c r="P28" s="158"/>
      <c r="Q28" s="180" t="s">
        <v>133</v>
      </c>
      <c r="R28" s="158"/>
      <c r="S28" s="158"/>
      <c r="T28" s="158"/>
      <c r="U28" s="182"/>
    </row>
    <row r="29" spans="2:21" ht="14.25" customHeight="1" outlineLevel="1" x14ac:dyDescent="0.35">
      <c r="B29" s="146" t="s">
        <v>98</v>
      </c>
      <c r="C29" s="158"/>
      <c r="D29" s="158">
        <f>O8</f>
        <v>25</v>
      </c>
      <c r="E29" s="158"/>
      <c r="F29" s="158"/>
      <c r="G29" s="158"/>
      <c r="H29" s="158"/>
      <c r="I29" s="158"/>
      <c r="J29" s="182"/>
      <c r="M29" s="146" t="s">
        <v>134</v>
      </c>
      <c r="N29" s="158"/>
      <c r="O29" s="158">
        <f>2*(2*O10+2*O8+(O7+4))/1000*O11/1000</f>
        <v>0.64500000000000002</v>
      </c>
      <c r="P29" s="158"/>
      <c r="Q29" s="158" t="s">
        <v>135</v>
      </c>
      <c r="R29" s="158"/>
      <c r="S29" s="158"/>
      <c r="T29" s="183">
        <f>3.14*J42/1000*O9/1000*D32/2500*J41</f>
        <v>0</v>
      </c>
      <c r="U29" s="182"/>
    </row>
    <row r="30" spans="2:21" ht="14.25" customHeight="1" outlineLevel="1" x14ac:dyDescent="0.35">
      <c r="B30" s="146" t="s">
        <v>101</v>
      </c>
      <c r="C30" s="158"/>
      <c r="D30" s="158">
        <f>O9</f>
        <v>2</v>
      </c>
      <c r="E30" s="158"/>
      <c r="F30" s="158"/>
      <c r="G30" s="158"/>
      <c r="H30" s="158"/>
      <c r="I30" s="158"/>
      <c r="J30" s="182"/>
      <c r="M30" s="146" t="s">
        <v>136</v>
      </c>
      <c r="N30" s="158"/>
      <c r="O30" s="184">
        <f>(2*(O13+O14)/1000*O9/1000)*D42</f>
        <v>1.4879999999999999E-2</v>
      </c>
      <c r="P30" s="158"/>
      <c r="Q30" s="158" t="s">
        <v>137</v>
      </c>
      <c r="R30" s="158"/>
      <c r="S30" s="158"/>
      <c r="T30" s="183">
        <f>3.14*(J42/2/1000)^2*D32/2500*J41</f>
        <v>0</v>
      </c>
      <c r="U30" s="182"/>
    </row>
    <row r="31" spans="2:21" ht="14.25" customHeight="1" outlineLevel="1" x14ac:dyDescent="0.35">
      <c r="B31" s="146" t="s">
        <v>104</v>
      </c>
      <c r="C31" s="158"/>
      <c r="D31" s="158">
        <f>O10</f>
        <v>0</v>
      </c>
      <c r="E31" s="158"/>
      <c r="F31" s="158"/>
      <c r="G31" s="158"/>
      <c r="H31" s="158"/>
      <c r="I31" s="158"/>
      <c r="J31" s="182"/>
      <c r="M31" s="146" t="s">
        <v>138</v>
      </c>
      <c r="N31" s="158"/>
      <c r="O31" s="184">
        <f>O13/1000*O14/1000*D42</f>
        <v>2.4800000000000003E-2</v>
      </c>
      <c r="P31" s="158"/>
      <c r="Q31" s="158"/>
      <c r="R31" s="158"/>
      <c r="S31" s="158"/>
      <c r="T31" s="185"/>
      <c r="U31" s="182"/>
    </row>
    <row r="32" spans="2:21" ht="14.25" customHeight="1" outlineLevel="1" x14ac:dyDescent="0.35">
      <c r="B32" s="146" t="s">
        <v>107</v>
      </c>
      <c r="C32" s="158"/>
      <c r="D32" s="158">
        <f>O11</f>
        <v>2500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ht="14.25" customHeight="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139</v>
      </c>
      <c r="N33" s="158"/>
      <c r="O33" s="184">
        <f>O29+O30-O31</f>
        <v>0.63507999999999998</v>
      </c>
      <c r="P33" s="158"/>
      <c r="Q33" s="158"/>
      <c r="R33" s="158"/>
      <c r="S33" s="158"/>
      <c r="T33" s="158"/>
      <c r="U33" s="182"/>
    </row>
    <row r="34" spans="2:21" ht="14.25" customHeight="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ht="14.25" customHeight="1" outlineLevel="1" x14ac:dyDescent="0.35">
      <c r="B35" s="146" t="s">
        <v>140</v>
      </c>
      <c r="C35" s="158"/>
      <c r="D35" s="158">
        <f>(2*D31+2*D29+(D28+4))/1000*D30/1000*D32/1000</f>
        <v>6.4499999999999996E-4</v>
      </c>
      <c r="E35" s="158"/>
      <c r="F35" s="158"/>
      <c r="G35" s="158"/>
      <c r="H35" s="158"/>
      <c r="I35" s="158"/>
      <c r="J35" s="182"/>
      <c r="M35" s="146" t="s">
        <v>141</v>
      </c>
      <c r="N35" s="158"/>
      <c r="O35" s="184">
        <f>O33+T29-T30</f>
        <v>0.63507999999999998</v>
      </c>
      <c r="P35" s="158"/>
      <c r="Q35" s="158"/>
      <c r="R35" s="158"/>
      <c r="S35" s="158"/>
      <c r="T35" s="158"/>
      <c r="U35" s="182"/>
    </row>
    <row r="36" spans="2:21" ht="14.25" customHeight="1" outlineLevel="1" x14ac:dyDescent="0.35">
      <c r="B36" s="146" t="s">
        <v>142</v>
      </c>
      <c r="C36" s="158"/>
      <c r="D36" s="158">
        <f>D35*D8</f>
        <v>5.06325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ht="14.25" customHeight="1" outlineLevel="1" x14ac:dyDescent="0.35">
      <c r="B37" s="146" t="s">
        <v>143</v>
      </c>
      <c r="C37" s="158"/>
      <c r="D37" s="158">
        <f>D36*(D6*(1+D7))</f>
        <v>369.61725000000001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0.38969143879999996</v>
      </c>
      <c r="P37" s="158"/>
      <c r="Q37" s="158"/>
      <c r="R37" s="158"/>
      <c r="S37" s="158"/>
      <c r="T37" s="158"/>
      <c r="U37" s="182"/>
    </row>
    <row r="38" spans="2:21" ht="14.25" customHeight="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ht="14.25" customHeight="1" outlineLevel="1" x14ac:dyDescent="0.35">
      <c r="B39" s="188" t="s">
        <v>145</v>
      </c>
      <c r="C39" s="158"/>
      <c r="D39" s="158"/>
      <c r="E39" s="158"/>
      <c r="F39" s="189" t="s">
        <v>146</v>
      </c>
      <c r="G39" s="158"/>
      <c r="H39" s="158"/>
      <c r="I39" s="158"/>
      <c r="J39" s="182"/>
      <c r="M39" s="146" t="s">
        <v>147</v>
      </c>
      <c r="N39" s="158"/>
      <c r="O39" s="186">
        <f>(1+O38)*O37</f>
        <v>0.38969143879999996</v>
      </c>
      <c r="P39" s="158"/>
      <c r="Q39" s="158"/>
      <c r="R39" s="158"/>
      <c r="S39" s="158"/>
      <c r="T39" s="158"/>
      <c r="U39" s="182"/>
    </row>
    <row r="40" spans="2:21" ht="14.25" customHeight="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148</v>
      </c>
      <c r="N40" s="158"/>
      <c r="O40" s="190">
        <f>O39*H8</f>
        <v>165.85267635328</v>
      </c>
      <c r="P40" s="158"/>
      <c r="Q40" s="158"/>
      <c r="R40" s="158"/>
      <c r="S40" s="158"/>
      <c r="T40" s="158"/>
      <c r="U40" s="182"/>
    </row>
    <row r="41" spans="2:21" ht="14.25" customHeight="1" outlineLevel="1" x14ac:dyDescent="0.35">
      <c r="B41" s="146" t="s">
        <v>110</v>
      </c>
      <c r="C41" s="158"/>
      <c r="D41" s="158">
        <f>O12</f>
        <v>2</v>
      </c>
      <c r="E41" s="158"/>
      <c r="F41" s="158" t="s">
        <v>149</v>
      </c>
      <c r="G41" s="158"/>
      <c r="H41" s="158"/>
      <c r="I41" s="158">
        <f>O17</f>
        <v>16</v>
      </c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ht="14.25" customHeight="1" outlineLevel="1" x14ac:dyDescent="0.35">
      <c r="B42" s="146" t="s">
        <v>150</v>
      </c>
      <c r="C42" s="158"/>
      <c r="D42" s="158">
        <f>D41*O16</f>
        <v>124</v>
      </c>
      <c r="E42" s="158"/>
      <c r="F42" s="158" t="s">
        <v>151</v>
      </c>
      <c r="G42" s="158"/>
      <c r="H42" s="158"/>
      <c r="I42" s="158">
        <f>O18</f>
        <v>10</v>
      </c>
      <c r="J42" s="182"/>
      <c r="M42" s="146" t="s">
        <v>152</v>
      </c>
      <c r="N42" s="158"/>
      <c r="O42" s="186">
        <f>H10*O37</f>
        <v>4.676297265599999E-2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ht="14.25" customHeight="1" outlineLevel="1" x14ac:dyDescent="0.35">
      <c r="B43" s="146" t="s">
        <v>154</v>
      </c>
      <c r="C43" s="158"/>
      <c r="D43" s="191">
        <f>D42*O13/1000*O14/1000*O9/1000</f>
        <v>4.9599999999999999E-5</v>
      </c>
      <c r="E43" s="158"/>
      <c r="F43" s="158" t="s">
        <v>155</v>
      </c>
      <c r="G43" s="158"/>
      <c r="H43" s="158"/>
      <c r="I43" s="192">
        <f>I41*3.14*(I42/2/1000)^2*O9/1000</f>
        <v>2.5120000000000003E-6</v>
      </c>
      <c r="J43" s="182"/>
      <c r="M43" s="146" t="s">
        <v>156</v>
      </c>
      <c r="N43" s="158"/>
      <c r="O43" s="186">
        <f>H11*O37</f>
        <v>3.1175315103999998E-2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ht="14.25" customHeight="1" outlineLevel="1" x14ac:dyDescent="0.35">
      <c r="B44" s="146" t="s">
        <v>158</v>
      </c>
      <c r="C44" s="158"/>
      <c r="D44" s="186">
        <f>D43*D8</f>
        <v>0.38935999999999998</v>
      </c>
      <c r="E44" s="158"/>
      <c r="F44" s="158" t="s">
        <v>159</v>
      </c>
      <c r="G44" s="158"/>
      <c r="H44" s="158"/>
      <c r="I44" s="192">
        <f>I43*D32/2500</f>
        <v>2.5120000000000003E-6</v>
      </c>
      <c r="J44" s="182"/>
      <c r="M44" s="146" t="s">
        <v>160</v>
      </c>
      <c r="N44" s="158"/>
      <c r="O44" s="186">
        <f>O42*T42+O43*T43</f>
        <v>12.074074838518783</v>
      </c>
      <c r="P44" s="158"/>
      <c r="Q44" s="158"/>
      <c r="R44" s="158"/>
      <c r="S44" s="158"/>
      <c r="T44" s="158"/>
      <c r="U44" s="182"/>
    </row>
    <row r="45" spans="2:21" ht="14.25" customHeight="1" outlineLevel="1" x14ac:dyDescent="0.35">
      <c r="B45" s="146" t="s">
        <v>161</v>
      </c>
      <c r="C45" s="158"/>
      <c r="D45" s="186">
        <f>D44*D6</f>
        <v>28.423279999999998</v>
      </c>
      <c r="E45" s="158"/>
      <c r="F45" s="158" t="s">
        <v>162</v>
      </c>
      <c r="G45" s="158"/>
      <c r="H45" s="158"/>
      <c r="I45" s="186">
        <f>I44*D8</f>
        <v>1.9719200000000003E-2</v>
      </c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ht="14.25" customHeight="1" outlineLevel="1" x14ac:dyDescent="0.35">
      <c r="B46" s="146" t="s">
        <v>163</v>
      </c>
      <c r="C46" s="158"/>
      <c r="D46" s="187">
        <f>D11</f>
        <v>0.3</v>
      </c>
      <c r="E46" s="158"/>
      <c r="F46" s="158" t="s">
        <v>161</v>
      </c>
      <c r="G46" s="158"/>
      <c r="H46" s="158"/>
      <c r="I46" s="186">
        <f>I45*D6</f>
        <v>1.4395016000000003</v>
      </c>
      <c r="J46" s="182"/>
      <c r="M46" s="146" t="s">
        <v>164</v>
      </c>
      <c r="N46" s="158"/>
      <c r="O46" s="186">
        <f>O40-O44</f>
        <v>153.77860151476122</v>
      </c>
      <c r="P46" s="158"/>
      <c r="Q46" s="158"/>
      <c r="R46" s="158"/>
      <c r="S46" s="158"/>
      <c r="T46" s="158"/>
      <c r="U46" s="182"/>
    </row>
    <row r="47" spans="2:21" ht="14.25" customHeight="1" outlineLevel="1" x14ac:dyDescent="0.35">
      <c r="B47" s="146" t="s">
        <v>165</v>
      </c>
      <c r="C47" s="158"/>
      <c r="D47" s="186">
        <f>D45*D46</f>
        <v>8.5269839999999988</v>
      </c>
      <c r="E47" s="158"/>
      <c r="F47" s="158" t="s">
        <v>166</v>
      </c>
      <c r="G47" s="158"/>
      <c r="H47" s="158"/>
      <c r="I47" s="186">
        <f>I46*D46</f>
        <v>0.43185048000000009</v>
      </c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ht="14.25" customHeight="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ht="14.25" customHeight="1" outlineLevel="1" x14ac:dyDescent="0.35">
      <c r="B49" s="146" t="s">
        <v>167</v>
      </c>
      <c r="C49" s="158"/>
      <c r="D49" s="186">
        <f>D37-D47-I47</f>
        <v>360.65841552000006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ht="14.25" customHeight="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ht="14.25" customHeight="1" outlineLevel="1" x14ac:dyDescent="0.35">
      <c r="B51" s="146" t="s">
        <v>168</v>
      </c>
      <c r="C51" s="158"/>
      <c r="D51" s="186">
        <f>D49</f>
        <v>360.65841552000006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4.25" customHeight="1" outlineLevel="1" x14ac:dyDescent="0.35">
      <c r="B52" s="146" t="s">
        <v>108</v>
      </c>
      <c r="C52" s="158"/>
      <c r="D52" s="193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ht="14.25" customHeight="1" outlineLevel="1" x14ac:dyDescent="0.35">
      <c r="B53" s="146" t="s">
        <v>169</v>
      </c>
      <c r="C53" s="158"/>
      <c r="D53" s="195">
        <f>(1+D52)*D51</f>
        <v>360.65841552000006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178" t="s">
        <v>170</v>
      </c>
      <c r="C56" s="178"/>
      <c r="D56" s="178"/>
      <c r="E56" s="178"/>
      <c r="F56" s="178"/>
      <c r="G56" s="178"/>
      <c r="H56" s="178"/>
      <c r="I56" s="178"/>
      <c r="J56" s="178"/>
    </row>
    <row r="57" spans="2:21" ht="14.25" customHeight="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ht="14.25" customHeight="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173</v>
      </c>
      <c r="C61" s="204"/>
      <c r="D61" s="204"/>
      <c r="E61" s="204"/>
      <c r="F61" s="204"/>
      <c r="G61" s="204"/>
      <c r="H61" s="204"/>
      <c r="I61" s="204"/>
      <c r="J61" s="204"/>
    </row>
    <row r="62" spans="2:21" ht="14.25" customHeight="1" x14ac:dyDescent="0.35">
      <c r="B62" s="205"/>
      <c r="J62" s="206"/>
    </row>
    <row r="63" spans="2:21" ht="14.25" customHeight="1" x14ac:dyDescent="0.35">
      <c r="B63" s="205"/>
      <c r="C63" s="207"/>
      <c r="J63" s="206"/>
    </row>
    <row r="64" spans="2:21" ht="14.25" customHeight="1" x14ac:dyDescent="0.35">
      <c r="B64" s="205"/>
      <c r="J64" s="206"/>
    </row>
    <row r="65" spans="2:10" ht="15" hidden="1" customHeight="1" x14ac:dyDescent="0.35">
      <c r="B65" s="178" t="s">
        <v>175</v>
      </c>
      <c r="C65" s="178"/>
      <c r="D65" s="178"/>
      <c r="E65" s="178"/>
      <c r="F65" s="178"/>
      <c r="G65" s="178"/>
      <c r="H65" s="178"/>
      <c r="I65" s="178"/>
      <c r="J65" s="178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360.65841552000006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153.77860151476122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O57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1286.0925425869032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(D36-D44-I45)*D13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09" t="s">
        <v>184</v>
      </c>
      <c r="C77" s="210"/>
      <c r="D77" s="211">
        <f>SUM(D67:D75)</f>
        <v>1800.5295596216645</v>
      </c>
      <c r="E77" s="210"/>
      <c r="F77" s="210"/>
      <c r="G77" s="210"/>
      <c r="H77" s="210"/>
      <c r="I77" s="210"/>
      <c r="J77" s="212"/>
    </row>
    <row r="78" spans="2:10" ht="18.75" hidden="1" customHeight="1" x14ac:dyDescent="0.35">
      <c r="B78" s="213" t="s">
        <v>185</v>
      </c>
      <c r="C78" s="214"/>
      <c r="D78" s="215">
        <f>SUM(D67:D74)</f>
        <v>1800.5295596216645</v>
      </c>
      <c r="E78" s="214"/>
      <c r="F78" s="214"/>
      <c r="G78" s="214"/>
      <c r="H78" s="214"/>
      <c r="I78" s="214"/>
      <c r="J78" s="216"/>
    </row>
    <row r="79" spans="2:10" ht="14.25" customHeight="1" x14ac:dyDescent="0.35">
      <c r="B79" s="205"/>
      <c r="C79" s="217" t="s">
        <v>264</v>
      </c>
      <c r="D79" s="218"/>
      <c r="E79" s="218" t="s">
        <v>186</v>
      </c>
      <c r="J79" s="206"/>
    </row>
    <row r="80" spans="2:10" ht="14.25" customHeight="1" x14ac:dyDescent="0.35">
      <c r="B80" s="146"/>
      <c r="C80" s="158" t="s">
        <v>187</v>
      </c>
      <c r="D80" s="219">
        <f>D36</f>
        <v>5.06325</v>
      </c>
      <c r="E80" s="219">
        <f>D32/1000*(D28+2*D29+2*D31)/1000*D30/1000*D8</f>
        <v>4.90625</v>
      </c>
      <c r="F80" s="158"/>
      <c r="G80" s="158"/>
      <c r="H80" s="158"/>
      <c r="I80" s="158"/>
      <c r="J80" s="182"/>
    </row>
    <row r="81" spans="2:10" ht="14.25" customHeight="1" x14ac:dyDescent="0.35">
      <c r="B81" s="146"/>
      <c r="C81" s="158" t="s">
        <v>188</v>
      </c>
      <c r="D81" s="220">
        <f>D44+I45</f>
        <v>0.40907919999999998</v>
      </c>
      <c r="E81" s="220">
        <v>0</v>
      </c>
      <c r="F81" s="221">
        <f>D81/D80</f>
        <v>8.0793798449612403E-2</v>
      </c>
      <c r="G81" s="158"/>
      <c r="H81" s="158"/>
      <c r="I81" s="158"/>
      <c r="J81" s="182"/>
    </row>
    <row r="82" spans="2:10" ht="14.25" customHeight="1" x14ac:dyDescent="0.35">
      <c r="B82" s="146"/>
      <c r="C82" s="158" t="s">
        <v>189</v>
      </c>
      <c r="D82" s="220">
        <f>2*(O20*O21)/1000000*D8*O22/1000</f>
        <v>0.16485000000000002</v>
      </c>
      <c r="E82" s="220">
        <f>2*(O20*O21)/1000000*D8*O22/1000</f>
        <v>0.16485000000000002</v>
      </c>
      <c r="F82" s="221"/>
      <c r="G82" s="158"/>
      <c r="H82" s="158"/>
      <c r="I82" s="158"/>
      <c r="J82" s="182"/>
    </row>
    <row r="83" spans="2:10" ht="14.25" customHeight="1" x14ac:dyDescent="0.35">
      <c r="B83" s="146"/>
      <c r="C83" s="158" t="s">
        <v>190</v>
      </c>
      <c r="D83" s="219">
        <v>0.32</v>
      </c>
      <c r="E83" s="219">
        <v>0.32</v>
      </c>
      <c r="F83" s="222"/>
      <c r="G83" s="223" t="s">
        <v>191</v>
      </c>
      <c r="H83" s="158"/>
      <c r="I83" s="158"/>
      <c r="J83" s="182"/>
    </row>
    <row r="84" spans="2:10" ht="14.25" customHeight="1" x14ac:dyDescent="0.35">
      <c r="B84" s="146"/>
      <c r="C84" s="158" t="s">
        <v>192</v>
      </c>
      <c r="D84" s="219">
        <f>D80-D81+D82+D83</f>
        <v>5.1390208000000008</v>
      </c>
      <c r="E84" s="219">
        <f>E80-E81+E82+E83</f>
        <v>5.3911000000000007</v>
      </c>
      <c r="F84" s="221">
        <f>(E84-D84)/D84</f>
        <v>4.905199060490275E-2</v>
      </c>
      <c r="G84" s="187"/>
      <c r="H84" s="158"/>
      <c r="I84" s="158"/>
      <c r="J84" s="182"/>
    </row>
    <row r="85" spans="2:10" ht="14.25" customHeight="1" x14ac:dyDescent="0.35">
      <c r="B85" s="146"/>
      <c r="C85" s="189" t="s">
        <v>193</v>
      </c>
      <c r="D85" s="224">
        <f>((D80+D83)-D81*D46)*D6+2*('[1]Coupler Plate 75x25'!D24-'[1]Coupler Plate 75x25'!D34*'[1]Coupler Plate 75x25'!D11)*D6</f>
        <v>395.01066062000001</v>
      </c>
      <c r="E85" s="224">
        <f>E84*D6</f>
        <v>393.55030000000005</v>
      </c>
      <c r="F85" s="221">
        <f>(E85-D85)/D85</f>
        <v>-3.6970157152412305E-3</v>
      </c>
      <c r="G85" s="187"/>
      <c r="H85" s="158"/>
      <c r="I85" s="158"/>
      <c r="J85" s="182"/>
    </row>
    <row r="86" spans="2:10" ht="14.25" customHeight="1" x14ac:dyDescent="0.35">
      <c r="B86" s="146"/>
      <c r="C86" s="158"/>
      <c r="D86" s="219"/>
      <c r="E86" s="219"/>
      <c r="F86" s="158"/>
      <c r="G86" s="158"/>
      <c r="H86" s="158"/>
      <c r="I86" s="158"/>
      <c r="J86" s="182"/>
    </row>
    <row r="87" spans="2:10" ht="14.25" customHeight="1" x14ac:dyDescent="0.35">
      <c r="B87" s="146"/>
      <c r="C87" s="158" t="s">
        <v>144</v>
      </c>
      <c r="D87" s="219">
        <f>O39</f>
        <v>0.38969143879999996</v>
      </c>
      <c r="E87" s="219">
        <f>5%*E84</f>
        <v>0.26955500000000004</v>
      </c>
      <c r="F87" s="158"/>
      <c r="G87" s="223" t="s">
        <v>194</v>
      </c>
      <c r="H87" s="158"/>
      <c r="I87" s="158"/>
      <c r="J87" s="182"/>
    </row>
    <row r="88" spans="2:10" ht="14.25" customHeight="1" x14ac:dyDescent="0.35">
      <c r="B88" s="146"/>
      <c r="C88" s="158" t="s">
        <v>195</v>
      </c>
      <c r="D88" s="225">
        <f>D87*H8-O44</f>
        <v>153.77860151476122</v>
      </c>
      <c r="E88" s="225">
        <f>E87*H8</f>
        <v>114.72260800000002</v>
      </c>
      <c r="F88" s="158"/>
      <c r="G88" s="158"/>
      <c r="H88" s="158"/>
      <c r="I88" s="158"/>
      <c r="J88" s="182"/>
    </row>
    <row r="89" spans="2:10" ht="14.25" customHeight="1" x14ac:dyDescent="0.35">
      <c r="B89" s="146"/>
      <c r="C89" s="158"/>
      <c r="D89" s="219"/>
      <c r="E89" s="219"/>
      <c r="F89" s="158"/>
      <c r="G89" s="158"/>
      <c r="H89" s="158"/>
      <c r="I89" s="158"/>
      <c r="J89" s="182"/>
    </row>
    <row r="90" spans="2:10" ht="14.25" customHeight="1" x14ac:dyDescent="0.35">
      <c r="B90" s="146"/>
      <c r="C90" s="158" t="s">
        <v>196</v>
      </c>
      <c r="D90" s="225">
        <f>(D84+D87)*($D$17+$D$15)</f>
        <v>56.945736059640012</v>
      </c>
      <c r="E90" s="225">
        <f>(E84+E87)*($D$17+$D$15)</f>
        <v>58.304746500000014</v>
      </c>
      <c r="F90" s="158"/>
      <c r="G90" s="158"/>
      <c r="H90" s="158"/>
      <c r="I90" s="158"/>
      <c r="J90" s="182"/>
    </row>
    <row r="91" spans="2:10" ht="14.25" customHeight="1" x14ac:dyDescent="0.35">
      <c r="B91" s="146"/>
      <c r="C91" s="158"/>
      <c r="D91" s="219"/>
      <c r="E91" s="219"/>
      <c r="F91" s="158"/>
      <c r="G91" s="158"/>
      <c r="H91" s="158"/>
      <c r="I91" s="158"/>
      <c r="J91" s="182"/>
    </row>
    <row r="92" spans="2:10" ht="14.25" customHeight="1" x14ac:dyDescent="0.35">
      <c r="B92" s="146"/>
      <c r="C92" s="189" t="s">
        <v>197</v>
      </c>
      <c r="D92" s="224">
        <f>D90+D85+D88</f>
        <v>605.73499819440121</v>
      </c>
      <c r="E92" s="224">
        <f>E90+E85+E88</f>
        <v>566.57765450000011</v>
      </c>
      <c r="F92" s="158"/>
      <c r="G92" s="158"/>
      <c r="H92" s="158"/>
      <c r="I92" s="158"/>
      <c r="J92" s="182"/>
    </row>
    <row r="93" spans="2:10" ht="14.25" customHeight="1" x14ac:dyDescent="0.35">
      <c r="B93" s="146"/>
      <c r="C93" s="69" t="s">
        <v>199</v>
      </c>
      <c r="D93" s="115">
        <f>D92/(O11/1000)</f>
        <v>242.29399927776049</v>
      </c>
      <c r="E93" s="115">
        <f>E92/(O11/1000)</f>
        <v>226.63106180000005</v>
      </c>
      <c r="F93" s="158"/>
      <c r="G93" s="158"/>
      <c r="H93" s="158"/>
      <c r="I93" s="158"/>
      <c r="J93" s="182"/>
    </row>
    <row r="94" spans="2:10" ht="14.25" customHeight="1" x14ac:dyDescent="0.35">
      <c r="B94" s="146"/>
      <c r="C94" s="158" t="s">
        <v>198</v>
      </c>
      <c r="D94" s="226">
        <f>(E92-D92)/D92</f>
        <v>-6.4644347464027765E-2</v>
      </c>
      <c r="E94" s="219"/>
      <c r="F94" s="158"/>
      <c r="G94" s="158"/>
      <c r="H94" s="158"/>
      <c r="I94" s="158"/>
      <c r="J94" s="182"/>
    </row>
    <row r="95" spans="2:10" ht="15" customHeight="1" thickBot="1" x14ac:dyDescent="0.4">
      <c r="B95" s="196"/>
      <c r="C95" s="227"/>
      <c r="D95" s="227"/>
      <c r="E95" s="227"/>
      <c r="F95" s="197"/>
      <c r="G95" s="197"/>
      <c r="H95" s="197"/>
      <c r="I95" s="197"/>
      <c r="J95" s="199"/>
    </row>
    <row r="98" spans="3:5" ht="14.25" customHeight="1" x14ac:dyDescent="0.35">
      <c r="E98" s="228"/>
    </row>
    <row r="99" spans="3:5" s="229" customFormat="1" ht="6" customHeight="1" x14ac:dyDescent="0.35">
      <c r="D99" s="230"/>
      <c r="E99" s="230"/>
    </row>
    <row r="100" spans="3:5" s="231" customFormat="1" ht="14.25" customHeight="1" x14ac:dyDescent="0.35">
      <c r="D100" s="232"/>
      <c r="E100" s="232"/>
    </row>
    <row r="104" spans="3:5" ht="14.25" customHeight="1" x14ac:dyDescent="0.35">
      <c r="C104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745C-BCE4-49E0-AB24-BD859CA2C688}">
  <dimension ref="A1:W104"/>
  <sheetViews>
    <sheetView showGridLines="0" topLeftCell="A44" zoomScale="70" zoomScaleNormal="70" workbookViewId="0">
      <selection activeCell="M88" sqref="M88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5" style="143" customWidth="1"/>
    <col min="5" max="5" width="15.453125" style="143" customWidth="1"/>
    <col min="6" max="6" width="18" style="143" customWidth="1"/>
    <col min="7" max="7" width="30" style="143" customWidth="1"/>
    <col min="8" max="9" width="11" style="143" customWidth="1"/>
    <col min="10" max="10" width="2.1796875" style="143" customWidth="1"/>
    <col min="11" max="11" width="2.26953125" style="143" customWidth="1"/>
    <col min="12" max="12" width="1.1796875" style="143" customWidth="1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9" width="9.1796875" style="143"/>
    <col min="20" max="20" width="11.1796875" style="143" customWidth="1"/>
    <col min="21" max="22" width="9.1796875" style="143"/>
    <col min="23" max="23" width="20.54296875" style="143" customWidth="1"/>
    <col min="24" max="16384" width="9.1796875" style="143"/>
  </cols>
  <sheetData>
    <row r="1" spans="1:23" ht="15" customHeight="1" x14ac:dyDescent="0.35">
      <c r="A1" s="142" t="s">
        <v>265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3" ht="15" customHeight="1" thickBot="1" x14ac:dyDescent="0.4">
      <c r="B4" s="144"/>
    </row>
    <row r="5" spans="1:23" ht="15" customHeight="1" x14ac:dyDescent="0.35">
      <c r="B5" s="145" t="s">
        <v>89</v>
      </c>
      <c r="C5" s="145"/>
      <c r="D5" s="145"/>
      <c r="E5" s="145"/>
      <c r="F5" s="145"/>
      <c r="G5" s="145"/>
      <c r="H5" s="145"/>
      <c r="I5" s="145"/>
      <c r="J5" s="145"/>
      <c r="M5" s="145" t="s">
        <v>90</v>
      </c>
      <c r="N5" s="145"/>
      <c r="O5" s="145"/>
      <c r="P5" s="145"/>
      <c r="Q5" s="145"/>
      <c r="R5" s="145"/>
      <c r="S5" s="145"/>
      <c r="T5" s="145"/>
      <c r="U5" s="145"/>
    </row>
    <row r="6" spans="1:23" ht="14.25" customHeight="1" x14ac:dyDescent="0.35">
      <c r="B6" s="146" t="s">
        <v>91</v>
      </c>
      <c r="C6" s="147"/>
      <c r="D6" s="148">
        <v>73</v>
      </c>
      <c r="E6" s="147"/>
      <c r="F6" s="147" t="s">
        <v>92</v>
      </c>
      <c r="G6" s="147"/>
      <c r="H6" s="148">
        <v>86</v>
      </c>
      <c r="I6" s="147"/>
      <c r="J6" s="149"/>
      <c r="M6" s="150"/>
      <c r="N6" s="147"/>
      <c r="O6" s="147"/>
      <c r="P6" s="147"/>
      <c r="Q6" s="151"/>
      <c r="R6" s="147"/>
      <c r="S6" s="147"/>
      <c r="T6" s="147"/>
      <c r="U6" s="149"/>
    </row>
    <row r="7" spans="1:23" ht="36.75" customHeight="1" x14ac:dyDescent="0.35">
      <c r="B7" s="152" t="s">
        <v>93</v>
      </c>
      <c r="C7" s="152"/>
      <c r="D7" s="153">
        <v>0</v>
      </c>
      <c r="E7" s="147"/>
      <c r="F7" s="147" t="s">
        <v>94</v>
      </c>
      <c r="G7" s="147"/>
      <c r="H7" s="148">
        <v>7135</v>
      </c>
      <c r="I7" s="147"/>
      <c r="J7" s="149"/>
      <c r="M7" s="154" t="s">
        <v>95</v>
      </c>
      <c r="N7" s="147"/>
      <c r="O7" s="155">
        <v>50</v>
      </c>
      <c r="P7" s="147"/>
      <c r="Q7" s="147"/>
      <c r="R7" s="147"/>
      <c r="S7" s="147"/>
      <c r="T7" s="147"/>
      <c r="U7" s="156"/>
    </row>
    <row r="8" spans="1:23" ht="14.25" customHeight="1" x14ac:dyDescent="0.35">
      <c r="B8" s="154" t="s">
        <v>96</v>
      </c>
      <c r="C8" s="147"/>
      <c r="D8" s="148">
        <v>7850</v>
      </c>
      <c r="E8" s="147"/>
      <c r="F8" s="147" t="s">
        <v>97</v>
      </c>
      <c r="G8" s="147"/>
      <c r="H8" s="148">
        <v>425.6</v>
      </c>
      <c r="I8" s="147"/>
      <c r="J8" s="157"/>
      <c r="M8" s="154" t="s">
        <v>98</v>
      </c>
      <c r="N8" s="147"/>
      <c r="O8" s="155">
        <v>25</v>
      </c>
      <c r="P8" s="147"/>
      <c r="Q8" s="147"/>
      <c r="R8" s="147"/>
      <c r="S8" s="147"/>
      <c r="T8" s="147"/>
      <c r="U8" s="156"/>
    </row>
    <row r="9" spans="1:23" ht="14.25" customHeight="1" x14ac:dyDescent="0.35">
      <c r="B9" s="146" t="s">
        <v>99</v>
      </c>
      <c r="C9" s="147"/>
      <c r="D9" s="153">
        <v>0</v>
      </c>
      <c r="E9" s="147"/>
      <c r="F9" s="147" t="s">
        <v>100</v>
      </c>
      <c r="G9" s="147"/>
      <c r="H9" s="153">
        <v>0</v>
      </c>
      <c r="I9" s="147"/>
      <c r="J9" s="149"/>
      <c r="M9" s="154" t="s">
        <v>101</v>
      </c>
      <c r="N9" s="147"/>
      <c r="O9" s="155">
        <v>2</v>
      </c>
      <c r="P9" s="147"/>
      <c r="Q9" s="147"/>
      <c r="R9" s="147"/>
      <c r="S9" s="147"/>
      <c r="T9" s="147"/>
      <c r="U9" s="156"/>
    </row>
    <row r="10" spans="1:23" ht="14.25" customHeight="1" x14ac:dyDescent="0.35">
      <c r="B10" s="146" t="s">
        <v>102</v>
      </c>
      <c r="C10" s="158"/>
      <c r="D10" s="159">
        <v>0</v>
      </c>
      <c r="E10" s="147"/>
      <c r="F10" s="147" t="s">
        <v>103</v>
      </c>
      <c r="G10" s="147"/>
      <c r="H10" s="160">
        <v>0.12</v>
      </c>
      <c r="I10" s="147"/>
      <c r="J10" s="149"/>
      <c r="M10" s="154" t="s">
        <v>104</v>
      </c>
      <c r="N10" s="147"/>
      <c r="O10" s="161">
        <f>IF(AND(O7&gt;=300,O8&gt;=100),15,0)</f>
        <v>0</v>
      </c>
      <c r="P10" s="147"/>
      <c r="Q10" s="147"/>
      <c r="R10" s="147"/>
      <c r="S10" s="147"/>
      <c r="T10" s="147"/>
      <c r="U10" s="156"/>
      <c r="W10" s="162"/>
    </row>
    <row r="11" spans="1:23" ht="14.25" customHeight="1" x14ac:dyDescent="0.35">
      <c r="B11" s="154" t="s">
        <v>105</v>
      </c>
      <c r="C11" s="147"/>
      <c r="D11" s="160">
        <v>0.3</v>
      </c>
      <c r="E11" s="147"/>
      <c r="F11" s="147" t="s">
        <v>106</v>
      </c>
      <c r="G11" s="147"/>
      <c r="H11" s="160">
        <v>0.08</v>
      </c>
      <c r="I11" s="147"/>
      <c r="J11" s="157"/>
      <c r="M11" s="154" t="s">
        <v>107</v>
      </c>
      <c r="N11" s="147"/>
      <c r="O11" s="155">
        <v>2500</v>
      </c>
      <c r="P11" s="147"/>
      <c r="Q11" s="147"/>
      <c r="R11" s="147"/>
      <c r="S11" s="147"/>
      <c r="T11" s="147"/>
      <c r="U11" s="156"/>
    </row>
    <row r="12" spans="1:23" ht="14.25" customHeight="1" x14ac:dyDescent="0.35">
      <c r="B12" s="154" t="s">
        <v>108</v>
      </c>
      <c r="C12" s="147"/>
      <c r="D12" s="153">
        <v>0</v>
      </c>
      <c r="E12" s="147"/>
      <c r="F12" s="147" t="s">
        <v>109</v>
      </c>
      <c r="G12" s="147"/>
      <c r="H12" s="160">
        <v>0.26</v>
      </c>
      <c r="I12" s="147"/>
      <c r="J12" s="149"/>
      <c r="M12" s="154" t="s">
        <v>110</v>
      </c>
      <c r="N12" s="147"/>
      <c r="O12" s="161">
        <v>2</v>
      </c>
      <c r="P12" s="147"/>
      <c r="Q12" s="147"/>
      <c r="R12" s="147"/>
      <c r="S12" s="147"/>
      <c r="T12" s="147"/>
      <c r="U12" s="156"/>
    </row>
    <row r="13" spans="1:23" ht="33" customHeight="1" x14ac:dyDescent="0.35">
      <c r="B13" s="152" t="s">
        <v>111</v>
      </c>
      <c r="C13" s="152"/>
      <c r="D13" s="163">
        <v>0</v>
      </c>
      <c r="E13" s="147"/>
      <c r="F13" s="147" t="s">
        <v>112</v>
      </c>
      <c r="G13" s="147"/>
      <c r="H13" s="160">
        <v>0.52</v>
      </c>
      <c r="I13" s="147"/>
      <c r="J13" s="149"/>
      <c r="M13" s="154" t="s">
        <v>113</v>
      </c>
      <c r="N13" s="147"/>
      <c r="O13" s="161">
        <v>10</v>
      </c>
      <c r="P13" s="147"/>
      <c r="Q13" s="147"/>
      <c r="R13" s="147"/>
      <c r="S13" s="147"/>
      <c r="T13" s="147"/>
      <c r="U13" s="156"/>
    </row>
    <row r="14" spans="1:23" ht="14.25" customHeight="1" x14ac:dyDescent="0.35">
      <c r="B14" s="146" t="s">
        <v>114</v>
      </c>
      <c r="C14" s="158"/>
      <c r="D14" s="164">
        <v>0</v>
      </c>
      <c r="E14" s="147"/>
      <c r="F14" s="147" t="s">
        <v>115</v>
      </c>
      <c r="G14" s="147"/>
      <c r="H14" s="153">
        <v>0</v>
      </c>
      <c r="I14" s="147"/>
      <c r="J14" s="149"/>
      <c r="M14" s="154" t="s">
        <v>116</v>
      </c>
      <c r="N14" s="147"/>
      <c r="O14" s="161">
        <v>20</v>
      </c>
      <c r="P14" s="147"/>
      <c r="Q14" s="147"/>
      <c r="R14" s="147"/>
      <c r="S14" s="147"/>
      <c r="T14" s="147"/>
      <c r="U14" s="156"/>
    </row>
    <row r="15" spans="1:23" ht="28.5" customHeight="1" x14ac:dyDescent="0.35">
      <c r="B15" s="154" t="s">
        <v>117</v>
      </c>
      <c r="C15" s="147"/>
      <c r="D15" s="165">
        <v>2.5</v>
      </c>
      <c r="E15" s="166"/>
      <c r="F15" s="166"/>
      <c r="G15" s="166"/>
      <c r="H15" s="167"/>
      <c r="I15" s="166"/>
      <c r="J15" s="168"/>
      <c r="M15" s="154" t="s">
        <v>118</v>
      </c>
      <c r="N15" s="147"/>
      <c r="O15" s="161">
        <v>40</v>
      </c>
      <c r="P15" s="147"/>
      <c r="Q15" s="147"/>
      <c r="R15" s="166"/>
      <c r="S15" s="166"/>
      <c r="T15" s="166"/>
      <c r="U15" s="169"/>
    </row>
    <row r="16" spans="1:23" ht="14.25" customHeight="1" x14ac:dyDescent="0.35">
      <c r="B16" s="146" t="s">
        <v>119</v>
      </c>
      <c r="C16" s="158"/>
      <c r="D16" s="159">
        <v>0</v>
      </c>
      <c r="E16" s="166"/>
      <c r="F16" s="166"/>
      <c r="G16" s="166"/>
      <c r="H16" s="167"/>
      <c r="I16" s="166"/>
      <c r="J16" s="168"/>
      <c r="M16" s="154" t="s">
        <v>120</v>
      </c>
      <c r="N16" s="147"/>
      <c r="O16" s="161">
        <f>ROUNDUP(O11/O15-1,0)</f>
        <v>62</v>
      </c>
      <c r="P16" s="147"/>
      <c r="Q16" s="147"/>
      <c r="R16" s="166"/>
      <c r="S16" s="166"/>
      <c r="T16" s="166"/>
      <c r="U16" s="169"/>
    </row>
    <row r="17" spans="2:21" ht="14.25" customHeight="1" x14ac:dyDescent="0.35">
      <c r="B17" s="170" t="s">
        <v>121</v>
      </c>
      <c r="C17" s="166"/>
      <c r="D17" s="165">
        <f>6.5*1.2</f>
        <v>7.8</v>
      </c>
      <c r="E17" s="166"/>
      <c r="F17" s="166"/>
      <c r="G17" s="166"/>
      <c r="H17" s="167"/>
      <c r="I17" s="166"/>
      <c r="J17" s="168"/>
      <c r="M17" s="154" t="s">
        <v>122</v>
      </c>
      <c r="N17" s="147"/>
      <c r="O17" s="161">
        <f>4*2*2</f>
        <v>16</v>
      </c>
      <c r="P17" s="166"/>
      <c r="Q17" s="166"/>
      <c r="R17" s="166"/>
      <c r="S17" s="166"/>
      <c r="T17" s="166"/>
      <c r="U17" s="169"/>
    </row>
    <row r="18" spans="2:21" ht="14.25" customHeight="1" x14ac:dyDescent="0.35">
      <c r="B18" s="170"/>
      <c r="C18" s="166"/>
      <c r="D18" s="166"/>
      <c r="E18" s="166"/>
      <c r="F18" s="166"/>
      <c r="G18" s="166"/>
      <c r="H18" s="167"/>
      <c r="I18" s="166"/>
      <c r="J18" s="168"/>
      <c r="M18" s="154" t="s">
        <v>123</v>
      </c>
      <c r="N18" s="147"/>
      <c r="O18" s="161">
        <v>10</v>
      </c>
      <c r="P18" s="166"/>
      <c r="Q18" s="166"/>
      <c r="R18" s="166"/>
      <c r="S18" s="166"/>
      <c r="T18" s="166"/>
      <c r="U18" s="169"/>
    </row>
    <row r="19" spans="2:21" ht="14.25" customHeight="1" x14ac:dyDescent="0.35">
      <c r="B19" s="170"/>
      <c r="C19" s="166"/>
      <c r="D19" s="166"/>
      <c r="E19" s="166"/>
      <c r="F19" s="166"/>
      <c r="G19" s="166"/>
      <c r="H19" s="167"/>
      <c r="I19" s="166"/>
      <c r="J19" s="168"/>
      <c r="M19" s="170"/>
      <c r="N19" s="147"/>
      <c r="O19" s="171"/>
      <c r="P19" s="166"/>
      <c r="Q19" s="166"/>
      <c r="R19" s="166"/>
      <c r="S19" s="166"/>
      <c r="T19" s="166"/>
      <c r="U19" s="169"/>
    </row>
    <row r="20" spans="2:21" ht="14.25" customHeight="1" x14ac:dyDescent="0.35">
      <c r="B20" s="170"/>
      <c r="C20" s="166"/>
      <c r="D20" s="166"/>
      <c r="E20" s="166"/>
      <c r="F20" s="166"/>
      <c r="G20" s="166"/>
      <c r="H20" s="167"/>
      <c r="I20" s="166"/>
      <c r="J20" s="168"/>
      <c r="M20" s="172" t="s">
        <v>124</v>
      </c>
      <c r="N20" s="147"/>
      <c r="O20" s="161">
        <f>SUMPRODUCT('[2]Coupler plate dimensions'!$F$2:$F$28,--('[2]Coupler plate dimensions'!$D$2:$D$28=O7),--('[2]Coupler plate dimensions'!$E$2:$E$28=O8))</f>
        <v>25</v>
      </c>
      <c r="P20" s="166"/>
      <c r="Q20" s="166"/>
      <c r="R20" s="166"/>
      <c r="S20" s="166"/>
      <c r="T20" s="166"/>
      <c r="U20" s="169"/>
    </row>
    <row r="21" spans="2:21" ht="14.25" customHeight="1" x14ac:dyDescent="0.35">
      <c r="B21" s="170"/>
      <c r="C21" s="166"/>
      <c r="D21" s="166"/>
      <c r="E21" s="166"/>
      <c r="F21" s="166"/>
      <c r="G21" s="166"/>
      <c r="H21" s="167"/>
      <c r="I21" s="166"/>
      <c r="J21" s="168"/>
      <c r="M21" s="172" t="s">
        <v>125</v>
      </c>
      <c r="N21" s="147"/>
      <c r="O21" s="161">
        <f>SUMPRODUCT('[2]Coupler plate dimensions'!$G$2:$G$28,--('[2]Coupler plate dimensions'!$D$2:$D$28=O7),--('[2]Coupler plate dimensions'!$E$2:$E$28=O8))</f>
        <v>210</v>
      </c>
      <c r="P21" s="166"/>
      <c r="Q21" s="166"/>
      <c r="R21" s="166"/>
      <c r="S21" s="166"/>
      <c r="T21" s="166"/>
      <c r="U21" s="169"/>
    </row>
    <row r="22" spans="2:21" ht="14.25" customHeight="1" x14ac:dyDescent="0.35">
      <c r="B22" s="170"/>
      <c r="C22" s="166"/>
      <c r="D22" s="166"/>
      <c r="E22" s="166"/>
      <c r="F22" s="166"/>
      <c r="G22" s="166"/>
      <c r="H22" s="167"/>
      <c r="I22" s="166"/>
      <c r="J22" s="168"/>
      <c r="M22" s="172" t="s">
        <v>126</v>
      </c>
      <c r="N22" s="147"/>
      <c r="O22" s="161">
        <v>2</v>
      </c>
      <c r="P22" s="166"/>
      <c r="Q22" s="166"/>
      <c r="R22" s="166"/>
      <c r="S22" s="166"/>
      <c r="T22" s="166"/>
      <c r="U22" s="169"/>
    </row>
    <row r="23" spans="2:21" ht="15" customHeight="1" thickBot="1" x14ac:dyDescent="0.4">
      <c r="B23" s="173"/>
      <c r="C23" s="174"/>
      <c r="D23" s="174"/>
      <c r="E23" s="174"/>
      <c r="F23" s="174"/>
      <c r="G23" s="174"/>
      <c r="H23" s="174"/>
      <c r="I23" s="174"/>
      <c r="J23" s="175"/>
      <c r="M23" s="173" t="s">
        <v>127</v>
      </c>
      <c r="N23" s="174"/>
      <c r="O23" s="176">
        <f>(2+2)/2</f>
        <v>2</v>
      </c>
      <c r="P23" s="174"/>
      <c r="Q23" s="174"/>
      <c r="R23" s="174"/>
      <c r="S23" s="174"/>
      <c r="T23" s="174"/>
      <c r="U23" s="175"/>
    </row>
    <row r="25" spans="2:21" ht="15.75" customHeight="1" thickBot="1" x14ac:dyDescent="0.4">
      <c r="B25" s="177" t="s">
        <v>128</v>
      </c>
    </row>
    <row r="26" spans="2:21" ht="15" customHeight="1" outlineLevel="1" x14ac:dyDescent="0.35">
      <c r="B26" s="178" t="s">
        <v>129</v>
      </c>
      <c r="C26" s="178"/>
      <c r="D26" s="178"/>
      <c r="E26" s="178"/>
      <c r="F26" s="178"/>
      <c r="G26" s="178"/>
      <c r="H26" s="178"/>
      <c r="I26" s="178"/>
      <c r="J26" s="178"/>
      <c r="M26" s="178" t="s">
        <v>130</v>
      </c>
      <c r="N26" s="178"/>
      <c r="O26" s="178"/>
      <c r="P26" s="178"/>
      <c r="Q26" s="178"/>
      <c r="R26" s="178"/>
      <c r="S26" s="178"/>
      <c r="T26" s="178"/>
      <c r="U26" s="178"/>
    </row>
    <row r="27" spans="2:21" ht="15" customHeight="1" outlineLevel="1" x14ac:dyDescent="0.35">
      <c r="B27" s="179"/>
      <c r="C27" s="180"/>
      <c r="D27" s="180"/>
      <c r="E27" s="180"/>
      <c r="F27" s="180"/>
      <c r="G27" s="180"/>
      <c r="H27" s="180"/>
      <c r="I27" s="180"/>
      <c r="J27" s="181"/>
      <c r="M27" s="146" t="s">
        <v>131</v>
      </c>
      <c r="N27" s="158"/>
      <c r="O27" s="158"/>
      <c r="P27" s="158"/>
      <c r="Q27" s="158"/>
      <c r="R27" s="158"/>
      <c r="S27" s="158"/>
      <c r="T27" s="158"/>
      <c r="U27" s="182"/>
    </row>
    <row r="28" spans="2:21" ht="15" customHeight="1" outlineLevel="1" x14ac:dyDescent="0.35">
      <c r="B28" s="146" t="s">
        <v>95</v>
      </c>
      <c r="C28" s="158"/>
      <c r="D28" s="158">
        <f>O7</f>
        <v>50</v>
      </c>
      <c r="E28" s="158"/>
      <c r="F28" s="158"/>
      <c r="G28" s="158"/>
      <c r="H28" s="158"/>
      <c r="I28" s="158"/>
      <c r="J28" s="182"/>
      <c r="M28" s="179" t="s">
        <v>132</v>
      </c>
      <c r="N28" s="158"/>
      <c r="O28" s="158"/>
      <c r="P28" s="158"/>
      <c r="Q28" s="180" t="s">
        <v>133</v>
      </c>
      <c r="R28" s="158"/>
      <c r="S28" s="158"/>
      <c r="T28" s="158"/>
      <c r="U28" s="182"/>
    </row>
    <row r="29" spans="2:21" ht="14.25" customHeight="1" outlineLevel="1" x14ac:dyDescent="0.35">
      <c r="B29" s="146" t="s">
        <v>98</v>
      </c>
      <c r="C29" s="158"/>
      <c r="D29" s="158">
        <f>O8</f>
        <v>25</v>
      </c>
      <c r="E29" s="158"/>
      <c r="F29" s="158"/>
      <c r="G29" s="158"/>
      <c r="H29" s="158"/>
      <c r="I29" s="158"/>
      <c r="J29" s="182"/>
      <c r="M29" s="146" t="s">
        <v>134</v>
      </c>
      <c r="N29" s="158"/>
      <c r="O29" s="158">
        <f>2*(2*O10+2*O8+(O7+4))/1000*O11/1000</f>
        <v>0.52</v>
      </c>
      <c r="P29" s="158"/>
      <c r="Q29" s="158" t="s">
        <v>135</v>
      </c>
      <c r="R29" s="158"/>
      <c r="S29" s="158"/>
      <c r="T29" s="183">
        <f>3.14*J42/1000*O9/1000*D32/2500*J41</f>
        <v>0</v>
      </c>
      <c r="U29" s="182"/>
    </row>
    <row r="30" spans="2:21" ht="14.25" customHeight="1" outlineLevel="1" x14ac:dyDescent="0.35">
      <c r="B30" s="146" t="s">
        <v>101</v>
      </c>
      <c r="C30" s="158"/>
      <c r="D30" s="158">
        <f>O9</f>
        <v>2</v>
      </c>
      <c r="E30" s="158"/>
      <c r="F30" s="158"/>
      <c r="G30" s="158"/>
      <c r="H30" s="158"/>
      <c r="I30" s="158"/>
      <c r="J30" s="182"/>
      <c r="M30" s="146" t="s">
        <v>136</v>
      </c>
      <c r="N30" s="158"/>
      <c r="O30" s="184">
        <f>(2*(O13+O14)/1000*O9/1000)*D42</f>
        <v>1.4879999999999999E-2</v>
      </c>
      <c r="P30" s="158"/>
      <c r="Q30" s="158" t="s">
        <v>137</v>
      </c>
      <c r="R30" s="158"/>
      <c r="S30" s="158"/>
      <c r="T30" s="183">
        <f>3.14*(J42/2/1000)^2*D32/2500*J41</f>
        <v>0</v>
      </c>
      <c r="U30" s="182"/>
    </row>
    <row r="31" spans="2:21" ht="14.25" customHeight="1" outlineLevel="1" x14ac:dyDescent="0.35">
      <c r="B31" s="146" t="s">
        <v>104</v>
      </c>
      <c r="C31" s="158"/>
      <c r="D31" s="158">
        <f>O10</f>
        <v>0</v>
      </c>
      <c r="E31" s="158"/>
      <c r="F31" s="158"/>
      <c r="G31" s="158"/>
      <c r="H31" s="158"/>
      <c r="I31" s="158"/>
      <c r="J31" s="182"/>
      <c r="M31" s="146" t="s">
        <v>138</v>
      </c>
      <c r="N31" s="158"/>
      <c r="O31" s="184">
        <f>O13/1000*O14/1000*D42</f>
        <v>2.4800000000000003E-2</v>
      </c>
      <c r="P31" s="158"/>
      <c r="Q31" s="158"/>
      <c r="R31" s="158"/>
      <c r="S31" s="158"/>
      <c r="T31" s="185"/>
      <c r="U31" s="182"/>
    </row>
    <row r="32" spans="2:21" ht="14.25" customHeight="1" outlineLevel="1" x14ac:dyDescent="0.35">
      <c r="B32" s="146" t="s">
        <v>107</v>
      </c>
      <c r="C32" s="158"/>
      <c r="D32" s="158">
        <f>O11</f>
        <v>2500</v>
      </c>
      <c r="E32" s="158"/>
      <c r="F32" s="158"/>
      <c r="G32" s="158"/>
      <c r="H32" s="158"/>
      <c r="I32" s="158"/>
      <c r="J32" s="182"/>
      <c r="M32" s="146"/>
      <c r="N32" s="158"/>
      <c r="O32" s="158"/>
      <c r="P32" s="158"/>
      <c r="Q32" s="158"/>
      <c r="R32" s="158"/>
      <c r="S32" s="158"/>
      <c r="T32" s="158"/>
      <c r="U32" s="182"/>
    </row>
    <row r="33" spans="2:21" ht="14.25" customHeight="1" outlineLevel="1" x14ac:dyDescent="0.35">
      <c r="B33" s="146"/>
      <c r="C33" s="158"/>
      <c r="D33" s="158"/>
      <c r="E33" s="158"/>
      <c r="F33" s="158"/>
      <c r="G33" s="158"/>
      <c r="H33" s="158"/>
      <c r="I33" s="158"/>
      <c r="J33" s="182"/>
      <c r="M33" s="146" t="s">
        <v>139</v>
      </c>
      <c r="N33" s="158"/>
      <c r="O33" s="184">
        <f>O29+O30-O31</f>
        <v>0.51007999999999998</v>
      </c>
      <c r="P33" s="158"/>
      <c r="Q33" s="158"/>
      <c r="R33" s="158"/>
      <c r="S33" s="158"/>
      <c r="T33" s="158"/>
      <c r="U33" s="182"/>
    </row>
    <row r="34" spans="2:21" ht="14.25" customHeight="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/>
      <c r="N34" s="158"/>
      <c r="O34" s="158"/>
      <c r="P34" s="158"/>
      <c r="Q34" s="158"/>
      <c r="R34" s="158"/>
      <c r="S34" s="158"/>
      <c r="T34" s="158"/>
      <c r="U34" s="182"/>
    </row>
    <row r="35" spans="2:21" ht="14.25" customHeight="1" outlineLevel="1" x14ac:dyDescent="0.35">
      <c r="B35" s="146" t="s">
        <v>140</v>
      </c>
      <c r="C35" s="158"/>
      <c r="D35" s="158">
        <f>(2*D31+2*D29+(D28+4))/1000*D30/1000*D32/1000</f>
        <v>5.2000000000000006E-4</v>
      </c>
      <c r="E35" s="158"/>
      <c r="F35" s="158"/>
      <c r="G35" s="158"/>
      <c r="H35" s="158"/>
      <c r="I35" s="158"/>
      <c r="J35" s="182"/>
      <c r="M35" s="146" t="s">
        <v>141</v>
      </c>
      <c r="N35" s="158"/>
      <c r="O35" s="184">
        <f>O33+T29-T30</f>
        <v>0.51007999999999998</v>
      </c>
      <c r="P35" s="158"/>
      <c r="Q35" s="158"/>
      <c r="R35" s="158"/>
      <c r="S35" s="158"/>
      <c r="T35" s="158"/>
      <c r="U35" s="182"/>
    </row>
    <row r="36" spans="2:21" ht="14.25" customHeight="1" outlineLevel="1" x14ac:dyDescent="0.35">
      <c r="B36" s="146" t="s">
        <v>142</v>
      </c>
      <c r="C36" s="158"/>
      <c r="D36" s="158">
        <f>D35*D8</f>
        <v>4.0820000000000007</v>
      </c>
      <c r="E36" s="158"/>
      <c r="F36" s="158"/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ht="14.25" customHeight="1" outlineLevel="1" x14ac:dyDescent="0.35">
      <c r="B37" s="146" t="s">
        <v>143</v>
      </c>
      <c r="C37" s="158"/>
      <c r="D37" s="158">
        <f>D36*(D6*(1+D7))</f>
        <v>297.98600000000005</v>
      </c>
      <c r="E37" s="158"/>
      <c r="F37" s="158"/>
      <c r="G37" s="158"/>
      <c r="H37" s="158"/>
      <c r="I37" s="158"/>
      <c r="J37" s="182"/>
      <c r="M37" s="146" t="s">
        <v>144</v>
      </c>
      <c r="N37" s="158"/>
      <c r="O37" s="186">
        <f>O35*H6*10^-6*H7</f>
        <v>0.31299018879999996</v>
      </c>
      <c r="P37" s="158"/>
      <c r="Q37" s="158"/>
      <c r="R37" s="158"/>
      <c r="S37" s="158"/>
      <c r="T37" s="158"/>
      <c r="U37" s="182"/>
    </row>
    <row r="38" spans="2:21" ht="14.25" customHeight="1" outlineLevel="1" x14ac:dyDescent="0.35">
      <c r="B38" s="146"/>
      <c r="C38" s="158"/>
      <c r="D38" s="158"/>
      <c r="E38" s="158"/>
      <c r="F38" s="158"/>
      <c r="G38" s="158"/>
      <c r="H38" s="158"/>
      <c r="I38" s="158"/>
      <c r="J38" s="182"/>
      <c r="M38" s="146" t="s">
        <v>100</v>
      </c>
      <c r="N38" s="158"/>
      <c r="O38" s="187">
        <f>H9</f>
        <v>0</v>
      </c>
      <c r="P38" s="158"/>
      <c r="Q38" s="158"/>
      <c r="R38" s="158"/>
      <c r="S38" s="158"/>
      <c r="T38" s="158"/>
      <c r="U38" s="182"/>
    </row>
    <row r="39" spans="2:21" ht="14.25" customHeight="1" outlineLevel="1" x14ac:dyDescent="0.35">
      <c r="B39" s="188" t="s">
        <v>145</v>
      </c>
      <c r="C39" s="158"/>
      <c r="D39" s="158"/>
      <c r="E39" s="158"/>
      <c r="F39" s="189" t="s">
        <v>146</v>
      </c>
      <c r="G39" s="158"/>
      <c r="H39" s="158"/>
      <c r="I39" s="158"/>
      <c r="J39" s="182"/>
      <c r="M39" s="146" t="s">
        <v>147</v>
      </c>
      <c r="N39" s="158"/>
      <c r="O39" s="186">
        <f>(1+O38)*O37</f>
        <v>0.31299018879999996</v>
      </c>
      <c r="P39" s="158"/>
      <c r="Q39" s="158"/>
      <c r="R39" s="158"/>
      <c r="S39" s="158"/>
      <c r="T39" s="158"/>
      <c r="U39" s="182"/>
    </row>
    <row r="40" spans="2:21" ht="14.25" customHeight="1" outlineLevel="1" x14ac:dyDescent="0.35">
      <c r="B40" s="146"/>
      <c r="C40" s="158"/>
      <c r="D40" s="158"/>
      <c r="E40" s="158"/>
      <c r="F40" s="158"/>
      <c r="G40" s="158"/>
      <c r="H40" s="158"/>
      <c r="I40" s="158"/>
      <c r="J40" s="182"/>
      <c r="M40" s="146" t="s">
        <v>148</v>
      </c>
      <c r="N40" s="158"/>
      <c r="O40" s="190">
        <f>O39*H8</f>
        <v>133.20862435327999</v>
      </c>
      <c r="P40" s="158"/>
      <c r="Q40" s="158"/>
      <c r="R40" s="158"/>
      <c r="S40" s="158"/>
      <c r="T40" s="158"/>
      <c r="U40" s="182"/>
    </row>
    <row r="41" spans="2:21" ht="14.25" customHeight="1" outlineLevel="1" x14ac:dyDescent="0.35">
      <c r="B41" s="146" t="s">
        <v>110</v>
      </c>
      <c r="C41" s="158"/>
      <c r="D41" s="158">
        <f>O12</f>
        <v>2</v>
      </c>
      <c r="E41" s="158"/>
      <c r="F41" s="158" t="s">
        <v>149</v>
      </c>
      <c r="G41" s="158"/>
      <c r="H41" s="158"/>
      <c r="I41" s="158">
        <f>O17</f>
        <v>16</v>
      </c>
      <c r="J41" s="182"/>
      <c r="M41" s="146"/>
      <c r="N41" s="158"/>
      <c r="O41" s="158"/>
      <c r="P41" s="158"/>
      <c r="Q41" s="158"/>
      <c r="R41" s="158"/>
      <c r="S41" s="158"/>
      <c r="T41" s="158"/>
      <c r="U41" s="182"/>
    </row>
    <row r="42" spans="2:21" ht="14.25" customHeight="1" outlineLevel="1" x14ac:dyDescent="0.35">
      <c r="B42" s="146" t="s">
        <v>150</v>
      </c>
      <c r="C42" s="158"/>
      <c r="D42" s="158">
        <f>D41*O16</f>
        <v>124</v>
      </c>
      <c r="E42" s="158"/>
      <c r="F42" s="158" t="s">
        <v>151</v>
      </c>
      <c r="G42" s="158"/>
      <c r="H42" s="158"/>
      <c r="I42" s="158">
        <f>O18</f>
        <v>10</v>
      </c>
      <c r="J42" s="182"/>
      <c r="M42" s="146" t="s">
        <v>152</v>
      </c>
      <c r="N42" s="158"/>
      <c r="O42" s="186">
        <f>H10*O37</f>
        <v>3.7558822655999996E-2</v>
      </c>
      <c r="P42" s="158"/>
      <c r="Q42" s="158" t="s">
        <v>153</v>
      </c>
      <c r="R42" s="158"/>
      <c r="S42" s="158"/>
      <c r="T42" s="158">
        <f>H12*$H$8</f>
        <v>110.65600000000001</v>
      </c>
      <c r="U42" s="182"/>
    </row>
    <row r="43" spans="2:21" ht="14.25" customHeight="1" outlineLevel="1" x14ac:dyDescent="0.35">
      <c r="B43" s="146" t="s">
        <v>154</v>
      </c>
      <c r="C43" s="158"/>
      <c r="D43" s="191">
        <f>D42*O13/1000*O14/1000*O9/1000</f>
        <v>4.9599999999999999E-5</v>
      </c>
      <c r="E43" s="158"/>
      <c r="F43" s="158" t="s">
        <v>155</v>
      </c>
      <c r="G43" s="158"/>
      <c r="H43" s="158"/>
      <c r="I43" s="192">
        <f>I41*3.14*(I42/2/1000)^2*O9/1000</f>
        <v>2.5120000000000003E-6</v>
      </c>
      <c r="J43" s="182"/>
      <c r="M43" s="146" t="s">
        <v>156</v>
      </c>
      <c r="N43" s="158"/>
      <c r="O43" s="186">
        <f>H11*O37</f>
        <v>2.5039215103999996E-2</v>
      </c>
      <c r="P43" s="158"/>
      <c r="Q43" s="158" t="s">
        <v>157</v>
      </c>
      <c r="R43" s="158"/>
      <c r="S43" s="158"/>
      <c r="T43" s="158">
        <f>H13*$H$8</f>
        <v>221.31200000000001</v>
      </c>
      <c r="U43" s="182"/>
    </row>
    <row r="44" spans="2:21" ht="14.25" customHeight="1" outlineLevel="1" x14ac:dyDescent="0.35">
      <c r="B44" s="146" t="s">
        <v>158</v>
      </c>
      <c r="C44" s="158"/>
      <c r="D44" s="186">
        <f>D43*D8</f>
        <v>0.38935999999999998</v>
      </c>
      <c r="E44" s="158"/>
      <c r="F44" s="158" t="s">
        <v>159</v>
      </c>
      <c r="G44" s="158"/>
      <c r="H44" s="158"/>
      <c r="I44" s="192">
        <f>I43*D32/2500</f>
        <v>2.5120000000000003E-6</v>
      </c>
      <c r="J44" s="182"/>
      <c r="M44" s="146" t="s">
        <v>160</v>
      </c>
      <c r="N44" s="158"/>
      <c r="O44" s="186">
        <f>O42*T42+O43*T43</f>
        <v>9.6975878529187831</v>
      </c>
      <c r="P44" s="158"/>
      <c r="Q44" s="158"/>
      <c r="R44" s="158"/>
      <c r="S44" s="158"/>
      <c r="T44" s="158"/>
      <c r="U44" s="182"/>
    </row>
    <row r="45" spans="2:21" ht="14.25" customHeight="1" outlineLevel="1" x14ac:dyDescent="0.35">
      <c r="B45" s="146" t="s">
        <v>161</v>
      </c>
      <c r="C45" s="158"/>
      <c r="D45" s="186">
        <f>D44*D6</f>
        <v>28.423279999999998</v>
      </c>
      <c r="E45" s="158"/>
      <c r="F45" s="158" t="s">
        <v>162</v>
      </c>
      <c r="G45" s="158"/>
      <c r="H45" s="158"/>
      <c r="I45" s="186">
        <f>I44*D8</f>
        <v>1.9719200000000003E-2</v>
      </c>
      <c r="J45" s="182"/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ht="14.25" customHeight="1" outlineLevel="1" x14ac:dyDescent="0.35">
      <c r="B46" s="146" t="s">
        <v>163</v>
      </c>
      <c r="C46" s="158"/>
      <c r="D46" s="187">
        <f>D11</f>
        <v>0.3</v>
      </c>
      <c r="E46" s="158"/>
      <c r="F46" s="158" t="s">
        <v>161</v>
      </c>
      <c r="G46" s="158"/>
      <c r="H46" s="158"/>
      <c r="I46" s="186">
        <f>I45*D6</f>
        <v>1.4395016000000003</v>
      </c>
      <c r="J46" s="182"/>
      <c r="M46" s="146" t="s">
        <v>164</v>
      </c>
      <c r="N46" s="158"/>
      <c r="O46" s="186">
        <f>O40-O44</f>
        <v>123.5110365003612</v>
      </c>
      <c r="P46" s="158"/>
      <c r="Q46" s="158"/>
      <c r="R46" s="158"/>
      <c r="S46" s="158"/>
      <c r="T46" s="158"/>
      <c r="U46" s="182"/>
    </row>
    <row r="47" spans="2:21" ht="14.25" customHeight="1" outlineLevel="1" x14ac:dyDescent="0.35">
      <c r="B47" s="146" t="s">
        <v>165</v>
      </c>
      <c r="C47" s="158"/>
      <c r="D47" s="186">
        <f>D45*D46</f>
        <v>8.5269839999999988</v>
      </c>
      <c r="E47" s="158"/>
      <c r="F47" s="158" t="s">
        <v>166</v>
      </c>
      <c r="G47" s="158"/>
      <c r="H47" s="158"/>
      <c r="I47" s="186">
        <f>I46*D46</f>
        <v>0.43185048000000009</v>
      </c>
      <c r="J47" s="182"/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ht="14.25" customHeight="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ht="14.25" customHeight="1" outlineLevel="1" x14ac:dyDescent="0.35">
      <c r="B49" s="146" t="s">
        <v>167</v>
      </c>
      <c r="C49" s="158"/>
      <c r="D49" s="186">
        <f>D37-D47-I47</f>
        <v>289.02716552000004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ht="14.25" customHeight="1" outlineLevel="1" x14ac:dyDescent="0.35">
      <c r="B50" s="146"/>
      <c r="C50" s="158"/>
      <c r="D50" s="158"/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ht="14.25" customHeight="1" outlineLevel="1" x14ac:dyDescent="0.35">
      <c r="B51" s="146" t="s">
        <v>168</v>
      </c>
      <c r="C51" s="158"/>
      <c r="D51" s="186">
        <f>D49</f>
        <v>289.02716552000004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4.25" customHeight="1" outlineLevel="1" x14ac:dyDescent="0.35">
      <c r="B52" s="146" t="s">
        <v>108</v>
      </c>
      <c r="C52" s="158"/>
      <c r="D52" s="193">
        <f>D12</f>
        <v>0</v>
      </c>
      <c r="E52" s="158"/>
      <c r="F52" s="158"/>
      <c r="G52" s="158"/>
      <c r="H52" s="158"/>
      <c r="I52" s="158"/>
      <c r="J52" s="194"/>
      <c r="M52" s="146"/>
      <c r="N52" s="158"/>
      <c r="O52" s="158"/>
      <c r="P52" s="158"/>
      <c r="Q52" s="158"/>
      <c r="R52" s="158"/>
      <c r="S52" s="158"/>
      <c r="T52" s="158"/>
      <c r="U52" s="182"/>
    </row>
    <row r="53" spans="2:21" ht="14.25" customHeight="1" outlineLevel="1" x14ac:dyDescent="0.35">
      <c r="B53" s="146" t="s">
        <v>169</v>
      </c>
      <c r="C53" s="158"/>
      <c r="D53" s="195">
        <f>(1+D52)*D51</f>
        <v>289.02716552000004</v>
      </c>
      <c r="E53" s="158"/>
      <c r="F53" s="158"/>
      <c r="G53" s="158"/>
      <c r="H53" s="158"/>
      <c r="I53" s="158"/>
      <c r="J53" s="182"/>
      <c r="M53" s="146"/>
      <c r="N53" s="158"/>
      <c r="O53" s="158"/>
      <c r="P53" s="158"/>
      <c r="Q53" s="158"/>
      <c r="R53" s="158"/>
      <c r="S53" s="158"/>
      <c r="T53" s="158"/>
      <c r="U53" s="182"/>
    </row>
    <row r="54" spans="2:21" ht="15" customHeight="1" outlineLevel="1" thickBot="1" x14ac:dyDescent="0.4">
      <c r="B54" s="196"/>
      <c r="C54" s="197"/>
      <c r="D54" s="198"/>
      <c r="E54" s="197"/>
      <c r="F54" s="197"/>
      <c r="G54" s="197"/>
      <c r="H54" s="197"/>
      <c r="I54" s="197"/>
      <c r="J54" s="199"/>
      <c r="M54" s="196"/>
      <c r="N54" s="197"/>
      <c r="O54" s="197"/>
      <c r="P54" s="197"/>
      <c r="Q54" s="197"/>
      <c r="R54" s="197"/>
      <c r="S54" s="197"/>
      <c r="T54" s="197"/>
      <c r="U54" s="199"/>
    </row>
    <row r="55" spans="2:21" ht="15" customHeight="1" outlineLevel="1" thickBot="1" x14ac:dyDescent="0.4"/>
    <row r="56" spans="2:21" ht="15" customHeight="1" outlineLevel="1" x14ac:dyDescent="0.35">
      <c r="B56" s="178" t="s">
        <v>170</v>
      </c>
      <c r="C56" s="178"/>
      <c r="D56" s="178"/>
      <c r="E56" s="178"/>
      <c r="F56" s="178"/>
      <c r="G56" s="178"/>
      <c r="H56" s="178"/>
      <c r="I56" s="178"/>
      <c r="J56" s="178"/>
    </row>
    <row r="57" spans="2:21" ht="14.25" customHeight="1" outlineLevel="1" x14ac:dyDescent="0.35">
      <c r="B57" s="146" t="s">
        <v>171</v>
      </c>
      <c r="C57" s="158"/>
      <c r="D57" s="186">
        <f>D37*D9</f>
        <v>0</v>
      </c>
      <c r="E57" s="158"/>
      <c r="F57" s="158"/>
      <c r="G57" s="158"/>
      <c r="H57" s="158"/>
      <c r="I57" s="158"/>
      <c r="J57" s="182"/>
    </row>
    <row r="58" spans="2:21" ht="14.25" customHeight="1" outlineLevel="1" x14ac:dyDescent="0.35">
      <c r="B58" s="200" t="s">
        <v>172</v>
      </c>
      <c r="C58" s="201"/>
      <c r="D58" s="202">
        <f>D37*D10</f>
        <v>0</v>
      </c>
      <c r="E58" s="201"/>
      <c r="F58" s="201"/>
      <c r="G58" s="201"/>
      <c r="H58" s="201"/>
      <c r="I58" s="201"/>
      <c r="J58" s="203"/>
    </row>
    <row r="59" spans="2:21" ht="15" customHeight="1" outlineLevel="1" thickBot="1" x14ac:dyDescent="0.4">
      <c r="B59" s="196"/>
      <c r="C59" s="197"/>
      <c r="D59" s="197"/>
      <c r="E59" s="197"/>
      <c r="F59" s="197"/>
      <c r="G59" s="197"/>
      <c r="H59" s="197"/>
      <c r="I59" s="197"/>
      <c r="J59" s="199"/>
    </row>
    <row r="60" spans="2:21" ht="15" customHeight="1" thickBot="1" x14ac:dyDescent="0.4"/>
    <row r="61" spans="2:21" ht="15" customHeight="1" x14ac:dyDescent="0.35">
      <c r="B61" s="204" t="s">
        <v>173</v>
      </c>
      <c r="C61" s="204"/>
      <c r="D61" s="204"/>
      <c r="E61" s="204"/>
      <c r="F61" s="204"/>
      <c r="G61" s="204"/>
      <c r="H61" s="204"/>
      <c r="I61" s="204"/>
      <c r="J61" s="204"/>
    </row>
    <row r="62" spans="2:21" ht="14.25" customHeight="1" x14ac:dyDescent="0.35">
      <c r="B62" s="205"/>
      <c r="J62" s="206"/>
    </row>
    <row r="63" spans="2:21" ht="14.25" customHeight="1" x14ac:dyDescent="0.35">
      <c r="B63" s="205"/>
      <c r="C63" s="207"/>
      <c r="J63" s="206"/>
    </row>
    <row r="64" spans="2:21" ht="14.25" customHeight="1" x14ac:dyDescent="0.35">
      <c r="B64" s="205"/>
      <c r="J64" s="206"/>
    </row>
    <row r="65" spans="2:10" ht="15" hidden="1" customHeight="1" x14ac:dyDescent="0.35">
      <c r="B65" s="178" t="s">
        <v>175</v>
      </c>
      <c r="C65" s="178"/>
      <c r="D65" s="178"/>
      <c r="E65" s="178"/>
      <c r="F65" s="178"/>
      <c r="G65" s="178"/>
      <c r="H65" s="178"/>
      <c r="I65" s="178"/>
      <c r="J65" s="178"/>
    </row>
    <row r="66" spans="2:10" ht="14.25" hidden="1" customHeight="1" x14ac:dyDescent="0.35">
      <c r="B66" s="146"/>
      <c r="C66" s="158"/>
      <c r="D66" s="158"/>
      <c r="E66" s="158"/>
      <c r="F66" s="158"/>
      <c r="G66" s="158"/>
      <c r="H66" s="158"/>
      <c r="I66" s="158"/>
      <c r="J66" s="182"/>
    </row>
    <row r="67" spans="2:10" ht="14.25" hidden="1" customHeight="1" x14ac:dyDescent="0.35">
      <c r="B67" s="146" t="s">
        <v>176</v>
      </c>
      <c r="C67" s="158"/>
      <c r="D67" s="208">
        <f>D53</f>
        <v>289.02716552000004</v>
      </c>
      <c r="E67" s="158"/>
      <c r="F67" s="158"/>
      <c r="G67" s="158"/>
      <c r="H67" s="158"/>
      <c r="I67" s="158"/>
      <c r="J67" s="182"/>
    </row>
    <row r="68" spans="2:10" ht="14.25" hidden="1" customHeight="1" x14ac:dyDescent="0.35">
      <c r="B68" s="146" t="s">
        <v>177</v>
      </c>
      <c r="C68" s="158"/>
      <c r="D68" s="208">
        <f>O46</f>
        <v>123.5110365003612</v>
      </c>
      <c r="E68" s="158"/>
      <c r="F68" s="158"/>
      <c r="G68" s="158"/>
      <c r="H68" s="158"/>
      <c r="I68" s="158"/>
      <c r="J68" s="182"/>
    </row>
    <row r="69" spans="2:10" ht="14.25" hidden="1" customHeight="1" x14ac:dyDescent="0.35">
      <c r="B69" s="146" t="s">
        <v>178</v>
      </c>
      <c r="C69" s="158"/>
      <c r="D69" s="208">
        <f>D57</f>
        <v>0</v>
      </c>
      <c r="E69" s="158"/>
      <c r="F69" s="158"/>
      <c r="G69" s="158"/>
      <c r="H69" s="158"/>
      <c r="I69" s="158"/>
      <c r="J69" s="182"/>
    </row>
    <row r="70" spans="2:10" ht="14.25" hidden="1" customHeight="1" x14ac:dyDescent="0.35">
      <c r="B70" s="146" t="s">
        <v>179</v>
      </c>
      <c r="C70" s="158"/>
      <c r="D70" s="208">
        <f>O57</f>
        <v>0</v>
      </c>
      <c r="E70" s="158"/>
      <c r="F70" s="158"/>
      <c r="G70" s="158"/>
      <c r="H70" s="158"/>
      <c r="I70" s="158"/>
      <c r="J70" s="182"/>
    </row>
    <row r="71" spans="2:10" ht="14.25" hidden="1" customHeight="1" x14ac:dyDescent="0.35">
      <c r="B71" s="200" t="s">
        <v>172</v>
      </c>
      <c r="C71" s="158"/>
      <c r="D71" s="208">
        <f>D58</f>
        <v>0</v>
      </c>
      <c r="E71" s="158"/>
      <c r="F71" s="158"/>
      <c r="G71" s="158"/>
      <c r="H71" s="158"/>
      <c r="I71" s="158"/>
      <c r="J71" s="182"/>
    </row>
    <row r="72" spans="2:10" ht="14.25" hidden="1" customHeight="1" x14ac:dyDescent="0.35">
      <c r="B72" s="146" t="s">
        <v>180</v>
      </c>
      <c r="C72" s="158"/>
      <c r="D72" s="208">
        <f>SUM(D67:D71)*D14</f>
        <v>0</v>
      </c>
      <c r="E72" s="158"/>
      <c r="F72" s="158"/>
      <c r="G72" s="158"/>
      <c r="H72" s="158"/>
      <c r="I72" s="158"/>
      <c r="J72" s="182"/>
    </row>
    <row r="73" spans="2:10" ht="14.25" hidden="1" customHeight="1" x14ac:dyDescent="0.35">
      <c r="B73" s="146" t="s">
        <v>181</v>
      </c>
      <c r="C73" s="158"/>
      <c r="D73" s="208">
        <f>SUM(D67:D72)*D15</f>
        <v>1031.3455050509033</v>
      </c>
      <c r="E73" s="158"/>
      <c r="F73" s="158"/>
      <c r="G73" s="158"/>
      <c r="H73" s="158"/>
      <c r="I73" s="158"/>
      <c r="J73" s="182"/>
    </row>
    <row r="74" spans="2:10" ht="14.25" hidden="1" customHeight="1" x14ac:dyDescent="0.35">
      <c r="B74" s="146" t="s">
        <v>182</v>
      </c>
      <c r="C74" s="158"/>
      <c r="D74" s="208">
        <f>SUM(D67:D73)*D16</f>
        <v>0</v>
      </c>
      <c r="E74" s="158"/>
      <c r="F74" s="158"/>
      <c r="G74" s="158"/>
      <c r="H74" s="158"/>
      <c r="I74" s="158"/>
      <c r="J74" s="182"/>
    </row>
    <row r="75" spans="2:10" ht="14.25" hidden="1" customHeight="1" x14ac:dyDescent="0.35">
      <c r="B75" s="146" t="s">
        <v>183</v>
      </c>
      <c r="C75" s="158"/>
      <c r="D75" s="208">
        <f>(D36-D44-I45)*D13</f>
        <v>0</v>
      </c>
      <c r="E75" s="158"/>
      <c r="F75" s="158"/>
      <c r="G75" s="158"/>
      <c r="H75" s="158"/>
      <c r="I75" s="158"/>
      <c r="J75" s="182"/>
    </row>
    <row r="76" spans="2:10" ht="14.25" hidden="1" customHeight="1" x14ac:dyDescent="0.35">
      <c r="B76" s="146"/>
      <c r="C76" s="158"/>
      <c r="D76" s="208"/>
      <c r="E76" s="158"/>
      <c r="F76" s="158"/>
      <c r="G76" s="158"/>
      <c r="H76" s="158"/>
      <c r="I76" s="158"/>
      <c r="J76" s="182"/>
    </row>
    <row r="77" spans="2:10" ht="18" hidden="1" customHeight="1" x14ac:dyDescent="0.35">
      <c r="B77" s="209" t="s">
        <v>184</v>
      </c>
      <c r="C77" s="210"/>
      <c r="D77" s="211">
        <f>SUM(D67:D75)</f>
        <v>1443.8837070712646</v>
      </c>
      <c r="E77" s="210"/>
      <c r="F77" s="210"/>
      <c r="G77" s="210"/>
      <c r="H77" s="210"/>
      <c r="I77" s="210"/>
      <c r="J77" s="212"/>
    </row>
    <row r="78" spans="2:10" ht="18.75" hidden="1" customHeight="1" x14ac:dyDescent="0.4">
      <c r="B78" s="213" t="s">
        <v>185</v>
      </c>
      <c r="C78" s="214"/>
      <c r="D78" s="215">
        <f>SUM(D67:D74)</f>
        <v>1443.8837070712646</v>
      </c>
      <c r="E78" s="214"/>
      <c r="F78" s="214"/>
      <c r="G78" s="214"/>
      <c r="H78" s="214"/>
      <c r="I78" s="214"/>
      <c r="J78" s="216"/>
    </row>
    <row r="79" spans="2:10" ht="14.25" customHeight="1" x14ac:dyDescent="0.35">
      <c r="B79" s="205"/>
      <c r="C79" s="217" t="s">
        <v>267</v>
      </c>
      <c r="D79" s="218"/>
      <c r="E79" s="218" t="s">
        <v>186</v>
      </c>
      <c r="J79" s="206"/>
    </row>
    <row r="80" spans="2:10" ht="14.25" customHeight="1" x14ac:dyDescent="0.35">
      <c r="B80" s="146"/>
      <c r="C80" s="158" t="s">
        <v>187</v>
      </c>
      <c r="D80" s="219">
        <f>D36</f>
        <v>4.0820000000000007</v>
      </c>
      <c r="E80" s="219">
        <f>D32/1000*(D28+2*D29+2*D31)/1000*D30/1000*D8</f>
        <v>3.9250000000000003</v>
      </c>
      <c r="F80" s="158"/>
      <c r="G80" s="158"/>
      <c r="H80" s="158"/>
      <c r="I80" s="158"/>
      <c r="J80" s="182"/>
    </row>
    <row r="81" spans="2:10" ht="14.25" customHeight="1" x14ac:dyDescent="0.35">
      <c r="B81" s="146"/>
      <c r="C81" s="158" t="s">
        <v>188</v>
      </c>
      <c r="D81" s="220">
        <f>D44+I45</f>
        <v>0.40907919999999998</v>
      </c>
      <c r="E81" s="220">
        <v>0</v>
      </c>
      <c r="F81" s="221">
        <f>D81/D80</f>
        <v>0.1002153846153846</v>
      </c>
      <c r="G81" s="158"/>
      <c r="H81" s="158"/>
      <c r="I81" s="158"/>
      <c r="J81" s="182"/>
    </row>
    <row r="82" spans="2:10" ht="14.25" customHeight="1" x14ac:dyDescent="0.35">
      <c r="B82" s="146"/>
      <c r="C82" s="158" t="s">
        <v>189</v>
      </c>
      <c r="D82" s="220">
        <f>2*(O20*O21)/1000000*D8*O22/1000</f>
        <v>0.16485000000000002</v>
      </c>
      <c r="E82" s="220">
        <f>2*(O20*O21)/1000000*D8*O22/1000</f>
        <v>0.16485000000000002</v>
      </c>
      <c r="F82" s="221"/>
      <c r="G82" s="158"/>
      <c r="H82" s="158"/>
      <c r="I82" s="158"/>
      <c r="J82" s="182"/>
    </row>
    <row r="83" spans="2:10" ht="14.25" customHeight="1" x14ac:dyDescent="0.35">
      <c r="B83" s="146"/>
      <c r="C83" s="158" t="s">
        <v>190</v>
      </c>
      <c r="D83" s="219">
        <v>0.32</v>
      </c>
      <c r="E83" s="219">
        <v>0.32</v>
      </c>
      <c r="F83" s="222"/>
      <c r="G83" s="223" t="s">
        <v>191</v>
      </c>
      <c r="H83" s="158"/>
      <c r="I83" s="158"/>
      <c r="J83" s="182"/>
    </row>
    <row r="84" spans="2:10" ht="14.25" customHeight="1" x14ac:dyDescent="0.35">
      <c r="B84" s="146"/>
      <c r="C84" s="158" t="s">
        <v>192</v>
      </c>
      <c r="D84" s="219">
        <f>D80-D81+D82+D83</f>
        <v>4.1577708000000007</v>
      </c>
      <c r="E84" s="219">
        <f>E80-E81+E82+E83</f>
        <v>4.4098500000000005</v>
      </c>
      <c r="F84" s="221">
        <f>(E84-D84)/D84</f>
        <v>6.0628450226260622E-2</v>
      </c>
      <c r="G84" s="187"/>
      <c r="H84" s="158"/>
      <c r="I84" s="158"/>
      <c r="J84" s="182"/>
    </row>
    <row r="85" spans="2:10" ht="14.25" customHeight="1" x14ac:dyDescent="0.35">
      <c r="B85" s="146"/>
      <c r="C85" s="189" t="s">
        <v>193</v>
      </c>
      <c r="D85" s="224">
        <f>((D80+D83)-D81*D46)*D6+2*('[2]Coupler Plate 50x25'!D24-'[2]Coupler Plate 50x25'!D34*'[2]Coupler Plate 50x25'!D11)*D6</f>
        <v>323.37941062000004</v>
      </c>
      <c r="E85" s="224">
        <f>E84*D6</f>
        <v>321.91905000000003</v>
      </c>
      <c r="F85" s="221">
        <f>(E85-D85)/D85</f>
        <v>-4.515935684340994E-3</v>
      </c>
      <c r="G85" s="187"/>
      <c r="H85" s="158"/>
      <c r="I85" s="158"/>
      <c r="J85" s="182"/>
    </row>
    <row r="86" spans="2:10" ht="14.25" customHeight="1" x14ac:dyDescent="0.35">
      <c r="B86" s="146"/>
      <c r="C86" s="158"/>
      <c r="D86" s="219"/>
      <c r="E86" s="219"/>
      <c r="F86" s="158"/>
      <c r="G86" s="158"/>
      <c r="H86" s="158"/>
      <c r="I86" s="158"/>
      <c r="J86" s="182"/>
    </row>
    <row r="87" spans="2:10" ht="14.25" customHeight="1" x14ac:dyDescent="0.35">
      <c r="B87" s="146"/>
      <c r="C87" s="158" t="s">
        <v>144</v>
      </c>
      <c r="D87" s="219">
        <f>O39</f>
        <v>0.31299018879999996</v>
      </c>
      <c r="E87" s="219">
        <f>5%*E84</f>
        <v>0.22049250000000004</v>
      </c>
      <c r="F87" s="158"/>
      <c r="G87" s="223" t="s">
        <v>194</v>
      </c>
      <c r="H87" s="158"/>
      <c r="I87" s="158"/>
      <c r="J87" s="182"/>
    </row>
    <row r="88" spans="2:10" ht="14.25" customHeight="1" x14ac:dyDescent="0.35">
      <c r="B88" s="146"/>
      <c r="C88" s="158" t="s">
        <v>195</v>
      </c>
      <c r="D88" s="225">
        <f>D87*H8-O44</f>
        <v>123.5110365003612</v>
      </c>
      <c r="E88" s="225">
        <f>E87*H8</f>
        <v>93.841608000000022</v>
      </c>
      <c r="F88" s="158"/>
      <c r="G88" s="158"/>
      <c r="H88" s="158"/>
      <c r="I88" s="158"/>
      <c r="J88" s="182"/>
    </row>
    <row r="89" spans="2:10" ht="14.25" customHeight="1" x14ac:dyDescent="0.35">
      <c r="B89" s="146"/>
      <c r="C89" s="158"/>
      <c r="D89" s="219"/>
      <c r="E89" s="219"/>
      <c r="F89" s="158"/>
      <c r="G89" s="158"/>
      <c r="H89" s="158"/>
      <c r="I89" s="158"/>
      <c r="J89" s="182"/>
    </row>
    <row r="90" spans="2:10" ht="14.25" customHeight="1" x14ac:dyDescent="0.35">
      <c r="B90" s="146"/>
      <c r="C90" s="158" t="s">
        <v>196</v>
      </c>
      <c r="D90" s="225">
        <f>(D84+D87)*($D$17+$D$15)</f>
        <v>46.048838184640005</v>
      </c>
      <c r="E90" s="225">
        <f>(E84+E87)*($D$17+$D$15)</f>
        <v>47.692527750000004</v>
      </c>
      <c r="F90" s="158"/>
      <c r="G90" s="158"/>
      <c r="H90" s="158"/>
      <c r="I90" s="158"/>
      <c r="J90" s="182"/>
    </row>
    <row r="91" spans="2:10" ht="14.25" customHeight="1" x14ac:dyDescent="0.35">
      <c r="B91" s="146"/>
      <c r="C91" s="158"/>
      <c r="D91" s="219"/>
      <c r="E91" s="219"/>
      <c r="F91" s="158"/>
      <c r="G91" s="158"/>
      <c r="H91" s="158"/>
      <c r="I91" s="158"/>
      <c r="J91" s="182"/>
    </row>
    <row r="92" spans="2:10" ht="14.25" customHeight="1" x14ac:dyDescent="0.35">
      <c r="B92" s="146"/>
      <c r="C92" s="189" t="s">
        <v>197</v>
      </c>
      <c r="D92" s="224">
        <f>D90+D85+D88</f>
        <v>492.93928530500125</v>
      </c>
      <c r="E92" s="224">
        <f>E90+E85+E88</f>
        <v>463.45318575000005</v>
      </c>
      <c r="F92" s="158"/>
      <c r="G92" s="158"/>
      <c r="H92" s="158"/>
      <c r="I92" s="158"/>
      <c r="J92" s="182"/>
    </row>
    <row r="93" spans="2:10" ht="14.25" customHeight="1" x14ac:dyDescent="0.35">
      <c r="B93" s="146"/>
      <c r="C93" s="69" t="s">
        <v>199</v>
      </c>
      <c r="D93" s="115">
        <f>D92/(O11/1000)</f>
        <v>197.1757141220005</v>
      </c>
      <c r="E93" s="115">
        <f>E92/(O11/1000)</f>
        <v>185.38127430000003</v>
      </c>
      <c r="F93" s="158"/>
      <c r="G93" s="158"/>
      <c r="H93" s="158"/>
      <c r="I93" s="158"/>
      <c r="J93" s="182"/>
    </row>
    <row r="94" spans="2:10" ht="14.25" customHeight="1" x14ac:dyDescent="0.35">
      <c r="B94" s="146"/>
      <c r="C94" s="158" t="s">
        <v>198</v>
      </c>
      <c r="D94" s="226">
        <f>(E92-D92)/D92</f>
        <v>-5.9816899228790368E-2</v>
      </c>
      <c r="E94" s="219"/>
      <c r="F94" s="158"/>
      <c r="G94" s="158"/>
      <c r="H94" s="158"/>
      <c r="I94" s="158"/>
      <c r="J94" s="182"/>
    </row>
    <row r="95" spans="2:10" ht="15" customHeight="1" thickBot="1" x14ac:dyDescent="0.4">
      <c r="B95" s="196"/>
      <c r="C95" s="227"/>
      <c r="D95" s="227"/>
      <c r="E95" s="227"/>
      <c r="F95" s="197"/>
      <c r="G95" s="197"/>
      <c r="H95" s="197"/>
      <c r="I95" s="197"/>
      <c r="J95" s="199"/>
    </row>
    <row r="98" spans="3:5" ht="14.25" customHeight="1" x14ac:dyDescent="0.35">
      <c r="E98" s="228"/>
    </row>
    <row r="99" spans="3:5" s="229" customFormat="1" ht="6" customHeight="1" x14ac:dyDescent="0.35">
      <c r="D99" s="230"/>
      <c r="E99" s="230"/>
    </row>
    <row r="100" spans="3:5" s="231" customFormat="1" ht="14.25" customHeight="1" x14ac:dyDescent="0.35">
      <c r="D100" s="232"/>
      <c r="E100" s="232"/>
    </row>
    <row r="104" spans="3:5" ht="14.25" customHeight="1" x14ac:dyDescent="0.35">
      <c r="C104" s="207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4D43-27C5-4B57-954E-0AB865C932FD}">
  <dimension ref="A1:W132"/>
  <sheetViews>
    <sheetView showGridLines="0" topLeftCell="F1" zoomScale="70" zoomScaleNormal="70" workbookViewId="0">
      <selection activeCell="M5" sqref="M5:U15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268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600</v>
      </c>
      <c r="P8" s="147"/>
      <c r="Q8" s="147" t="s">
        <v>206</v>
      </c>
      <c r="R8" s="147"/>
      <c r="S8" s="147"/>
      <c r="T8" s="147"/>
      <c r="U8" s="156">
        <f>O8</f>
        <v>600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2360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7"/>
      <c r="N16" s="277"/>
      <c r="O16" s="277"/>
      <c r="P16" s="277"/>
      <c r="Q16" s="277"/>
      <c r="R16" s="277"/>
      <c r="S16" s="277"/>
      <c r="T16" s="277"/>
      <c r="U16" s="277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7"/>
      <c r="N17" s="277"/>
      <c r="O17" s="277"/>
      <c r="P17" s="277"/>
      <c r="Q17" s="277"/>
      <c r="R17" s="277"/>
      <c r="S17" s="277"/>
      <c r="T17" s="277"/>
      <c r="U17" s="277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7"/>
      <c r="N18" s="277"/>
      <c r="O18" s="277"/>
      <c r="P18" s="277"/>
      <c r="Q18" s="277"/>
      <c r="R18" s="277"/>
      <c r="S18" s="277"/>
      <c r="T18" s="277"/>
      <c r="U18" s="277"/>
    </row>
    <row r="19" spans="2:23" x14ac:dyDescent="0.35">
      <c r="M19" s="277"/>
      <c r="N19" s="277"/>
      <c r="O19" s="277"/>
      <c r="P19" s="277"/>
      <c r="Q19" s="277"/>
      <c r="R19" s="277"/>
      <c r="S19" s="277"/>
      <c r="T19" s="277"/>
      <c r="U19" s="277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9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600</v>
      </c>
      <c r="E24" s="158"/>
      <c r="F24" s="158" t="s">
        <v>206</v>
      </c>
      <c r="G24" s="158"/>
      <c r="H24" s="158"/>
      <c r="I24" s="158"/>
      <c r="J24" s="182">
        <f>U8</f>
        <v>600</v>
      </c>
      <c r="M24" s="146" t="s">
        <v>220</v>
      </c>
      <c r="N24" s="158"/>
      <c r="O24" s="158">
        <f>2*(2*(2*D27+D25)/1000*D28/1000)</f>
        <v>1.4159999999999999</v>
      </c>
      <c r="P24" s="158"/>
      <c r="Q24" s="158" t="s">
        <v>221</v>
      </c>
      <c r="R24" s="158"/>
      <c r="S24" s="158"/>
      <c r="T24" s="186">
        <f>2*J24/1000*(J25+2*J26)/1000</f>
        <v>0.108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2.3713279999999996E-2</v>
      </c>
      <c r="P25" s="158"/>
      <c r="Q25" s="158" t="s">
        <v>223</v>
      </c>
      <c r="R25" s="158"/>
      <c r="S25" s="158"/>
      <c r="T25" s="158">
        <f>(2*(J38+J39)/1000*D26/1000)*D24/40</f>
        <v>2.1000000000000003E-3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2.9641600000000004E-2</v>
      </c>
      <c r="P26" s="158"/>
      <c r="Q26" s="158" t="s">
        <v>224</v>
      </c>
      <c r="R26" s="158"/>
      <c r="S26" s="158"/>
      <c r="T26" s="185">
        <f>J38/1000*J39/1000*D24/40</f>
        <v>3.7499999999999999E-3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2360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1.4100716799999999</v>
      </c>
      <c r="P28" s="158"/>
      <c r="Q28" s="158" t="s">
        <v>225</v>
      </c>
      <c r="R28" s="158"/>
      <c r="S28" s="158"/>
      <c r="T28" s="158">
        <f>(T24+T25-T26)*J23</f>
        <v>0.95714999999999995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1.08E-4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0.8478</v>
      </c>
      <c r="M30" s="146" t="s">
        <v>141</v>
      </c>
      <c r="N30" s="158"/>
      <c r="O30" s="184">
        <f>O28+T28</f>
        <v>2.3672216800000001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1.4159999999999999E-3</v>
      </c>
      <c r="E31" s="158"/>
      <c r="F31" s="158" t="s">
        <v>229</v>
      </c>
      <c r="G31" s="158"/>
      <c r="H31" s="158"/>
      <c r="I31" s="158"/>
      <c r="J31" s="194">
        <f>J30*(D6*(1+D7))</f>
        <v>61.889400000000002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11.115599999999999</v>
      </c>
      <c r="E32" s="158"/>
      <c r="F32" s="158" t="s">
        <v>231</v>
      </c>
      <c r="G32" s="158"/>
      <c r="H32" s="158"/>
      <c r="I32" s="158"/>
      <c r="J32" s="194">
        <f>J31*J23</f>
        <v>557.00459999999998</v>
      </c>
      <c r="M32" s="146" t="s">
        <v>144</v>
      </c>
      <c r="N32" s="158"/>
      <c r="O32" s="186">
        <f>O30*H6*10^-6*H7</f>
        <v>1.4525508950648001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811.4387999999999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1.4525508950648001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618.20566093957893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0.174306107407776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0.11620407160518401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45.005372116401347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7.4999999999999993E-6</v>
      </c>
      <c r="M41" s="146" t="s">
        <v>164</v>
      </c>
      <c r="N41" s="158"/>
      <c r="O41" s="186">
        <f>O35-O39</f>
        <v>573.20028882317763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5.8874999999999997E-2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0.52987499999999998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38.680875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19.3404375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809.63942299999985</v>
      </c>
      <c r="E47" s="158"/>
      <c r="F47" s="158" t="s">
        <v>240</v>
      </c>
      <c r="G47" s="158"/>
      <c r="H47" s="158"/>
      <c r="I47" s="158"/>
      <c r="J47" s="194">
        <f>J32-J45</f>
        <v>537.66416249999997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1347.3035854999998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1347.3035854999998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1347.3035854999998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573.20028882317763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4801.2596858079442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6721.7635601311213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6721.7635601311213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270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11.115599999999999</v>
      </c>
      <c r="E98" s="219">
        <f>'[3]Old Ladder type '!K21</f>
        <v>11.115599999999999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7.6302000000000003</v>
      </c>
      <c r="E100" s="219">
        <f>'[3]Old Ladder type '!L21</f>
        <v>7.6302000000000003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0.52987499999999998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("&amp;'[3]Coupler Plate'!N6&amp;"X"&amp;'[3]Coupler Plate'!N7&amp;"X"&amp;'[3]Coupler Plate'!N8&amp;") (kg)"</f>
        <v>Weight of Coupler plate (70X210X2) (kg)</v>
      </c>
      <c r="D102" s="254">
        <f>'[3]Coupler Plate'!D37*2</f>
        <v>0.41400900000000007</v>
      </c>
      <c r="E102" s="254">
        <f>'[3]Old Ladder type '!M21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18.900635999999999</v>
      </c>
      <c r="E104" s="219">
        <f>E98-E99+E100-E101+E102+E103</f>
        <v>19.527380000000001</v>
      </c>
      <c r="F104" s="221">
        <f>(E104-D104)/D104</f>
        <v>3.3159942342681076E-2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(D98*D6-D11*D99*D6)+(D100*D6-D11*D101*D6)+('[3]Coupler Plate'!D24-D43*'[3]Coupler Plate'!D34)*D6*2+D103*D6</f>
        <v>1402.6225839999997</v>
      </c>
      <c r="E105" s="256">
        <f>E104*D6</f>
        <v>1425.49874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0.94503179999999998</v>
      </c>
      <c r="E107" s="219">
        <f>5%*E104</f>
        <v>0.97636900000000004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402.20553408000001</v>
      </c>
      <c r="E108" s="219">
        <f>E107*$H$8</f>
        <v>415.54264640000002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154.79620883999999</v>
      </c>
      <c r="E110" s="219">
        <f>(E104+E107)*$D$17</f>
        <v>159.92924219999998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1959.6243269199997</v>
      </c>
      <c r="E112" s="256">
        <f>E110+E105+E108</f>
        <v>2000.9706285999998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830.34929106779657</v>
      </c>
      <c r="E113" s="257">
        <f>E112/(O12/1000)</f>
        <v>847.86891042372883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2.1099095939978121E-2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271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'[3]Old Ladder type '!B21</f>
        <v>600mm(W)X100mm(H) - B1-i horizontal bend</v>
      </c>
      <c r="D124" s="270">
        <f>'[3]Old Ladder type '!Q21</f>
        <v>19.527380000000001</v>
      </c>
      <c r="E124" s="270">
        <f>'[3]Old Ladder type '!U21</f>
        <v>0.97636900000000004</v>
      </c>
      <c r="F124" s="270">
        <f>'[3]Old Ladder type '!Z21</f>
        <v>1647.4176500100002</v>
      </c>
      <c r="H124" s="270">
        <f>D104</f>
        <v>18.900635999999999</v>
      </c>
      <c r="I124" s="270">
        <f>D107</f>
        <v>0.94503179999999998</v>
      </c>
      <c r="J124" s="270">
        <f>D112</f>
        <v>1959.6243269199997</v>
      </c>
      <c r="K124" s="271">
        <f>(F124-J124)/J124</f>
        <v>-0.15931965766147846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5ACA-8C75-4297-9DDD-6862BC3F6E7E}">
  <dimension ref="A1:W132"/>
  <sheetViews>
    <sheetView showGridLines="0" topLeftCell="F1" zoomScale="70" zoomScaleNormal="70" workbookViewId="0">
      <selection activeCell="M5" sqref="M5:U15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268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300</v>
      </c>
      <c r="P8" s="147"/>
      <c r="Q8" s="147" t="s">
        <v>206</v>
      </c>
      <c r="R8" s="147"/>
      <c r="S8" s="147"/>
      <c r="T8" s="147"/>
      <c r="U8" s="156">
        <f>O8</f>
        <v>300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2360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7"/>
      <c r="N16" s="277"/>
      <c r="O16" s="277"/>
      <c r="P16" s="277"/>
      <c r="Q16" s="277"/>
      <c r="R16" s="277"/>
      <c r="S16" s="277"/>
      <c r="T16" s="277"/>
      <c r="U16" s="277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7"/>
      <c r="N17" s="277"/>
      <c r="O17" s="277"/>
      <c r="P17" s="277"/>
      <c r="Q17" s="277"/>
      <c r="R17" s="277"/>
      <c r="S17" s="277"/>
      <c r="T17" s="277"/>
      <c r="U17" s="277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7"/>
      <c r="N18" s="277"/>
      <c r="O18" s="277"/>
      <c r="P18" s="277"/>
      <c r="Q18" s="277"/>
      <c r="R18" s="277"/>
      <c r="S18" s="277"/>
      <c r="T18" s="277"/>
      <c r="U18" s="277"/>
    </row>
    <row r="19" spans="2:23" x14ac:dyDescent="0.35">
      <c r="M19" s="277"/>
      <c r="N19" s="277"/>
      <c r="O19" s="277"/>
      <c r="P19" s="277"/>
      <c r="Q19" s="277"/>
      <c r="R19" s="277"/>
      <c r="S19" s="277"/>
      <c r="T19" s="277"/>
      <c r="U19" s="277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9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300</v>
      </c>
      <c r="E24" s="158"/>
      <c r="F24" s="158" t="s">
        <v>206</v>
      </c>
      <c r="G24" s="158"/>
      <c r="H24" s="158"/>
      <c r="I24" s="158"/>
      <c r="J24" s="182">
        <f>U8</f>
        <v>300</v>
      </c>
      <c r="M24" s="146" t="s">
        <v>220</v>
      </c>
      <c r="N24" s="158"/>
      <c r="O24" s="158">
        <f>2*(2*(2*D27+D25)/1000*D28/1000)</f>
        <v>1.4159999999999999</v>
      </c>
      <c r="P24" s="158"/>
      <c r="Q24" s="158" t="s">
        <v>221</v>
      </c>
      <c r="R24" s="158"/>
      <c r="S24" s="158"/>
      <c r="T24" s="186">
        <f>2*J24/1000*(J25+2*J26)/1000</f>
        <v>5.3999999999999999E-2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2.3713279999999996E-2</v>
      </c>
      <c r="P25" s="158"/>
      <c r="Q25" s="158" t="s">
        <v>223</v>
      </c>
      <c r="R25" s="158"/>
      <c r="S25" s="158"/>
      <c r="T25" s="158">
        <f>(2*(J38+J39)/1000*D26/1000)*D24/40</f>
        <v>1.0500000000000002E-3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2.9641600000000004E-2</v>
      </c>
      <c r="P26" s="158"/>
      <c r="Q26" s="158" t="s">
        <v>224</v>
      </c>
      <c r="R26" s="158"/>
      <c r="S26" s="158"/>
      <c r="T26" s="185">
        <f>J38/1000*J39/1000*D24/40</f>
        <v>1.8749999999999999E-3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2360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1.4100716799999999</v>
      </c>
      <c r="P28" s="158"/>
      <c r="Q28" s="158" t="s">
        <v>225</v>
      </c>
      <c r="R28" s="158"/>
      <c r="S28" s="158"/>
      <c r="T28" s="158">
        <f>(T24+T25-T26)*J23</f>
        <v>0.47857499999999997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5.3999999999999998E-5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0.4239</v>
      </c>
      <c r="M30" s="146" t="s">
        <v>141</v>
      </c>
      <c r="N30" s="158"/>
      <c r="O30" s="184">
        <f>O28+T28</f>
        <v>1.8886466799999999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1.4159999999999999E-3</v>
      </c>
      <c r="E31" s="158"/>
      <c r="F31" s="158" t="s">
        <v>229</v>
      </c>
      <c r="G31" s="158"/>
      <c r="H31" s="158"/>
      <c r="I31" s="158"/>
      <c r="J31" s="194">
        <f>J30*(D6*(1+D7))</f>
        <v>30.944700000000001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11.115599999999999</v>
      </c>
      <c r="E32" s="158"/>
      <c r="F32" s="158" t="s">
        <v>231</v>
      </c>
      <c r="G32" s="158"/>
      <c r="H32" s="158"/>
      <c r="I32" s="158"/>
      <c r="J32" s="194">
        <f>J31*J23</f>
        <v>278.50229999999999</v>
      </c>
      <c r="M32" s="146" t="s">
        <v>144</v>
      </c>
      <c r="N32" s="158"/>
      <c r="O32" s="186">
        <f>O30*H6*10^-6*H7</f>
        <v>1.1588924893147998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811.4387999999999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1.1588924893147998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493.22464345237881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0.13906709871777598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9.271139914518399E-2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35.90675404333318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3.7499999999999997E-6</v>
      </c>
      <c r="M41" s="146" t="s">
        <v>164</v>
      </c>
      <c r="N41" s="158"/>
      <c r="O41" s="186">
        <f>O35-O39</f>
        <v>457.31788940904562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2.9437499999999998E-2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0.26493749999999999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19.3404375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9.6702187500000001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809.63942299999985</v>
      </c>
      <c r="E47" s="158"/>
      <c r="F47" s="158" t="s">
        <v>240</v>
      </c>
      <c r="G47" s="158"/>
      <c r="H47" s="158"/>
      <c r="I47" s="158"/>
      <c r="J47" s="194">
        <f>J32-J45</f>
        <v>268.83208124999999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1078.4715042499997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1078.4715042499997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1078.4715042499997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457.31788940904562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3839.4734841476134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5375.2628778066592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5375.2628778066592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270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11.115599999999999</v>
      </c>
      <c r="E98" s="219">
        <f>'[3]Old Ladder type '!K21</f>
        <v>11.115599999999999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3.8151000000000002</v>
      </c>
      <c r="E100" s="219">
        <f>'[3]Old Ladder type '!L21</f>
        <v>7.6302000000000003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0.26493749999999999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("&amp;'[3]Coupler Plate'!N6&amp;"X"&amp;'[3]Coupler Plate'!N7&amp;"X"&amp;'[3]Coupler Plate'!N8&amp;") (kg)"</f>
        <v>Weight of Coupler plate (70X210X2) (kg)</v>
      </c>
      <c r="D102" s="254">
        <f>'[3]Coupler Plate'!D37*2</f>
        <v>0.41400900000000007</v>
      </c>
      <c r="E102" s="254">
        <f>'[3]Old Ladder type '!M21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15.350473499999998</v>
      </c>
      <c r="E104" s="219">
        <f>E98-E99+E100-E101+E102+E103</f>
        <v>19.527380000000001</v>
      </c>
      <c r="F104" s="221">
        <f>(E104-D104)/D104</f>
        <v>0.27210277910971303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(D98*D6-D11*D99*D6)+(D100*D6-D11*D101*D6)+('[3]Coupler Plate'!D24-D43*'[3]Coupler Plate'!D34)*D6*2+D103*D6</f>
        <v>1133.7905027499996</v>
      </c>
      <c r="E105" s="256">
        <f>E104*D6</f>
        <v>1425.49874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0.76752367499999996</v>
      </c>
      <c r="E107" s="219">
        <f>5%*E104</f>
        <v>0.97636900000000004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326.65807608</v>
      </c>
      <c r="E108" s="219">
        <f>E107*$H$8</f>
        <v>415.54264640000002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125.720377965</v>
      </c>
      <c r="E110" s="219">
        <f>(E104+E107)*$D$17</f>
        <v>159.92924219999998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1586.1689567949995</v>
      </c>
      <c r="E112" s="256">
        <f>E110+E105+E108</f>
        <v>2000.9706285999998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672.10549016737275</v>
      </c>
      <c r="E113" s="257">
        <f>E112/(O12/1000)</f>
        <v>847.86891042372883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0.26151165676772875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271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'[3]Old Ladder type '!B21</f>
        <v>600mm(W)X100mm(H) - B1-i horizontal bend</v>
      </c>
      <c r="D124" s="270">
        <f>'[3]Old Ladder type '!Q21</f>
        <v>19.527380000000001</v>
      </c>
      <c r="E124" s="270">
        <f>'[3]Old Ladder type '!U21</f>
        <v>0.97636900000000004</v>
      </c>
      <c r="F124" s="270">
        <f>'[3]Old Ladder type '!Z21</f>
        <v>1647.4176500100002</v>
      </c>
      <c r="H124" s="270">
        <f>D104</f>
        <v>15.350473499999998</v>
      </c>
      <c r="I124" s="270">
        <f>D107</f>
        <v>0.76752367499999996</v>
      </c>
      <c r="J124" s="270">
        <f>D112</f>
        <v>1586.1689567949995</v>
      </c>
      <c r="K124" s="271">
        <f>(F124-J124)/J124</f>
        <v>3.8614230188163123E-2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18FF-D1D6-40CC-A9FD-5ACCD32E2AAE}">
  <dimension ref="A1:W132"/>
  <sheetViews>
    <sheetView showGridLines="0" topLeftCell="A2" zoomScale="70" zoomScaleNormal="70" workbookViewId="0">
      <selection activeCell="M5" sqref="M5:U15"/>
    </sheetView>
  </sheetViews>
  <sheetFormatPr defaultColWidth="9.1796875" defaultRowHeight="14.5" outlineLevelRow="1" x14ac:dyDescent="0.35"/>
  <cols>
    <col min="1" max="1" width="2.54296875" style="143" customWidth="1"/>
    <col min="2" max="2" width="9.1796875" style="143"/>
    <col min="3" max="3" width="44.7265625" style="143" customWidth="1"/>
    <col min="4" max="4" width="12" style="143" customWidth="1"/>
    <col min="5" max="5" width="13.54296875" style="143" customWidth="1"/>
    <col min="6" max="6" width="28.1796875" style="143" customWidth="1"/>
    <col min="7" max="7" width="17.81640625" style="143" customWidth="1"/>
    <col min="8" max="9" width="9.1796875" style="143"/>
    <col min="10" max="10" width="22" style="143" customWidth="1"/>
    <col min="11" max="12" width="9.1796875" style="143"/>
    <col min="13" max="13" width="30.1796875" style="143" customWidth="1"/>
    <col min="14" max="14" width="17.81640625" style="143" customWidth="1"/>
    <col min="15" max="15" width="12.1796875" style="143" customWidth="1"/>
    <col min="16" max="16" width="9.1796875" style="143"/>
    <col min="17" max="17" width="27.1796875" style="143" customWidth="1"/>
    <col min="18" max="18" width="14.1796875" style="143" customWidth="1"/>
    <col min="19" max="16384" width="9.1796875" style="143"/>
  </cols>
  <sheetData>
    <row r="1" spans="1:21" ht="15" customHeight="1" x14ac:dyDescent="0.35">
      <c r="A1" s="142" t="s">
        <v>268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5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4" spans="1:21" ht="15" customHeight="1" thickBot="1" x14ac:dyDescent="0.4">
      <c r="B4" s="144"/>
    </row>
    <row r="5" spans="1:21" ht="15" customHeight="1" x14ac:dyDescent="0.35">
      <c r="B5" s="235" t="s">
        <v>89</v>
      </c>
      <c r="C5" s="235"/>
      <c r="D5" s="235"/>
      <c r="E5" s="235"/>
      <c r="F5" s="235"/>
      <c r="G5" s="235"/>
      <c r="H5" s="235"/>
      <c r="I5" s="235"/>
      <c r="J5" s="235"/>
      <c r="M5" s="236" t="s">
        <v>90</v>
      </c>
      <c r="N5" s="236"/>
      <c r="O5" s="236"/>
      <c r="P5" s="236"/>
      <c r="Q5" s="236"/>
      <c r="R5" s="236"/>
      <c r="S5" s="236"/>
      <c r="T5" s="236"/>
      <c r="U5" s="236"/>
    </row>
    <row r="6" spans="1:21" x14ac:dyDescent="0.35">
      <c r="B6" s="146" t="s">
        <v>201</v>
      </c>
      <c r="C6" s="158"/>
      <c r="D6" s="148">
        <v>73</v>
      </c>
      <c r="E6" s="158"/>
      <c r="F6" s="158" t="s">
        <v>92</v>
      </c>
      <c r="G6" s="158"/>
      <c r="H6" s="148">
        <v>86</v>
      </c>
      <c r="I6" s="158"/>
      <c r="J6" s="182"/>
      <c r="M6" s="150" t="s">
        <v>202</v>
      </c>
      <c r="N6" s="147"/>
      <c r="O6" s="147"/>
      <c r="P6" s="147"/>
      <c r="Q6" s="151" t="s">
        <v>203</v>
      </c>
      <c r="R6" s="147"/>
      <c r="S6" s="147"/>
      <c r="T6" s="147"/>
      <c r="U6" s="149"/>
    </row>
    <row r="7" spans="1:21" ht="31.5" customHeight="1" x14ac:dyDescent="0.35">
      <c r="B7" s="152" t="s">
        <v>93</v>
      </c>
      <c r="C7" s="152"/>
      <c r="D7" s="237">
        <v>0</v>
      </c>
      <c r="E7" s="158"/>
      <c r="F7" s="158" t="s">
        <v>94</v>
      </c>
      <c r="G7" s="158"/>
      <c r="H7" s="148">
        <v>7135</v>
      </c>
      <c r="I7" s="158"/>
      <c r="J7" s="182"/>
      <c r="M7" s="154" t="s">
        <v>204</v>
      </c>
      <c r="N7" s="147"/>
      <c r="O7" s="238">
        <v>2</v>
      </c>
      <c r="P7" s="147"/>
      <c r="Q7" s="147" t="s">
        <v>205</v>
      </c>
      <c r="R7" s="147"/>
      <c r="S7" s="147"/>
      <c r="T7" s="147"/>
      <c r="U7" s="156">
        <v>10</v>
      </c>
    </row>
    <row r="8" spans="1:21" x14ac:dyDescent="0.35">
      <c r="B8" s="146" t="s">
        <v>96</v>
      </c>
      <c r="C8" s="158"/>
      <c r="D8" s="148">
        <v>7850</v>
      </c>
      <c r="E8" s="158"/>
      <c r="F8" s="158" t="s">
        <v>97</v>
      </c>
      <c r="G8" s="158"/>
      <c r="H8" s="148">
        <v>425.6</v>
      </c>
      <c r="I8" s="158"/>
      <c r="J8" s="233"/>
      <c r="M8" s="154" t="s">
        <v>95</v>
      </c>
      <c r="N8" s="147"/>
      <c r="O8" s="239">
        <v>150</v>
      </c>
      <c r="P8" s="147"/>
      <c r="Q8" s="147" t="s">
        <v>206</v>
      </c>
      <c r="R8" s="147"/>
      <c r="S8" s="147"/>
      <c r="T8" s="147"/>
      <c r="U8" s="156">
        <f>O8</f>
        <v>150</v>
      </c>
    </row>
    <row r="9" spans="1:21" x14ac:dyDescent="0.35">
      <c r="B9" s="146" t="s">
        <v>99</v>
      </c>
      <c r="C9" s="158"/>
      <c r="D9" s="153">
        <v>0</v>
      </c>
      <c r="E9" s="158"/>
      <c r="F9" s="158" t="s">
        <v>100</v>
      </c>
      <c r="G9" s="158"/>
      <c r="H9" s="153">
        <v>0</v>
      </c>
      <c r="I9" s="158"/>
      <c r="J9" s="182"/>
      <c r="M9" s="154" t="s">
        <v>98</v>
      </c>
      <c r="N9" s="147"/>
      <c r="O9" s="239">
        <v>100</v>
      </c>
      <c r="P9" s="147"/>
      <c r="Q9" s="147" t="s">
        <v>207</v>
      </c>
      <c r="R9" s="147"/>
      <c r="S9" s="147"/>
      <c r="T9" s="147"/>
      <c r="U9" s="156">
        <v>50</v>
      </c>
    </row>
    <row r="10" spans="1:21" x14ac:dyDescent="0.35">
      <c r="B10" s="146" t="s">
        <v>102</v>
      </c>
      <c r="C10" s="158"/>
      <c r="D10" s="159">
        <v>0</v>
      </c>
      <c r="E10" s="158"/>
      <c r="F10" s="158" t="s">
        <v>103</v>
      </c>
      <c r="G10" s="158"/>
      <c r="H10" s="160">
        <v>0.12</v>
      </c>
      <c r="I10" s="158"/>
      <c r="J10" s="182"/>
      <c r="M10" s="154" t="s">
        <v>101</v>
      </c>
      <c r="N10" s="147"/>
      <c r="O10" s="239">
        <v>2</v>
      </c>
      <c r="P10" s="147"/>
      <c r="Q10" s="147" t="s">
        <v>208</v>
      </c>
      <c r="R10" s="147"/>
      <c r="S10" s="147"/>
      <c r="T10" s="147"/>
      <c r="U10" s="156">
        <v>20</v>
      </c>
    </row>
    <row r="11" spans="1:21" x14ac:dyDescent="0.35">
      <c r="B11" s="146" t="s">
        <v>105</v>
      </c>
      <c r="C11" s="158"/>
      <c r="D11" s="160">
        <v>0.5</v>
      </c>
      <c r="E11" s="158"/>
      <c r="F11" s="158" t="s">
        <v>106</v>
      </c>
      <c r="G11" s="158"/>
      <c r="H11" s="160">
        <v>0.08</v>
      </c>
      <c r="I11" s="158"/>
      <c r="J11" s="233"/>
      <c r="M11" s="154" t="s">
        <v>104</v>
      </c>
      <c r="N11" s="147"/>
      <c r="O11" s="161">
        <v>25</v>
      </c>
      <c r="P11" s="147"/>
      <c r="Q11" s="147" t="s">
        <v>209</v>
      </c>
      <c r="R11" s="147"/>
      <c r="S11" s="147"/>
      <c r="T11" s="147"/>
      <c r="U11" s="156">
        <v>2</v>
      </c>
    </row>
    <row r="12" spans="1:21" x14ac:dyDescent="0.35">
      <c r="B12" s="146" t="s">
        <v>108</v>
      </c>
      <c r="C12" s="158"/>
      <c r="D12" s="237">
        <v>0</v>
      </c>
      <c r="E12" s="158"/>
      <c r="F12" s="158" t="s">
        <v>109</v>
      </c>
      <c r="G12" s="158"/>
      <c r="H12" s="160">
        <v>0.26</v>
      </c>
      <c r="I12" s="158"/>
      <c r="J12" s="182"/>
      <c r="M12" s="154" t="s">
        <v>107</v>
      </c>
      <c r="N12" s="147"/>
      <c r="O12" s="239">
        <v>2360</v>
      </c>
      <c r="P12" s="147"/>
      <c r="Q12" s="147" t="s">
        <v>210</v>
      </c>
      <c r="R12" s="147"/>
      <c r="S12" s="147"/>
      <c r="T12" s="147"/>
      <c r="U12" s="156">
        <v>1</v>
      </c>
    </row>
    <row r="13" spans="1:21" ht="32.25" customHeight="1" x14ac:dyDescent="0.35">
      <c r="B13" s="152" t="s">
        <v>111</v>
      </c>
      <c r="C13" s="152"/>
      <c r="D13" s="163">
        <v>0</v>
      </c>
      <c r="E13" s="158"/>
      <c r="F13" s="158" t="s">
        <v>112</v>
      </c>
      <c r="G13" s="158"/>
      <c r="H13" s="160">
        <v>0.52</v>
      </c>
      <c r="I13" s="158"/>
      <c r="J13" s="182"/>
      <c r="M13" s="154" t="s">
        <v>211</v>
      </c>
      <c r="N13" s="147"/>
      <c r="O13" s="161">
        <v>20</v>
      </c>
      <c r="P13" s="147"/>
      <c r="Q13" s="147" t="s">
        <v>212</v>
      </c>
      <c r="R13" s="147"/>
      <c r="S13" s="147"/>
      <c r="T13" s="147"/>
      <c r="U13" s="156">
        <v>25</v>
      </c>
    </row>
    <row r="14" spans="1:21" x14ac:dyDescent="0.35">
      <c r="B14" s="146" t="s">
        <v>114</v>
      </c>
      <c r="C14" s="158"/>
      <c r="D14" s="164">
        <v>0</v>
      </c>
      <c r="E14" s="158"/>
      <c r="F14" s="158" t="s">
        <v>115</v>
      </c>
      <c r="G14" s="158"/>
      <c r="H14" s="234">
        <v>0</v>
      </c>
      <c r="I14" s="158"/>
      <c r="J14" s="182"/>
      <c r="M14" s="154" t="s">
        <v>123</v>
      </c>
      <c r="N14" s="147"/>
      <c r="O14" s="161">
        <v>10</v>
      </c>
      <c r="P14" s="147"/>
      <c r="Q14" s="147" t="s">
        <v>213</v>
      </c>
      <c r="R14" s="147"/>
      <c r="S14" s="147"/>
      <c r="T14" s="147"/>
      <c r="U14" s="156">
        <v>10</v>
      </c>
    </row>
    <row r="15" spans="1:21" ht="15" thickBot="1" x14ac:dyDescent="0.4">
      <c r="B15" s="146" t="s">
        <v>214</v>
      </c>
      <c r="C15" s="158"/>
      <c r="D15" s="165">
        <v>2.5</v>
      </c>
      <c r="E15" s="158"/>
      <c r="F15" s="158"/>
      <c r="G15" s="158"/>
      <c r="H15" s="234"/>
      <c r="I15" s="158"/>
      <c r="J15" s="182"/>
      <c r="M15" s="173"/>
      <c r="N15" s="174"/>
      <c r="O15" s="274"/>
      <c r="P15" s="174"/>
      <c r="Q15" s="174"/>
      <c r="R15" s="174"/>
      <c r="S15" s="174"/>
      <c r="T15" s="174"/>
      <c r="U15" s="275"/>
    </row>
    <row r="16" spans="1:21" ht="30" customHeight="1" x14ac:dyDescent="0.35">
      <c r="B16" s="146" t="s">
        <v>119</v>
      </c>
      <c r="C16" s="158"/>
      <c r="D16" s="159">
        <v>0</v>
      </c>
      <c r="E16" s="158"/>
      <c r="F16" s="158"/>
      <c r="G16" s="158"/>
      <c r="H16" s="234"/>
      <c r="I16" s="158"/>
      <c r="J16" s="182"/>
      <c r="M16" s="277"/>
      <c r="N16" s="277"/>
      <c r="O16" s="277"/>
      <c r="P16" s="277"/>
      <c r="Q16" s="277"/>
      <c r="R16" s="277"/>
      <c r="S16" s="277"/>
      <c r="T16" s="277"/>
      <c r="U16" s="277"/>
    </row>
    <row r="17" spans="2:23" ht="30" customHeight="1" x14ac:dyDescent="0.35">
      <c r="B17" s="170" t="s">
        <v>215</v>
      </c>
      <c r="C17" s="158"/>
      <c r="D17" s="165">
        <f>6.5*1.2</f>
        <v>7.8</v>
      </c>
      <c r="E17" s="158"/>
      <c r="F17" s="158"/>
      <c r="G17" s="158"/>
      <c r="H17" s="234"/>
      <c r="I17" s="158"/>
      <c r="J17" s="182"/>
      <c r="M17" s="277"/>
      <c r="N17" s="277"/>
      <c r="O17" s="277"/>
      <c r="P17" s="277"/>
      <c r="Q17" s="277"/>
      <c r="R17" s="277"/>
      <c r="S17" s="277"/>
      <c r="T17" s="277"/>
      <c r="U17" s="277"/>
    </row>
    <row r="18" spans="2:23" ht="15" customHeight="1" thickBot="1" x14ac:dyDescent="0.4">
      <c r="B18" s="196"/>
      <c r="C18" s="197"/>
      <c r="D18" s="197"/>
      <c r="E18" s="197"/>
      <c r="F18" s="197"/>
      <c r="G18" s="197"/>
      <c r="H18" s="197"/>
      <c r="I18" s="197"/>
      <c r="J18" s="199"/>
      <c r="M18" s="277"/>
      <c r="N18" s="277"/>
      <c r="O18" s="277"/>
      <c r="P18" s="277"/>
      <c r="Q18" s="277"/>
      <c r="R18" s="277"/>
      <c r="S18" s="277"/>
      <c r="T18" s="277"/>
      <c r="U18" s="277"/>
    </row>
    <row r="19" spans="2:23" x14ac:dyDescent="0.35">
      <c r="M19" s="277"/>
      <c r="N19" s="277"/>
      <c r="O19" s="277"/>
      <c r="P19" s="277"/>
      <c r="Q19" s="277"/>
      <c r="R19" s="277"/>
      <c r="S19" s="277"/>
      <c r="T19" s="277"/>
      <c r="U19" s="277"/>
    </row>
    <row r="20" spans="2:23" ht="15.75" customHeight="1" thickBot="1" x14ac:dyDescent="0.4">
      <c r="B20" s="177" t="s">
        <v>128</v>
      </c>
    </row>
    <row r="21" spans="2:23" ht="15" customHeight="1" outlineLevel="1" x14ac:dyDescent="0.35">
      <c r="B21" s="235" t="s">
        <v>129</v>
      </c>
      <c r="C21" s="235"/>
      <c r="D21" s="235"/>
      <c r="E21" s="235"/>
      <c r="F21" s="235"/>
      <c r="G21" s="235"/>
      <c r="H21" s="235"/>
      <c r="I21" s="235"/>
      <c r="J21" s="235"/>
      <c r="M21" s="235" t="s">
        <v>130</v>
      </c>
      <c r="N21" s="235"/>
      <c r="O21" s="235"/>
      <c r="P21" s="235"/>
      <c r="Q21" s="235"/>
      <c r="R21" s="235"/>
      <c r="S21" s="235"/>
      <c r="T21" s="235"/>
      <c r="U21" s="235"/>
    </row>
    <row r="22" spans="2:23" ht="15" customHeight="1" outlineLevel="1" x14ac:dyDescent="0.35">
      <c r="B22" s="179" t="s">
        <v>216</v>
      </c>
      <c r="C22" s="180"/>
      <c r="D22" s="180"/>
      <c r="E22" s="180"/>
      <c r="F22" s="180" t="s">
        <v>217</v>
      </c>
      <c r="G22" s="180"/>
      <c r="H22" s="180"/>
      <c r="I22" s="180"/>
      <c r="J22" s="181"/>
      <c r="M22" s="146" t="s">
        <v>131</v>
      </c>
      <c r="N22" s="158"/>
      <c r="O22" s="158"/>
      <c r="P22" s="158"/>
      <c r="Q22" s="158"/>
      <c r="R22" s="158"/>
      <c r="S22" s="158"/>
      <c r="T22" s="158"/>
      <c r="U22" s="182"/>
    </row>
    <row r="23" spans="2:23" ht="15" customHeight="1" outlineLevel="1" x14ac:dyDescent="0.35">
      <c r="B23" s="146" t="s">
        <v>218</v>
      </c>
      <c r="C23" s="158"/>
      <c r="D23" s="158">
        <f t="shared" ref="D23:D28" si="0">O7</f>
        <v>2</v>
      </c>
      <c r="E23" s="158"/>
      <c r="F23" s="158" t="s">
        <v>269</v>
      </c>
      <c r="G23" s="158"/>
      <c r="H23" s="158"/>
      <c r="I23" s="158"/>
      <c r="J23" s="182">
        <f>ROUND(U7*D28/2500,0)</f>
        <v>9</v>
      </c>
      <c r="M23" s="179" t="s">
        <v>216</v>
      </c>
      <c r="N23" s="158"/>
      <c r="O23" s="158"/>
      <c r="P23" s="158"/>
      <c r="Q23" s="180" t="s">
        <v>217</v>
      </c>
      <c r="R23" s="158"/>
      <c r="S23" s="158"/>
      <c r="T23" s="158"/>
      <c r="U23" s="182"/>
    </row>
    <row r="24" spans="2:23" outlineLevel="1" x14ac:dyDescent="0.35">
      <c r="B24" s="146" t="s">
        <v>95</v>
      </c>
      <c r="C24" s="158"/>
      <c r="D24" s="158">
        <f t="shared" si="0"/>
        <v>150</v>
      </c>
      <c r="E24" s="158"/>
      <c r="F24" s="158" t="s">
        <v>206</v>
      </c>
      <c r="G24" s="158"/>
      <c r="H24" s="158"/>
      <c r="I24" s="158"/>
      <c r="J24" s="182">
        <f>U8</f>
        <v>150</v>
      </c>
      <c r="M24" s="146" t="s">
        <v>220</v>
      </c>
      <c r="N24" s="158"/>
      <c r="O24" s="158">
        <f>2*(2*(2*D27+D25)/1000*D28/1000)</f>
        <v>1.4159999999999999</v>
      </c>
      <c r="P24" s="158"/>
      <c r="Q24" s="158" t="s">
        <v>221</v>
      </c>
      <c r="R24" s="158"/>
      <c r="S24" s="158"/>
      <c r="T24" s="186">
        <f>2*J24/1000*(J25+2*J26)/1000</f>
        <v>2.7E-2</v>
      </c>
      <c r="U24" s="182"/>
    </row>
    <row r="25" spans="2:23" outlineLevel="1" x14ac:dyDescent="0.35">
      <c r="B25" s="146" t="s">
        <v>98</v>
      </c>
      <c r="C25" s="158"/>
      <c r="D25" s="158">
        <f t="shared" si="0"/>
        <v>100</v>
      </c>
      <c r="E25" s="158"/>
      <c r="F25" s="158" t="s">
        <v>207</v>
      </c>
      <c r="G25" s="158"/>
      <c r="H25" s="158"/>
      <c r="I25" s="158"/>
      <c r="J25" s="182">
        <f>U9</f>
        <v>50</v>
      </c>
      <c r="M25" s="146" t="s">
        <v>222</v>
      </c>
      <c r="N25" s="158"/>
      <c r="O25" s="184">
        <f>D37*3.14*D38/1000*D26/1000*D28/125</f>
        <v>2.3713279999999996E-2</v>
      </c>
      <c r="P25" s="158"/>
      <c r="Q25" s="158" t="s">
        <v>223</v>
      </c>
      <c r="R25" s="158"/>
      <c r="S25" s="158"/>
      <c r="T25" s="158">
        <f>(2*(J38+J39)/1000*D26/1000)*D24/40</f>
        <v>5.2500000000000008E-4</v>
      </c>
      <c r="U25" s="182"/>
    </row>
    <row r="26" spans="2:23" outlineLevel="1" x14ac:dyDescent="0.35">
      <c r="B26" s="146" t="s">
        <v>101</v>
      </c>
      <c r="C26" s="158"/>
      <c r="D26" s="158">
        <f t="shared" si="0"/>
        <v>2</v>
      </c>
      <c r="E26" s="158"/>
      <c r="F26" s="158" t="s">
        <v>208</v>
      </c>
      <c r="G26" s="158"/>
      <c r="H26" s="158"/>
      <c r="I26" s="158"/>
      <c r="J26" s="182">
        <f>U10</f>
        <v>20</v>
      </c>
      <c r="M26" s="146" t="s">
        <v>138</v>
      </c>
      <c r="N26" s="158"/>
      <c r="O26" s="184">
        <f>D37*3.14*(D38/2/1000)^2*D28/125</f>
        <v>2.9641600000000004E-2</v>
      </c>
      <c r="P26" s="158"/>
      <c r="Q26" s="158" t="s">
        <v>224</v>
      </c>
      <c r="R26" s="158"/>
      <c r="S26" s="158"/>
      <c r="T26" s="185">
        <f>J38/1000*J39/1000*D24/40</f>
        <v>9.3749999999999997E-4</v>
      </c>
      <c r="U26" s="182"/>
      <c r="W26" s="240"/>
    </row>
    <row r="27" spans="2:23" outlineLevel="1" x14ac:dyDescent="0.35">
      <c r="B27" s="146" t="s">
        <v>104</v>
      </c>
      <c r="C27" s="158"/>
      <c r="D27" s="158">
        <f t="shared" si="0"/>
        <v>25</v>
      </c>
      <c r="E27" s="158"/>
      <c r="F27" s="158" t="s">
        <v>209</v>
      </c>
      <c r="G27" s="158"/>
      <c r="H27" s="158"/>
      <c r="I27" s="158"/>
      <c r="J27" s="182">
        <f>U11</f>
        <v>2</v>
      </c>
      <c r="M27" s="146"/>
      <c r="N27" s="158"/>
      <c r="O27" s="158"/>
      <c r="P27" s="158"/>
      <c r="Q27" s="158"/>
      <c r="R27" s="158"/>
      <c r="S27" s="158"/>
      <c r="T27" s="158"/>
      <c r="U27" s="182"/>
    </row>
    <row r="28" spans="2:23" outlineLevel="1" x14ac:dyDescent="0.35">
      <c r="B28" s="146" t="s">
        <v>107</v>
      </c>
      <c r="C28" s="158"/>
      <c r="D28" s="158">
        <f t="shared" si="0"/>
        <v>2360</v>
      </c>
      <c r="E28" s="158"/>
      <c r="F28" s="158"/>
      <c r="G28" s="158"/>
      <c r="H28" s="158"/>
      <c r="I28" s="158"/>
      <c r="J28" s="182"/>
      <c r="M28" s="146" t="s">
        <v>139</v>
      </c>
      <c r="N28" s="158"/>
      <c r="O28" s="184">
        <f>O24+O25-O26</f>
        <v>1.4100716799999999</v>
      </c>
      <c r="P28" s="158"/>
      <c r="Q28" s="158" t="s">
        <v>225</v>
      </c>
      <c r="R28" s="158"/>
      <c r="S28" s="158"/>
      <c r="T28" s="158">
        <f>(T24+T25-T26)*J23</f>
        <v>0.23928749999999999</v>
      </c>
      <c r="U28" s="182"/>
    </row>
    <row r="29" spans="2:23" outlineLevel="1" x14ac:dyDescent="0.35">
      <c r="B29" s="146"/>
      <c r="C29" s="158"/>
      <c r="D29" s="158"/>
      <c r="E29" s="158"/>
      <c r="F29" s="158" t="s">
        <v>226</v>
      </c>
      <c r="G29" s="158"/>
      <c r="H29" s="158"/>
      <c r="I29" s="158"/>
      <c r="J29" s="241">
        <f>(2*J26+J25)/1000*J24/1000*J27/1000</f>
        <v>2.6999999999999999E-5</v>
      </c>
      <c r="M29" s="146"/>
      <c r="N29" s="158"/>
      <c r="O29" s="158"/>
      <c r="P29" s="158"/>
      <c r="Q29" s="158"/>
      <c r="R29" s="158"/>
      <c r="S29" s="158"/>
      <c r="T29" s="158"/>
      <c r="U29" s="182"/>
    </row>
    <row r="30" spans="2:23" outlineLevel="1" x14ac:dyDescent="0.35">
      <c r="B30" s="146"/>
      <c r="C30" s="158"/>
      <c r="D30" s="158"/>
      <c r="E30" s="158"/>
      <c r="F30" s="158" t="s">
        <v>227</v>
      </c>
      <c r="G30" s="158"/>
      <c r="H30" s="158"/>
      <c r="I30" s="158"/>
      <c r="J30" s="194">
        <f>J29*D8</f>
        <v>0.21195</v>
      </c>
      <c r="M30" s="146" t="s">
        <v>141</v>
      </c>
      <c r="N30" s="158"/>
      <c r="O30" s="184">
        <f>O28+T28</f>
        <v>1.6493591799999998</v>
      </c>
      <c r="P30" s="158"/>
      <c r="Q30" s="158"/>
      <c r="R30" s="158"/>
      <c r="S30" s="158"/>
      <c r="T30" s="158"/>
      <c r="U30" s="182"/>
    </row>
    <row r="31" spans="2:23" outlineLevel="1" x14ac:dyDescent="0.35">
      <c r="B31" s="146" t="s">
        <v>228</v>
      </c>
      <c r="C31" s="158"/>
      <c r="D31" s="158">
        <f>2*(D25+D27*2)/1000*D26/1000*D28/1000</f>
        <v>1.4159999999999999E-3</v>
      </c>
      <c r="E31" s="158"/>
      <c r="F31" s="158" t="s">
        <v>229</v>
      </c>
      <c r="G31" s="158"/>
      <c r="H31" s="158"/>
      <c r="I31" s="158"/>
      <c r="J31" s="194">
        <f>J30*(D6*(1+D7))</f>
        <v>15.47235</v>
      </c>
      <c r="M31" s="146"/>
      <c r="N31" s="158"/>
      <c r="O31" s="158"/>
      <c r="P31" s="158"/>
      <c r="Q31" s="158"/>
      <c r="R31" s="158"/>
      <c r="S31" s="158"/>
      <c r="T31" s="158"/>
      <c r="U31" s="182"/>
    </row>
    <row r="32" spans="2:23" outlineLevel="1" x14ac:dyDescent="0.35">
      <c r="B32" s="146" t="s">
        <v>230</v>
      </c>
      <c r="C32" s="158"/>
      <c r="D32" s="158">
        <f>D31*D8</f>
        <v>11.115599999999999</v>
      </c>
      <c r="E32" s="158"/>
      <c r="F32" s="158" t="s">
        <v>231</v>
      </c>
      <c r="G32" s="158"/>
      <c r="H32" s="158"/>
      <c r="I32" s="158"/>
      <c r="J32" s="194">
        <f>J31*J23</f>
        <v>139.25115</v>
      </c>
      <c r="M32" s="146" t="s">
        <v>144</v>
      </c>
      <c r="N32" s="158"/>
      <c r="O32" s="186">
        <f>O30*H6*10^-6*H7</f>
        <v>1.0120632864397998</v>
      </c>
      <c r="P32" s="158"/>
      <c r="Q32" s="158"/>
      <c r="R32" s="158"/>
      <c r="S32" s="158"/>
      <c r="T32" s="158"/>
      <c r="U32" s="182"/>
    </row>
    <row r="33" spans="2:21" outlineLevel="1" x14ac:dyDescent="0.35">
      <c r="B33" s="146" t="s">
        <v>232</v>
      </c>
      <c r="C33" s="158"/>
      <c r="D33" s="186">
        <f>D32*(D6*(1+D7))</f>
        <v>811.4387999999999</v>
      </c>
      <c r="E33" s="158"/>
      <c r="F33" s="158"/>
      <c r="G33" s="158"/>
      <c r="H33" s="158"/>
      <c r="I33" s="158"/>
      <c r="J33" s="182"/>
      <c r="M33" s="146" t="s">
        <v>100</v>
      </c>
      <c r="N33" s="158"/>
      <c r="O33" s="187">
        <f>H9</f>
        <v>0</v>
      </c>
      <c r="P33" s="158"/>
      <c r="Q33" s="158"/>
      <c r="R33" s="158"/>
      <c r="S33" s="158"/>
      <c r="T33" s="158"/>
      <c r="U33" s="182"/>
    </row>
    <row r="34" spans="2:21" outlineLevel="1" x14ac:dyDescent="0.35">
      <c r="B34" s="146"/>
      <c r="C34" s="158"/>
      <c r="D34" s="158"/>
      <c r="E34" s="158"/>
      <c r="F34" s="158"/>
      <c r="G34" s="158"/>
      <c r="H34" s="158"/>
      <c r="I34" s="158"/>
      <c r="J34" s="182"/>
      <c r="M34" s="146" t="s">
        <v>147</v>
      </c>
      <c r="N34" s="158"/>
      <c r="O34" s="186">
        <f>(1+O33)*O32</f>
        <v>1.0120632864397998</v>
      </c>
      <c r="P34" s="158"/>
      <c r="Q34" s="158"/>
      <c r="R34" s="158"/>
      <c r="S34" s="158"/>
      <c r="T34" s="158"/>
      <c r="U34" s="182"/>
    </row>
    <row r="35" spans="2:21" outlineLevel="1" x14ac:dyDescent="0.35">
      <c r="B35" s="188" t="s">
        <v>233</v>
      </c>
      <c r="C35" s="158"/>
      <c r="D35" s="158"/>
      <c r="E35" s="158"/>
      <c r="F35" s="158"/>
      <c r="G35" s="158"/>
      <c r="H35" s="158"/>
      <c r="I35" s="158"/>
      <c r="J35" s="182"/>
      <c r="M35" s="146" t="s">
        <v>148</v>
      </c>
      <c r="N35" s="158"/>
      <c r="O35" s="190">
        <f>O34*H8</f>
        <v>430.73413470877881</v>
      </c>
      <c r="P35" s="158"/>
      <c r="Q35" s="158"/>
      <c r="R35" s="158"/>
      <c r="S35" s="158"/>
      <c r="T35" s="158"/>
      <c r="U35" s="182"/>
    </row>
    <row r="36" spans="2:21" ht="15" customHeight="1" outlineLevel="1" x14ac:dyDescent="0.35">
      <c r="B36" s="179" t="s">
        <v>216</v>
      </c>
      <c r="C36" s="158"/>
      <c r="D36" s="158"/>
      <c r="E36" s="158"/>
      <c r="F36" s="180" t="s">
        <v>217</v>
      </c>
      <c r="G36" s="158"/>
      <c r="H36" s="158"/>
      <c r="I36" s="158"/>
      <c r="J36" s="182"/>
      <c r="M36" s="146"/>
      <c r="N36" s="158"/>
      <c r="O36" s="158"/>
      <c r="P36" s="158"/>
      <c r="Q36" s="158"/>
      <c r="R36" s="158"/>
      <c r="S36" s="158"/>
      <c r="T36" s="158"/>
      <c r="U36" s="182"/>
    </row>
    <row r="37" spans="2:21" outlineLevel="1" x14ac:dyDescent="0.35">
      <c r="B37" s="146" t="s">
        <v>211</v>
      </c>
      <c r="C37" s="158"/>
      <c r="D37" s="158">
        <f>O13</f>
        <v>20</v>
      </c>
      <c r="E37" s="158"/>
      <c r="F37" s="158" t="s">
        <v>210</v>
      </c>
      <c r="G37" s="158"/>
      <c r="H37" s="158"/>
      <c r="I37" s="158"/>
      <c r="J37" s="182">
        <f>U12</f>
        <v>1</v>
      </c>
      <c r="M37" s="146" t="s">
        <v>152</v>
      </c>
      <c r="N37" s="158"/>
      <c r="O37" s="186">
        <f>H10*O32</f>
        <v>0.12144759437277597</v>
      </c>
      <c r="P37" s="158"/>
      <c r="Q37" s="158" t="s">
        <v>153</v>
      </c>
      <c r="R37" s="158"/>
      <c r="S37" s="158"/>
      <c r="T37" s="158">
        <f>H12*$H$8</f>
        <v>110.65600000000001</v>
      </c>
      <c r="U37" s="182"/>
    </row>
    <row r="38" spans="2:21" outlineLevel="1" x14ac:dyDescent="0.35">
      <c r="B38" s="146" t="s">
        <v>123</v>
      </c>
      <c r="C38" s="158"/>
      <c r="D38" s="158">
        <f>O14</f>
        <v>10</v>
      </c>
      <c r="E38" s="158"/>
      <c r="F38" s="158" t="s">
        <v>212</v>
      </c>
      <c r="G38" s="158"/>
      <c r="H38" s="158"/>
      <c r="I38" s="158"/>
      <c r="J38" s="182">
        <f>U13</f>
        <v>25</v>
      </c>
      <c r="M38" s="146" t="s">
        <v>156</v>
      </c>
      <c r="N38" s="158"/>
      <c r="O38" s="186">
        <f>H11*O32</f>
        <v>8.0965062915183988E-2</v>
      </c>
      <c r="P38" s="158"/>
      <c r="Q38" s="158" t="s">
        <v>157</v>
      </c>
      <c r="R38" s="158"/>
      <c r="S38" s="158"/>
      <c r="T38" s="158">
        <f>H13*$H$8</f>
        <v>221.31200000000001</v>
      </c>
      <c r="U38" s="182"/>
    </row>
    <row r="39" spans="2:21" outlineLevel="1" x14ac:dyDescent="0.35">
      <c r="B39" s="146" t="s">
        <v>155</v>
      </c>
      <c r="C39" s="158"/>
      <c r="D39" s="191">
        <f>2*D37*3.14*(D38/2/1000)^2*D26/1000</f>
        <v>6.2800000000000009E-6</v>
      </c>
      <c r="E39" s="158"/>
      <c r="F39" s="158" t="s">
        <v>213</v>
      </c>
      <c r="G39" s="158"/>
      <c r="H39" s="158"/>
      <c r="I39" s="158"/>
      <c r="J39" s="182">
        <f>U14</f>
        <v>10</v>
      </c>
      <c r="M39" s="146" t="s">
        <v>160</v>
      </c>
      <c r="N39" s="158"/>
      <c r="O39" s="186">
        <f>O37*T37+O38*T38</f>
        <v>31.357445006799097</v>
      </c>
      <c r="P39" s="158"/>
      <c r="Q39" s="158"/>
      <c r="R39" s="158"/>
      <c r="S39" s="158"/>
      <c r="T39" s="158"/>
      <c r="U39" s="182"/>
    </row>
    <row r="40" spans="2:21" outlineLevel="1" x14ac:dyDescent="0.35">
      <c r="B40" s="146"/>
      <c r="C40" s="158"/>
      <c r="D40" s="191"/>
      <c r="E40" s="158"/>
      <c r="F40" s="158" t="s">
        <v>234</v>
      </c>
      <c r="G40" s="158"/>
      <c r="H40" s="158"/>
      <c r="I40" s="158"/>
      <c r="J40" s="182">
        <f>J38/1000*J39/1000*J27/1000</f>
        <v>4.9999999999999998E-7</v>
      </c>
      <c r="M40" s="146"/>
      <c r="N40" s="158"/>
      <c r="O40" s="158"/>
      <c r="P40" s="158"/>
      <c r="Q40" s="158"/>
      <c r="R40" s="158"/>
      <c r="S40" s="158"/>
      <c r="T40" s="158"/>
      <c r="U40" s="182"/>
    </row>
    <row r="41" spans="2:21" outlineLevel="1" x14ac:dyDescent="0.35">
      <c r="B41" s="146" t="s">
        <v>235</v>
      </c>
      <c r="C41" s="158"/>
      <c r="D41" s="186">
        <f>D39*D8</f>
        <v>4.9298000000000008E-2</v>
      </c>
      <c r="E41" s="158"/>
      <c r="F41" s="158" t="s">
        <v>236</v>
      </c>
      <c r="G41" s="158"/>
      <c r="H41" s="158"/>
      <c r="I41" s="158"/>
      <c r="J41" s="182">
        <f>D24/40*J40</f>
        <v>1.8749999999999998E-6</v>
      </c>
      <c r="M41" s="146" t="s">
        <v>164</v>
      </c>
      <c r="N41" s="158"/>
      <c r="O41" s="186">
        <f>O35-O39</f>
        <v>399.37668970197973</v>
      </c>
      <c r="P41" s="158"/>
      <c r="Q41" s="158"/>
      <c r="R41" s="158"/>
      <c r="S41" s="158"/>
      <c r="T41" s="158"/>
      <c r="U41" s="182"/>
    </row>
    <row r="42" spans="2:21" outlineLevel="1" x14ac:dyDescent="0.35">
      <c r="B42" s="146" t="s">
        <v>161</v>
      </c>
      <c r="C42" s="158"/>
      <c r="D42" s="186">
        <f>D41*D6</f>
        <v>3.5987540000000005</v>
      </c>
      <c r="E42" s="158"/>
      <c r="F42" s="158" t="s">
        <v>237</v>
      </c>
      <c r="G42" s="158"/>
      <c r="H42" s="158"/>
      <c r="I42" s="158"/>
      <c r="J42" s="182">
        <f>J41*D8</f>
        <v>1.4718749999999999E-2</v>
      </c>
      <c r="M42" s="146"/>
      <c r="N42" s="158"/>
      <c r="O42" s="158"/>
      <c r="P42" s="158"/>
      <c r="Q42" s="158"/>
      <c r="R42" s="158"/>
      <c r="S42" s="158"/>
      <c r="T42" s="158"/>
      <c r="U42" s="182"/>
    </row>
    <row r="43" spans="2:21" outlineLevel="1" x14ac:dyDescent="0.35">
      <c r="B43" s="146" t="s">
        <v>163</v>
      </c>
      <c r="C43" s="158"/>
      <c r="D43" s="187">
        <f>D11</f>
        <v>0.5</v>
      </c>
      <c r="E43" s="158"/>
      <c r="F43" s="158" t="s">
        <v>238</v>
      </c>
      <c r="G43" s="158"/>
      <c r="H43" s="158"/>
      <c r="I43" s="158"/>
      <c r="J43" s="182">
        <f>J42*J23</f>
        <v>0.13246875</v>
      </c>
      <c r="M43" s="146"/>
      <c r="N43" s="158"/>
      <c r="O43" s="158"/>
      <c r="P43" s="158"/>
      <c r="Q43" s="158"/>
      <c r="R43" s="158"/>
      <c r="S43" s="158"/>
      <c r="T43" s="158"/>
      <c r="U43" s="182"/>
    </row>
    <row r="44" spans="2:21" outlineLevel="1" x14ac:dyDescent="0.35">
      <c r="B44" s="146" t="s">
        <v>166</v>
      </c>
      <c r="C44" s="158"/>
      <c r="D44" s="186">
        <f>D42*D43</f>
        <v>1.7993770000000002</v>
      </c>
      <c r="E44" s="158"/>
      <c r="F44" s="158" t="s">
        <v>161</v>
      </c>
      <c r="G44" s="158"/>
      <c r="H44" s="158"/>
      <c r="I44" s="158"/>
      <c r="J44" s="194">
        <f>J43*D6</f>
        <v>9.6702187500000001</v>
      </c>
      <c r="M44" s="146"/>
      <c r="N44" s="158"/>
      <c r="O44" s="158"/>
      <c r="P44" s="158"/>
      <c r="Q44" s="158"/>
      <c r="R44" s="158"/>
      <c r="S44" s="158"/>
      <c r="T44" s="158"/>
      <c r="U44" s="182"/>
    </row>
    <row r="45" spans="2:21" outlineLevel="1" x14ac:dyDescent="0.35">
      <c r="B45" s="146"/>
      <c r="C45" s="158"/>
      <c r="D45" s="158"/>
      <c r="E45" s="158"/>
      <c r="F45" s="158" t="s">
        <v>166</v>
      </c>
      <c r="G45" s="158"/>
      <c r="H45" s="158"/>
      <c r="I45" s="158"/>
      <c r="J45" s="194">
        <f>J44*D43</f>
        <v>4.835109375</v>
      </c>
      <c r="M45" s="146"/>
      <c r="N45" s="158"/>
      <c r="O45" s="158"/>
      <c r="P45" s="158"/>
      <c r="Q45" s="158"/>
      <c r="R45" s="158"/>
      <c r="S45" s="158"/>
      <c r="T45" s="158"/>
      <c r="U45" s="182"/>
    </row>
    <row r="46" spans="2:21" outlineLevel="1" x14ac:dyDescent="0.35">
      <c r="B46" s="146"/>
      <c r="C46" s="158"/>
      <c r="D46" s="158"/>
      <c r="E46" s="158"/>
      <c r="F46" s="158"/>
      <c r="G46" s="158"/>
      <c r="H46" s="158"/>
      <c r="I46" s="158"/>
      <c r="J46" s="182"/>
      <c r="M46" s="146"/>
      <c r="N46" s="158"/>
      <c r="O46" s="158"/>
      <c r="P46" s="158"/>
      <c r="Q46" s="158"/>
      <c r="R46" s="158"/>
      <c r="S46" s="158"/>
      <c r="T46" s="158"/>
      <c r="U46" s="182"/>
    </row>
    <row r="47" spans="2:21" outlineLevel="1" x14ac:dyDescent="0.35">
      <c r="B47" s="146" t="s">
        <v>239</v>
      </c>
      <c r="C47" s="158"/>
      <c r="D47" s="186">
        <f>D33-D44</f>
        <v>809.63942299999985</v>
      </c>
      <c r="E47" s="158"/>
      <c r="F47" s="158" t="s">
        <v>240</v>
      </c>
      <c r="G47" s="158"/>
      <c r="H47" s="158"/>
      <c r="I47" s="158"/>
      <c r="J47" s="194">
        <f>J32-J45</f>
        <v>134.41604062499999</v>
      </c>
      <c r="M47" s="146"/>
      <c r="N47" s="158"/>
      <c r="O47" s="158"/>
      <c r="P47" s="158"/>
      <c r="Q47" s="158"/>
      <c r="R47" s="158"/>
      <c r="S47" s="158"/>
      <c r="T47" s="158"/>
      <c r="U47" s="182"/>
    </row>
    <row r="48" spans="2:21" outlineLevel="1" x14ac:dyDescent="0.35">
      <c r="B48" s="146"/>
      <c r="C48" s="158"/>
      <c r="D48" s="158"/>
      <c r="E48" s="158"/>
      <c r="F48" s="158"/>
      <c r="G48" s="158"/>
      <c r="H48" s="158"/>
      <c r="I48" s="158"/>
      <c r="J48" s="182"/>
      <c r="M48" s="146"/>
      <c r="N48" s="158"/>
      <c r="O48" s="158"/>
      <c r="P48" s="158"/>
      <c r="Q48" s="158"/>
      <c r="R48" s="158"/>
      <c r="S48" s="158"/>
      <c r="T48" s="158"/>
      <c r="U48" s="182"/>
    </row>
    <row r="49" spans="2:21" outlineLevel="1" x14ac:dyDescent="0.35">
      <c r="B49" s="146" t="s">
        <v>168</v>
      </c>
      <c r="C49" s="158"/>
      <c r="D49" s="186">
        <f>D47+J47</f>
        <v>944.0554636249999</v>
      </c>
      <c r="E49" s="158"/>
      <c r="F49" s="158"/>
      <c r="G49" s="158"/>
      <c r="H49" s="158"/>
      <c r="I49" s="158"/>
      <c r="J49" s="182"/>
      <c r="M49" s="146"/>
      <c r="N49" s="158"/>
      <c r="O49" s="158"/>
      <c r="P49" s="158"/>
      <c r="Q49" s="158"/>
      <c r="R49" s="158"/>
      <c r="S49" s="158"/>
      <c r="T49" s="158"/>
      <c r="U49" s="182"/>
    </row>
    <row r="50" spans="2:21" outlineLevel="1" x14ac:dyDescent="0.35">
      <c r="B50" s="146" t="s">
        <v>108</v>
      </c>
      <c r="C50" s="158"/>
      <c r="D50" s="242">
        <f>D12</f>
        <v>0</v>
      </c>
      <c r="E50" s="158"/>
      <c r="F50" s="158"/>
      <c r="G50" s="158"/>
      <c r="H50" s="158"/>
      <c r="I50" s="158"/>
      <c r="J50" s="182"/>
      <c r="M50" s="146"/>
      <c r="N50" s="158"/>
      <c r="O50" s="158"/>
      <c r="P50" s="158"/>
      <c r="Q50" s="158"/>
      <c r="R50" s="158"/>
      <c r="S50" s="158"/>
      <c r="T50" s="158"/>
      <c r="U50" s="182"/>
    </row>
    <row r="51" spans="2:21" outlineLevel="1" x14ac:dyDescent="0.35">
      <c r="B51" s="146" t="s">
        <v>169</v>
      </c>
      <c r="C51" s="158"/>
      <c r="D51" s="190">
        <f>(1+D50)*D49</f>
        <v>944.0554636249999</v>
      </c>
      <c r="E51" s="158"/>
      <c r="F51" s="158"/>
      <c r="G51" s="158"/>
      <c r="H51" s="158"/>
      <c r="I51" s="158"/>
      <c r="J51" s="182"/>
      <c r="M51" s="146"/>
      <c r="N51" s="158"/>
      <c r="O51" s="158"/>
      <c r="P51" s="158"/>
      <c r="Q51" s="158"/>
      <c r="R51" s="158"/>
      <c r="S51" s="158"/>
      <c r="T51" s="158"/>
      <c r="U51" s="182"/>
    </row>
    <row r="52" spans="2:21" ht="15" customHeight="1" outlineLevel="1" thickBot="1" x14ac:dyDescent="0.4">
      <c r="B52" s="196"/>
      <c r="C52" s="197"/>
      <c r="D52" s="198"/>
      <c r="E52" s="197"/>
      <c r="F52" s="197"/>
      <c r="G52" s="197"/>
      <c r="H52" s="197"/>
      <c r="I52" s="197"/>
      <c r="J52" s="199"/>
      <c r="M52" s="196"/>
      <c r="N52" s="197"/>
      <c r="O52" s="197"/>
      <c r="P52" s="197"/>
      <c r="Q52" s="197"/>
      <c r="R52" s="197"/>
      <c r="S52" s="197"/>
      <c r="T52" s="197"/>
      <c r="U52" s="199"/>
    </row>
    <row r="54" spans="2:21" ht="15" hidden="1" customHeight="1" x14ac:dyDescent="0.35">
      <c r="B54" s="235" t="s">
        <v>170</v>
      </c>
      <c r="C54" s="235"/>
      <c r="D54" s="235"/>
      <c r="E54" s="235"/>
      <c r="F54" s="235"/>
      <c r="G54" s="235"/>
      <c r="H54" s="235"/>
      <c r="I54" s="235"/>
      <c r="J54" s="235"/>
      <c r="M54" s="235" t="s">
        <v>241</v>
      </c>
      <c r="N54" s="235"/>
      <c r="O54" s="235"/>
      <c r="P54" s="235"/>
      <c r="Q54" s="235"/>
      <c r="R54" s="235"/>
      <c r="S54" s="235"/>
      <c r="T54" s="235"/>
      <c r="U54" s="235"/>
    </row>
    <row r="55" spans="2:21" hidden="1" x14ac:dyDescent="0.35">
      <c r="B55" s="146" t="s">
        <v>171</v>
      </c>
      <c r="C55" s="158"/>
      <c r="D55" s="186">
        <f>(D33+J32)*D9</f>
        <v>0</v>
      </c>
      <c r="E55" s="158"/>
      <c r="F55" s="158"/>
      <c r="G55" s="158"/>
      <c r="H55" s="158"/>
      <c r="I55" s="158"/>
      <c r="J55" s="182"/>
      <c r="M55" s="146" t="s">
        <v>242</v>
      </c>
      <c r="N55" s="186">
        <f>O35*H14</f>
        <v>0</v>
      </c>
      <c r="O55" s="158"/>
      <c r="P55" s="158"/>
      <c r="Q55" s="158"/>
      <c r="R55" s="158"/>
      <c r="S55" s="158"/>
      <c r="T55" s="158"/>
      <c r="U55" s="182"/>
    </row>
    <row r="56" spans="2:21" hidden="1" x14ac:dyDescent="0.35">
      <c r="B56" s="200" t="s">
        <v>172</v>
      </c>
      <c r="C56" s="201"/>
      <c r="D56" s="202">
        <f>(D33+J32)*D10</f>
        <v>0</v>
      </c>
      <c r="E56" s="201"/>
      <c r="F56" s="201"/>
      <c r="G56" s="201"/>
      <c r="H56" s="201"/>
      <c r="I56" s="201"/>
      <c r="J56" s="203"/>
      <c r="M56" s="200"/>
      <c r="N56" s="202"/>
      <c r="O56" s="201"/>
      <c r="P56" s="201"/>
      <c r="Q56" s="201"/>
      <c r="R56" s="201"/>
      <c r="S56" s="201"/>
      <c r="T56" s="201"/>
      <c r="U56" s="203"/>
    </row>
    <row r="57" spans="2:21" hidden="1" x14ac:dyDescent="0.35">
      <c r="B57" s="200"/>
      <c r="C57" s="201"/>
      <c r="D57" s="202"/>
      <c r="E57" s="201"/>
      <c r="F57" s="201"/>
      <c r="G57" s="201"/>
      <c r="H57" s="201"/>
      <c r="I57" s="201"/>
      <c r="J57" s="203"/>
      <c r="M57" s="200"/>
      <c r="N57" s="202"/>
      <c r="O57" s="201"/>
      <c r="P57" s="201"/>
      <c r="Q57" s="201"/>
      <c r="R57" s="201"/>
      <c r="S57" s="201"/>
      <c r="T57" s="201"/>
      <c r="U57" s="203"/>
    </row>
    <row r="58" spans="2:21" ht="15" hidden="1" customHeight="1" x14ac:dyDescent="0.35">
      <c r="B58" s="196"/>
      <c r="C58" s="197"/>
      <c r="D58" s="197"/>
      <c r="E58" s="197"/>
      <c r="F58" s="197"/>
      <c r="G58" s="197"/>
      <c r="H58" s="197"/>
      <c r="I58" s="197"/>
      <c r="J58" s="199"/>
      <c r="M58" s="196"/>
      <c r="N58" s="197"/>
      <c r="O58" s="197"/>
      <c r="P58" s="197"/>
      <c r="Q58" s="197"/>
      <c r="R58" s="197"/>
      <c r="S58" s="197"/>
      <c r="T58" s="197"/>
      <c r="U58" s="199"/>
    </row>
    <row r="59" spans="2:21" hidden="1" x14ac:dyDescent="0.35"/>
    <row r="60" spans="2:21" hidden="1" x14ac:dyDescent="0.35"/>
    <row r="61" spans="2:21" ht="15" hidden="1" customHeight="1" x14ac:dyDescent="0.35">
      <c r="B61" s="235" t="s">
        <v>243</v>
      </c>
      <c r="C61" s="235"/>
      <c r="D61" s="235"/>
      <c r="E61" s="235"/>
      <c r="F61" s="235"/>
      <c r="G61" s="235"/>
      <c r="H61" s="235"/>
      <c r="I61" s="235"/>
      <c r="J61" s="235"/>
    </row>
    <row r="62" spans="2:21" hidden="1" x14ac:dyDescent="0.35">
      <c r="B62" s="146"/>
      <c r="C62" s="158"/>
      <c r="D62" s="158"/>
      <c r="E62" s="158"/>
      <c r="F62" s="158"/>
      <c r="G62" s="158"/>
      <c r="H62" s="158"/>
      <c r="I62" s="158"/>
      <c r="J62" s="182"/>
    </row>
    <row r="63" spans="2:21" hidden="1" x14ac:dyDescent="0.35">
      <c r="B63" s="146" t="s">
        <v>176</v>
      </c>
      <c r="C63" s="158"/>
      <c r="D63" s="208">
        <f>D51</f>
        <v>944.0554636249999</v>
      </c>
      <c r="E63" s="158"/>
      <c r="F63" s="158"/>
      <c r="G63" s="158"/>
      <c r="H63" s="158"/>
      <c r="I63" s="158"/>
      <c r="J63" s="182"/>
    </row>
    <row r="64" spans="2:21" hidden="1" x14ac:dyDescent="0.35">
      <c r="B64" s="146" t="s">
        <v>177</v>
      </c>
      <c r="C64" s="158"/>
      <c r="D64" s="208">
        <f>O41</f>
        <v>399.37668970197973</v>
      </c>
      <c r="E64" s="158"/>
      <c r="F64" s="158"/>
      <c r="G64" s="158"/>
      <c r="H64" s="158"/>
      <c r="I64" s="158"/>
      <c r="J64" s="182"/>
    </row>
    <row r="65" spans="2:11" hidden="1" x14ac:dyDescent="0.35">
      <c r="B65" s="146" t="s">
        <v>178</v>
      </c>
      <c r="C65" s="158"/>
      <c r="D65" s="208">
        <f>D55</f>
        <v>0</v>
      </c>
      <c r="E65" s="158"/>
      <c r="F65" s="158"/>
      <c r="G65" s="158"/>
      <c r="H65" s="158"/>
      <c r="I65" s="158"/>
      <c r="J65" s="182"/>
    </row>
    <row r="66" spans="2:11" hidden="1" x14ac:dyDescent="0.35">
      <c r="B66" s="146" t="s">
        <v>179</v>
      </c>
      <c r="C66" s="158"/>
      <c r="D66" s="208">
        <f>N55</f>
        <v>0</v>
      </c>
      <c r="E66" s="158"/>
      <c r="F66" s="158"/>
      <c r="G66" s="158"/>
      <c r="H66" s="158"/>
      <c r="I66" s="158"/>
      <c r="J66" s="182"/>
    </row>
    <row r="67" spans="2:11" hidden="1" x14ac:dyDescent="0.35">
      <c r="B67" s="200" t="s">
        <v>172</v>
      </c>
      <c r="C67" s="158"/>
      <c r="D67" s="208">
        <f>D56</f>
        <v>0</v>
      </c>
      <c r="E67" s="158"/>
      <c r="F67" s="158"/>
      <c r="G67" s="158"/>
      <c r="H67" s="158"/>
      <c r="I67" s="158"/>
      <c r="J67" s="182"/>
    </row>
    <row r="68" spans="2:11" hidden="1" x14ac:dyDescent="0.35">
      <c r="B68" s="146" t="s">
        <v>180</v>
      </c>
      <c r="C68" s="158"/>
      <c r="D68" s="208">
        <f>SUM(D63:D67)*D14</f>
        <v>0</v>
      </c>
      <c r="E68" s="158"/>
      <c r="F68" s="158"/>
      <c r="G68" s="158"/>
      <c r="H68" s="158"/>
      <c r="I68" s="158"/>
      <c r="J68" s="182"/>
    </row>
    <row r="69" spans="2:11" hidden="1" x14ac:dyDescent="0.35">
      <c r="B69" s="146" t="s">
        <v>244</v>
      </c>
      <c r="C69" s="158"/>
      <c r="D69" s="208">
        <f>SUM(D63:D68)*D15</f>
        <v>3358.5803833174491</v>
      </c>
      <c r="E69" s="158"/>
      <c r="F69" s="158"/>
      <c r="G69" s="158"/>
      <c r="H69" s="158"/>
      <c r="I69" s="158"/>
      <c r="J69" s="182"/>
    </row>
    <row r="70" spans="2:11" hidden="1" x14ac:dyDescent="0.35">
      <c r="B70" s="146" t="s">
        <v>182</v>
      </c>
      <c r="C70" s="158"/>
      <c r="D70" s="208">
        <f>SUM(D63:D69)*D16</f>
        <v>0</v>
      </c>
      <c r="E70" s="158"/>
      <c r="F70" s="158"/>
      <c r="G70" s="158"/>
      <c r="H70" s="158"/>
      <c r="I70" s="158"/>
      <c r="J70" s="182"/>
    </row>
    <row r="71" spans="2:11" hidden="1" x14ac:dyDescent="0.35">
      <c r="B71" s="146" t="s">
        <v>183</v>
      </c>
      <c r="C71" s="158"/>
      <c r="D71" s="208">
        <f>(D32+J30*J23-D41-J43)*D13</f>
        <v>0</v>
      </c>
      <c r="E71" s="158"/>
      <c r="F71" s="158"/>
      <c r="G71" s="158"/>
      <c r="H71" s="158"/>
      <c r="I71" s="158"/>
      <c r="J71" s="182"/>
      <c r="K71" s="243"/>
    </row>
    <row r="72" spans="2:11" ht="18" hidden="1" customHeight="1" x14ac:dyDescent="0.35">
      <c r="B72" s="244" t="s">
        <v>245</v>
      </c>
      <c r="C72" s="245"/>
      <c r="D72" s="246">
        <f>SUM(D63:D71)</f>
        <v>4702.012536644429</v>
      </c>
      <c r="E72" s="245"/>
      <c r="F72" s="245"/>
      <c r="G72" s="245"/>
      <c r="H72" s="245"/>
      <c r="I72" s="245"/>
      <c r="J72" s="247"/>
      <c r="K72" s="240"/>
    </row>
    <row r="73" spans="2:11" ht="18.75" hidden="1" customHeight="1" x14ac:dyDescent="0.35">
      <c r="B73" s="248" t="s">
        <v>246</v>
      </c>
      <c r="C73" s="249"/>
      <c r="D73" s="250">
        <f>SUM(D63:D70)</f>
        <v>4702.012536644429</v>
      </c>
      <c r="E73" s="249"/>
      <c r="F73" s="249"/>
      <c r="G73" s="249"/>
      <c r="H73" s="249"/>
      <c r="I73" s="249"/>
      <c r="J73" s="251"/>
    </row>
    <row r="74" spans="2:11" hidden="1" x14ac:dyDescent="0.35"/>
    <row r="75" spans="2:11" hidden="1" x14ac:dyDescent="0.35"/>
    <row r="76" spans="2:11" hidden="1" x14ac:dyDescent="0.35">
      <c r="D76" s="252"/>
    </row>
    <row r="77" spans="2:11" hidden="1" x14ac:dyDescent="0.35"/>
    <row r="78" spans="2:11" ht="15" customHeight="1" thickBot="1" x14ac:dyDescent="0.4"/>
    <row r="79" spans="2:11" ht="15" customHeight="1" x14ac:dyDescent="0.35">
      <c r="B79" s="204" t="s">
        <v>173</v>
      </c>
      <c r="C79" s="204"/>
      <c r="D79" s="204"/>
      <c r="E79" s="204"/>
      <c r="F79" s="204"/>
      <c r="G79" s="204"/>
      <c r="H79" s="204"/>
      <c r="I79" s="204"/>
      <c r="J79" s="204"/>
    </row>
    <row r="80" spans="2:11" x14ac:dyDescent="0.35">
      <c r="B80" s="205"/>
      <c r="J80" s="206"/>
    </row>
    <row r="81" spans="2:10" x14ac:dyDescent="0.35">
      <c r="B81" s="205"/>
      <c r="C81" s="207" t="s">
        <v>270</v>
      </c>
      <c r="J81" s="206"/>
    </row>
    <row r="82" spans="2:10" x14ac:dyDescent="0.35">
      <c r="B82" s="205"/>
      <c r="J82" s="206"/>
    </row>
    <row r="83" spans="2:10" ht="15" hidden="1" customHeight="1" x14ac:dyDescent="0.35">
      <c r="B83" s="235" t="s">
        <v>175</v>
      </c>
      <c r="C83" s="235"/>
      <c r="D83" s="235"/>
      <c r="E83" s="235"/>
      <c r="F83" s="235"/>
      <c r="G83" s="235"/>
      <c r="H83" s="235"/>
      <c r="I83" s="235"/>
      <c r="J83" s="235"/>
    </row>
    <row r="84" spans="2:10" ht="14.25" hidden="1" customHeight="1" x14ac:dyDescent="0.35">
      <c r="B84" s="146"/>
      <c r="C84" s="158"/>
      <c r="D84" s="158"/>
      <c r="E84" s="158"/>
      <c r="F84" s="158"/>
      <c r="G84" s="158"/>
      <c r="H84" s="158"/>
      <c r="I84" s="158"/>
      <c r="J84" s="182"/>
    </row>
    <row r="85" spans="2:10" ht="14.25" hidden="1" customHeight="1" x14ac:dyDescent="0.35">
      <c r="B85" s="146" t="s">
        <v>176</v>
      </c>
      <c r="C85" s="158"/>
      <c r="D85" s="208">
        <f>D71</f>
        <v>0</v>
      </c>
      <c r="E85" s="158"/>
      <c r="F85" s="158"/>
      <c r="G85" s="158"/>
      <c r="H85" s="158"/>
      <c r="I85" s="158"/>
      <c r="J85" s="182"/>
    </row>
    <row r="86" spans="2:10" ht="14.25" hidden="1" customHeight="1" x14ac:dyDescent="0.35">
      <c r="B86" s="146" t="s">
        <v>177</v>
      </c>
      <c r="C86" s="158"/>
      <c r="D86" s="208">
        <f>O64</f>
        <v>0</v>
      </c>
      <c r="E86" s="158"/>
      <c r="F86" s="158"/>
      <c r="G86" s="158"/>
      <c r="H86" s="158"/>
      <c r="I86" s="158"/>
      <c r="J86" s="182"/>
    </row>
    <row r="87" spans="2:10" ht="14.25" hidden="1" customHeight="1" x14ac:dyDescent="0.35">
      <c r="B87" s="146" t="s">
        <v>178</v>
      </c>
      <c r="C87" s="158"/>
      <c r="D87" s="208">
        <f>D75</f>
        <v>0</v>
      </c>
      <c r="E87" s="158"/>
      <c r="F87" s="158"/>
      <c r="G87" s="158"/>
      <c r="H87" s="158"/>
      <c r="I87" s="158"/>
      <c r="J87" s="182"/>
    </row>
    <row r="88" spans="2:10" ht="14.25" hidden="1" customHeight="1" x14ac:dyDescent="0.35">
      <c r="B88" s="146" t="s">
        <v>179</v>
      </c>
      <c r="C88" s="158"/>
      <c r="D88" s="208">
        <f>O75</f>
        <v>0</v>
      </c>
      <c r="E88" s="158"/>
      <c r="F88" s="158"/>
      <c r="G88" s="158"/>
      <c r="H88" s="158"/>
      <c r="I88" s="158"/>
      <c r="J88" s="182"/>
    </row>
    <row r="89" spans="2:10" ht="14.25" hidden="1" customHeight="1" x14ac:dyDescent="0.35">
      <c r="B89" s="200" t="s">
        <v>172</v>
      </c>
      <c r="C89" s="158"/>
      <c r="D89" s="208">
        <f>D76</f>
        <v>0</v>
      </c>
      <c r="E89" s="158"/>
      <c r="F89" s="158"/>
      <c r="G89" s="158"/>
      <c r="H89" s="158"/>
      <c r="I89" s="158"/>
      <c r="J89" s="182"/>
    </row>
    <row r="90" spans="2:10" ht="14.25" hidden="1" customHeight="1" x14ac:dyDescent="0.35">
      <c r="B90" s="146" t="s">
        <v>180</v>
      </c>
      <c r="C90" s="158"/>
      <c r="D90" s="208">
        <f>SUM(D85:D89)*D36</f>
        <v>0</v>
      </c>
      <c r="E90" s="158"/>
      <c r="F90" s="158"/>
      <c r="G90" s="158"/>
      <c r="H90" s="158"/>
      <c r="I90" s="158"/>
      <c r="J90" s="182"/>
    </row>
    <row r="91" spans="2:10" ht="14.25" hidden="1" customHeight="1" x14ac:dyDescent="0.35">
      <c r="B91" s="146" t="s">
        <v>181</v>
      </c>
      <c r="C91" s="158"/>
      <c r="D91" s="208">
        <f>SUM(D85:D90)*D37</f>
        <v>0</v>
      </c>
      <c r="E91" s="158"/>
      <c r="F91" s="158"/>
      <c r="G91" s="158"/>
      <c r="H91" s="158"/>
      <c r="I91" s="158"/>
      <c r="J91" s="182"/>
    </row>
    <row r="92" spans="2:10" ht="14.25" hidden="1" customHeight="1" x14ac:dyDescent="0.35">
      <c r="B92" s="146" t="s">
        <v>182</v>
      </c>
      <c r="C92" s="158"/>
      <c r="D92" s="208">
        <f>SUM(D85:D91)*D38</f>
        <v>0</v>
      </c>
      <c r="E92" s="158"/>
      <c r="F92" s="158"/>
      <c r="G92" s="158"/>
      <c r="H92" s="158"/>
      <c r="I92" s="158"/>
      <c r="J92" s="182"/>
    </row>
    <row r="93" spans="2:10" ht="14.25" hidden="1" customHeight="1" x14ac:dyDescent="0.35">
      <c r="B93" s="146" t="s">
        <v>183</v>
      </c>
      <c r="C93" s="158"/>
      <c r="D93" s="208">
        <f>(D54-D62-I63)*D35</f>
        <v>0</v>
      </c>
      <c r="E93" s="158"/>
      <c r="F93" s="158"/>
      <c r="G93" s="158"/>
      <c r="H93" s="158"/>
      <c r="I93" s="158"/>
      <c r="J93" s="182"/>
    </row>
    <row r="94" spans="2:10" ht="14.25" hidden="1" customHeight="1" x14ac:dyDescent="0.35">
      <c r="B94" s="146"/>
      <c r="C94" s="158"/>
      <c r="D94" s="208"/>
      <c r="E94" s="158"/>
      <c r="F94" s="158"/>
      <c r="G94" s="158"/>
      <c r="H94" s="158"/>
      <c r="I94" s="158"/>
      <c r="J94" s="182"/>
    </row>
    <row r="95" spans="2:10" ht="18" hidden="1" customHeight="1" x14ac:dyDescent="0.35">
      <c r="B95" s="244" t="s">
        <v>184</v>
      </c>
      <c r="C95" s="245"/>
      <c r="D95" s="246">
        <f>SUM(D85:D93)</f>
        <v>0</v>
      </c>
      <c r="E95" s="245"/>
      <c r="F95" s="245"/>
      <c r="G95" s="245"/>
      <c r="H95" s="245"/>
      <c r="I95" s="245"/>
      <c r="J95" s="247"/>
    </row>
    <row r="96" spans="2:10" ht="18.75" hidden="1" customHeight="1" x14ac:dyDescent="0.35">
      <c r="B96" s="248" t="s">
        <v>185</v>
      </c>
      <c r="C96" s="249"/>
      <c r="D96" s="250">
        <f>SUM(D85:D92)</f>
        <v>0</v>
      </c>
      <c r="E96" s="249"/>
      <c r="F96" s="249"/>
      <c r="G96" s="249"/>
      <c r="H96" s="249"/>
      <c r="I96" s="249"/>
      <c r="J96" s="251"/>
    </row>
    <row r="97" spans="2:10" x14ac:dyDescent="0.35">
      <c r="B97" s="205"/>
      <c r="D97" s="218" t="s">
        <v>248</v>
      </c>
      <c r="E97" s="218" t="s">
        <v>186</v>
      </c>
      <c r="J97" s="206"/>
    </row>
    <row r="98" spans="2:10" x14ac:dyDescent="0.35">
      <c r="B98" s="146"/>
      <c r="C98" s="158" t="s">
        <v>249</v>
      </c>
      <c r="D98" s="219">
        <f>D32</f>
        <v>11.115599999999999</v>
      </c>
      <c r="E98" s="219">
        <f>'[3]Old Ladder type '!K21</f>
        <v>11.115599999999999</v>
      </c>
      <c r="F98" s="158"/>
      <c r="G98" s="253"/>
      <c r="H98" s="158"/>
      <c r="I98" s="158"/>
      <c r="J98" s="182"/>
    </row>
    <row r="99" spans="2:10" x14ac:dyDescent="0.35">
      <c r="B99" s="146"/>
      <c r="C99" s="158" t="s">
        <v>250</v>
      </c>
      <c r="D99" s="254">
        <f>D41</f>
        <v>4.9298000000000008E-2</v>
      </c>
      <c r="E99" s="254">
        <v>0</v>
      </c>
      <c r="F99" s="158"/>
      <c r="G99" s="158"/>
      <c r="H99" s="158"/>
      <c r="I99" s="158"/>
      <c r="J99" s="182"/>
    </row>
    <row r="100" spans="2:10" x14ac:dyDescent="0.35">
      <c r="B100" s="146"/>
      <c r="C100" s="158" t="s">
        <v>251</v>
      </c>
      <c r="D100" s="219">
        <f>J30*J23</f>
        <v>1.9075500000000001</v>
      </c>
      <c r="E100" s="219">
        <f>'[3]Old Ladder type '!L21</f>
        <v>7.6302000000000003</v>
      </c>
      <c r="F100" s="158"/>
      <c r="G100" s="158"/>
      <c r="H100" s="158"/>
      <c r="I100" s="158"/>
      <c r="J100" s="182"/>
    </row>
    <row r="101" spans="2:10" x14ac:dyDescent="0.35">
      <c r="B101" s="146"/>
      <c r="C101" s="158" t="s">
        <v>252</v>
      </c>
      <c r="D101" s="254">
        <f>J43</f>
        <v>0.13246875</v>
      </c>
      <c r="E101" s="254">
        <v>0</v>
      </c>
      <c r="F101" s="255"/>
      <c r="G101" s="158"/>
      <c r="H101" s="158"/>
      <c r="I101" s="158"/>
      <c r="J101" s="182"/>
    </row>
    <row r="102" spans="2:10" x14ac:dyDescent="0.35">
      <c r="B102" s="146"/>
      <c r="C102" s="158" t="str">
        <f>"Weight of Coupler plate ("&amp;'[3]Coupler Plate'!N6&amp;"X"&amp;'[3]Coupler Plate'!N7&amp;"X"&amp;'[3]Coupler Plate'!N8&amp;") (kg)"</f>
        <v>Weight of Coupler plate (70X210X2) (kg)</v>
      </c>
      <c r="D102" s="254">
        <f>'[3]Coupler Plate'!D37*2</f>
        <v>0.41400900000000007</v>
      </c>
      <c r="E102" s="254">
        <f>'[3]Old Ladder type '!M21</f>
        <v>0.46157999999999999</v>
      </c>
      <c r="F102" s="221"/>
      <c r="G102" s="253"/>
      <c r="H102" s="158"/>
      <c r="I102" s="158"/>
      <c r="J102" s="182"/>
    </row>
    <row r="103" spans="2:10" x14ac:dyDescent="0.35">
      <c r="B103" s="146"/>
      <c r="C103" s="158" t="s">
        <v>190</v>
      </c>
      <c r="D103" s="219">
        <v>0.32</v>
      </c>
      <c r="E103" s="219">
        <v>0.32</v>
      </c>
      <c r="F103" s="222"/>
      <c r="G103" s="223" t="s">
        <v>191</v>
      </c>
      <c r="H103" s="158"/>
      <c r="I103" s="158"/>
      <c r="J103" s="182"/>
    </row>
    <row r="104" spans="2:10" x14ac:dyDescent="0.35">
      <c r="B104" s="146"/>
      <c r="C104" s="158" t="s">
        <v>192</v>
      </c>
      <c r="D104" s="219">
        <f>D98-D99+D100-D101+D102+D103</f>
        <v>13.57539225</v>
      </c>
      <c r="E104" s="219">
        <f>E98-E99+E100-E101+E102+E103</f>
        <v>19.527380000000001</v>
      </c>
      <c r="F104" s="221">
        <f>(E104-D104)/D104</f>
        <v>0.43843946755939966</v>
      </c>
      <c r="G104" s="187"/>
      <c r="H104" s="158"/>
      <c r="I104" s="158"/>
      <c r="J104" s="182"/>
    </row>
    <row r="105" spans="2:10" x14ac:dyDescent="0.35">
      <c r="B105" s="146"/>
      <c r="C105" s="189" t="s">
        <v>193</v>
      </c>
      <c r="D105" s="256">
        <f>(D98*D6-D11*D99*D6)+(D100*D6-D11*D101*D6)+('[3]Coupler Plate'!D24-D43*'[3]Coupler Plate'!D34)*D6*2+D103*D6</f>
        <v>999.37446212499992</v>
      </c>
      <c r="E105" s="256">
        <f>E104*D6</f>
        <v>1425.49874</v>
      </c>
      <c r="F105" s="158"/>
      <c r="G105" s="187"/>
      <c r="H105" s="158"/>
      <c r="I105" s="158"/>
      <c r="J105" s="182"/>
    </row>
    <row r="106" spans="2:10" x14ac:dyDescent="0.35">
      <c r="B106" s="146"/>
      <c r="C106" s="158"/>
      <c r="D106" s="219"/>
      <c r="E106" s="219"/>
      <c r="F106" s="158"/>
      <c r="G106" s="158"/>
      <c r="H106" s="158"/>
      <c r="I106" s="158"/>
      <c r="J106" s="182"/>
    </row>
    <row r="107" spans="2:10" x14ac:dyDescent="0.35">
      <c r="B107" s="146"/>
      <c r="C107" s="158" t="s">
        <v>144</v>
      </c>
      <c r="D107" s="219">
        <f>5%*D104</f>
        <v>0.67876961250000001</v>
      </c>
      <c r="E107" s="219">
        <f>5%*E104</f>
        <v>0.97636900000000004</v>
      </c>
      <c r="F107" s="158"/>
      <c r="G107" s="223" t="s">
        <v>254</v>
      </c>
      <c r="H107" s="158"/>
      <c r="I107" s="158"/>
      <c r="J107" s="182"/>
    </row>
    <row r="108" spans="2:10" x14ac:dyDescent="0.35">
      <c r="B108" s="146"/>
      <c r="C108" s="158" t="s">
        <v>195</v>
      </c>
      <c r="D108" s="219">
        <f>D107*$H$8</f>
        <v>288.88434708</v>
      </c>
      <c r="E108" s="219">
        <f>E107*$H$8</f>
        <v>415.54264640000002</v>
      </c>
      <c r="F108" s="158"/>
      <c r="G108" s="158"/>
      <c r="H108" s="158"/>
      <c r="I108" s="158"/>
      <c r="J108" s="182"/>
    </row>
    <row r="109" spans="2:10" x14ac:dyDescent="0.35">
      <c r="B109" s="146"/>
      <c r="C109" s="158"/>
      <c r="D109" s="219"/>
      <c r="E109" s="219"/>
      <c r="F109" s="158"/>
      <c r="G109" s="158"/>
      <c r="H109" s="158"/>
      <c r="I109" s="158"/>
      <c r="J109" s="182"/>
    </row>
    <row r="110" spans="2:10" x14ac:dyDescent="0.35">
      <c r="B110" s="146"/>
      <c r="C110" s="158" t="s">
        <v>196</v>
      </c>
      <c r="D110" s="219">
        <f>(D104+D107)*$D$17</f>
        <v>111.18246252749999</v>
      </c>
      <c r="E110" s="219">
        <f>(E104+E107)*$D$17</f>
        <v>159.92924219999998</v>
      </c>
      <c r="F110" s="158"/>
      <c r="G110" s="158"/>
      <c r="H110" s="158"/>
      <c r="I110" s="158"/>
      <c r="J110" s="182"/>
    </row>
    <row r="111" spans="2:10" x14ac:dyDescent="0.35">
      <c r="B111" s="146"/>
      <c r="C111" s="158"/>
      <c r="D111" s="219"/>
      <c r="E111" s="219"/>
      <c r="F111" s="158"/>
      <c r="G111" s="158"/>
      <c r="H111" s="158"/>
      <c r="I111" s="158"/>
      <c r="J111" s="182"/>
    </row>
    <row r="112" spans="2:10" x14ac:dyDescent="0.35">
      <c r="B112" s="146"/>
      <c r="C112" s="189" t="s">
        <v>255</v>
      </c>
      <c r="D112" s="256">
        <f>D110+D105+D108</f>
        <v>1399.4412717324999</v>
      </c>
      <c r="E112" s="256">
        <f>E110+E105+E108</f>
        <v>2000.9706285999998</v>
      </c>
      <c r="F112" s="158"/>
      <c r="G112" s="158"/>
      <c r="H112" s="158"/>
      <c r="I112" s="158"/>
      <c r="J112" s="182"/>
    </row>
    <row r="113" spans="2:12" x14ac:dyDescent="0.35">
      <c r="B113" s="146"/>
      <c r="C113" s="189" t="s">
        <v>199</v>
      </c>
      <c r="D113" s="257">
        <f>D112/(O12/1000)</f>
        <v>592.98358971716095</v>
      </c>
      <c r="E113" s="257">
        <f>E112/(O12/1000)</f>
        <v>847.86891042372883</v>
      </c>
      <c r="F113" s="158"/>
      <c r="G113" s="158"/>
      <c r="H113" s="158"/>
      <c r="I113" s="158"/>
      <c r="J113" s="182"/>
    </row>
    <row r="114" spans="2:12" x14ac:dyDescent="0.35">
      <c r="B114" s="146"/>
      <c r="C114" s="158" t="s">
        <v>198</v>
      </c>
      <c r="D114" s="258">
        <f>(E112-D112)/D112</f>
        <v>0.42983537002793276</v>
      </c>
      <c r="E114" s="219"/>
      <c r="F114" s="158"/>
      <c r="G114" s="158"/>
      <c r="H114" s="158"/>
      <c r="I114" s="158"/>
      <c r="J114" s="182"/>
    </row>
    <row r="115" spans="2:12" ht="15" customHeight="1" thickBot="1" x14ac:dyDescent="0.4">
      <c r="B115" s="196"/>
      <c r="C115" s="227"/>
      <c r="D115" s="227"/>
      <c r="E115" s="227"/>
      <c r="F115" s="197"/>
      <c r="G115" s="197"/>
      <c r="H115" s="197"/>
      <c r="I115" s="197"/>
      <c r="J115" s="199"/>
    </row>
    <row r="117" spans="2:12" hidden="1" x14ac:dyDescent="0.35"/>
    <row r="118" spans="2:12" ht="15" hidden="1" customHeight="1" x14ac:dyDescent="0.35">
      <c r="B118" s="259" t="s">
        <v>256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1"/>
    </row>
    <row r="119" spans="2:12" hidden="1" x14ac:dyDescent="0.35">
      <c r="B119" s="205"/>
      <c r="L119" s="206"/>
    </row>
    <row r="120" spans="2:12" ht="15" hidden="1" customHeight="1" x14ac:dyDescent="0.35">
      <c r="B120" s="205"/>
      <c r="D120" s="262" t="s">
        <v>257</v>
      </c>
      <c r="E120" s="262"/>
      <c r="F120" s="262"/>
      <c r="H120" s="263" t="s">
        <v>258</v>
      </c>
      <c r="I120" s="263"/>
      <c r="J120" s="263"/>
      <c r="L120" s="206"/>
    </row>
    <row r="121" spans="2:12" ht="43.5" hidden="1" customHeight="1" x14ac:dyDescent="0.35">
      <c r="B121" s="205"/>
      <c r="C121" s="264" t="s">
        <v>271</v>
      </c>
      <c r="D121" s="207"/>
      <c r="H121" s="207"/>
      <c r="L121" s="206"/>
    </row>
    <row r="122" spans="2:12" hidden="1" x14ac:dyDescent="0.35">
      <c r="B122" s="205"/>
      <c r="D122" s="207"/>
      <c r="H122" s="207"/>
      <c r="L122" s="206"/>
    </row>
    <row r="123" spans="2:12" ht="28.5" hidden="1" customHeight="1" x14ac:dyDescent="0.35">
      <c r="B123" s="205"/>
      <c r="D123" s="265" t="s">
        <v>260</v>
      </c>
      <c r="E123" s="265" t="s">
        <v>261</v>
      </c>
      <c r="F123" s="266" t="s">
        <v>262</v>
      </c>
      <c r="H123" s="265" t="s">
        <v>260</v>
      </c>
      <c r="I123" s="265" t="s">
        <v>261</v>
      </c>
      <c r="J123" s="266" t="s">
        <v>262</v>
      </c>
      <c r="K123" s="267" t="s">
        <v>263</v>
      </c>
      <c r="L123" s="268"/>
    </row>
    <row r="124" spans="2:12" ht="15" hidden="1" customHeight="1" x14ac:dyDescent="0.35">
      <c r="B124" s="205"/>
      <c r="C124" s="269" t="str">
        <f>'[3]Old Ladder type '!B21</f>
        <v>600mm(W)X100mm(H) - B1-i horizontal bend</v>
      </c>
      <c r="D124" s="270">
        <f>'[3]Old Ladder type '!Q21</f>
        <v>19.527380000000001</v>
      </c>
      <c r="E124" s="270">
        <f>'[3]Old Ladder type '!U21</f>
        <v>0.97636900000000004</v>
      </c>
      <c r="F124" s="270">
        <f>'[3]Old Ladder type '!Z21</f>
        <v>1647.4176500100002</v>
      </c>
      <c r="H124" s="270">
        <f>D104</f>
        <v>13.57539225</v>
      </c>
      <c r="I124" s="270">
        <f>D107</f>
        <v>0.67876961250000001</v>
      </c>
      <c r="J124" s="270">
        <f>D112</f>
        <v>1399.4412717324999</v>
      </c>
      <c r="K124" s="271">
        <f>(F124-J124)/J124</f>
        <v>0.17719670220280631</v>
      </c>
      <c r="L124" s="268"/>
    </row>
    <row r="125" spans="2:12" ht="15" hidden="1" customHeight="1" x14ac:dyDescent="0.35">
      <c r="B125" s="205"/>
      <c r="C125" s="269"/>
      <c r="D125" s="270"/>
      <c r="E125" s="270"/>
      <c r="F125" s="270"/>
      <c r="H125" s="270"/>
      <c r="I125" s="270"/>
      <c r="J125" s="270"/>
      <c r="K125" s="271"/>
      <c r="L125" s="268"/>
    </row>
    <row r="126" spans="2:12" ht="15" hidden="1" customHeight="1" x14ac:dyDescent="0.35">
      <c r="B126" s="205"/>
      <c r="C126" s="269"/>
      <c r="D126" s="270"/>
      <c r="E126" s="270"/>
      <c r="F126" s="270"/>
      <c r="H126" s="270"/>
      <c r="I126" s="270"/>
      <c r="J126" s="270"/>
      <c r="K126" s="271"/>
      <c r="L126" s="268"/>
    </row>
    <row r="127" spans="2:12" ht="15" hidden="1" customHeight="1" x14ac:dyDescent="0.35">
      <c r="B127" s="205"/>
      <c r="C127" s="269"/>
      <c r="D127" s="270"/>
      <c r="E127" s="270"/>
      <c r="F127" s="270"/>
      <c r="H127" s="270"/>
      <c r="I127" s="270"/>
      <c r="J127" s="270"/>
      <c r="K127" s="271"/>
      <c r="L127" s="268"/>
    </row>
    <row r="128" spans="2:12" ht="15" hidden="1" customHeight="1" x14ac:dyDescent="0.35">
      <c r="B128" s="205"/>
      <c r="C128" s="269"/>
      <c r="D128" s="270"/>
      <c r="E128" s="270"/>
      <c r="F128" s="270"/>
      <c r="H128" s="270"/>
      <c r="I128" s="270"/>
      <c r="J128" s="270"/>
      <c r="K128" s="271"/>
      <c r="L128" s="268"/>
    </row>
    <row r="129" spans="2:12" ht="15" hidden="1" customHeight="1" x14ac:dyDescent="0.35">
      <c r="B129" s="205"/>
      <c r="C129" s="269"/>
      <c r="D129" s="270"/>
      <c r="E129" s="270"/>
      <c r="F129" s="270"/>
      <c r="H129" s="270"/>
      <c r="I129" s="270"/>
      <c r="J129" s="270"/>
      <c r="K129" s="271"/>
      <c r="L129" s="268"/>
    </row>
    <row r="130" spans="2:12" hidden="1" x14ac:dyDescent="0.35">
      <c r="B130" s="205"/>
      <c r="L130" s="206"/>
    </row>
    <row r="131" spans="2:12" hidden="1" x14ac:dyDescent="0.35">
      <c r="B131" s="205"/>
      <c r="L131" s="206"/>
    </row>
    <row r="132" spans="2:12" ht="15" hidden="1" customHeight="1" x14ac:dyDescent="0.35">
      <c r="B132" s="272"/>
      <c r="C132" s="227"/>
      <c r="D132" s="227"/>
      <c r="E132" s="227"/>
      <c r="F132" s="227"/>
      <c r="G132" s="227"/>
      <c r="H132" s="227"/>
      <c r="I132" s="227"/>
      <c r="J132" s="227"/>
      <c r="K132" s="227"/>
      <c r="L132" s="273"/>
    </row>
  </sheetData>
  <mergeCells count="15">
    <mergeCell ref="B83:J83"/>
    <mergeCell ref="D120:F120"/>
    <mergeCell ref="H120:J120"/>
    <mergeCell ref="B21:J21"/>
    <mergeCell ref="M21:U21"/>
    <mergeCell ref="B54:J54"/>
    <mergeCell ref="M54:U54"/>
    <mergeCell ref="B61:J61"/>
    <mergeCell ref="B79:J79"/>
    <mergeCell ref="A1:U2"/>
    <mergeCell ref="B5:J5"/>
    <mergeCell ref="M5:U5"/>
    <mergeCell ref="B7:C7"/>
    <mergeCell ref="B13:C13"/>
    <mergeCell ref="M16:U19"/>
  </mergeCells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E836-1E95-4830-9EFD-93762373A1D5}">
  <dimension ref="A1:W104"/>
  <sheetViews>
    <sheetView showGridLines="0" topLeftCell="C1" zoomScale="70" zoomScaleNormal="70" workbookViewId="0">
      <selection activeCell="O8" sqref="O8"/>
    </sheetView>
  </sheetViews>
  <sheetFormatPr defaultColWidth="9.1796875" defaultRowHeight="14.5" outlineLevelRow="1" x14ac:dyDescent="0.35"/>
  <cols>
    <col min="1" max="1" width="2.54296875" style="17" customWidth="1"/>
    <col min="2" max="2" width="9.1796875" style="17"/>
    <col min="3" max="3" width="44.7265625" style="17" customWidth="1"/>
    <col min="4" max="4" width="15" style="17" customWidth="1"/>
    <col min="5" max="5" width="15.453125" style="17" customWidth="1"/>
    <col min="6" max="6" width="18" style="17" customWidth="1"/>
    <col min="7" max="7" width="30" style="17" customWidth="1"/>
    <col min="8" max="9" width="11" style="17" customWidth="1"/>
    <col min="10" max="10" width="2.1796875" style="17" customWidth="1"/>
    <col min="11" max="11" width="2.26953125" style="17" customWidth="1"/>
    <col min="12" max="12" width="1.1796875" style="17" customWidth="1"/>
    <col min="13" max="13" width="30.1796875" style="17" customWidth="1"/>
    <col min="14" max="14" width="17.81640625" style="17" customWidth="1"/>
    <col min="15" max="15" width="12.1796875" style="17" customWidth="1"/>
    <col min="16" max="16" width="9.1796875" style="17"/>
    <col min="17" max="17" width="27.1796875" style="17" customWidth="1"/>
    <col min="18" max="18" width="14.1796875" style="17" customWidth="1"/>
    <col min="19" max="19" width="9.1796875" style="17"/>
    <col min="20" max="20" width="11.1796875" style="17" bestFit="1" customWidth="1"/>
    <col min="21" max="22" width="9.1796875" style="17"/>
    <col min="23" max="23" width="20.54296875" style="17" customWidth="1"/>
    <col min="24" max="16384" width="9.1796875" style="17"/>
  </cols>
  <sheetData>
    <row r="1" spans="1:23" ht="15" customHeight="1" x14ac:dyDescent="0.35">
      <c r="A1" s="16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ht="1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1:23" ht="15" thickBot="1" x14ac:dyDescent="0.4">
      <c r="B4" s="18"/>
    </row>
    <row r="5" spans="1:23" ht="15.5" x14ac:dyDescent="0.35">
      <c r="B5" s="19" t="s">
        <v>89</v>
      </c>
      <c r="C5" s="20"/>
      <c r="D5" s="20"/>
      <c r="E5" s="20"/>
      <c r="F5" s="20"/>
      <c r="G5" s="20"/>
      <c r="H5" s="20"/>
      <c r="I5" s="20"/>
      <c r="J5" s="21"/>
      <c r="M5" s="19" t="s">
        <v>90</v>
      </c>
      <c r="N5" s="20"/>
      <c r="O5" s="20"/>
      <c r="P5" s="20"/>
      <c r="Q5" s="20"/>
      <c r="R5" s="20"/>
      <c r="S5" s="20"/>
      <c r="T5" s="20"/>
      <c r="U5" s="21"/>
    </row>
    <row r="6" spans="1:23" x14ac:dyDescent="0.35">
      <c r="B6" s="22" t="s">
        <v>91</v>
      </c>
      <c r="C6" s="23"/>
      <c r="D6" s="24">
        <v>73</v>
      </c>
      <c r="E6" s="23"/>
      <c r="F6" s="23" t="s">
        <v>92</v>
      </c>
      <c r="G6" s="23"/>
      <c r="H6" s="24">
        <v>86</v>
      </c>
      <c r="I6" s="23"/>
      <c r="J6" s="25"/>
      <c r="M6" s="26"/>
      <c r="N6" s="23"/>
      <c r="O6" s="23"/>
      <c r="P6" s="23"/>
      <c r="Q6" s="27"/>
      <c r="R6" s="23"/>
      <c r="S6" s="23"/>
      <c r="T6" s="23"/>
      <c r="U6" s="25"/>
    </row>
    <row r="7" spans="1:23" ht="36.75" customHeight="1" x14ac:dyDescent="0.35">
      <c r="B7" s="28" t="s">
        <v>93</v>
      </c>
      <c r="C7" s="29"/>
      <c r="D7" s="30">
        <v>0</v>
      </c>
      <c r="E7" s="23"/>
      <c r="F7" s="23" t="s">
        <v>94</v>
      </c>
      <c r="G7" s="23"/>
      <c r="H7" s="24">
        <v>7135</v>
      </c>
      <c r="I7" s="23"/>
      <c r="J7" s="25"/>
      <c r="M7" s="31" t="s">
        <v>95</v>
      </c>
      <c r="N7" s="23"/>
      <c r="O7" s="32">
        <v>600</v>
      </c>
      <c r="P7" s="23"/>
      <c r="Q7" s="23"/>
      <c r="R7" s="23"/>
      <c r="S7" s="23"/>
      <c r="T7" s="23"/>
      <c r="U7" s="33"/>
    </row>
    <row r="8" spans="1:23" x14ac:dyDescent="0.35">
      <c r="B8" s="31" t="s">
        <v>96</v>
      </c>
      <c r="C8" s="23"/>
      <c r="D8" s="24">
        <v>7850</v>
      </c>
      <c r="E8" s="23"/>
      <c r="F8" s="23" t="s">
        <v>97</v>
      </c>
      <c r="G8" s="23"/>
      <c r="H8" s="24">
        <v>425.6</v>
      </c>
      <c r="I8" s="23"/>
      <c r="J8" s="34"/>
      <c r="M8" s="31" t="s">
        <v>98</v>
      </c>
      <c r="N8" s="23"/>
      <c r="O8" s="32">
        <v>100</v>
      </c>
      <c r="P8" s="23"/>
      <c r="Q8" s="23"/>
      <c r="R8" s="23"/>
      <c r="S8" s="23"/>
      <c r="T8" s="23"/>
      <c r="U8" s="33"/>
    </row>
    <row r="9" spans="1:23" x14ac:dyDescent="0.35">
      <c r="B9" s="22" t="s">
        <v>99</v>
      </c>
      <c r="C9" s="23"/>
      <c r="D9" s="35">
        <v>0</v>
      </c>
      <c r="E9" s="23"/>
      <c r="F9" s="23" t="s">
        <v>100</v>
      </c>
      <c r="G9" s="23"/>
      <c r="H9" s="35">
        <v>0</v>
      </c>
      <c r="I9" s="23"/>
      <c r="J9" s="25"/>
      <c r="M9" s="31" t="s">
        <v>101</v>
      </c>
      <c r="N9" s="23"/>
      <c r="O9" s="32">
        <v>2</v>
      </c>
      <c r="P9" s="23"/>
      <c r="Q9" s="23"/>
      <c r="R9" s="23"/>
      <c r="S9" s="23"/>
      <c r="T9" s="23"/>
      <c r="U9" s="33"/>
    </row>
    <row r="10" spans="1:23" x14ac:dyDescent="0.35">
      <c r="B10" s="22" t="s">
        <v>102</v>
      </c>
      <c r="C10" s="36"/>
      <c r="D10" s="37">
        <v>0</v>
      </c>
      <c r="E10" s="23"/>
      <c r="F10" s="23" t="s">
        <v>103</v>
      </c>
      <c r="G10" s="23"/>
      <c r="H10" s="38">
        <v>0.12</v>
      </c>
      <c r="I10" s="23"/>
      <c r="J10" s="25"/>
      <c r="M10" s="31" t="s">
        <v>104</v>
      </c>
      <c r="N10" s="23"/>
      <c r="O10" s="39">
        <f>IF(AND(O7&gt;=300,O8&gt;=100),15,0)</f>
        <v>15</v>
      </c>
      <c r="P10" s="23"/>
      <c r="Q10" s="23"/>
      <c r="R10" s="23"/>
      <c r="S10" s="23"/>
      <c r="T10" s="23"/>
      <c r="U10" s="33"/>
      <c r="W10" s="40"/>
    </row>
    <row r="11" spans="1:23" x14ac:dyDescent="0.35">
      <c r="B11" s="31" t="s">
        <v>105</v>
      </c>
      <c r="C11" s="23"/>
      <c r="D11" s="38">
        <v>0.3</v>
      </c>
      <c r="E11" s="23"/>
      <c r="F11" s="23" t="s">
        <v>106</v>
      </c>
      <c r="G11" s="23"/>
      <c r="H11" s="38">
        <v>0.08</v>
      </c>
      <c r="I11" s="23"/>
      <c r="J11" s="34"/>
      <c r="M11" s="31" t="s">
        <v>107</v>
      </c>
      <c r="N11" s="23"/>
      <c r="O11" s="32">
        <v>2500</v>
      </c>
      <c r="P11" s="23"/>
      <c r="Q11" s="23"/>
      <c r="R11" s="23"/>
      <c r="S11" s="23"/>
      <c r="T11" s="23"/>
      <c r="U11" s="33"/>
    </row>
    <row r="12" spans="1:23" x14ac:dyDescent="0.35">
      <c r="B12" s="31" t="s">
        <v>108</v>
      </c>
      <c r="C12" s="23"/>
      <c r="D12" s="30">
        <v>0</v>
      </c>
      <c r="E12" s="23"/>
      <c r="F12" s="23" t="s">
        <v>109</v>
      </c>
      <c r="G12" s="23"/>
      <c r="H12" s="38">
        <v>0.26</v>
      </c>
      <c r="I12" s="23"/>
      <c r="J12" s="25"/>
      <c r="M12" s="31" t="s">
        <v>110</v>
      </c>
      <c r="N12" s="23"/>
      <c r="O12" s="39">
        <v>4</v>
      </c>
      <c r="P12" s="23"/>
      <c r="Q12" s="23"/>
      <c r="R12" s="23"/>
      <c r="S12" s="23"/>
      <c r="T12" s="23"/>
      <c r="U12" s="33"/>
    </row>
    <row r="13" spans="1:23" ht="33" customHeight="1" x14ac:dyDescent="0.35">
      <c r="B13" s="28" t="s">
        <v>111</v>
      </c>
      <c r="C13" s="29"/>
      <c r="D13" s="41">
        <v>0</v>
      </c>
      <c r="E13" s="23"/>
      <c r="F13" s="23" t="s">
        <v>112</v>
      </c>
      <c r="G13" s="23"/>
      <c r="H13" s="38">
        <v>0.52</v>
      </c>
      <c r="I13" s="23"/>
      <c r="J13" s="25"/>
      <c r="M13" s="31" t="s">
        <v>113</v>
      </c>
      <c r="N13" s="23"/>
      <c r="O13" s="39">
        <v>10</v>
      </c>
      <c r="P13" s="23"/>
      <c r="Q13" s="23"/>
      <c r="R13" s="23"/>
      <c r="S13" s="23"/>
      <c r="T13" s="23"/>
      <c r="U13" s="33"/>
    </row>
    <row r="14" spans="1:23" x14ac:dyDescent="0.35">
      <c r="B14" s="22" t="s">
        <v>114</v>
      </c>
      <c r="C14" s="36"/>
      <c r="D14" s="42">
        <v>0</v>
      </c>
      <c r="E14" s="23"/>
      <c r="F14" s="23" t="s">
        <v>115</v>
      </c>
      <c r="G14" s="23"/>
      <c r="H14" s="35">
        <v>0</v>
      </c>
      <c r="I14" s="23"/>
      <c r="J14" s="25"/>
      <c r="M14" s="31" t="s">
        <v>116</v>
      </c>
      <c r="N14" s="23"/>
      <c r="O14" s="39">
        <v>20</v>
      </c>
      <c r="P14" s="23"/>
      <c r="Q14" s="23"/>
      <c r="R14" s="23"/>
      <c r="S14" s="23"/>
      <c r="T14" s="23"/>
      <c r="U14" s="33"/>
    </row>
    <row r="15" spans="1:23" ht="28.5" customHeight="1" x14ac:dyDescent="0.35">
      <c r="B15" s="31" t="s">
        <v>117</v>
      </c>
      <c r="C15" s="23"/>
      <c r="D15" s="43">
        <v>2.5</v>
      </c>
      <c r="E15" s="44"/>
      <c r="F15" s="44"/>
      <c r="G15" s="44"/>
      <c r="H15" s="45"/>
      <c r="I15" s="44"/>
      <c r="J15" s="46"/>
      <c r="M15" s="31" t="s">
        <v>118</v>
      </c>
      <c r="N15" s="23"/>
      <c r="O15" s="39">
        <v>40</v>
      </c>
      <c r="P15" s="23"/>
      <c r="Q15" s="23"/>
      <c r="R15" s="44"/>
      <c r="S15" s="44"/>
      <c r="T15" s="44"/>
      <c r="U15" s="47"/>
    </row>
    <row r="16" spans="1:23" x14ac:dyDescent="0.35">
      <c r="B16" s="22" t="s">
        <v>119</v>
      </c>
      <c r="C16" s="36"/>
      <c r="D16" s="37">
        <v>0</v>
      </c>
      <c r="E16" s="44"/>
      <c r="F16" s="44"/>
      <c r="G16" s="44"/>
      <c r="H16" s="45"/>
      <c r="I16" s="44"/>
      <c r="J16" s="46"/>
      <c r="M16" s="31" t="s">
        <v>120</v>
      </c>
      <c r="N16" s="23"/>
      <c r="O16" s="39">
        <f>ROUNDUP(O11/O15-1,0)</f>
        <v>62</v>
      </c>
      <c r="P16" s="23"/>
      <c r="Q16" s="23"/>
      <c r="R16" s="44"/>
      <c r="S16" s="44"/>
      <c r="T16" s="44"/>
      <c r="U16" s="47"/>
    </row>
    <row r="17" spans="2:21" x14ac:dyDescent="0.35">
      <c r="B17" s="48" t="s">
        <v>121</v>
      </c>
      <c r="C17" s="44"/>
      <c r="D17" s="43">
        <f>6.5*1.2</f>
        <v>7.8</v>
      </c>
      <c r="E17" s="44"/>
      <c r="F17" s="44"/>
      <c r="G17" s="44"/>
      <c r="H17" s="45"/>
      <c r="I17" s="44"/>
      <c r="J17" s="46"/>
      <c r="M17" s="31" t="s">
        <v>122</v>
      </c>
      <c r="N17" s="23"/>
      <c r="O17" s="39">
        <f>4*2*2</f>
        <v>16</v>
      </c>
      <c r="P17" s="44"/>
      <c r="Q17" s="44"/>
      <c r="R17" s="44"/>
      <c r="S17" s="44"/>
      <c r="T17" s="44"/>
      <c r="U17" s="47"/>
    </row>
    <row r="18" spans="2:21" x14ac:dyDescent="0.35">
      <c r="B18" s="48"/>
      <c r="C18" s="44"/>
      <c r="D18" s="44"/>
      <c r="E18" s="44"/>
      <c r="F18" s="44"/>
      <c r="G18" s="44"/>
      <c r="H18" s="45"/>
      <c r="I18" s="44"/>
      <c r="J18" s="46"/>
      <c r="M18" s="31" t="s">
        <v>123</v>
      </c>
      <c r="N18" s="23"/>
      <c r="O18" s="39">
        <v>10</v>
      </c>
      <c r="P18" s="44"/>
      <c r="Q18" s="44"/>
      <c r="R18" s="44"/>
      <c r="S18" s="44"/>
      <c r="T18" s="44"/>
      <c r="U18" s="47"/>
    </row>
    <row r="19" spans="2:21" x14ac:dyDescent="0.35">
      <c r="B19" s="48"/>
      <c r="C19" s="44"/>
      <c r="D19" s="44"/>
      <c r="E19" s="44"/>
      <c r="F19" s="44"/>
      <c r="G19" s="44"/>
      <c r="H19" s="45"/>
      <c r="I19" s="44"/>
      <c r="J19" s="46"/>
      <c r="M19" s="48"/>
      <c r="N19" s="23"/>
      <c r="O19" s="49"/>
      <c r="P19" s="44"/>
      <c r="Q19" s="44"/>
      <c r="R19" s="44"/>
      <c r="S19" s="44"/>
      <c r="T19" s="44"/>
      <c r="U19" s="47"/>
    </row>
    <row r="20" spans="2:21" x14ac:dyDescent="0.35">
      <c r="B20" s="48"/>
      <c r="C20" s="44"/>
      <c r="D20" s="44"/>
      <c r="E20" s="44"/>
      <c r="F20" s="44"/>
      <c r="G20" s="44"/>
      <c r="H20" s="45"/>
      <c r="I20" s="44"/>
      <c r="J20" s="46"/>
      <c r="M20" s="50" t="s">
        <v>124</v>
      </c>
      <c r="N20" s="23"/>
      <c r="O20" s="39" cm="1">
        <f t="array" ref="O20">SUMPRODUCT('[1]Coupler plate dimensions'!F2:F28,--('[1]Coupler plate dimensions'!D2:D28=O7),--('[1]Coupler plate dimensions'!E2:E28=O8))</f>
        <v>70</v>
      </c>
      <c r="P20" s="44"/>
      <c r="Q20" s="44"/>
      <c r="R20" s="44"/>
      <c r="S20" s="44"/>
      <c r="T20" s="44"/>
      <c r="U20" s="47"/>
    </row>
    <row r="21" spans="2:21" x14ac:dyDescent="0.35">
      <c r="B21" s="48"/>
      <c r="C21" s="44"/>
      <c r="D21" s="44"/>
      <c r="E21" s="44"/>
      <c r="F21" s="44"/>
      <c r="G21" s="44"/>
      <c r="H21" s="45"/>
      <c r="I21" s="44"/>
      <c r="J21" s="46"/>
      <c r="M21" s="50" t="s">
        <v>125</v>
      </c>
      <c r="N21" s="23"/>
      <c r="O21" s="39" cm="1">
        <f t="array" ref="O21">SUMPRODUCT('[1]Coupler plate dimensions'!G2:G28,--('[1]Coupler plate dimensions'!D2:D28=O7),--('[1]Coupler plate dimensions'!E2:E28=O8))</f>
        <v>210</v>
      </c>
      <c r="P21" s="44"/>
      <c r="Q21" s="44"/>
      <c r="R21" s="44"/>
      <c r="S21" s="44"/>
      <c r="T21" s="44"/>
      <c r="U21" s="47"/>
    </row>
    <row r="22" spans="2:21" x14ac:dyDescent="0.35">
      <c r="B22" s="48"/>
      <c r="C22" s="44"/>
      <c r="D22" s="44"/>
      <c r="E22" s="44"/>
      <c r="F22" s="44"/>
      <c r="G22" s="44"/>
      <c r="H22" s="45"/>
      <c r="I22" s="44"/>
      <c r="J22" s="46"/>
      <c r="M22" s="50" t="s">
        <v>126</v>
      </c>
      <c r="N22" s="23"/>
      <c r="O22" s="39">
        <v>2</v>
      </c>
      <c r="P22" s="44"/>
      <c r="Q22" s="44"/>
      <c r="R22" s="44"/>
      <c r="S22" s="44"/>
      <c r="T22" s="44"/>
      <c r="U22" s="47"/>
    </row>
    <row r="23" spans="2:21" ht="15" thickBot="1" x14ac:dyDescent="0.4">
      <c r="B23" s="51"/>
      <c r="C23" s="52"/>
      <c r="D23" s="52"/>
      <c r="E23" s="52"/>
      <c r="F23" s="52"/>
      <c r="G23" s="52"/>
      <c r="H23" s="52"/>
      <c r="I23" s="52"/>
      <c r="J23" s="53"/>
      <c r="M23" s="51" t="s">
        <v>127</v>
      </c>
      <c r="N23" s="52"/>
      <c r="O23" s="54">
        <f>(2+2)/2</f>
        <v>2</v>
      </c>
      <c r="P23" s="52"/>
      <c r="Q23" s="52"/>
      <c r="R23" s="52"/>
      <c r="S23" s="52"/>
      <c r="T23" s="52"/>
      <c r="U23" s="53"/>
    </row>
    <row r="25" spans="2:21" ht="16" thickBot="1" x14ac:dyDescent="0.4">
      <c r="B25" s="55" t="s">
        <v>128</v>
      </c>
    </row>
    <row r="26" spans="2:21" ht="15.5" outlineLevel="1" x14ac:dyDescent="0.35">
      <c r="B26" s="56" t="s">
        <v>129</v>
      </c>
      <c r="C26" s="57"/>
      <c r="D26" s="57"/>
      <c r="E26" s="57"/>
      <c r="F26" s="57"/>
      <c r="G26" s="57"/>
      <c r="H26" s="57"/>
      <c r="I26" s="57"/>
      <c r="J26" s="58"/>
      <c r="M26" s="56" t="s">
        <v>130</v>
      </c>
      <c r="N26" s="57"/>
      <c r="O26" s="57"/>
      <c r="P26" s="57"/>
      <c r="Q26" s="57"/>
      <c r="R26" s="57"/>
      <c r="S26" s="57"/>
      <c r="T26" s="57"/>
      <c r="U26" s="58"/>
    </row>
    <row r="27" spans="2:21" ht="15.5" outlineLevel="1" x14ac:dyDescent="0.35">
      <c r="B27" s="59"/>
      <c r="C27" s="60"/>
      <c r="D27" s="60"/>
      <c r="E27" s="60"/>
      <c r="F27" s="60"/>
      <c r="G27" s="60"/>
      <c r="H27" s="60"/>
      <c r="I27" s="60"/>
      <c r="J27" s="61"/>
      <c r="M27" s="22" t="s">
        <v>131</v>
      </c>
      <c r="N27" s="36"/>
      <c r="O27" s="36"/>
      <c r="P27" s="36"/>
      <c r="Q27" s="36"/>
      <c r="R27" s="36"/>
      <c r="S27" s="36"/>
      <c r="T27" s="36"/>
      <c r="U27" s="62"/>
    </row>
    <row r="28" spans="2:21" ht="15.5" outlineLevel="1" x14ac:dyDescent="0.35">
      <c r="B28" s="22" t="s">
        <v>95</v>
      </c>
      <c r="C28" s="36"/>
      <c r="D28" s="36">
        <f>O7</f>
        <v>600</v>
      </c>
      <c r="E28" s="36"/>
      <c r="F28" s="36"/>
      <c r="G28" s="36"/>
      <c r="H28" s="36"/>
      <c r="I28" s="36"/>
      <c r="J28" s="62"/>
      <c r="M28" s="59" t="s">
        <v>132</v>
      </c>
      <c r="N28" s="36"/>
      <c r="O28" s="36"/>
      <c r="P28" s="36"/>
      <c r="Q28" s="60" t="s">
        <v>133</v>
      </c>
      <c r="R28" s="36"/>
      <c r="S28" s="36"/>
      <c r="T28" s="36"/>
      <c r="U28" s="62"/>
    </row>
    <row r="29" spans="2:21" outlineLevel="1" x14ac:dyDescent="0.35">
      <c r="B29" s="22" t="s">
        <v>98</v>
      </c>
      <c r="C29" s="36"/>
      <c r="D29" s="36">
        <f>O8</f>
        <v>100</v>
      </c>
      <c r="E29" s="36"/>
      <c r="F29" s="36"/>
      <c r="G29" s="36"/>
      <c r="H29" s="36"/>
      <c r="I29" s="36"/>
      <c r="J29" s="62"/>
      <c r="M29" s="22" t="s">
        <v>134</v>
      </c>
      <c r="N29" s="36"/>
      <c r="O29" s="36">
        <f>2*(2*O10+2*O8+(O7+4))/1000*O11/1000</f>
        <v>4.17</v>
      </c>
      <c r="P29" s="36"/>
      <c r="Q29" s="36" t="s">
        <v>135</v>
      </c>
      <c r="R29" s="36"/>
      <c r="S29" s="36"/>
      <c r="T29" s="63">
        <f>3.14*J42/1000*O9/1000*D32/2500*J41</f>
        <v>0</v>
      </c>
      <c r="U29" s="62"/>
    </row>
    <row r="30" spans="2:21" outlineLevel="1" x14ac:dyDescent="0.35">
      <c r="B30" s="22" t="s">
        <v>101</v>
      </c>
      <c r="C30" s="36"/>
      <c r="D30" s="36">
        <f>O9</f>
        <v>2</v>
      </c>
      <c r="E30" s="36"/>
      <c r="F30" s="36"/>
      <c r="G30" s="36"/>
      <c r="H30" s="36"/>
      <c r="I30" s="36"/>
      <c r="J30" s="62"/>
      <c r="M30" s="22" t="s">
        <v>136</v>
      </c>
      <c r="N30" s="36"/>
      <c r="O30" s="64">
        <f>(2*(O13+O14)/1000*O9/1000)*D42</f>
        <v>2.9759999999999998E-2</v>
      </c>
      <c r="P30" s="36"/>
      <c r="Q30" s="36" t="s">
        <v>137</v>
      </c>
      <c r="R30" s="36"/>
      <c r="S30" s="36"/>
      <c r="T30" s="63">
        <f>3.14*(J42/2/1000)^2*D32/2500*J41</f>
        <v>0</v>
      </c>
      <c r="U30" s="62"/>
    </row>
    <row r="31" spans="2:21" outlineLevel="1" x14ac:dyDescent="0.35">
      <c r="B31" s="22" t="s">
        <v>104</v>
      </c>
      <c r="C31" s="36"/>
      <c r="D31" s="36">
        <f>O10</f>
        <v>15</v>
      </c>
      <c r="E31" s="36"/>
      <c r="F31" s="36"/>
      <c r="G31" s="36"/>
      <c r="H31" s="36"/>
      <c r="I31" s="36"/>
      <c r="J31" s="62"/>
      <c r="M31" s="22" t="s">
        <v>138</v>
      </c>
      <c r="N31" s="36"/>
      <c r="O31" s="64">
        <f>O13/1000*O14/1000*D42</f>
        <v>4.9600000000000005E-2</v>
      </c>
      <c r="P31" s="36"/>
      <c r="Q31" s="36"/>
      <c r="R31" s="36"/>
      <c r="S31" s="36"/>
      <c r="T31" s="65"/>
      <c r="U31" s="62"/>
    </row>
    <row r="32" spans="2:21" outlineLevel="1" x14ac:dyDescent="0.35">
      <c r="B32" s="22" t="s">
        <v>107</v>
      </c>
      <c r="C32" s="36"/>
      <c r="D32" s="36">
        <f>O11</f>
        <v>2500</v>
      </c>
      <c r="E32" s="36"/>
      <c r="F32" s="36"/>
      <c r="G32" s="36"/>
      <c r="H32" s="36"/>
      <c r="I32" s="36"/>
      <c r="J32" s="62"/>
      <c r="M32" s="22"/>
      <c r="N32" s="36"/>
      <c r="O32" s="36"/>
      <c r="P32" s="36"/>
      <c r="Q32" s="36"/>
      <c r="R32" s="36"/>
      <c r="S32" s="36"/>
      <c r="T32" s="36"/>
      <c r="U32" s="62"/>
    </row>
    <row r="33" spans="2:21" outlineLevel="1" x14ac:dyDescent="0.35">
      <c r="B33" s="22"/>
      <c r="C33" s="36"/>
      <c r="D33" s="36"/>
      <c r="E33" s="36"/>
      <c r="F33" s="36"/>
      <c r="G33" s="36"/>
      <c r="H33" s="36"/>
      <c r="I33" s="36"/>
      <c r="J33" s="62"/>
      <c r="M33" s="22" t="s">
        <v>139</v>
      </c>
      <c r="N33" s="36"/>
      <c r="O33" s="64">
        <f>O29+O30-O31</f>
        <v>4.1501599999999996</v>
      </c>
      <c r="P33" s="36"/>
      <c r="Q33" s="36"/>
      <c r="R33" s="36"/>
      <c r="S33" s="36"/>
      <c r="T33" s="36"/>
      <c r="U33" s="62"/>
    </row>
    <row r="34" spans="2:21" outlineLevel="1" x14ac:dyDescent="0.35">
      <c r="B34" s="22"/>
      <c r="C34" s="36"/>
      <c r="D34" s="36"/>
      <c r="E34" s="36"/>
      <c r="F34" s="36"/>
      <c r="G34" s="36"/>
      <c r="H34" s="36"/>
      <c r="I34" s="36"/>
      <c r="J34" s="62"/>
      <c r="M34" s="22"/>
      <c r="N34" s="36"/>
      <c r="O34" s="36"/>
      <c r="P34" s="36"/>
      <c r="Q34" s="36"/>
      <c r="R34" s="36"/>
      <c r="S34" s="36"/>
      <c r="T34" s="36"/>
      <c r="U34" s="62"/>
    </row>
    <row r="35" spans="2:21" outlineLevel="1" x14ac:dyDescent="0.35">
      <c r="B35" s="22" t="s">
        <v>140</v>
      </c>
      <c r="C35" s="36"/>
      <c r="D35" s="36">
        <f>(2*D31+2*D29+(D28+4))/1000*D30/1000*D32/1000</f>
        <v>4.1700000000000001E-3</v>
      </c>
      <c r="E35" s="36"/>
      <c r="F35" s="36"/>
      <c r="G35" s="36"/>
      <c r="H35" s="36"/>
      <c r="I35" s="36"/>
      <c r="J35" s="62"/>
      <c r="M35" s="22" t="s">
        <v>141</v>
      </c>
      <c r="N35" s="36"/>
      <c r="O35" s="64">
        <f>O33+T29-T30</f>
        <v>4.1501599999999996</v>
      </c>
      <c r="P35" s="36"/>
      <c r="Q35" s="36"/>
      <c r="R35" s="36"/>
      <c r="S35" s="36"/>
      <c r="T35" s="36"/>
      <c r="U35" s="62"/>
    </row>
    <row r="36" spans="2:21" outlineLevel="1" x14ac:dyDescent="0.35">
      <c r="B36" s="22" t="s">
        <v>142</v>
      </c>
      <c r="C36" s="36"/>
      <c r="D36" s="36">
        <f>D35*D8</f>
        <v>32.734500000000004</v>
      </c>
      <c r="E36" s="36"/>
      <c r="F36" s="36"/>
      <c r="G36" s="36"/>
      <c r="H36" s="36"/>
      <c r="I36" s="36"/>
      <c r="J36" s="62"/>
      <c r="M36" s="22"/>
      <c r="N36" s="36"/>
      <c r="O36" s="36"/>
      <c r="P36" s="36"/>
      <c r="Q36" s="36"/>
      <c r="R36" s="36"/>
      <c r="S36" s="36"/>
      <c r="T36" s="36"/>
      <c r="U36" s="62"/>
    </row>
    <row r="37" spans="2:21" outlineLevel="1" x14ac:dyDescent="0.35">
      <c r="B37" s="22" t="s">
        <v>143</v>
      </c>
      <c r="C37" s="36"/>
      <c r="D37" s="36">
        <f>D36*(D6*(1+D7))</f>
        <v>2389.6185000000005</v>
      </c>
      <c r="E37" s="36"/>
      <c r="F37" s="36"/>
      <c r="G37" s="36"/>
      <c r="H37" s="36"/>
      <c r="I37" s="36"/>
      <c r="J37" s="62"/>
      <c r="M37" s="22" t="s">
        <v>144</v>
      </c>
      <c r="N37" s="36"/>
      <c r="O37" s="66">
        <f>O35*H6*10^-6*H7</f>
        <v>2.5465796775999996</v>
      </c>
      <c r="P37" s="36"/>
      <c r="Q37" s="36"/>
      <c r="R37" s="36"/>
      <c r="S37" s="36"/>
      <c r="T37" s="36"/>
      <c r="U37" s="62"/>
    </row>
    <row r="38" spans="2:21" outlineLevel="1" x14ac:dyDescent="0.35">
      <c r="B38" s="22"/>
      <c r="C38" s="36"/>
      <c r="D38" s="36"/>
      <c r="E38" s="36"/>
      <c r="F38" s="36"/>
      <c r="G38" s="36"/>
      <c r="H38" s="36"/>
      <c r="I38" s="36"/>
      <c r="J38" s="62"/>
      <c r="M38" s="22" t="s">
        <v>100</v>
      </c>
      <c r="N38" s="36"/>
      <c r="O38" s="67">
        <f>H9</f>
        <v>0</v>
      </c>
      <c r="P38" s="36"/>
      <c r="Q38" s="36"/>
      <c r="R38" s="36"/>
      <c r="S38" s="36"/>
      <c r="T38" s="36"/>
      <c r="U38" s="62"/>
    </row>
    <row r="39" spans="2:21" outlineLevel="1" x14ac:dyDescent="0.35">
      <c r="B39" s="68" t="s">
        <v>145</v>
      </c>
      <c r="C39" s="36"/>
      <c r="D39" s="36"/>
      <c r="E39" s="36"/>
      <c r="F39" s="69" t="s">
        <v>146</v>
      </c>
      <c r="G39" s="36"/>
      <c r="H39" s="36"/>
      <c r="I39" s="36"/>
      <c r="J39" s="62"/>
      <c r="M39" s="22" t="s">
        <v>147</v>
      </c>
      <c r="N39" s="36"/>
      <c r="O39" s="66">
        <f>(1+O38)*O37</f>
        <v>2.5465796775999996</v>
      </c>
      <c r="P39" s="36"/>
      <c r="Q39" s="36"/>
      <c r="R39" s="36"/>
      <c r="S39" s="36"/>
      <c r="T39" s="36"/>
      <c r="U39" s="62"/>
    </row>
    <row r="40" spans="2:21" outlineLevel="1" x14ac:dyDescent="0.35">
      <c r="B40" s="22"/>
      <c r="C40" s="36"/>
      <c r="D40" s="36"/>
      <c r="E40" s="36"/>
      <c r="F40" s="36"/>
      <c r="G40" s="36"/>
      <c r="H40" s="36"/>
      <c r="I40" s="36"/>
      <c r="J40" s="62"/>
      <c r="M40" s="22" t="s">
        <v>148</v>
      </c>
      <c r="N40" s="36"/>
      <c r="O40" s="70">
        <f>O39*H8</f>
        <v>1083.8243107865599</v>
      </c>
      <c r="P40" s="36"/>
      <c r="Q40" s="36"/>
      <c r="R40" s="36"/>
      <c r="S40" s="36"/>
      <c r="T40" s="36"/>
      <c r="U40" s="62"/>
    </row>
    <row r="41" spans="2:21" outlineLevel="1" x14ac:dyDescent="0.35">
      <c r="B41" s="22" t="s">
        <v>110</v>
      </c>
      <c r="C41" s="36"/>
      <c r="D41" s="36">
        <f>O12</f>
        <v>4</v>
      </c>
      <c r="E41" s="36"/>
      <c r="F41" s="36" t="s">
        <v>149</v>
      </c>
      <c r="G41" s="36"/>
      <c r="H41" s="36"/>
      <c r="I41" s="36">
        <f>O17</f>
        <v>16</v>
      </c>
      <c r="J41" s="62"/>
      <c r="M41" s="22"/>
      <c r="N41" s="36"/>
      <c r="O41" s="36"/>
      <c r="P41" s="36"/>
      <c r="Q41" s="36"/>
      <c r="R41" s="36"/>
      <c r="S41" s="36"/>
      <c r="T41" s="36"/>
      <c r="U41" s="62"/>
    </row>
    <row r="42" spans="2:21" outlineLevel="1" x14ac:dyDescent="0.35">
      <c r="B42" s="22" t="s">
        <v>150</v>
      </c>
      <c r="C42" s="36"/>
      <c r="D42" s="36">
        <f>D41*O16</f>
        <v>248</v>
      </c>
      <c r="E42" s="36"/>
      <c r="F42" s="36" t="s">
        <v>151</v>
      </c>
      <c r="G42" s="36"/>
      <c r="H42" s="36"/>
      <c r="I42" s="36">
        <f>O18</f>
        <v>10</v>
      </c>
      <c r="J42" s="62"/>
      <c r="M42" s="22" t="s">
        <v>152</v>
      </c>
      <c r="N42" s="36"/>
      <c r="O42" s="66">
        <f>H10*O37</f>
        <v>0.30558956131199994</v>
      </c>
      <c r="P42" s="36"/>
      <c r="Q42" s="36" t="s">
        <v>153</v>
      </c>
      <c r="R42" s="36"/>
      <c r="S42" s="36"/>
      <c r="T42" s="36">
        <f>H12*$H$8</f>
        <v>110.65600000000001</v>
      </c>
      <c r="U42" s="62"/>
    </row>
    <row r="43" spans="2:21" outlineLevel="1" x14ac:dyDescent="0.35">
      <c r="B43" s="22" t="s">
        <v>154</v>
      </c>
      <c r="C43" s="36"/>
      <c r="D43" s="71">
        <f>D42*O13/1000*O14/1000*O9/1000</f>
        <v>9.9199999999999999E-5</v>
      </c>
      <c r="E43" s="36"/>
      <c r="F43" s="36" t="s">
        <v>155</v>
      </c>
      <c r="G43" s="36"/>
      <c r="H43" s="36"/>
      <c r="I43" s="72">
        <f>I41*3.14*(I42/2/1000)^2*O9/1000</f>
        <v>2.5120000000000003E-6</v>
      </c>
      <c r="J43" s="62"/>
      <c r="M43" s="22" t="s">
        <v>156</v>
      </c>
      <c r="N43" s="36"/>
      <c r="O43" s="66">
        <f>H11*O37</f>
        <v>0.20372637420799997</v>
      </c>
      <c r="P43" s="36"/>
      <c r="Q43" s="36" t="s">
        <v>157</v>
      </c>
      <c r="R43" s="36"/>
      <c r="S43" s="36"/>
      <c r="T43" s="36">
        <f>H13*$H$8</f>
        <v>221.31200000000001</v>
      </c>
      <c r="U43" s="62"/>
    </row>
    <row r="44" spans="2:21" outlineLevel="1" x14ac:dyDescent="0.35">
      <c r="B44" s="22" t="s">
        <v>158</v>
      </c>
      <c r="C44" s="36"/>
      <c r="D44" s="66">
        <f>D43*D8</f>
        <v>0.77871999999999997</v>
      </c>
      <c r="E44" s="36"/>
      <c r="F44" s="36" t="s">
        <v>159</v>
      </c>
      <c r="G44" s="36"/>
      <c r="H44" s="36"/>
      <c r="I44" s="72">
        <f>I43*D32/2500</f>
        <v>2.5120000000000003E-6</v>
      </c>
      <c r="J44" s="62"/>
      <c r="M44" s="22" t="s">
        <v>160</v>
      </c>
      <c r="N44" s="36"/>
      <c r="O44" s="66">
        <f>O42*T42+O43*T43</f>
        <v>78.902409825261557</v>
      </c>
      <c r="P44" s="36"/>
      <c r="Q44" s="36"/>
      <c r="R44" s="36"/>
      <c r="S44" s="36"/>
      <c r="T44" s="36"/>
      <c r="U44" s="62"/>
    </row>
    <row r="45" spans="2:21" outlineLevel="1" x14ac:dyDescent="0.35">
      <c r="B45" s="22" t="s">
        <v>161</v>
      </c>
      <c r="C45" s="36"/>
      <c r="D45" s="66">
        <f>D44*D6</f>
        <v>56.846559999999997</v>
      </c>
      <c r="E45" s="36"/>
      <c r="F45" s="36" t="s">
        <v>162</v>
      </c>
      <c r="G45" s="36"/>
      <c r="H45" s="36"/>
      <c r="I45" s="66">
        <f>I44*D8</f>
        <v>1.9719200000000003E-2</v>
      </c>
      <c r="J45" s="62"/>
      <c r="M45" s="22"/>
      <c r="N45" s="36"/>
      <c r="O45" s="36"/>
      <c r="P45" s="36"/>
      <c r="Q45" s="36"/>
      <c r="R45" s="36"/>
      <c r="S45" s="36"/>
      <c r="T45" s="36"/>
      <c r="U45" s="62"/>
    </row>
    <row r="46" spans="2:21" outlineLevel="1" x14ac:dyDescent="0.35">
      <c r="B46" s="22" t="s">
        <v>163</v>
      </c>
      <c r="C46" s="36"/>
      <c r="D46" s="67">
        <f>D11</f>
        <v>0.3</v>
      </c>
      <c r="E46" s="36"/>
      <c r="F46" s="36" t="s">
        <v>161</v>
      </c>
      <c r="G46" s="36"/>
      <c r="H46" s="36"/>
      <c r="I46" s="66">
        <f>I45*D6</f>
        <v>1.4395016000000003</v>
      </c>
      <c r="J46" s="62"/>
      <c r="M46" s="22" t="s">
        <v>164</v>
      </c>
      <c r="N46" s="36"/>
      <c r="O46" s="66">
        <f>O40-O44</f>
        <v>1004.9219009612983</v>
      </c>
      <c r="P46" s="36"/>
      <c r="Q46" s="36"/>
      <c r="R46" s="36"/>
      <c r="S46" s="36"/>
      <c r="T46" s="36"/>
      <c r="U46" s="62"/>
    </row>
    <row r="47" spans="2:21" outlineLevel="1" x14ac:dyDescent="0.35">
      <c r="B47" s="22" t="s">
        <v>165</v>
      </c>
      <c r="C47" s="36"/>
      <c r="D47" s="66">
        <f>D45*D46</f>
        <v>17.053967999999998</v>
      </c>
      <c r="E47" s="36"/>
      <c r="F47" s="36" t="s">
        <v>166</v>
      </c>
      <c r="G47" s="36"/>
      <c r="H47" s="36"/>
      <c r="I47" s="66">
        <f>I46*D46</f>
        <v>0.43185048000000009</v>
      </c>
      <c r="J47" s="62"/>
      <c r="M47" s="22"/>
      <c r="N47" s="36"/>
      <c r="O47" s="36"/>
      <c r="P47" s="36"/>
      <c r="Q47" s="36"/>
      <c r="R47" s="36"/>
      <c r="S47" s="36"/>
      <c r="T47" s="36"/>
      <c r="U47" s="62"/>
    </row>
    <row r="48" spans="2:21" outlineLevel="1" x14ac:dyDescent="0.35">
      <c r="B48" s="22"/>
      <c r="C48" s="36"/>
      <c r="D48" s="36"/>
      <c r="E48" s="36"/>
      <c r="F48" s="36"/>
      <c r="G48" s="36"/>
      <c r="H48" s="36"/>
      <c r="I48" s="36"/>
      <c r="J48" s="62"/>
      <c r="M48" s="22"/>
      <c r="N48" s="36"/>
      <c r="O48" s="36"/>
      <c r="P48" s="36"/>
      <c r="Q48" s="36"/>
      <c r="R48" s="36"/>
      <c r="S48" s="36"/>
      <c r="T48" s="36"/>
      <c r="U48" s="62"/>
    </row>
    <row r="49" spans="2:21" outlineLevel="1" x14ac:dyDescent="0.35">
      <c r="B49" s="22" t="s">
        <v>167</v>
      </c>
      <c r="C49" s="36"/>
      <c r="D49" s="66">
        <f>D37-D47-I47</f>
        <v>2372.1326815200005</v>
      </c>
      <c r="E49" s="36"/>
      <c r="F49" s="36"/>
      <c r="G49" s="36"/>
      <c r="H49" s="36"/>
      <c r="I49" s="36"/>
      <c r="J49" s="62"/>
      <c r="M49" s="22"/>
      <c r="N49" s="36"/>
      <c r="O49" s="36"/>
      <c r="P49" s="36"/>
      <c r="Q49" s="36"/>
      <c r="R49" s="36"/>
      <c r="S49" s="36"/>
      <c r="T49" s="36"/>
      <c r="U49" s="62"/>
    </row>
    <row r="50" spans="2:21" outlineLevel="1" x14ac:dyDescent="0.35">
      <c r="B50" s="22"/>
      <c r="C50" s="36"/>
      <c r="D50" s="36"/>
      <c r="E50" s="36"/>
      <c r="F50" s="36"/>
      <c r="G50" s="36"/>
      <c r="H50" s="36"/>
      <c r="I50" s="36"/>
      <c r="J50" s="62"/>
      <c r="M50" s="22"/>
      <c r="N50" s="36"/>
      <c r="O50" s="36"/>
      <c r="P50" s="36"/>
      <c r="Q50" s="36"/>
      <c r="R50" s="36"/>
      <c r="S50" s="36"/>
      <c r="T50" s="36"/>
      <c r="U50" s="62"/>
    </row>
    <row r="51" spans="2:21" outlineLevel="1" x14ac:dyDescent="0.35">
      <c r="B51" s="22" t="s">
        <v>168</v>
      </c>
      <c r="C51" s="36"/>
      <c r="D51" s="66">
        <f>D49</f>
        <v>2372.1326815200005</v>
      </c>
      <c r="E51" s="36"/>
      <c r="F51" s="36"/>
      <c r="G51" s="36"/>
      <c r="H51" s="36"/>
      <c r="I51" s="36"/>
      <c r="J51" s="62"/>
      <c r="M51" s="22"/>
      <c r="N51" s="36"/>
      <c r="O51" s="36"/>
      <c r="P51" s="36"/>
      <c r="Q51" s="36"/>
      <c r="R51" s="36"/>
      <c r="S51" s="36"/>
      <c r="T51" s="36"/>
      <c r="U51" s="62"/>
    </row>
    <row r="52" spans="2:21" outlineLevel="1" x14ac:dyDescent="0.35">
      <c r="B52" s="22" t="s">
        <v>108</v>
      </c>
      <c r="C52" s="36"/>
      <c r="D52" s="73">
        <f>D12</f>
        <v>0</v>
      </c>
      <c r="E52" s="36"/>
      <c r="F52" s="36"/>
      <c r="G52" s="36"/>
      <c r="H52" s="36"/>
      <c r="I52" s="36"/>
      <c r="J52" s="74"/>
      <c r="M52" s="22"/>
      <c r="N52" s="36"/>
      <c r="O52" s="36"/>
      <c r="P52" s="36"/>
      <c r="Q52" s="36"/>
      <c r="R52" s="36"/>
      <c r="S52" s="36"/>
      <c r="T52" s="36"/>
      <c r="U52" s="62"/>
    </row>
    <row r="53" spans="2:21" outlineLevel="1" x14ac:dyDescent="0.35">
      <c r="B53" s="22" t="s">
        <v>169</v>
      </c>
      <c r="C53" s="36"/>
      <c r="D53" s="75">
        <f>(1+D52)*D51</f>
        <v>2372.1326815200005</v>
      </c>
      <c r="E53" s="36"/>
      <c r="F53" s="36"/>
      <c r="G53" s="36"/>
      <c r="H53" s="36"/>
      <c r="I53" s="36"/>
      <c r="J53" s="62"/>
      <c r="M53" s="22"/>
      <c r="N53" s="36"/>
      <c r="O53" s="36"/>
      <c r="P53" s="36"/>
      <c r="Q53" s="36"/>
      <c r="R53" s="36"/>
      <c r="S53" s="36"/>
      <c r="T53" s="36"/>
      <c r="U53" s="62"/>
    </row>
    <row r="54" spans="2:21" ht="15" outlineLevel="1" thickBot="1" x14ac:dyDescent="0.4">
      <c r="B54" s="76"/>
      <c r="C54" s="77"/>
      <c r="D54" s="78"/>
      <c r="E54" s="77"/>
      <c r="F54" s="77"/>
      <c r="G54" s="77"/>
      <c r="H54" s="77"/>
      <c r="I54" s="77"/>
      <c r="J54" s="79"/>
      <c r="M54" s="76"/>
      <c r="N54" s="77"/>
      <c r="O54" s="77"/>
      <c r="P54" s="77"/>
      <c r="Q54" s="77"/>
      <c r="R54" s="77"/>
      <c r="S54" s="77"/>
      <c r="T54" s="77"/>
      <c r="U54" s="79"/>
    </row>
    <row r="55" spans="2:21" ht="15" outlineLevel="1" thickBot="1" x14ac:dyDescent="0.4"/>
    <row r="56" spans="2:21" ht="15.5" outlineLevel="1" x14ac:dyDescent="0.35">
      <c r="B56" s="56" t="s">
        <v>170</v>
      </c>
      <c r="C56" s="57"/>
      <c r="D56" s="57"/>
      <c r="E56" s="57"/>
      <c r="F56" s="57"/>
      <c r="G56" s="57"/>
      <c r="H56" s="57"/>
      <c r="I56" s="57"/>
      <c r="J56" s="58"/>
    </row>
    <row r="57" spans="2:21" outlineLevel="1" x14ac:dyDescent="0.35">
      <c r="B57" s="22" t="s">
        <v>171</v>
      </c>
      <c r="C57" s="36"/>
      <c r="D57" s="66">
        <f>D37*D9</f>
        <v>0</v>
      </c>
      <c r="E57" s="36"/>
      <c r="F57" s="36"/>
      <c r="G57" s="36"/>
      <c r="H57" s="36"/>
      <c r="I57" s="36"/>
      <c r="J57" s="62"/>
    </row>
    <row r="58" spans="2:21" outlineLevel="1" x14ac:dyDescent="0.35">
      <c r="B58" s="80" t="s">
        <v>172</v>
      </c>
      <c r="C58" s="81"/>
      <c r="D58" s="82">
        <f>D37*D10</f>
        <v>0</v>
      </c>
      <c r="E58" s="81"/>
      <c r="F58" s="81"/>
      <c r="G58" s="81"/>
      <c r="H58" s="81"/>
      <c r="I58" s="81"/>
      <c r="J58" s="83"/>
    </row>
    <row r="59" spans="2:21" ht="15" outlineLevel="1" thickBot="1" x14ac:dyDescent="0.4">
      <c r="B59" s="76"/>
      <c r="C59" s="77"/>
      <c r="D59" s="77"/>
      <c r="E59" s="77"/>
      <c r="F59" s="77"/>
      <c r="G59" s="77"/>
      <c r="H59" s="77"/>
      <c r="I59" s="77"/>
      <c r="J59" s="79"/>
    </row>
    <row r="60" spans="2:21" ht="15" thickBot="1" x14ac:dyDescent="0.4"/>
    <row r="61" spans="2:21" ht="15.5" x14ac:dyDescent="0.35">
      <c r="B61" s="84" t="s">
        <v>173</v>
      </c>
      <c r="C61" s="85" t="s">
        <v>174</v>
      </c>
      <c r="D61" s="85"/>
      <c r="E61" s="85"/>
      <c r="F61" s="85"/>
      <c r="G61" s="85"/>
      <c r="H61" s="85"/>
      <c r="I61" s="85"/>
      <c r="J61" s="86"/>
    </row>
    <row r="62" spans="2:21" x14ac:dyDescent="0.35">
      <c r="B62" s="87"/>
      <c r="J62" s="88"/>
    </row>
    <row r="63" spans="2:21" x14ac:dyDescent="0.35">
      <c r="B63" s="87"/>
      <c r="C63" s="89"/>
      <c r="J63" s="88"/>
    </row>
    <row r="64" spans="2:21" x14ac:dyDescent="0.35">
      <c r="B64" s="87"/>
      <c r="J64" s="88"/>
    </row>
    <row r="65" spans="2:10" ht="15.65" hidden="1" customHeight="1" x14ac:dyDescent="0.35">
      <c r="B65" s="56" t="s">
        <v>175</v>
      </c>
      <c r="C65" s="57"/>
      <c r="D65" s="57"/>
      <c r="E65" s="57"/>
      <c r="F65" s="57"/>
      <c r="G65" s="57"/>
      <c r="H65" s="57"/>
      <c r="I65" s="57"/>
      <c r="J65" s="58"/>
    </row>
    <row r="66" spans="2:10" ht="14.5" hidden="1" customHeight="1" x14ac:dyDescent="0.35">
      <c r="B66" s="22"/>
      <c r="C66" s="36"/>
      <c r="D66" s="36"/>
      <c r="E66" s="36"/>
      <c r="F66" s="36"/>
      <c r="G66" s="36"/>
      <c r="H66" s="36"/>
      <c r="I66" s="36"/>
      <c r="J66" s="62"/>
    </row>
    <row r="67" spans="2:10" ht="14.5" hidden="1" customHeight="1" x14ac:dyDescent="0.35">
      <c r="B67" s="22" t="s">
        <v>176</v>
      </c>
      <c r="C67" s="36"/>
      <c r="D67" s="90">
        <f>D53</f>
        <v>2372.1326815200005</v>
      </c>
      <c r="E67" s="36"/>
      <c r="F67" s="36"/>
      <c r="G67" s="36"/>
      <c r="H67" s="36"/>
      <c r="I67" s="36"/>
      <c r="J67" s="62"/>
    </row>
    <row r="68" spans="2:10" ht="14.5" hidden="1" customHeight="1" x14ac:dyDescent="0.35">
      <c r="B68" s="22" t="s">
        <v>177</v>
      </c>
      <c r="C68" s="36"/>
      <c r="D68" s="90">
        <f>O46</f>
        <v>1004.9219009612983</v>
      </c>
      <c r="E68" s="36"/>
      <c r="F68" s="36"/>
      <c r="G68" s="36"/>
      <c r="H68" s="36"/>
      <c r="I68" s="36"/>
      <c r="J68" s="62"/>
    </row>
    <row r="69" spans="2:10" ht="14.5" hidden="1" customHeight="1" x14ac:dyDescent="0.35">
      <c r="B69" s="22" t="s">
        <v>178</v>
      </c>
      <c r="C69" s="36"/>
      <c r="D69" s="90">
        <f>D57</f>
        <v>0</v>
      </c>
      <c r="E69" s="36"/>
      <c r="F69" s="36"/>
      <c r="G69" s="36"/>
      <c r="H69" s="36"/>
      <c r="I69" s="36"/>
      <c r="J69" s="62"/>
    </row>
    <row r="70" spans="2:10" ht="14.5" hidden="1" customHeight="1" x14ac:dyDescent="0.35">
      <c r="B70" s="22" t="s">
        <v>179</v>
      </c>
      <c r="C70" s="36"/>
      <c r="D70" s="90">
        <f>O57</f>
        <v>0</v>
      </c>
      <c r="E70" s="36"/>
      <c r="F70" s="36"/>
      <c r="G70" s="36"/>
      <c r="H70" s="36"/>
      <c r="I70" s="36"/>
      <c r="J70" s="62"/>
    </row>
    <row r="71" spans="2:10" ht="14.5" hidden="1" customHeight="1" x14ac:dyDescent="0.35">
      <c r="B71" s="80" t="s">
        <v>172</v>
      </c>
      <c r="C71" s="36"/>
      <c r="D71" s="90">
        <f>D58</f>
        <v>0</v>
      </c>
      <c r="E71" s="36"/>
      <c r="F71" s="36"/>
      <c r="G71" s="36"/>
      <c r="H71" s="36"/>
      <c r="I71" s="36"/>
      <c r="J71" s="62"/>
    </row>
    <row r="72" spans="2:10" ht="14.5" hidden="1" customHeight="1" x14ac:dyDescent="0.35">
      <c r="B72" s="22" t="s">
        <v>180</v>
      </c>
      <c r="C72" s="36"/>
      <c r="D72" s="90">
        <f>SUM(D67:D71)*D14</f>
        <v>0</v>
      </c>
      <c r="E72" s="36"/>
      <c r="F72" s="36"/>
      <c r="G72" s="36"/>
      <c r="H72" s="36"/>
      <c r="I72" s="36"/>
      <c r="J72" s="62"/>
    </row>
    <row r="73" spans="2:10" ht="14.5" hidden="1" customHeight="1" x14ac:dyDescent="0.35">
      <c r="B73" s="22" t="s">
        <v>181</v>
      </c>
      <c r="C73" s="36"/>
      <c r="D73" s="90">
        <f>SUM(D67:D72)*D15</f>
        <v>8442.6364562032468</v>
      </c>
      <c r="E73" s="36"/>
      <c r="F73" s="36"/>
      <c r="G73" s="36"/>
      <c r="H73" s="36"/>
      <c r="I73" s="36"/>
      <c r="J73" s="62"/>
    </row>
    <row r="74" spans="2:10" ht="14.5" hidden="1" customHeight="1" x14ac:dyDescent="0.35">
      <c r="B74" s="22" t="s">
        <v>182</v>
      </c>
      <c r="C74" s="36"/>
      <c r="D74" s="90">
        <f>SUM(D67:D73)*D16</f>
        <v>0</v>
      </c>
      <c r="E74" s="36"/>
      <c r="F74" s="36"/>
      <c r="G74" s="36"/>
      <c r="H74" s="36"/>
      <c r="I74" s="36"/>
      <c r="J74" s="62"/>
    </row>
    <row r="75" spans="2:10" ht="14.5" hidden="1" customHeight="1" x14ac:dyDescent="0.35">
      <c r="B75" s="22" t="s">
        <v>183</v>
      </c>
      <c r="C75" s="36"/>
      <c r="D75" s="90">
        <f>(D36-D44-I45)*D13</f>
        <v>0</v>
      </c>
      <c r="E75" s="36"/>
      <c r="F75" s="36"/>
      <c r="G75" s="36"/>
      <c r="H75" s="36"/>
      <c r="I75" s="36"/>
      <c r="J75" s="62"/>
    </row>
    <row r="76" spans="2:10" ht="14.5" hidden="1" customHeight="1" x14ac:dyDescent="0.35">
      <c r="B76" s="22"/>
      <c r="C76" s="36"/>
      <c r="D76" s="90"/>
      <c r="E76" s="36"/>
      <c r="F76" s="36"/>
      <c r="G76" s="36"/>
      <c r="H76" s="36"/>
      <c r="I76" s="36"/>
      <c r="J76" s="62"/>
    </row>
    <row r="77" spans="2:10" ht="18.649999999999999" hidden="1" customHeight="1" x14ac:dyDescent="0.35">
      <c r="B77" s="91" t="s">
        <v>184</v>
      </c>
      <c r="C77" s="92"/>
      <c r="D77" s="93">
        <f>SUM(D67:D75)</f>
        <v>11819.691038684545</v>
      </c>
      <c r="E77" s="92"/>
      <c r="F77" s="92"/>
      <c r="G77" s="92"/>
      <c r="H77" s="92"/>
      <c r="I77" s="92"/>
      <c r="J77" s="94"/>
    </row>
    <row r="78" spans="2:10" ht="19" hidden="1" customHeight="1" thickBot="1" x14ac:dyDescent="0.4">
      <c r="B78" s="95" t="s">
        <v>185</v>
      </c>
      <c r="C78" s="96"/>
      <c r="D78" s="97">
        <f>SUM(D67:D74)</f>
        <v>11819.691038684545</v>
      </c>
      <c r="E78" s="96"/>
      <c r="F78" s="96"/>
      <c r="G78" s="96"/>
      <c r="H78" s="96"/>
      <c r="I78" s="96"/>
      <c r="J78" s="98"/>
    </row>
    <row r="79" spans="2:10" x14ac:dyDescent="0.35">
      <c r="B79" s="87"/>
      <c r="D79" s="99"/>
      <c r="E79" s="99" t="s">
        <v>186</v>
      </c>
      <c r="J79" s="88"/>
    </row>
    <row r="80" spans="2:10" x14ac:dyDescent="0.35">
      <c r="B80" s="22"/>
      <c r="C80" s="36" t="s">
        <v>187</v>
      </c>
      <c r="D80" s="100">
        <f>D36</f>
        <v>32.734500000000004</v>
      </c>
      <c r="E80" s="100">
        <f>D32/1000*(D28+2*D29+2*D31)/1000*D30/1000*D8</f>
        <v>32.577500000000001</v>
      </c>
      <c r="F80" s="36"/>
      <c r="G80" s="36"/>
      <c r="H80" s="36"/>
      <c r="I80" s="36"/>
      <c r="J80" s="62"/>
    </row>
    <row r="81" spans="2:10" x14ac:dyDescent="0.35">
      <c r="B81" s="22"/>
      <c r="C81" s="36" t="s">
        <v>188</v>
      </c>
      <c r="D81" s="101">
        <f>D44+I45</f>
        <v>0.79843920000000002</v>
      </c>
      <c r="E81" s="101">
        <v>0</v>
      </c>
      <c r="F81" s="102">
        <f>D81/D80</f>
        <v>2.4391366906474816E-2</v>
      </c>
      <c r="G81" s="36"/>
      <c r="H81" s="36"/>
      <c r="I81" s="36"/>
      <c r="J81" s="62"/>
    </row>
    <row r="82" spans="2:10" x14ac:dyDescent="0.35">
      <c r="B82" s="22"/>
      <c r="C82" s="36" t="s">
        <v>189</v>
      </c>
      <c r="D82" s="101">
        <f>2*(O20*O21)/1000000*D8*O22/1000</f>
        <v>0.46157999999999999</v>
      </c>
      <c r="E82" s="101">
        <f>2*(O20*O21)/1000000*D8*O22/1000</f>
        <v>0.46157999999999999</v>
      </c>
      <c r="F82" s="103"/>
      <c r="G82" s="36"/>
      <c r="H82" s="36"/>
      <c r="I82" s="36"/>
      <c r="J82" s="62"/>
    </row>
    <row r="83" spans="2:10" x14ac:dyDescent="0.35">
      <c r="B83" s="22"/>
      <c r="C83" s="36" t="s">
        <v>190</v>
      </c>
      <c r="D83" s="100">
        <v>0.32</v>
      </c>
      <c r="E83" s="100">
        <v>0.32</v>
      </c>
      <c r="F83" s="104"/>
      <c r="G83" s="105" t="s">
        <v>191</v>
      </c>
      <c r="H83" s="36"/>
      <c r="I83" s="36"/>
      <c r="J83" s="62"/>
    </row>
    <row r="84" spans="2:10" x14ac:dyDescent="0.35">
      <c r="B84" s="22"/>
      <c r="C84" s="36" t="s">
        <v>192</v>
      </c>
      <c r="D84" s="100">
        <f>D80-D81+D82+D83</f>
        <v>32.717640800000005</v>
      </c>
      <c r="E84" s="100">
        <f>E80-E81+E82+E83</f>
        <v>33.359079999999999</v>
      </c>
      <c r="F84" s="103">
        <f>(E84-D84)/D84</f>
        <v>1.960530112550149E-2</v>
      </c>
      <c r="G84" s="67"/>
      <c r="H84" s="36"/>
      <c r="I84" s="36"/>
      <c r="J84" s="62"/>
    </row>
    <row r="85" spans="2:10" x14ac:dyDescent="0.35">
      <c r="B85" s="22"/>
      <c r="C85" s="69" t="s">
        <v>193</v>
      </c>
      <c r="D85" s="106">
        <f>((D80+D83)-D81*D46)*D6+2*('[1]Final Coupler Plate'!D24-'[1]Final Coupler Plate'!D34*'[1]Final Coupler Plate'!D11)*D6</f>
        <v>2430.5530266200008</v>
      </c>
      <c r="E85" s="106">
        <f>E84*D6</f>
        <v>2435.2128399999997</v>
      </c>
      <c r="F85" s="103">
        <f>(E85-D85)/D85</f>
        <v>1.9171823568395862E-3</v>
      </c>
      <c r="G85" s="67"/>
      <c r="H85" s="36"/>
      <c r="I85" s="36"/>
      <c r="J85" s="62"/>
    </row>
    <row r="86" spans="2:10" x14ac:dyDescent="0.35">
      <c r="B86" s="22"/>
      <c r="C86" s="36"/>
      <c r="D86" s="100"/>
      <c r="E86" s="100"/>
      <c r="F86" s="36"/>
      <c r="G86" s="36"/>
      <c r="H86" s="36"/>
      <c r="I86" s="36"/>
      <c r="J86" s="62"/>
    </row>
    <row r="87" spans="2:10" x14ac:dyDescent="0.35">
      <c r="B87" s="22"/>
      <c r="C87" s="36" t="s">
        <v>144</v>
      </c>
      <c r="D87" s="100">
        <f>O39</f>
        <v>2.5465796775999996</v>
      </c>
      <c r="E87" s="100">
        <f>5%*E84</f>
        <v>1.6679539999999999</v>
      </c>
      <c r="F87" s="36"/>
      <c r="G87" s="105" t="s">
        <v>194</v>
      </c>
      <c r="H87" s="36"/>
      <c r="I87" s="36"/>
      <c r="J87" s="62"/>
    </row>
    <row r="88" spans="2:10" x14ac:dyDescent="0.35">
      <c r="B88" s="22"/>
      <c r="C88" s="36" t="s">
        <v>195</v>
      </c>
      <c r="D88" s="107">
        <f>D87*H8-O44</f>
        <v>1004.9219009612983</v>
      </c>
      <c r="E88" s="107">
        <f>E87*H8</f>
        <v>709.88122239999996</v>
      </c>
      <c r="F88" s="36"/>
      <c r="G88" s="36"/>
      <c r="H88" s="36"/>
      <c r="I88" s="36"/>
      <c r="J88" s="62"/>
    </row>
    <row r="89" spans="2:10" x14ac:dyDescent="0.35">
      <c r="B89" s="22"/>
      <c r="C89" s="36"/>
      <c r="D89" s="100"/>
      <c r="E89" s="100"/>
      <c r="F89" s="36"/>
      <c r="G89" s="36"/>
      <c r="H89" s="36"/>
      <c r="I89" s="36"/>
      <c r="J89" s="62"/>
    </row>
    <row r="90" spans="2:10" x14ac:dyDescent="0.35">
      <c r="B90" s="22"/>
      <c r="C90" s="36" t="s">
        <v>196</v>
      </c>
      <c r="D90" s="107">
        <f>(D84+D87)*($D$17+$D$15)</f>
        <v>363.22147091928008</v>
      </c>
      <c r="E90" s="107">
        <f>(E84+E87)*($D$17+$D$15)</f>
        <v>360.77845020000001</v>
      </c>
      <c r="F90" s="36"/>
      <c r="G90" s="36"/>
      <c r="H90" s="36"/>
      <c r="I90" s="36"/>
      <c r="J90" s="62"/>
    </row>
    <row r="91" spans="2:10" x14ac:dyDescent="0.35">
      <c r="B91" s="22"/>
      <c r="C91" s="36"/>
      <c r="D91" s="100"/>
      <c r="E91" s="100"/>
      <c r="F91" s="36"/>
      <c r="G91" s="36"/>
      <c r="H91" s="36"/>
      <c r="I91" s="36"/>
      <c r="J91" s="62"/>
    </row>
    <row r="92" spans="2:10" x14ac:dyDescent="0.35">
      <c r="B92" s="22"/>
      <c r="C92" s="69" t="s">
        <v>197</v>
      </c>
      <c r="D92" s="106">
        <f>D90+D85+D88</f>
        <v>3798.6963985005791</v>
      </c>
      <c r="E92" s="106">
        <f>E90+E85+E88</f>
        <v>3505.8725125999995</v>
      </c>
      <c r="F92" s="36"/>
      <c r="G92" s="36"/>
      <c r="H92" s="36"/>
      <c r="I92" s="36"/>
      <c r="J92" s="62"/>
    </row>
    <row r="93" spans="2:10" x14ac:dyDescent="0.35">
      <c r="B93" s="22"/>
      <c r="C93" s="69" t="s">
        <v>199</v>
      </c>
      <c r="D93" s="115">
        <f>D92/(O11/1000)</f>
        <v>1519.4785594002317</v>
      </c>
      <c r="E93" s="115">
        <f>E92/(O11/1000)</f>
        <v>1402.3490050399998</v>
      </c>
      <c r="F93" s="36"/>
      <c r="G93" s="36"/>
      <c r="H93" s="36"/>
      <c r="I93" s="36"/>
      <c r="J93" s="62"/>
    </row>
    <row r="94" spans="2:10" x14ac:dyDescent="0.35">
      <c r="B94" s="22"/>
      <c r="C94" s="36" t="s">
        <v>198</v>
      </c>
      <c r="D94" s="108">
        <f>(E92-D92)/D92</f>
        <v>-7.7085361708864916E-2</v>
      </c>
      <c r="E94" s="100"/>
      <c r="F94" s="36"/>
      <c r="G94" s="36"/>
      <c r="H94" s="36"/>
      <c r="I94" s="36"/>
      <c r="J94" s="62"/>
    </row>
    <row r="95" spans="2:10" ht="15" thickBot="1" x14ac:dyDescent="0.4">
      <c r="B95" s="76"/>
      <c r="C95" s="109"/>
      <c r="D95" s="109"/>
      <c r="E95" s="109"/>
      <c r="F95" s="77"/>
      <c r="G95" s="77"/>
      <c r="H95" s="77"/>
      <c r="I95" s="77"/>
      <c r="J95" s="79"/>
    </row>
    <row r="98" spans="3:5" x14ac:dyDescent="0.35">
      <c r="E98" s="110"/>
    </row>
    <row r="99" spans="3:5" s="111" customFormat="1" ht="6" customHeight="1" x14ac:dyDescent="0.35">
      <c r="D99" s="112"/>
      <c r="E99" s="112"/>
    </row>
    <row r="100" spans="3:5" s="113" customFormat="1" x14ac:dyDescent="0.35">
      <c r="D100" s="114"/>
      <c r="E100" s="114"/>
    </row>
    <row r="104" spans="3:5" x14ac:dyDescent="0.35">
      <c r="C104" s="89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8DAB-FD5A-456B-AB06-0234C1FA3BF8}">
  <dimension ref="A1:W104"/>
  <sheetViews>
    <sheetView showGridLines="0" zoomScale="70" zoomScaleNormal="70" workbookViewId="0">
      <selection activeCell="O8" sqref="O8"/>
    </sheetView>
  </sheetViews>
  <sheetFormatPr defaultColWidth="9.1796875" defaultRowHeight="14.5" outlineLevelRow="1" x14ac:dyDescent="0.35"/>
  <cols>
    <col min="1" max="1" width="2.54296875" style="17" customWidth="1"/>
    <col min="2" max="2" width="9.1796875" style="17"/>
    <col min="3" max="3" width="44.7265625" style="17" customWidth="1"/>
    <col min="4" max="4" width="15" style="17" customWidth="1"/>
    <col min="5" max="5" width="15.453125" style="17" customWidth="1"/>
    <col min="6" max="6" width="18" style="17" customWidth="1"/>
    <col min="7" max="7" width="30" style="17" customWidth="1"/>
    <col min="8" max="9" width="11" style="17" customWidth="1"/>
    <col min="10" max="10" width="2.1796875" style="17" customWidth="1"/>
    <col min="11" max="11" width="2.26953125" style="17" customWidth="1"/>
    <col min="12" max="12" width="1.1796875" style="17" customWidth="1"/>
    <col min="13" max="13" width="30.1796875" style="17" customWidth="1"/>
    <col min="14" max="14" width="17.81640625" style="17" customWidth="1"/>
    <col min="15" max="15" width="12.1796875" style="17" customWidth="1"/>
    <col min="16" max="16" width="9.1796875" style="17"/>
    <col min="17" max="17" width="27.1796875" style="17" customWidth="1"/>
    <col min="18" max="18" width="14.1796875" style="17" customWidth="1"/>
    <col min="19" max="19" width="9.1796875" style="17"/>
    <col min="20" max="20" width="11.1796875" style="17" bestFit="1" customWidth="1"/>
    <col min="21" max="22" width="9.1796875" style="17"/>
    <col min="23" max="23" width="20.54296875" style="17" customWidth="1"/>
    <col min="24" max="16384" width="9.1796875" style="17"/>
  </cols>
  <sheetData>
    <row r="1" spans="1:23" ht="15" customHeight="1" x14ac:dyDescent="0.35">
      <c r="A1" s="16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ht="1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1:23" ht="15" thickBot="1" x14ac:dyDescent="0.4">
      <c r="B4" s="18"/>
    </row>
    <row r="5" spans="1:23" ht="15.5" x14ac:dyDescent="0.35">
      <c r="B5" s="19" t="s">
        <v>89</v>
      </c>
      <c r="C5" s="20"/>
      <c r="D5" s="20"/>
      <c r="E5" s="20"/>
      <c r="F5" s="20"/>
      <c r="G5" s="20"/>
      <c r="H5" s="20"/>
      <c r="I5" s="20"/>
      <c r="J5" s="21"/>
      <c r="M5" s="19" t="s">
        <v>90</v>
      </c>
      <c r="N5" s="20"/>
      <c r="O5" s="20"/>
      <c r="P5" s="20"/>
      <c r="Q5" s="20"/>
      <c r="R5" s="20"/>
      <c r="S5" s="20"/>
      <c r="T5" s="20"/>
      <c r="U5" s="21"/>
    </row>
    <row r="6" spans="1:23" x14ac:dyDescent="0.35">
      <c r="B6" s="22" t="s">
        <v>91</v>
      </c>
      <c r="C6" s="23"/>
      <c r="D6" s="24">
        <v>73</v>
      </c>
      <c r="E6" s="23"/>
      <c r="F6" s="23" t="s">
        <v>92</v>
      </c>
      <c r="G6" s="23"/>
      <c r="H6" s="24">
        <v>86</v>
      </c>
      <c r="I6" s="23"/>
      <c r="J6" s="25"/>
      <c r="M6" s="26"/>
      <c r="N6" s="23"/>
      <c r="O6" s="23"/>
      <c r="P6" s="23"/>
      <c r="Q6" s="27"/>
      <c r="R6" s="23"/>
      <c r="S6" s="23"/>
      <c r="T6" s="23"/>
      <c r="U6" s="25"/>
    </row>
    <row r="7" spans="1:23" ht="36.75" customHeight="1" x14ac:dyDescent="0.35">
      <c r="B7" s="28" t="s">
        <v>93</v>
      </c>
      <c r="C7" s="29"/>
      <c r="D7" s="30">
        <v>0</v>
      </c>
      <c r="E7" s="23"/>
      <c r="F7" s="23" t="s">
        <v>94</v>
      </c>
      <c r="G7" s="23"/>
      <c r="H7" s="24">
        <v>7135</v>
      </c>
      <c r="I7" s="23"/>
      <c r="J7" s="25"/>
      <c r="M7" s="31" t="s">
        <v>95</v>
      </c>
      <c r="N7" s="23"/>
      <c r="O7" s="32">
        <v>300</v>
      </c>
      <c r="P7" s="23"/>
      <c r="Q7" s="23"/>
      <c r="R7" s="23"/>
      <c r="S7" s="23"/>
      <c r="T7" s="23"/>
      <c r="U7" s="33"/>
    </row>
    <row r="8" spans="1:23" x14ac:dyDescent="0.35">
      <c r="B8" s="31" t="s">
        <v>96</v>
      </c>
      <c r="C8" s="23"/>
      <c r="D8" s="24">
        <v>7850</v>
      </c>
      <c r="E8" s="23"/>
      <c r="F8" s="23" t="s">
        <v>97</v>
      </c>
      <c r="G8" s="23"/>
      <c r="H8" s="24">
        <v>425.6</v>
      </c>
      <c r="I8" s="23"/>
      <c r="J8" s="34"/>
      <c r="M8" s="31" t="s">
        <v>98</v>
      </c>
      <c r="N8" s="23"/>
      <c r="O8" s="32">
        <v>100</v>
      </c>
      <c r="P8" s="23"/>
      <c r="Q8" s="23"/>
      <c r="R8" s="23"/>
      <c r="S8" s="23"/>
      <c r="T8" s="23"/>
      <c r="U8" s="33"/>
    </row>
    <row r="9" spans="1:23" x14ac:dyDescent="0.35">
      <c r="B9" s="22" t="s">
        <v>99</v>
      </c>
      <c r="C9" s="23"/>
      <c r="D9" s="35">
        <v>0</v>
      </c>
      <c r="E9" s="23"/>
      <c r="F9" s="23" t="s">
        <v>100</v>
      </c>
      <c r="G9" s="23"/>
      <c r="H9" s="35">
        <v>0</v>
      </c>
      <c r="I9" s="23"/>
      <c r="J9" s="25"/>
      <c r="M9" s="31" t="s">
        <v>101</v>
      </c>
      <c r="N9" s="23"/>
      <c r="O9" s="32">
        <v>2</v>
      </c>
      <c r="P9" s="23"/>
      <c r="Q9" s="23"/>
      <c r="R9" s="23"/>
      <c r="S9" s="23"/>
      <c r="T9" s="23"/>
      <c r="U9" s="33"/>
    </row>
    <row r="10" spans="1:23" x14ac:dyDescent="0.35">
      <c r="B10" s="22" t="s">
        <v>102</v>
      </c>
      <c r="C10" s="36"/>
      <c r="D10" s="37">
        <v>0</v>
      </c>
      <c r="E10" s="23"/>
      <c r="F10" s="23" t="s">
        <v>103</v>
      </c>
      <c r="G10" s="23"/>
      <c r="H10" s="38">
        <v>0.12</v>
      </c>
      <c r="I10" s="23"/>
      <c r="J10" s="25"/>
      <c r="M10" s="31" t="s">
        <v>104</v>
      </c>
      <c r="N10" s="23"/>
      <c r="O10" s="39">
        <f>IF(AND(O7&gt;=300,O8&gt;=100),15,0)</f>
        <v>15</v>
      </c>
      <c r="P10" s="23"/>
      <c r="Q10" s="23"/>
      <c r="R10" s="23"/>
      <c r="S10" s="23"/>
      <c r="T10" s="23"/>
      <c r="U10" s="33"/>
      <c r="W10" s="40"/>
    </row>
    <row r="11" spans="1:23" x14ac:dyDescent="0.35">
      <c r="B11" s="31" t="s">
        <v>105</v>
      </c>
      <c r="C11" s="23"/>
      <c r="D11" s="38">
        <v>0.3</v>
      </c>
      <c r="E11" s="23"/>
      <c r="F11" s="23" t="s">
        <v>106</v>
      </c>
      <c r="G11" s="23"/>
      <c r="H11" s="38">
        <v>0.08</v>
      </c>
      <c r="I11" s="23"/>
      <c r="J11" s="34"/>
      <c r="M11" s="31" t="s">
        <v>107</v>
      </c>
      <c r="N11" s="23"/>
      <c r="O11" s="32">
        <v>2500</v>
      </c>
      <c r="P11" s="23"/>
      <c r="Q11" s="23"/>
      <c r="R11" s="23"/>
      <c r="S11" s="23"/>
      <c r="T11" s="23"/>
      <c r="U11" s="33"/>
    </row>
    <row r="12" spans="1:23" x14ac:dyDescent="0.35">
      <c r="B12" s="31" t="s">
        <v>108</v>
      </c>
      <c r="C12" s="23"/>
      <c r="D12" s="30">
        <v>0</v>
      </c>
      <c r="E12" s="23"/>
      <c r="F12" s="23" t="s">
        <v>109</v>
      </c>
      <c r="G12" s="23"/>
      <c r="H12" s="38">
        <v>0.26</v>
      </c>
      <c r="I12" s="23"/>
      <c r="J12" s="25"/>
      <c r="M12" s="31" t="s">
        <v>110</v>
      </c>
      <c r="N12" s="23"/>
      <c r="O12" s="39">
        <v>4</v>
      </c>
      <c r="P12" s="23"/>
      <c r="Q12" s="23"/>
      <c r="R12" s="23"/>
      <c r="S12" s="23"/>
      <c r="T12" s="23"/>
      <c r="U12" s="33"/>
    </row>
    <row r="13" spans="1:23" ht="33" customHeight="1" x14ac:dyDescent="0.35">
      <c r="B13" s="28" t="s">
        <v>111</v>
      </c>
      <c r="C13" s="29"/>
      <c r="D13" s="41">
        <v>0</v>
      </c>
      <c r="E13" s="23"/>
      <c r="F13" s="23" t="s">
        <v>112</v>
      </c>
      <c r="G13" s="23"/>
      <c r="H13" s="38">
        <v>0.52</v>
      </c>
      <c r="I13" s="23"/>
      <c r="J13" s="25"/>
      <c r="M13" s="31" t="s">
        <v>113</v>
      </c>
      <c r="N13" s="23"/>
      <c r="O13" s="39">
        <v>10</v>
      </c>
      <c r="P13" s="23"/>
      <c r="Q13" s="23"/>
      <c r="R13" s="23"/>
      <c r="S13" s="23"/>
      <c r="T13" s="23"/>
      <c r="U13" s="33"/>
    </row>
    <row r="14" spans="1:23" x14ac:dyDescent="0.35">
      <c r="B14" s="22" t="s">
        <v>114</v>
      </c>
      <c r="C14" s="36"/>
      <c r="D14" s="42">
        <v>0</v>
      </c>
      <c r="E14" s="23"/>
      <c r="F14" s="23" t="s">
        <v>115</v>
      </c>
      <c r="G14" s="23"/>
      <c r="H14" s="35">
        <v>0</v>
      </c>
      <c r="I14" s="23"/>
      <c r="J14" s="25"/>
      <c r="M14" s="31" t="s">
        <v>116</v>
      </c>
      <c r="N14" s="23"/>
      <c r="O14" s="39">
        <v>20</v>
      </c>
      <c r="P14" s="23"/>
      <c r="Q14" s="23"/>
      <c r="R14" s="23"/>
      <c r="S14" s="23"/>
      <c r="T14" s="23"/>
      <c r="U14" s="33"/>
    </row>
    <row r="15" spans="1:23" ht="28.5" customHeight="1" x14ac:dyDescent="0.35">
      <c r="B15" s="31" t="s">
        <v>117</v>
      </c>
      <c r="C15" s="23"/>
      <c r="D15" s="43">
        <v>2.5</v>
      </c>
      <c r="E15" s="44"/>
      <c r="F15" s="44"/>
      <c r="G15" s="44"/>
      <c r="H15" s="45"/>
      <c r="I15" s="44"/>
      <c r="J15" s="46"/>
      <c r="M15" s="31" t="s">
        <v>118</v>
      </c>
      <c r="N15" s="23"/>
      <c r="O15" s="39">
        <v>40</v>
      </c>
      <c r="P15" s="23"/>
      <c r="Q15" s="23"/>
      <c r="R15" s="44"/>
      <c r="S15" s="44"/>
      <c r="T15" s="44"/>
      <c r="U15" s="47"/>
    </row>
    <row r="16" spans="1:23" x14ac:dyDescent="0.35">
      <c r="B16" s="22" t="s">
        <v>119</v>
      </c>
      <c r="C16" s="36"/>
      <c r="D16" s="37">
        <v>0</v>
      </c>
      <c r="E16" s="44"/>
      <c r="F16" s="44"/>
      <c r="G16" s="44"/>
      <c r="H16" s="45"/>
      <c r="I16" s="44"/>
      <c r="J16" s="46"/>
      <c r="M16" s="31" t="s">
        <v>120</v>
      </c>
      <c r="N16" s="23"/>
      <c r="O16" s="39">
        <f>ROUNDUP(O11/O15-1,0)</f>
        <v>62</v>
      </c>
      <c r="P16" s="23"/>
      <c r="Q16" s="23"/>
      <c r="R16" s="44"/>
      <c r="S16" s="44"/>
      <c r="T16" s="44"/>
      <c r="U16" s="47"/>
    </row>
    <row r="17" spans="2:21" x14ac:dyDescent="0.35">
      <c r="B17" s="48" t="s">
        <v>121</v>
      </c>
      <c r="C17" s="44"/>
      <c r="D17" s="43">
        <f>6.5*1.2</f>
        <v>7.8</v>
      </c>
      <c r="E17" s="44"/>
      <c r="F17" s="44"/>
      <c r="G17" s="44"/>
      <c r="H17" s="45"/>
      <c r="I17" s="44"/>
      <c r="J17" s="46"/>
      <c r="M17" s="31" t="s">
        <v>122</v>
      </c>
      <c r="N17" s="23"/>
      <c r="O17" s="39">
        <f>4*2*2</f>
        <v>16</v>
      </c>
      <c r="P17" s="44"/>
      <c r="Q17" s="44"/>
      <c r="R17" s="44"/>
      <c r="S17" s="44"/>
      <c r="T17" s="44"/>
      <c r="U17" s="47"/>
    </row>
    <row r="18" spans="2:21" x14ac:dyDescent="0.35">
      <c r="B18" s="48"/>
      <c r="C18" s="44"/>
      <c r="D18" s="44"/>
      <c r="E18" s="44"/>
      <c r="F18" s="44"/>
      <c r="G18" s="44"/>
      <c r="H18" s="45"/>
      <c r="I18" s="44"/>
      <c r="J18" s="46"/>
      <c r="M18" s="31" t="s">
        <v>123</v>
      </c>
      <c r="N18" s="23"/>
      <c r="O18" s="39">
        <v>10</v>
      </c>
      <c r="P18" s="44"/>
      <c r="Q18" s="44"/>
      <c r="R18" s="44"/>
      <c r="S18" s="44"/>
      <c r="T18" s="44"/>
      <c r="U18" s="47"/>
    </row>
    <row r="19" spans="2:21" x14ac:dyDescent="0.35">
      <c r="B19" s="48"/>
      <c r="C19" s="44"/>
      <c r="D19" s="44"/>
      <c r="E19" s="44"/>
      <c r="F19" s="44"/>
      <c r="G19" s="44"/>
      <c r="H19" s="45"/>
      <c r="I19" s="44"/>
      <c r="J19" s="46"/>
      <c r="M19" s="48"/>
      <c r="N19" s="23"/>
      <c r="O19" s="49"/>
      <c r="P19" s="44"/>
      <c r="Q19" s="44"/>
      <c r="R19" s="44"/>
      <c r="S19" s="44"/>
      <c r="T19" s="44"/>
      <c r="U19" s="47"/>
    </row>
    <row r="20" spans="2:21" x14ac:dyDescent="0.35">
      <c r="B20" s="48"/>
      <c r="C20" s="44"/>
      <c r="D20" s="44"/>
      <c r="E20" s="44"/>
      <c r="F20" s="44"/>
      <c r="G20" s="44"/>
      <c r="H20" s="45"/>
      <c r="I20" s="44"/>
      <c r="J20" s="46"/>
      <c r="M20" s="50" t="s">
        <v>124</v>
      </c>
      <c r="N20" s="23"/>
      <c r="O20" s="39" cm="1">
        <f t="array" ref="O20">SUMPRODUCT('[1]Coupler plate dimensions'!F2:F28,--('[1]Coupler plate dimensions'!D2:D28=O7),--('[1]Coupler plate dimensions'!E2:E28=O8))</f>
        <v>70</v>
      </c>
      <c r="P20" s="44"/>
      <c r="Q20" s="44"/>
      <c r="R20" s="44"/>
      <c r="S20" s="44"/>
      <c r="T20" s="44"/>
      <c r="U20" s="47"/>
    </row>
    <row r="21" spans="2:21" x14ac:dyDescent="0.35">
      <c r="B21" s="48"/>
      <c r="C21" s="44"/>
      <c r="D21" s="44"/>
      <c r="E21" s="44"/>
      <c r="F21" s="44"/>
      <c r="G21" s="44"/>
      <c r="H21" s="45"/>
      <c r="I21" s="44"/>
      <c r="J21" s="46"/>
      <c r="M21" s="50" t="s">
        <v>125</v>
      </c>
      <c r="N21" s="23"/>
      <c r="O21" s="39" cm="1">
        <f t="array" ref="O21">SUMPRODUCT('[1]Coupler plate dimensions'!G2:G28,--('[1]Coupler plate dimensions'!D2:D28=O7),--('[1]Coupler plate dimensions'!E2:E28=O8))</f>
        <v>210</v>
      </c>
      <c r="P21" s="44"/>
      <c r="Q21" s="44"/>
      <c r="R21" s="44"/>
      <c r="S21" s="44"/>
      <c r="T21" s="44"/>
      <c r="U21" s="47"/>
    </row>
    <row r="22" spans="2:21" x14ac:dyDescent="0.35">
      <c r="B22" s="48"/>
      <c r="C22" s="44"/>
      <c r="D22" s="44"/>
      <c r="E22" s="44"/>
      <c r="F22" s="44"/>
      <c r="G22" s="44"/>
      <c r="H22" s="45"/>
      <c r="I22" s="44"/>
      <c r="J22" s="46"/>
      <c r="M22" s="50" t="s">
        <v>126</v>
      </c>
      <c r="N22" s="23"/>
      <c r="O22" s="39">
        <v>2</v>
      </c>
      <c r="P22" s="44"/>
      <c r="Q22" s="44"/>
      <c r="R22" s="44"/>
      <c r="S22" s="44"/>
      <c r="T22" s="44"/>
      <c r="U22" s="47"/>
    </row>
    <row r="23" spans="2:21" ht="15" thickBot="1" x14ac:dyDescent="0.4">
      <c r="B23" s="51"/>
      <c r="C23" s="52"/>
      <c r="D23" s="52"/>
      <c r="E23" s="52"/>
      <c r="F23" s="52"/>
      <c r="G23" s="52"/>
      <c r="H23" s="52"/>
      <c r="I23" s="52"/>
      <c r="J23" s="53"/>
      <c r="M23" s="51" t="s">
        <v>127</v>
      </c>
      <c r="N23" s="52"/>
      <c r="O23" s="54">
        <f>(2+2)/2</f>
        <v>2</v>
      </c>
      <c r="P23" s="52"/>
      <c r="Q23" s="52"/>
      <c r="R23" s="52"/>
      <c r="S23" s="52"/>
      <c r="T23" s="52"/>
      <c r="U23" s="53"/>
    </row>
    <row r="25" spans="2:21" ht="16" thickBot="1" x14ac:dyDescent="0.4">
      <c r="B25" s="55" t="s">
        <v>128</v>
      </c>
    </row>
    <row r="26" spans="2:21" ht="15.5" outlineLevel="1" x14ac:dyDescent="0.35">
      <c r="B26" s="56" t="s">
        <v>129</v>
      </c>
      <c r="C26" s="57"/>
      <c r="D26" s="57"/>
      <c r="E26" s="57"/>
      <c r="F26" s="57"/>
      <c r="G26" s="57"/>
      <c r="H26" s="57"/>
      <c r="I26" s="57"/>
      <c r="J26" s="58"/>
      <c r="M26" s="56" t="s">
        <v>130</v>
      </c>
      <c r="N26" s="57"/>
      <c r="O26" s="57"/>
      <c r="P26" s="57"/>
      <c r="Q26" s="57"/>
      <c r="R26" s="57"/>
      <c r="S26" s="57"/>
      <c r="T26" s="57"/>
      <c r="U26" s="58"/>
    </row>
    <row r="27" spans="2:21" ht="15.5" outlineLevel="1" x14ac:dyDescent="0.35">
      <c r="B27" s="59"/>
      <c r="C27" s="60"/>
      <c r="D27" s="60"/>
      <c r="E27" s="60"/>
      <c r="F27" s="60"/>
      <c r="G27" s="60"/>
      <c r="H27" s="60"/>
      <c r="I27" s="60"/>
      <c r="J27" s="61"/>
      <c r="M27" s="22" t="s">
        <v>131</v>
      </c>
      <c r="N27" s="36"/>
      <c r="O27" s="36"/>
      <c r="P27" s="36"/>
      <c r="Q27" s="36"/>
      <c r="R27" s="36"/>
      <c r="S27" s="36"/>
      <c r="T27" s="36"/>
      <c r="U27" s="62"/>
    </row>
    <row r="28" spans="2:21" ht="15.5" outlineLevel="1" x14ac:dyDescent="0.35">
      <c r="B28" s="22" t="s">
        <v>95</v>
      </c>
      <c r="C28" s="36"/>
      <c r="D28" s="36">
        <f>O7</f>
        <v>300</v>
      </c>
      <c r="E28" s="36"/>
      <c r="F28" s="36"/>
      <c r="G28" s="36"/>
      <c r="H28" s="36"/>
      <c r="I28" s="36"/>
      <c r="J28" s="62"/>
      <c r="M28" s="59" t="s">
        <v>132</v>
      </c>
      <c r="N28" s="36"/>
      <c r="O28" s="36"/>
      <c r="P28" s="36"/>
      <c r="Q28" s="60" t="s">
        <v>133</v>
      </c>
      <c r="R28" s="36"/>
      <c r="S28" s="36"/>
      <c r="T28" s="36"/>
      <c r="U28" s="62"/>
    </row>
    <row r="29" spans="2:21" outlineLevel="1" x14ac:dyDescent="0.35">
      <c r="B29" s="22" t="s">
        <v>98</v>
      </c>
      <c r="C29" s="36"/>
      <c r="D29" s="36">
        <f>O8</f>
        <v>100</v>
      </c>
      <c r="E29" s="36"/>
      <c r="F29" s="36"/>
      <c r="G29" s="36"/>
      <c r="H29" s="36"/>
      <c r="I29" s="36"/>
      <c r="J29" s="62"/>
      <c r="M29" s="22" t="s">
        <v>134</v>
      </c>
      <c r="N29" s="36"/>
      <c r="O29" s="36">
        <f>2*(2*O10+2*O8+(O7+4))/1000*O11/1000</f>
        <v>2.67</v>
      </c>
      <c r="P29" s="36"/>
      <c r="Q29" s="36" t="s">
        <v>135</v>
      </c>
      <c r="R29" s="36"/>
      <c r="S29" s="36"/>
      <c r="T29" s="63">
        <f>3.14*J42/1000*O9/1000*D32/2500*J41</f>
        <v>0</v>
      </c>
      <c r="U29" s="62"/>
    </row>
    <row r="30" spans="2:21" outlineLevel="1" x14ac:dyDescent="0.35">
      <c r="B30" s="22" t="s">
        <v>101</v>
      </c>
      <c r="C30" s="36"/>
      <c r="D30" s="36">
        <f>O9</f>
        <v>2</v>
      </c>
      <c r="E30" s="36"/>
      <c r="F30" s="36"/>
      <c r="G30" s="36"/>
      <c r="H30" s="36"/>
      <c r="I30" s="36"/>
      <c r="J30" s="62"/>
      <c r="M30" s="22" t="s">
        <v>136</v>
      </c>
      <c r="N30" s="36"/>
      <c r="O30" s="64">
        <f>(2*(O13+O14)/1000*O9/1000)*D42</f>
        <v>2.9759999999999998E-2</v>
      </c>
      <c r="P30" s="36"/>
      <c r="Q30" s="36" t="s">
        <v>137</v>
      </c>
      <c r="R30" s="36"/>
      <c r="S30" s="36"/>
      <c r="T30" s="63">
        <f>3.14*(J42/2/1000)^2*D32/2500*J41</f>
        <v>0</v>
      </c>
      <c r="U30" s="62"/>
    </row>
    <row r="31" spans="2:21" outlineLevel="1" x14ac:dyDescent="0.35">
      <c r="B31" s="22" t="s">
        <v>104</v>
      </c>
      <c r="C31" s="36"/>
      <c r="D31" s="36">
        <f>O10</f>
        <v>15</v>
      </c>
      <c r="E31" s="36"/>
      <c r="F31" s="36"/>
      <c r="G31" s="36"/>
      <c r="H31" s="36"/>
      <c r="I31" s="36"/>
      <c r="J31" s="62"/>
      <c r="M31" s="22" t="s">
        <v>138</v>
      </c>
      <c r="N31" s="36"/>
      <c r="O31" s="64">
        <f>O13/1000*O14/1000*D42</f>
        <v>4.9600000000000005E-2</v>
      </c>
      <c r="P31" s="36"/>
      <c r="Q31" s="36"/>
      <c r="R31" s="36"/>
      <c r="S31" s="36"/>
      <c r="T31" s="65"/>
      <c r="U31" s="62"/>
    </row>
    <row r="32" spans="2:21" outlineLevel="1" x14ac:dyDescent="0.35">
      <c r="B32" s="22" t="s">
        <v>107</v>
      </c>
      <c r="C32" s="36"/>
      <c r="D32" s="36">
        <f>O11</f>
        <v>2500</v>
      </c>
      <c r="E32" s="36"/>
      <c r="F32" s="36"/>
      <c r="G32" s="36"/>
      <c r="H32" s="36"/>
      <c r="I32" s="36"/>
      <c r="J32" s="62"/>
      <c r="M32" s="22"/>
      <c r="N32" s="36"/>
      <c r="O32" s="36"/>
      <c r="P32" s="36"/>
      <c r="Q32" s="36"/>
      <c r="R32" s="36"/>
      <c r="S32" s="36"/>
      <c r="T32" s="36"/>
      <c r="U32" s="62"/>
    </row>
    <row r="33" spans="2:21" outlineLevel="1" x14ac:dyDescent="0.35">
      <c r="B33" s="22"/>
      <c r="C33" s="36"/>
      <c r="D33" s="36"/>
      <c r="E33" s="36"/>
      <c r="F33" s="36"/>
      <c r="G33" s="36"/>
      <c r="H33" s="36"/>
      <c r="I33" s="36"/>
      <c r="J33" s="62"/>
      <c r="M33" s="22" t="s">
        <v>139</v>
      </c>
      <c r="N33" s="36"/>
      <c r="O33" s="64">
        <f>O29+O30-O31</f>
        <v>2.6501600000000001</v>
      </c>
      <c r="P33" s="36"/>
      <c r="Q33" s="36"/>
      <c r="R33" s="36"/>
      <c r="S33" s="36"/>
      <c r="T33" s="36"/>
      <c r="U33" s="62"/>
    </row>
    <row r="34" spans="2:21" outlineLevel="1" x14ac:dyDescent="0.35">
      <c r="B34" s="22"/>
      <c r="C34" s="36"/>
      <c r="D34" s="36"/>
      <c r="E34" s="36"/>
      <c r="F34" s="36"/>
      <c r="G34" s="36"/>
      <c r="H34" s="36"/>
      <c r="I34" s="36"/>
      <c r="J34" s="62"/>
      <c r="M34" s="22"/>
      <c r="N34" s="36"/>
      <c r="O34" s="36"/>
      <c r="P34" s="36"/>
      <c r="Q34" s="36"/>
      <c r="R34" s="36"/>
      <c r="S34" s="36"/>
      <c r="T34" s="36"/>
      <c r="U34" s="62"/>
    </row>
    <row r="35" spans="2:21" outlineLevel="1" x14ac:dyDescent="0.35">
      <c r="B35" s="22" t="s">
        <v>140</v>
      </c>
      <c r="C35" s="36"/>
      <c r="D35" s="36">
        <f>(2*D31+2*D29+(D28+4))/1000*D30/1000*D32/1000</f>
        <v>2.6700000000000005E-3</v>
      </c>
      <c r="E35" s="36"/>
      <c r="F35" s="36"/>
      <c r="G35" s="36"/>
      <c r="H35" s="36"/>
      <c r="I35" s="36"/>
      <c r="J35" s="62"/>
      <c r="M35" s="22" t="s">
        <v>141</v>
      </c>
      <c r="N35" s="36"/>
      <c r="O35" s="64">
        <f>O33+T29-T30</f>
        <v>2.6501600000000001</v>
      </c>
      <c r="P35" s="36"/>
      <c r="Q35" s="36"/>
      <c r="R35" s="36"/>
      <c r="S35" s="36"/>
      <c r="T35" s="36"/>
      <c r="U35" s="62"/>
    </row>
    <row r="36" spans="2:21" outlineLevel="1" x14ac:dyDescent="0.35">
      <c r="B36" s="22" t="s">
        <v>142</v>
      </c>
      <c r="C36" s="36"/>
      <c r="D36" s="36">
        <f>D35*D8</f>
        <v>20.959500000000006</v>
      </c>
      <c r="E36" s="36"/>
      <c r="F36" s="36"/>
      <c r="G36" s="36"/>
      <c r="H36" s="36"/>
      <c r="I36" s="36"/>
      <c r="J36" s="62"/>
      <c r="M36" s="22"/>
      <c r="N36" s="36"/>
      <c r="O36" s="36"/>
      <c r="P36" s="36"/>
      <c r="Q36" s="36"/>
      <c r="R36" s="36"/>
      <c r="S36" s="36"/>
      <c r="T36" s="36"/>
      <c r="U36" s="62"/>
    </row>
    <row r="37" spans="2:21" outlineLevel="1" x14ac:dyDescent="0.35">
      <c r="B37" s="22" t="s">
        <v>143</v>
      </c>
      <c r="C37" s="36"/>
      <c r="D37" s="36">
        <f>D36*(D6*(1+D7))</f>
        <v>1530.0435000000004</v>
      </c>
      <c r="E37" s="36"/>
      <c r="F37" s="36"/>
      <c r="G37" s="36"/>
      <c r="H37" s="36"/>
      <c r="I37" s="36"/>
      <c r="J37" s="62"/>
      <c r="M37" s="22" t="s">
        <v>144</v>
      </c>
      <c r="N37" s="36"/>
      <c r="O37" s="66">
        <f>O35*H6*10^-6*H7</f>
        <v>1.6261646776000001</v>
      </c>
      <c r="P37" s="36"/>
      <c r="Q37" s="36"/>
      <c r="R37" s="36"/>
      <c r="S37" s="36"/>
      <c r="T37" s="36"/>
      <c r="U37" s="62"/>
    </row>
    <row r="38" spans="2:21" outlineLevel="1" x14ac:dyDescent="0.35">
      <c r="B38" s="22"/>
      <c r="C38" s="36"/>
      <c r="D38" s="36"/>
      <c r="E38" s="36"/>
      <c r="F38" s="36"/>
      <c r="G38" s="36"/>
      <c r="H38" s="36"/>
      <c r="I38" s="36"/>
      <c r="J38" s="62"/>
      <c r="M38" s="22" t="s">
        <v>100</v>
      </c>
      <c r="N38" s="36"/>
      <c r="O38" s="67">
        <f>H9</f>
        <v>0</v>
      </c>
      <c r="P38" s="36"/>
      <c r="Q38" s="36"/>
      <c r="R38" s="36"/>
      <c r="S38" s="36"/>
      <c r="T38" s="36"/>
      <c r="U38" s="62"/>
    </row>
    <row r="39" spans="2:21" outlineLevel="1" x14ac:dyDescent="0.35">
      <c r="B39" s="68" t="s">
        <v>145</v>
      </c>
      <c r="C39" s="36"/>
      <c r="D39" s="36"/>
      <c r="E39" s="36"/>
      <c r="F39" s="69" t="s">
        <v>146</v>
      </c>
      <c r="G39" s="36"/>
      <c r="H39" s="36"/>
      <c r="I39" s="36"/>
      <c r="J39" s="62"/>
      <c r="M39" s="22" t="s">
        <v>147</v>
      </c>
      <c r="N39" s="36"/>
      <c r="O39" s="66">
        <f>(1+O38)*O37</f>
        <v>1.6261646776000001</v>
      </c>
      <c r="P39" s="36"/>
      <c r="Q39" s="36"/>
      <c r="R39" s="36"/>
      <c r="S39" s="36"/>
      <c r="T39" s="36"/>
      <c r="U39" s="62"/>
    </row>
    <row r="40" spans="2:21" outlineLevel="1" x14ac:dyDescent="0.35">
      <c r="B40" s="22"/>
      <c r="C40" s="36"/>
      <c r="D40" s="36"/>
      <c r="E40" s="36"/>
      <c r="F40" s="36"/>
      <c r="G40" s="36"/>
      <c r="H40" s="36"/>
      <c r="I40" s="36"/>
      <c r="J40" s="62"/>
      <c r="M40" s="22" t="s">
        <v>148</v>
      </c>
      <c r="N40" s="36"/>
      <c r="O40" s="70">
        <f>O39*H8</f>
        <v>692.09568678656001</v>
      </c>
      <c r="P40" s="36"/>
      <c r="Q40" s="36"/>
      <c r="R40" s="36"/>
      <c r="S40" s="36"/>
      <c r="T40" s="36"/>
      <c r="U40" s="62"/>
    </row>
    <row r="41" spans="2:21" outlineLevel="1" x14ac:dyDescent="0.35">
      <c r="B41" s="22" t="s">
        <v>110</v>
      </c>
      <c r="C41" s="36"/>
      <c r="D41" s="36">
        <f>O12</f>
        <v>4</v>
      </c>
      <c r="E41" s="36"/>
      <c r="F41" s="36" t="s">
        <v>149</v>
      </c>
      <c r="G41" s="36"/>
      <c r="H41" s="36"/>
      <c r="I41" s="36">
        <f>O17</f>
        <v>16</v>
      </c>
      <c r="J41" s="62"/>
      <c r="M41" s="22"/>
      <c r="N41" s="36"/>
      <c r="O41" s="36"/>
      <c r="P41" s="36"/>
      <c r="Q41" s="36"/>
      <c r="R41" s="36"/>
      <c r="S41" s="36"/>
      <c r="T41" s="36"/>
      <c r="U41" s="62"/>
    </row>
    <row r="42" spans="2:21" outlineLevel="1" x14ac:dyDescent="0.35">
      <c r="B42" s="22" t="s">
        <v>150</v>
      </c>
      <c r="C42" s="36"/>
      <c r="D42" s="36">
        <f>D41*O16</f>
        <v>248</v>
      </c>
      <c r="E42" s="36"/>
      <c r="F42" s="36" t="s">
        <v>151</v>
      </c>
      <c r="G42" s="36"/>
      <c r="H42" s="36"/>
      <c r="I42" s="36">
        <f>O18</f>
        <v>10</v>
      </c>
      <c r="J42" s="62"/>
      <c r="M42" s="22" t="s">
        <v>152</v>
      </c>
      <c r="N42" s="36"/>
      <c r="O42" s="66">
        <f>H10*O37</f>
        <v>0.195139761312</v>
      </c>
      <c r="P42" s="36"/>
      <c r="Q42" s="36" t="s">
        <v>153</v>
      </c>
      <c r="R42" s="36"/>
      <c r="S42" s="36"/>
      <c r="T42" s="36">
        <f>H12*$H$8</f>
        <v>110.65600000000001</v>
      </c>
      <c r="U42" s="62"/>
    </row>
    <row r="43" spans="2:21" outlineLevel="1" x14ac:dyDescent="0.35">
      <c r="B43" s="22" t="s">
        <v>154</v>
      </c>
      <c r="C43" s="36"/>
      <c r="D43" s="71">
        <f>D42*O13/1000*O14/1000*O9/1000</f>
        <v>9.9199999999999999E-5</v>
      </c>
      <c r="E43" s="36"/>
      <c r="F43" s="36" t="s">
        <v>155</v>
      </c>
      <c r="G43" s="36"/>
      <c r="H43" s="36"/>
      <c r="I43" s="72">
        <f>I41*3.14*(I42/2/1000)^2*O9/1000</f>
        <v>2.5120000000000003E-6</v>
      </c>
      <c r="J43" s="62"/>
      <c r="M43" s="22" t="s">
        <v>156</v>
      </c>
      <c r="N43" s="36"/>
      <c r="O43" s="66">
        <f>H11*O37</f>
        <v>0.13009317420800001</v>
      </c>
      <c r="P43" s="36"/>
      <c r="Q43" s="36" t="s">
        <v>157</v>
      </c>
      <c r="R43" s="36"/>
      <c r="S43" s="36"/>
      <c r="T43" s="36">
        <f>H13*$H$8</f>
        <v>221.31200000000001</v>
      </c>
      <c r="U43" s="62"/>
    </row>
    <row r="44" spans="2:21" outlineLevel="1" x14ac:dyDescent="0.35">
      <c r="B44" s="22" t="s">
        <v>158</v>
      </c>
      <c r="C44" s="36"/>
      <c r="D44" s="66">
        <f>D43*D8</f>
        <v>0.77871999999999997</v>
      </c>
      <c r="E44" s="36"/>
      <c r="F44" s="36" t="s">
        <v>159</v>
      </c>
      <c r="G44" s="36"/>
      <c r="H44" s="36"/>
      <c r="I44" s="72">
        <f>I43*D32/2500</f>
        <v>2.5120000000000003E-6</v>
      </c>
      <c r="J44" s="62"/>
      <c r="M44" s="22" t="s">
        <v>160</v>
      </c>
      <c r="N44" s="36"/>
      <c r="O44" s="66">
        <f>O42*T42+O43*T43</f>
        <v>50.384565998061575</v>
      </c>
      <c r="P44" s="36"/>
      <c r="Q44" s="36"/>
      <c r="R44" s="36"/>
      <c r="S44" s="36"/>
      <c r="T44" s="36"/>
      <c r="U44" s="62"/>
    </row>
    <row r="45" spans="2:21" outlineLevel="1" x14ac:dyDescent="0.35">
      <c r="B45" s="22" t="s">
        <v>161</v>
      </c>
      <c r="C45" s="36"/>
      <c r="D45" s="66">
        <f>D44*D6</f>
        <v>56.846559999999997</v>
      </c>
      <c r="E45" s="36"/>
      <c r="F45" s="36" t="s">
        <v>162</v>
      </c>
      <c r="G45" s="36"/>
      <c r="H45" s="36"/>
      <c r="I45" s="66">
        <f>I44*D8</f>
        <v>1.9719200000000003E-2</v>
      </c>
      <c r="J45" s="62"/>
      <c r="M45" s="22"/>
      <c r="N45" s="36"/>
      <c r="O45" s="36"/>
      <c r="P45" s="36"/>
      <c r="Q45" s="36"/>
      <c r="R45" s="36"/>
      <c r="S45" s="36"/>
      <c r="T45" s="36"/>
      <c r="U45" s="62"/>
    </row>
    <row r="46" spans="2:21" outlineLevel="1" x14ac:dyDescent="0.35">
      <c r="B46" s="22" t="s">
        <v>163</v>
      </c>
      <c r="C46" s="36"/>
      <c r="D46" s="67">
        <f>D11</f>
        <v>0.3</v>
      </c>
      <c r="E46" s="36"/>
      <c r="F46" s="36" t="s">
        <v>161</v>
      </c>
      <c r="G46" s="36"/>
      <c r="H46" s="36"/>
      <c r="I46" s="66">
        <f>I45*D6</f>
        <v>1.4395016000000003</v>
      </c>
      <c r="J46" s="62"/>
      <c r="M46" s="22" t="s">
        <v>164</v>
      </c>
      <c r="N46" s="36"/>
      <c r="O46" s="66">
        <f>O40-O44</f>
        <v>641.71112078849842</v>
      </c>
      <c r="P46" s="36"/>
      <c r="Q46" s="36"/>
      <c r="R46" s="36"/>
      <c r="S46" s="36"/>
      <c r="T46" s="36"/>
      <c r="U46" s="62"/>
    </row>
    <row r="47" spans="2:21" outlineLevel="1" x14ac:dyDescent="0.35">
      <c r="B47" s="22" t="s">
        <v>165</v>
      </c>
      <c r="C47" s="36"/>
      <c r="D47" s="66">
        <f>D45*D46</f>
        <v>17.053967999999998</v>
      </c>
      <c r="E47" s="36"/>
      <c r="F47" s="36" t="s">
        <v>166</v>
      </c>
      <c r="G47" s="36"/>
      <c r="H47" s="36"/>
      <c r="I47" s="66">
        <f>I46*D46</f>
        <v>0.43185048000000009</v>
      </c>
      <c r="J47" s="62"/>
      <c r="M47" s="22"/>
      <c r="N47" s="36"/>
      <c r="O47" s="36"/>
      <c r="P47" s="36"/>
      <c r="Q47" s="36"/>
      <c r="R47" s="36"/>
      <c r="S47" s="36"/>
      <c r="T47" s="36"/>
      <c r="U47" s="62"/>
    </row>
    <row r="48" spans="2:21" outlineLevel="1" x14ac:dyDescent="0.35">
      <c r="B48" s="22"/>
      <c r="C48" s="36"/>
      <c r="D48" s="36"/>
      <c r="E48" s="36"/>
      <c r="F48" s="36"/>
      <c r="G48" s="36"/>
      <c r="H48" s="36"/>
      <c r="I48" s="36"/>
      <c r="J48" s="62"/>
      <c r="M48" s="22"/>
      <c r="N48" s="36"/>
      <c r="O48" s="36"/>
      <c r="P48" s="36"/>
      <c r="Q48" s="36"/>
      <c r="R48" s="36"/>
      <c r="S48" s="36"/>
      <c r="T48" s="36"/>
      <c r="U48" s="62"/>
    </row>
    <row r="49" spans="2:21" outlineLevel="1" x14ac:dyDescent="0.35">
      <c r="B49" s="22" t="s">
        <v>167</v>
      </c>
      <c r="C49" s="36"/>
      <c r="D49" s="66">
        <f>D37-D47-I47</f>
        <v>1512.5576815200004</v>
      </c>
      <c r="E49" s="36"/>
      <c r="F49" s="36"/>
      <c r="G49" s="36"/>
      <c r="H49" s="36"/>
      <c r="I49" s="36"/>
      <c r="J49" s="62"/>
      <c r="M49" s="22"/>
      <c r="N49" s="36"/>
      <c r="O49" s="36"/>
      <c r="P49" s="36"/>
      <c r="Q49" s="36"/>
      <c r="R49" s="36"/>
      <c r="S49" s="36"/>
      <c r="T49" s="36"/>
      <c r="U49" s="62"/>
    </row>
    <row r="50" spans="2:21" outlineLevel="1" x14ac:dyDescent="0.35">
      <c r="B50" s="22"/>
      <c r="C50" s="36"/>
      <c r="D50" s="36"/>
      <c r="E50" s="36"/>
      <c r="F50" s="36"/>
      <c r="G50" s="36"/>
      <c r="H50" s="36"/>
      <c r="I50" s="36"/>
      <c r="J50" s="62"/>
      <c r="M50" s="22"/>
      <c r="N50" s="36"/>
      <c r="O50" s="36"/>
      <c r="P50" s="36"/>
      <c r="Q50" s="36"/>
      <c r="R50" s="36"/>
      <c r="S50" s="36"/>
      <c r="T50" s="36"/>
      <c r="U50" s="62"/>
    </row>
    <row r="51" spans="2:21" outlineLevel="1" x14ac:dyDescent="0.35">
      <c r="B51" s="22" t="s">
        <v>168</v>
      </c>
      <c r="C51" s="36"/>
      <c r="D51" s="66">
        <f>D49</f>
        <v>1512.5576815200004</v>
      </c>
      <c r="E51" s="36"/>
      <c r="F51" s="36"/>
      <c r="G51" s="36"/>
      <c r="H51" s="36"/>
      <c r="I51" s="36"/>
      <c r="J51" s="62"/>
      <c r="M51" s="22"/>
      <c r="N51" s="36"/>
      <c r="O51" s="36"/>
      <c r="P51" s="36"/>
      <c r="Q51" s="36"/>
      <c r="R51" s="36"/>
      <c r="S51" s="36"/>
      <c r="T51" s="36"/>
      <c r="U51" s="62"/>
    </row>
    <row r="52" spans="2:21" outlineLevel="1" x14ac:dyDescent="0.35">
      <c r="B52" s="22" t="s">
        <v>108</v>
      </c>
      <c r="C52" s="36"/>
      <c r="D52" s="73">
        <f>D12</f>
        <v>0</v>
      </c>
      <c r="E52" s="36"/>
      <c r="F52" s="36"/>
      <c r="G52" s="36"/>
      <c r="H52" s="36"/>
      <c r="I52" s="36"/>
      <c r="J52" s="74"/>
      <c r="M52" s="22"/>
      <c r="N52" s="36"/>
      <c r="O52" s="36"/>
      <c r="P52" s="36"/>
      <c r="Q52" s="36"/>
      <c r="R52" s="36"/>
      <c r="S52" s="36"/>
      <c r="T52" s="36"/>
      <c r="U52" s="62"/>
    </row>
    <row r="53" spans="2:21" outlineLevel="1" x14ac:dyDescent="0.35">
      <c r="B53" s="22" t="s">
        <v>169</v>
      </c>
      <c r="C53" s="36"/>
      <c r="D53" s="75">
        <f>(1+D52)*D51</f>
        <v>1512.5576815200004</v>
      </c>
      <c r="E53" s="36"/>
      <c r="F53" s="36"/>
      <c r="G53" s="36"/>
      <c r="H53" s="36"/>
      <c r="I53" s="36"/>
      <c r="J53" s="62"/>
      <c r="M53" s="22"/>
      <c r="N53" s="36"/>
      <c r="O53" s="36"/>
      <c r="P53" s="36"/>
      <c r="Q53" s="36"/>
      <c r="R53" s="36"/>
      <c r="S53" s="36"/>
      <c r="T53" s="36"/>
      <c r="U53" s="62"/>
    </row>
    <row r="54" spans="2:21" ht="15" outlineLevel="1" thickBot="1" x14ac:dyDescent="0.4">
      <c r="B54" s="76"/>
      <c r="C54" s="77"/>
      <c r="D54" s="78"/>
      <c r="E54" s="77"/>
      <c r="F54" s="77"/>
      <c r="G54" s="77"/>
      <c r="H54" s="77"/>
      <c r="I54" s="77"/>
      <c r="J54" s="79"/>
      <c r="M54" s="76"/>
      <c r="N54" s="77"/>
      <c r="O54" s="77"/>
      <c r="P54" s="77"/>
      <c r="Q54" s="77"/>
      <c r="R54" s="77"/>
      <c r="S54" s="77"/>
      <c r="T54" s="77"/>
      <c r="U54" s="79"/>
    </row>
    <row r="55" spans="2:21" ht="15" outlineLevel="1" thickBot="1" x14ac:dyDescent="0.4"/>
    <row r="56" spans="2:21" ht="15.5" outlineLevel="1" x14ac:dyDescent="0.35">
      <c r="B56" s="56" t="s">
        <v>170</v>
      </c>
      <c r="C56" s="57"/>
      <c r="D56" s="57"/>
      <c r="E56" s="57"/>
      <c r="F56" s="57"/>
      <c r="G56" s="57"/>
      <c r="H56" s="57"/>
      <c r="I56" s="57"/>
      <c r="J56" s="58"/>
    </row>
    <row r="57" spans="2:21" outlineLevel="1" x14ac:dyDescent="0.35">
      <c r="B57" s="22" t="s">
        <v>171</v>
      </c>
      <c r="C57" s="36"/>
      <c r="D57" s="66">
        <f>D37*D9</f>
        <v>0</v>
      </c>
      <c r="E57" s="36"/>
      <c r="F57" s="36"/>
      <c r="G57" s="36"/>
      <c r="H57" s="36"/>
      <c r="I57" s="36"/>
      <c r="J57" s="62"/>
    </row>
    <row r="58" spans="2:21" outlineLevel="1" x14ac:dyDescent="0.35">
      <c r="B58" s="80" t="s">
        <v>172</v>
      </c>
      <c r="C58" s="81"/>
      <c r="D58" s="82">
        <f>D37*D10</f>
        <v>0</v>
      </c>
      <c r="E58" s="81"/>
      <c r="F58" s="81"/>
      <c r="G58" s="81"/>
      <c r="H58" s="81"/>
      <c r="I58" s="81"/>
      <c r="J58" s="83"/>
    </row>
    <row r="59" spans="2:21" ht="15" outlineLevel="1" thickBot="1" x14ac:dyDescent="0.4">
      <c r="B59" s="76"/>
      <c r="C59" s="77"/>
      <c r="D59" s="77"/>
      <c r="E59" s="77"/>
      <c r="F59" s="77"/>
      <c r="G59" s="77"/>
      <c r="H59" s="77"/>
      <c r="I59" s="77"/>
      <c r="J59" s="79"/>
    </row>
    <row r="60" spans="2:21" ht="15" thickBot="1" x14ac:dyDescent="0.4"/>
    <row r="61" spans="2:21" ht="15.5" x14ac:dyDescent="0.35">
      <c r="B61" s="84" t="s">
        <v>173</v>
      </c>
      <c r="C61" s="85" t="s">
        <v>174</v>
      </c>
      <c r="D61" s="85"/>
      <c r="E61" s="85"/>
      <c r="F61" s="85"/>
      <c r="G61" s="85"/>
      <c r="H61" s="85"/>
      <c r="I61" s="85"/>
      <c r="J61" s="86"/>
    </row>
    <row r="62" spans="2:21" x14ac:dyDescent="0.35">
      <c r="B62" s="87"/>
      <c r="J62" s="88"/>
    </row>
    <row r="63" spans="2:21" x14ac:dyDescent="0.35">
      <c r="B63" s="87"/>
      <c r="C63" s="89"/>
      <c r="J63" s="88"/>
    </row>
    <row r="64" spans="2:21" x14ac:dyDescent="0.35">
      <c r="B64" s="87"/>
      <c r="J64" s="88"/>
    </row>
    <row r="65" spans="2:10" ht="15.65" hidden="1" customHeight="1" x14ac:dyDescent="0.35">
      <c r="B65" s="56" t="s">
        <v>175</v>
      </c>
      <c r="C65" s="57"/>
      <c r="D65" s="57"/>
      <c r="E65" s="57"/>
      <c r="F65" s="57"/>
      <c r="G65" s="57"/>
      <c r="H65" s="57"/>
      <c r="I65" s="57"/>
      <c r="J65" s="58"/>
    </row>
    <row r="66" spans="2:10" ht="14.5" hidden="1" customHeight="1" x14ac:dyDescent="0.35">
      <c r="B66" s="22"/>
      <c r="C66" s="36"/>
      <c r="D66" s="36"/>
      <c r="E66" s="36"/>
      <c r="F66" s="36"/>
      <c r="G66" s="36"/>
      <c r="H66" s="36"/>
      <c r="I66" s="36"/>
      <c r="J66" s="62"/>
    </row>
    <row r="67" spans="2:10" ht="14.5" hidden="1" customHeight="1" x14ac:dyDescent="0.35">
      <c r="B67" s="22" t="s">
        <v>176</v>
      </c>
      <c r="C67" s="36"/>
      <c r="D67" s="90">
        <f>D53</f>
        <v>1512.5576815200004</v>
      </c>
      <c r="E67" s="36"/>
      <c r="F67" s="36"/>
      <c r="G67" s="36"/>
      <c r="H67" s="36"/>
      <c r="I67" s="36"/>
      <c r="J67" s="62"/>
    </row>
    <row r="68" spans="2:10" ht="14.5" hidden="1" customHeight="1" x14ac:dyDescent="0.35">
      <c r="B68" s="22" t="s">
        <v>177</v>
      </c>
      <c r="C68" s="36"/>
      <c r="D68" s="90">
        <f>O46</f>
        <v>641.71112078849842</v>
      </c>
      <c r="E68" s="36"/>
      <c r="F68" s="36"/>
      <c r="G68" s="36"/>
      <c r="H68" s="36"/>
      <c r="I68" s="36"/>
      <c r="J68" s="62"/>
    </row>
    <row r="69" spans="2:10" ht="14.5" hidden="1" customHeight="1" x14ac:dyDescent="0.35">
      <c r="B69" s="22" t="s">
        <v>178</v>
      </c>
      <c r="C69" s="36"/>
      <c r="D69" s="90">
        <f>D57</f>
        <v>0</v>
      </c>
      <c r="E69" s="36"/>
      <c r="F69" s="36"/>
      <c r="G69" s="36"/>
      <c r="H69" s="36"/>
      <c r="I69" s="36"/>
      <c r="J69" s="62"/>
    </row>
    <row r="70" spans="2:10" ht="14.5" hidden="1" customHeight="1" x14ac:dyDescent="0.35">
      <c r="B70" s="22" t="s">
        <v>179</v>
      </c>
      <c r="C70" s="36"/>
      <c r="D70" s="90">
        <f>O57</f>
        <v>0</v>
      </c>
      <c r="E70" s="36"/>
      <c r="F70" s="36"/>
      <c r="G70" s="36"/>
      <c r="H70" s="36"/>
      <c r="I70" s="36"/>
      <c r="J70" s="62"/>
    </row>
    <row r="71" spans="2:10" ht="14.5" hidden="1" customHeight="1" x14ac:dyDescent="0.35">
      <c r="B71" s="80" t="s">
        <v>172</v>
      </c>
      <c r="C71" s="36"/>
      <c r="D71" s="90">
        <f>D58</f>
        <v>0</v>
      </c>
      <c r="E71" s="36"/>
      <c r="F71" s="36"/>
      <c r="G71" s="36"/>
      <c r="H71" s="36"/>
      <c r="I71" s="36"/>
      <c r="J71" s="62"/>
    </row>
    <row r="72" spans="2:10" ht="14.5" hidden="1" customHeight="1" x14ac:dyDescent="0.35">
      <c r="B72" s="22" t="s">
        <v>180</v>
      </c>
      <c r="C72" s="36"/>
      <c r="D72" s="90">
        <f>SUM(D67:D71)*D14</f>
        <v>0</v>
      </c>
      <c r="E72" s="36"/>
      <c r="F72" s="36"/>
      <c r="G72" s="36"/>
      <c r="H72" s="36"/>
      <c r="I72" s="36"/>
      <c r="J72" s="62"/>
    </row>
    <row r="73" spans="2:10" ht="14.5" hidden="1" customHeight="1" x14ac:dyDescent="0.35">
      <c r="B73" s="22" t="s">
        <v>181</v>
      </c>
      <c r="C73" s="36"/>
      <c r="D73" s="90">
        <f>SUM(D67:D72)*D15</f>
        <v>5385.6720057712473</v>
      </c>
      <c r="E73" s="36"/>
      <c r="F73" s="36"/>
      <c r="G73" s="36"/>
      <c r="H73" s="36"/>
      <c r="I73" s="36"/>
      <c r="J73" s="62"/>
    </row>
    <row r="74" spans="2:10" ht="14.5" hidden="1" customHeight="1" x14ac:dyDescent="0.35">
      <c r="B74" s="22" t="s">
        <v>182</v>
      </c>
      <c r="C74" s="36"/>
      <c r="D74" s="90">
        <f>SUM(D67:D73)*D16</f>
        <v>0</v>
      </c>
      <c r="E74" s="36"/>
      <c r="F74" s="36"/>
      <c r="G74" s="36"/>
      <c r="H74" s="36"/>
      <c r="I74" s="36"/>
      <c r="J74" s="62"/>
    </row>
    <row r="75" spans="2:10" ht="14.5" hidden="1" customHeight="1" x14ac:dyDescent="0.35">
      <c r="B75" s="22" t="s">
        <v>183</v>
      </c>
      <c r="C75" s="36"/>
      <c r="D75" s="90">
        <f>(D36-D44-I45)*D13</f>
        <v>0</v>
      </c>
      <c r="E75" s="36"/>
      <c r="F75" s="36"/>
      <c r="G75" s="36"/>
      <c r="H75" s="36"/>
      <c r="I75" s="36"/>
      <c r="J75" s="62"/>
    </row>
    <row r="76" spans="2:10" ht="14.5" hidden="1" customHeight="1" x14ac:dyDescent="0.35">
      <c r="B76" s="22"/>
      <c r="C76" s="36"/>
      <c r="D76" s="90"/>
      <c r="E76" s="36"/>
      <c r="F76" s="36"/>
      <c r="G76" s="36"/>
      <c r="H76" s="36"/>
      <c r="I76" s="36"/>
      <c r="J76" s="62"/>
    </row>
    <row r="77" spans="2:10" ht="18.649999999999999" hidden="1" customHeight="1" x14ac:dyDescent="0.35">
      <c r="B77" s="91" t="s">
        <v>184</v>
      </c>
      <c r="C77" s="92"/>
      <c r="D77" s="93">
        <f>SUM(D67:D75)</f>
        <v>7539.9408080797457</v>
      </c>
      <c r="E77" s="92"/>
      <c r="F77" s="92"/>
      <c r="G77" s="92"/>
      <c r="H77" s="92"/>
      <c r="I77" s="92"/>
      <c r="J77" s="94"/>
    </row>
    <row r="78" spans="2:10" ht="19" hidden="1" customHeight="1" thickBot="1" x14ac:dyDescent="0.4">
      <c r="B78" s="95" t="s">
        <v>185</v>
      </c>
      <c r="C78" s="96"/>
      <c r="D78" s="97">
        <f>SUM(D67:D74)</f>
        <v>7539.9408080797457</v>
      </c>
      <c r="E78" s="96"/>
      <c r="F78" s="96"/>
      <c r="G78" s="96"/>
      <c r="H78" s="96"/>
      <c r="I78" s="96"/>
      <c r="J78" s="98"/>
    </row>
    <row r="79" spans="2:10" x14ac:dyDescent="0.35">
      <c r="B79" s="87"/>
      <c r="D79" s="99"/>
      <c r="E79" s="99" t="s">
        <v>186</v>
      </c>
      <c r="J79" s="88"/>
    </row>
    <row r="80" spans="2:10" x14ac:dyDescent="0.35">
      <c r="B80" s="22"/>
      <c r="C80" s="36" t="s">
        <v>187</v>
      </c>
      <c r="D80" s="100">
        <f>D36</f>
        <v>20.959500000000006</v>
      </c>
      <c r="E80" s="100">
        <f>D32/1000*(D28+2*D29+2*D31)/1000*D30/1000*D8</f>
        <v>20.802499999999998</v>
      </c>
      <c r="F80" s="36"/>
      <c r="G80" s="36"/>
      <c r="H80" s="36"/>
      <c r="I80" s="36"/>
      <c r="J80" s="62"/>
    </row>
    <row r="81" spans="2:10" x14ac:dyDescent="0.35">
      <c r="B81" s="22"/>
      <c r="C81" s="36" t="s">
        <v>188</v>
      </c>
      <c r="D81" s="101">
        <f>D44+I45</f>
        <v>0.79843920000000002</v>
      </c>
      <c r="E81" s="101">
        <v>0</v>
      </c>
      <c r="F81" s="102">
        <f>D81/D80</f>
        <v>3.8094382022471902E-2</v>
      </c>
      <c r="G81" s="36"/>
      <c r="H81" s="36"/>
      <c r="I81" s="36"/>
      <c r="J81" s="62"/>
    </row>
    <row r="82" spans="2:10" x14ac:dyDescent="0.35">
      <c r="B82" s="22"/>
      <c r="C82" s="36" t="s">
        <v>189</v>
      </c>
      <c r="D82" s="101">
        <f>2*(O20*O21)/1000000*D8*O22/1000</f>
        <v>0.46157999999999999</v>
      </c>
      <c r="E82" s="101">
        <f>2*(O20*O21)/1000000*D8*O22/1000</f>
        <v>0.46157999999999999</v>
      </c>
      <c r="F82" s="103"/>
      <c r="G82" s="36"/>
      <c r="H82" s="36"/>
      <c r="I82" s="36"/>
      <c r="J82" s="62"/>
    </row>
    <row r="83" spans="2:10" x14ac:dyDescent="0.35">
      <c r="B83" s="22"/>
      <c r="C83" s="36" t="s">
        <v>190</v>
      </c>
      <c r="D83" s="100">
        <v>0.32</v>
      </c>
      <c r="E83" s="100">
        <v>0.32</v>
      </c>
      <c r="F83" s="104"/>
      <c r="G83" s="105" t="s">
        <v>191</v>
      </c>
      <c r="H83" s="36"/>
      <c r="I83" s="36"/>
      <c r="J83" s="62"/>
    </row>
    <row r="84" spans="2:10" x14ac:dyDescent="0.35">
      <c r="B84" s="22"/>
      <c r="C84" s="36" t="s">
        <v>192</v>
      </c>
      <c r="D84" s="100">
        <f>D80-D81+D82+D83</f>
        <v>20.942640800000007</v>
      </c>
      <c r="E84" s="100">
        <f>E80-E81+E82+E83</f>
        <v>21.58408</v>
      </c>
      <c r="F84" s="103">
        <f>(E84-D84)/D84</f>
        <v>3.0628381880091902E-2</v>
      </c>
      <c r="G84" s="67"/>
      <c r="H84" s="36"/>
      <c r="I84" s="36"/>
      <c r="J84" s="62"/>
    </row>
    <row r="85" spans="2:10" x14ac:dyDescent="0.35">
      <c r="B85" s="22"/>
      <c r="C85" s="69" t="s">
        <v>193</v>
      </c>
      <c r="D85" s="106">
        <f>((D80+D83)-D81*D46)*D6+2*('[1]Final Coupler Plate'!D24-'[1]Final Coupler Plate'!D34*'[1]Final Coupler Plate'!D11)*D6</f>
        <v>1570.9780266200005</v>
      </c>
      <c r="E85" s="106">
        <f>E84*D6</f>
        <v>1575.6378400000001</v>
      </c>
      <c r="F85" s="103">
        <f>(E85-D85)/D85</f>
        <v>2.9661862235115491E-3</v>
      </c>
      <c r="G85" s="67"/>
      <c r="H85" s="36"/>
      <c r="I85" s="36"/>
      <c r="J85" s="62"/>
    </row>
    <row r="86" spans="2:10" x14ac:dyDescent="0.35">
      <c r="B86" s="22"/>
      <c r="C86" s="36"/>
      <c r="D86" s="100"/>
      <c r="E86" s="100"/>
      <c r="F86" s="36"/>
      <c r="G86" s="36"/>
      <c r="H86" s="36"/>
      <c r="I86" s="36"/>
      <c r="J86" s="62"/>
    </row>
    <row r="87" spans="2:10" x14ac:dyDescent="0.35">
      <c r="B87" s="22"/>
      <c r="C87" s="36" t="s">
        <v>144</v>
      </c>
      <c r="D87" s="100">
        <f>O39</f>
        <v>1.6261646776000001</v>
      </c>
      <c r="E87" s="100">
        <f>5%*E84</f>
        <v>1.0792040000000001</v>
      </c>
      <c r="F87" s="36"/>
      <c r="G87" s="105" t="s">
        <v>194</v>
      </c>
      <c r="H87" s="36"/>
      <c r="I87" s="36"/>
      <c r="J87" s="62"/>
    </row>
    <row r="88" spans="2:10" x14ac:dyDescent="0.35">
      <c r="B88" s="22"/>
      <c r="C88" s="36" t="s">
        <v>195</v>
      </c>
      <c r="D88" s="107">
        <f>D87*H8-O44</f>
        <v>641.71112078849842</v>
      </c>
      <c r="E88" s="107">
        <f>E87*H8</f>
        <v>459.30922240000007</v>
      </c>
      <c r="F88" s="36"/>
      <c r="G88" s="36"/>
      <c r="H88" s="36"/>
      <c r="I88" s="36"/>
      <c r="J88" s="62"/>
    </row>
    <row r="89" spans="2:10" x14ac:dyDescent="0.35">
      <c r="B89" s="22"/>
      <c r="C89" s="36"/>
      <c r="D89" s="100"/>
      <c r="E89" s="100"/>
      <c r="F89" s="36"/>
      <c r="G89" s="36"/>
      <c r="H89" s="36"/>
      <c r="I89" s="36"/>
      <c r="J89" s="62"/>
    </row>
    <row r="90" spans="2:10" x14ac:dyDescent="0.35">
      <c r="B90" s="22"/>
      <c r="C90" s="36" t="s">
        <v>196</v>
      </c>
      <c r="D90" s="107">
        <f>(D84+D87)*($D$17+$D$15)</f>
        <v>232.45869641928007</v>
      </c>
      <c r="E90" s="107">
        <f>(E84+E87)*($D$17+$D$15)</f>
        <v>233.43182520000002</v>
      </c>
      <c r="F90" s="36"/>
      <c r="G90" s="36"/>
      <c r="H90" s="36"/>
      <c r="I90" s="36"/>
      <c r="J90" s="62"/>
    </row>
    <row r="91" spans="2:10" x14ac:dyDescent="0.35">
      <c r="B91" s="22"/>
      <c r="C91" s="36"/>
      <c r="D91" s="100"/>
      <c r="E91" s="100"/>
      <c r="F91" s="36"/>
      <c r="G91" s="36"/>
      <c r="H91" s="36"/>
      <c r="I91" s="36"/>
      <c r="J91" s="62"/>
    </row>
    <row r="92" spans="2:10" x14ac:dyDescent="0.35">
      <c r="B92" s="22"/>
      <c r="C92" s="69" t="s">
        <v>197</v>
      </c>
      <c r="D92" s="106">
        <f>D90+D85+D88</f>
        <v>2445.1478438277791</v>
      </c>
      <c r="E92" s="106">
        <f>E90+E85+E88</f>
        <v>2268.3788876000003</v>
      </c>
      <c r="F92" s="36"/>
      <c r="G92" s="36"/>
      <c r="H92" s="36"/>
      <c r="I92" s="36"/>
      <c r="J92" s="62"/>
    </row>
    <row r="93" spans="2:10" x14ac:dyDescent="0.35">
      <c r="B93" s="22"/>
      <c r="C93" s="69" t="s">
        <v>199</v>
      </c>
      <c r="D93" s="115">
        <f>D92/(O11/1000)</f>
        <v>978.05913753111167</v>
      </c>
      <c r="E93" s="115">
        <f>E92/(O11/1000)</f>
        <v>907.35155504000011</v>
      </c>
      <c r="F93" s="36"/>
      <c r="G93" s="36"/>
      <c r="H93" s="36"/>
      <c r="I93" s="36"/>
      <c r="J93" s="62"/>
    </row>
    <row r="94" spans="2:10" x14ac:dyDescent="0.35">
      <c r="B94" s="22"/>
      <c r="C94" s="36" t="s">
        <v>198</v>
      </c>
      <c r="D94" s="108">
        <f>(E92-D92)/D92</f>
        <v>-7.2293770159539375E-2</v>
      </c>
      <c r="E94" s="100"/>
      <c r="F94" s="36"/>
      <c r="G94" s="36"/>
      <c r="H94" s="36"/>
      <c r="I94" s="36"/>
      <c r="J94" s="62"/>
    </row>
    <row r="95" spans="2:10" ht="15" thickBot="1" x14ac:dyDescent="0.4">
      <c r="B95" s="76"/>
      <c r="C95" s="109"/>
      <c r="D95" s="109"/>
      <c r="E95" s="109"/>
      <c r="F95" s="77"/>
      <c r="G95" s="77"/>
      <c r="H95" s="77"/>
      <c r="I95" s="77"/>
      <c r="J95" s="79"/>
    </row>
    <row r="98" spans="3:5" x14ac:dyDescent="0.35">
      <c r="E98" s="110"/>
    </row>
    <row r="99" spans="3:5" s="111" customFormat="1" ht="6" customHeight="1" x14ac:dyDescent="0.35">
      <c r="D99" s="112"/>
      <c r="E99" s="112"/>
    </row>
    <row r="100" spans="3:5" s="113" customFormat="1" x14ac:dyDescent="0.35">
      <c r="D100" s="114"/>
      <c r="E100" s="114"/>
    </row>
    <row r="104" spans="3:5" x14ac:dyDescent="0.35">
      <c r="C104" s="89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CF4F-A78A-4287-92C7-279172DD9E35}">
  <dimension ref="A1:W104"/>
  <sheetViews>
    <sheetView showGridLines="0" zoomScale="70" zoomScaleNormal="70" workbookViewId="0">
      <selection activeCell="O8" sqref="O8"/>
    </sheetView>
  </sheetViews>
  <sheetFormatPr defaultColWidth="9.1796875" defaultRowHeight="14.5" outlineLevelRow="1" x14ac:dyDescent="0.35"/>
  <cols>
    <col min="1" max="1" width="2.54296875" style="17" customWidth="1"/>
    <col min="2" max="2" width="9.1796875" style="17"/>
    <col min="3" max="3" width="44.7265625" style="17" customWidth="1"/>
    <col min="4" max="4" width="15" style="17" customWidth="1"/>
    <col min="5" max="5" width="15.453125" style="17" customWidth="1"/>
    <col min="6" max="6" width="18" style="17" customWidth="1"/>
    <col min="7" max="7" width="30" style="17" customWidth="1"/>
    <col min="8" max="9" width="11" style="17" customWidth="1"/>
    <col min="10" max="10" width="2.1796875" style="17" customWidth="1"/>
    <col min="11" max="11" width="2.26953125" style="17" customWidth="1"/>
    <col min="12" max="12" width="1.1796875" style="17" customWidth="1"/>
    <col min="13" max="13" width="30.1796875" style="17" customWidth="1"/>
    <col min="14" max="14" width="17.81640625" style="17" customWidth="1"/>
    <col min="15" max="15" width="12.1796875" style="17" customWidth="1"/>
    <col min="16" max="16" width="9.1796875" style="17"/>
    <col min="17" max="17" width="27.1796875" style="17" customWidth="1"/>
    <col min="18" max="18" width="14.1796875" style="17" customWidth="1"/>
    <col min="19" max="19" width="9.1796875" style="17"/>
    <col min="20" max="20" width="11.1796875" style="17" bestFit="1" customWidth="1"/>
    <col min="21" max="22" width="9.1796875" style="17"/>
    <col min="23" max="23" width="20.54296875" style="17" customWidth="1"/>
    <col min="24" max="16384" width="9.1796875" style="17"/>
  </cols>
  <sheetData>
    <row r="1" spans="1:23" ht="15" customHeight="1" x14ac:dyDescent="0.35">
      <c r="A1" s="16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ht="1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1:23" ht="15" thickBot="1" x14ac:dyDescent="0.4">
      <c r="B4" s="18"/>
    </row>
    <row r="5" spans="1:23" ht="15.5" x14ac:dyDescent="0.35">
      <c r="B5" s="19" t="s">
        <v>89</v>
      </c>
      <c r="C5" s="20"/>
      <c r="D5" s="20"/>
      <c r="E5" s="20"/>
      <c r="F5" s="20"/>
      <c r="G5" s="20"/>
      <c r="H5" s="20"/>
      <c r="I5" s="20"/>
      <c r="J5" s="21"/>
      <c r="M5" s="19" t="s">
        <v>90</v>
      </c>
      <c r="N5" s="20"/>
      <c r="O5" s="20"/>
      <c r="P5" s="20"/>
      <c r="Q5" s="20"/>
      <c r="R5" s="20"/>
      <c r="S5" s="20"/>
      <c r="T5" s="20"/>
      <c r="U5" s="21"/>
    </row>
    <row r="6" spans="1:23" x14ac:dyDescent="0.35">
      <c r="B6" s="22" t="s">
        <v>91</v>
      </c>
      <c r="C6" s="23"/>
      <c r="D6" s="24">
        <v>73</v>
      </c>
      <c r="E6" s="23"/>
      <c r="F6" s="23" t="s">
        <v>92</v>
      </c>
      <c r="G6" s="23"/>
      <c r="H6" s="24">
        <v>86</v>
      </c>
      <c r="I6" s="23"/>
      <c r="J6" s="25"/>
      <c r="M6" s="26"/>
      <c r="N6" s="23"/>
      <c r="O6" s="23"/>
      <c r="P6" s="23"/>
      <c r="Q6" s="27"/>
      <c r="R6" s="23"/>
      <c r="S6" s="23"/>
      <c r="T6" s="23"/>
      <c r="U6" s="25"/>
    </row>
    <row r="7" spans="1:23" ht="36.75" customHeight="1" x14ac:dyDescent="0.35">
      <c r="B7" s="28" t="s">
        <v>93</v>
      </c>
      <c r="C7" s="29"/>
      <c r="D7" s="30">
        <v>0</v>
      </c>
      <c r="E7" s="23"/>
      <c r="F7" s="23" t="s">
        <v>94</v>
      </c>
      <c r="G7" s="23"/>
      <c r="H7" s="24">
        <v>7135</v>
      </c>
      <c r="I7" s="23"/>
      <c r="J7" s="25"/>
      <c r="M7" s="31" t="s">
        <v>95</v>
      </c>
      <c r="N7" s="23"/>
      <c r="O7" s="32">
        <v>150</v>
      </c>
      <c r="P7" s="23"/>
      <c r="Q7" s="23"/>
      <c r="R7" s="23"/>
      <c r="S7" s="23"/>
      <c r="T7" s="23"/>
      <c r="U7" s="33"/>
    </row>
    <row r="8" spans="1:23" x14ac:dyDescent="0.35">
      <c r="B8" s="31" t="s">
        <v>96</v>
      </c>
      <c r="C8" s="23"/>
      <c r="D8" s="24">
        <v>7850</v>
      </c>
      <c r="E8" s="23"/>
      <c r="F8" s="23" t="s">
        <v>97</v>
      </c>
      <c r="G8" s="23"/>
      <c r="H8" s="24">
        <v>425.6</v>
      </c>
      <c r="I8" s="23"/>
      <c r="J8" s="34"/>
      <c r="M8" s="31" t="s">
        <v>98</v>
      </c>
      <c r="N8" s="23"/>
      <c r="O8" s="32">
        <v>100</v>
      </c>
      <c r="P8" s="23"/>
      <c r="Q8" s="23"/>
      <c r="R8" s="23"/>
      <c r="S8" s="23"/>
      <c r="T8" s="23"/>
      <c r="U8" s="33"/>
    </row>
    <row r="9" spans="1:23" x14ac:dyDescent="0.35">
      <c r="B9" s="22" t="s">
        <v>99</v>
      </c>
      <c r="C9" s="23"/>
      <c r="D9" s="35">
        <v>0</v>
      </c>
      <c r="E9" s="23"/>
      <c r="F9" s="23" t="s">
        <v>100</v>
      </c>
      <c r="G9" s="23"/>
      <c r="H9" s="35">
        <v>0</v>
      </c>
      <c r="I9" s="23"/>
      <c r="J9" s="25"/>
      <c r="M9" s="31" t="s">
        <v>101</v>
      </c>
      <c r="N9" s="23"/>
      <c r="O9" s="32">
        <v>2</v>
      </c>
      <c r="P9" s="23"/>
      <c r="Q9" s="23"/>
      <c r="R9" s="23"/>
      <c r="S9" s="23"/>
      <c r="T9" s="23"/>
      <c r="U9" s="33"/>
    </row>
    <row r="10" spans="1:23" x14ac:dyDescent="0.35">
      <c r="B10" s="22" t="s">
        <v>102</v>
      </c>
      <c r="C10" s="36"/>
      <c r="D10" s="37">
        <v>0</v>
      </c>
      <c r="E10" s="23"/>
      <c r="F10" s="23" t="s">
        <v>103</v>
      </c>
      <c r="G10" s="23"/>
      <c r="H10" s="38">
        <v>0.12</v>
      </c>
      <c r="I10" s="23"/>
      <c r="J10" s="25"/>
      <c r="M10" s="31" t="s">
        <v>104</v>
      </c>
      <c r="N10" s="23"/>
      <c r="O10" s="39">
        <f>IF(AND(O7&gt;=300,O8&gt;=100),15,0)</f>
        <v>0</v>
      </c>
      <c r="P10" s="23"/>
      <c r="Q10" s="23"/>
      <c r="R10" s="23"/>
      <c r="S10" s="23"/>
      <c r="T10" s="23"/>
      <c r="U10" s="33"/>
      <c r="W10" s="40"/>
    </row>
    <row r="11" spans="1:23" x14ac:dyDescent="0.35">
      <c r="B11" s="31" t="s">
        <v>105</v>
      </c>
      <c r="C11" s="23"/>
      <c r="D11" s="38">
        <v>0.3</v>
      </c>
      <c r="E11" s="23"/>
      <c r="F11" s="23" t="s">
        <v>106</v>
      </c>
      <c r="G11" s="23"/>
      <c r="H11" s="38">
        <v>0.08</v>
      </c>
      <c r="I11" s="23"/>
      <c r="J11" s="34"/>
      <c r="M11" s="31" t="s">
        <v>107</v>
      </c>
      <c r="N11" s="23"/>
      <c r="O11" s="32">
        <v>2500</v>
      </c>
      <c r="P11" s="23"/>
      <c r="Q11" s="23"/>
      <c r="R11" s="23"/>
      <c r="S11" s="23"/>
      <c r="T11" s="23"/>
      <c r="U11" s="33"/>
    </row>
    <row r="12" spans="1:23" x14ac:dyDescent="0.35">
      <c r="B12" s="31" t="s">
        <v>108</v>
      </c>
      <c r="C12" s="23"/>
      <c r="D12" s="30">
        <v>0</v>
      </c>
      <c r="E12" s="23"/>
      <c r="F12" s="23" t="s">
        <v>109</v>
      </c>
      <c r="G12" s="23"/>
      <c r="H12" s="38">
        <v>0.26</v>
      </c>
      <c r="I12" s="23"/>
      <c r="J12" s="25"/>
      <c r="M12" s="31" t="s">
        <v>110</v>
      </c>
      <c r="N12" s="23"/>
      <c r="O12" s="39">
        <v>4</v>
      </c>
      <c r="P12" s="23"/>
      <c r="Q12" s="23"/>
      <c r="R12" s="23"/>
      <c r="S12" s="23"/>
      <c r="T12" s="23"/>
      <c r="U12" s="33"/>
    </row>
    <row r="13" spans="1:23" ht="33" customHeight="1" x14ac:dyDescent="0.35">
      <c r="B13" s="28" t="s">
        <v>111</v>
      </c>
      <c r="C13" s="29"/>
      <c r="D13" s="41">
        <v>0</v>
      </c>
      <c r="E13" s="23"/>
      <c r="F13" s="23" t="s">
        <v>112</v>
      </c>
      <c r="G13" s="23"/>
      <c r="H13" s="38">
        <v>0.52</v>
      </c>
      <c r="I13" s="23"/>
      <c r="J13" s="25"/>
      <c r="M13" s="31" t="s">
        <v>113</v>
      </c>
      <c r="N13" s="23"/>
      <c r="O13" s="39">
        <v>10</v>
      </c>
      <c r="P13" s="23"/>
      <c r="Q13" s="23"/>
      <c r="R13" s="23"/>
      <c r="S13" s="23"/>
      <c r="T13" s="23"/>
      <c r="U13" s="33"/>
    </row>
    <row r="14" spans="1:23" x14ac:dyDescent="0.35">
      <c r="B14" s="22" t="s">
        <v>114</v>
      </c>
      <c r="C14" s="36"/>
      <c r="D14" s="42">
        <v>0</v>
      </c>
      <c r="E14" s="23"/>
      <c r="F14" s="23" t="s">
        <v>115</v>
      </c>
      <c r="G14" s="23"/>
      <c r="H14" s="35">
        <v>0</v>
      </c>
      <c r="I14" s="23"/>
      <c r="J14" s="25"/>
      <c r="M14" s="31" t="s">
        <v>116</v>
      </c>
      <c r="N14" s="23"/>
      <c r="O14" s="39">
        <v>20</v>
      </c>
      <c r="P14" s="23"/>
      <c r="Q14" s="23"/>
      <c r="R14" s="23"/>
      <c r="S14" s="23"/>
      <c r="T14" s="23"/>
      <c r="U14" s="33"/>
    </row>
    <row r="15" spans="1:23" ht="28.5" customHeight="1" x14ac:dyDescent="0.35">
      <c r="B15" s="31" t="s">
        <v>117</v>
      </c>
      <c r="C15" s="23"/>
      <c r="D15" s="43">
        <v>2.5</v>
      </c>
      <c r="E15" s="44"/>
      <c r="F15" s="44"/>
      <c r="G15" s="44"/>
      <c r="H15" s="45"/>
      <c r="I15" s="44"/>
      <c r="J15" s="46"/>
      <c r="M15" s="31" t="s">
        <v>118</v>
      </c>
      <c r="N15" s="23"/>
      <c r="O15" s="39">
        <v>40</v>
      </c>
      <c r="P15" s="23"/>
      <c r="Q15" s="23"/>
      <c r="R15" s="44"/>
      <c r="S15" s="44"/>
      <c r="T15" s="44"/>
      <c r="U15" s="47"/>
    </row>
    <row r="16" spans="1:23" x14ac:dyDescent="0.35">
      <c r="B16" s="22" t="s">
        <v>119</v>
      </c>
      <c r="C16" s="36"/>
      <c r="D16" s="37">
        <v>0</v>
      </c>
      <c r="E16" s="44"/>
      <c r="F16" s="44"/>
      <c r="G16" s="44"/>
      <c r="H16" s="45"/>
      <c r="I16" s="44"/>
      <c r="J16" s="46"/>
      <c r="M16" s="31" t="s">
        <v>120</v>
      </c>
      <c r="N16" s="23"/>
      <c r="O16" s="39">
        <f>ROUNDUP(O11/O15-1,0)</f>
        <v>62</v>
      </c>
      <c r="P16" s="23"/>
      <c r="Q16" s="23"/>
      <c r="R16" s="44"/>
      <c r="S16" s="44"/>
      <c r="T16" s="44"/>
      <c r="U16" s="47"/>
    </row>
    <row r="17" spans="2:21" x14ac:dyDescent="0.35">
      <c r="B17" s="48" t="s">
        <v>121</v>
      </c>
      <c r="C17" s="44"/>
      <c r="D17" s="43">
        <f>6.5*1.2</f>
        <v>7.8</v>
      </c>
      <c r="E17" s="44"/>
      <c r="F17" s="44"/>
      <c r="G17" s="44"/>
      <c r="H17" s="45"/>
      <c r="I17" s="44"/>
      <c r="J17" s="46"/>
      <c r="M17" s="31" t="s">
        <v>122</v>
      </c>
      <c r="N17" s="23"/>
      <c r="O17" s="39">
        <f>4*2*2</f>
        <v>16</v>
      </c>
      <c r="P17" s="44"/>
      <c r="Q17" s="44"/>
      <c r="R17" s="44"/>
      <c r="S17" s="44"/>
      <c r="T17" s="44"/>
      <c r="U17" s="47"/>
    </row>
    <row r="18" spans="2:21" x14ac:dyDescent="0.35">
      <c r="B18" s="48"/>
      <c r="C18" s="44"/>
      <c r="D18" s="44"/>
      <c r="E18" s="44"/>
      <c r="F18" s="44"/>
      <c r="G18" s="44"/>
      <c r="H18" s="45"/>
      <c r="I18" s="44"/>
      <c r="J18" s="46"/>
      <c r="M18" s="31" t="s">
        <v>123</v>
      </c>
      <c r="N18" s="23"/>
      <c r="O18" s="39">
        <v>10</v>
      </c>
      <c r="P18" s="44"/>
      <c r="Q18" s="44"/>
      <c r="R18" s="44"/>
      <c r="S18" s="44"/>
      <c r="T18" s="44"/>
      <c r="U18" s="47"/>
    </row>
    <row r="19" spans="2:21" x14ac:dyDescent="0.35">
      <c r="B19" s="48"/>
      <c r="C19" s="44"/>
      <c r="D19" s="44"/>
      <c r="E19" s="44"/>
      <c r="F19" s="44"/>
      <c r="G19" s="44"/>
      <c r="H19" s="45"/>
      <c r="I19" s="44"/>
      <c r="J19" s="46"/>
      <c r="M19" s="48"/>
      <c r="N19" s="23"/>
      <c r="O19" s="49"/>
      <c r="P19" s="44"/>
      <c r="Q19" s="44"/>
      <c r="R19" s="44"/>
      <c r="S19" s="44"/>
      <c r="T19" s="44"/>
      <c r="U19" s="47"/>
    </row>
    <row r="20" spans="2:21" x14ac:dyDescent="0.35">
      <c r="B20" s="48"/>
      <c r="C20" s="44"/>
      <c r="D20" s="44"/>
      <c r="E20" s="44"/>
      <c r="F20" s="44"/>
      <c r="G20" s="44"/>
      <c r="H20" s="45"/>
      <c r="I20" s="44"/>
      <c r="J20" s="46"/>
      <c r="M20" s="50" t="s">
        <v>124</v>
      </c>
      <c r="N20" s="23"/>
      <c r="O20" s="39" cm="1">
        <f t="array" ref="O20">SUMPRODUCT('[1]Coupler plate dimensions'!F2:F28,--('[1]Coupler plate dimensions'!D2:D28=O7),--('[1]Coupler plate dimensions'!E2:E28=O8))</f>
        <v>70</v>
      </c>
      <c r="P20" s="44"/>
      <c r="Q20" s="44"/>
      <c r="R20" s="44"/>
      <c r="S20" s="44"/>
      <c r="T20" s="44"/>
      <c r="U20" s="47"/>
    </row>
    <row r="21" spans="2:21" x14ac:dyDescent="0.35">
      <c r="B21" s="48"/>
      <c r="C21" s="44"/>
      <c r="D21" s="44"/>
      <c r="E21" s="44"/>
      <c r="F21" s="44"/>
      <c r="G21" s="44"/>
      <c r="H21" s="45"/>
      <c r="I21" s="44"/>
      <c r="J21" s="46"/>
      <c r="M21" s="50" t="s">
        <v>125</v>
      </c>
      <c r="N21" s="23"/>
      <c r="O21" s="39" cm="1">
        <f t="array" ref="O21">SUMPRODUCT('[1]Coupler plate dimensions'!G2:G28,--('[1]Coupler plate dimensions'!D2:D28=O7),--('[1]Coupler plate dimensions'!E2:E28=O8))</f>
        <v>210</v>
      </c>
      <c r="P21" s="44"/>
      <c r="Q21" s="44"/>
      <c r="R21" s="44"/>
      <c r="S21" s="44"/>
      <c r="T21" s="44"/>
      <c r="U21" s="47"/>
    </row>
    <row r="22" spans="2:21" x14ac:dyDescent="0.35">
      <c r="B22" s="48"/>
      <c r="C22" s="44"/>
      <c r="D22" s="44"/>
      <c r="E22" s="44"/>
      <c r="F22" s="44"/>
      <c r="G22" s="44"/>
      <c r="H22" s="45"/>
      <c r="I22" s="44"/>
      <c r="J22" s="46"/>
      <c r="M22" s="50" t="s">
        <v>126</v>
      </c>
      <c r="N22" s="23"/>
      <c r="O22" s="39">
        <v>2</v>
      </c>
      <c r="P22" s="44"/>
      <c r="Q22" s="44"/>
      <c r="R22" s="44"/>
      <c r="S22" s="44"/>
      <c r="T22" s="44"/>
      <c r="U22" s="47"/>
    </row>
    <row r="23" spans="2:21" ht="15" thickBot="1" x14ac:dyDescent="0.4">
      <c r="B23" s="51"/>
      <c r="C23" s="52"/>
      <c r="D23" s="52"/>
      <c r="E23" s="52"/>
      <c r="F23" s="52"/>
      <c r="G23" s="52"/>
      <c r="H23" s="52"/>
      <c r="I23" s="52"/>
      <c r="J23" s="53"/>
      <c r="M23" s="51" t="s">
        <v>127</v>
      </c>
      <c r="N23" s="52"/>
      <c r="O23" s="54">
        <f>(2+2)/2</f>
        <v>2</v>
      </c>
      <c r="P23" s="52"/>
      <c r="Q23" s="52"/>
      <c r="R23" s="52"/>
      <c r="S23" s="52"/>
      <c r="T23" s="52"/>
      <c r="U23" s="53"/>
    </row>
    <row r="25" spans="2:21" ht="16" thickBot="1" x14ac:dyDescent="0.4">
      <c r="B25" s="55" t="s">
        <v>128</v>
      </c>
    </row>
    <row r="26" spans="2:21" ht="15.5" outlineLevel="1" x14ac:dyDescent="0.35">
      <c r="B26" s="56" t="s">
        <v>129</v>
      </c>
      <c r="C26" s="57"/>
      <c r="D26" s="57"/>
      <c r="E26" s="57"/>
      <c r="F26" s="57"/>
      <c r="G26" s="57"/>
      <c r="H26" s="57"/>
      <c r="I26" s="57"/>
      <c r="J26" s="58"/>
      <c r="M26" s="56" t="s">
        <v>130</v>
      </c>
      <c r="N26" s="57"/>
      <c r="O26" s="57"/>
      <c r="P26" s="57"/>
      <c r="Q26" s="57"/>
      <c r="R26" s="57"/>
      <c r="S26" s="57"/>
      <c r="T26" s="57"/>
      <c r="U26" s="58"/>
    </row>
    <row r="27" spans="2:21" ht="15.5" outlineLevel="1" x14ac:dyDescent="0.35">
      <c r="B27" s="59"/>
      <c r="C27" s="60"/>
      <c r="D27" s="60"/>
      <c r="E27" s="60"/>
      <c r="F27" s="60"/>
      <c r="G27" s="60"/>
      <c r="H27" s="60"/>
      <c r="I27" s="60"/>
      <c r="J27" s="61"/>
      <c r="M27" s="22" t="s">
        <v>131</v>
      </c>
      <c r="N27" s="36"/>
      <c r="O27" s="36"/>
      <c r="P27" s="36"/>
      <c r="Q27" s="36"/>
      <c r="R27" s="36"/>
      <c r="S27" s="36"/>
      <c r="T27" s="36"/>
      <c r="U27" s="62"/>
    </row>
    <row r="28" spans="2:21" ht="15.5" outlineLevel="1" x14ac:dyDescent="0.35">
      <c r="B28" s="22" t="s">
        <v>95</v>
      </c>
      <c r="C28" s="36"/>
      <c r="D28" s="36">
        <f>O7</f>
        <v>150</v>
      </c>
      <c r="E28" s="36"/>
      <c r="F28" s="36"/>
      <c r="G28" s="36"/>
      <c r="H28" s="36"/>
      <c r="I28" s="36"/>
      <c r="J28" s="62"/>
      <c r="M28" s="59" t="s">
        <v>132</v>
      </c>
      <c r="N28" s="36"/>
      <c r="O28" s="36"/>
      <c r="P28" s="36"/>
      <c r="Q28" s="60" t="s">
        <v>133</v>
      </c>
      <c r="R28" s="36"/>
      <c r="S28" s="36"/>
      <c r="T28" s="36"/>
      <c r="U28" s="62"/>
    </row>
    <row r="29" spans="2:21" outlineLevel="1" x14ac:dyDescent="0.35">
      <c r="B29" s="22" t="s">
        <v>98</v>
      </c>
      <c r="C29" s="36"/>
      <c r="D29" s="36">
        <f>O8</f>
        <v>100</v>
      </c>
      <c r="E29" s="36"/>
      <c r="F29" s="36"/>
      <c r="G29" s="36"/>
      <c r="H29" s="36"/>
      <c r="I29" s="36"/>
      <c r="J29" s="62"/>
      <c r="M29" s="22" t="s">
        <v>134</v>
      </c>
      <c r="N29" s="36"/>
      <c r="O29" s="36">
        <f>2*(2*O10+2*O8+(O7+4))/1000*O11/1000</f>
        <v>1.77</v>
      </c>
      <c r="P29" s="36"/>
      <c r="Q29" s="36" t="s">
        <v>135</v>
      </c>
      <c r="R29" s="36"/>
      <c r="S29" s="36"/>
      <c r="T29" s="63">
        <f>3.14*J42/1000*O9/1000*D32/2500*J41</f>
        <v>0</v>
      </c>
      <c r="U29" s="62"/>
    </row>
    <row r="30" spans="2:21" outlineLevel="1" x14ac:dyDescent="0.35">
      <c r="B30" s="22" t="s">
        <v>101</v>
      </c>
      <c r="C30" s="36"/>
      <c r="D30" s="36">
        <f>O9</f>
        <v>2</v>
      </c>
      <c r="E30" s="36"/>
      <c r="F30" s="36"/>
      <c r="G30" s="36"/>
      <c r="H30" s="36"/>
      <c r="I30" s="36"/>
      <c r="J30" s="62"/>
      <c r="M30" s="22" t="s">
        <v>136</v>
      </c>
      <c r="N30" s="36"/>
      <c r="O30" s="64">
        <f>(2*(O13+O14)/1000*O9/1000)*D42</f>
        <v>2.9759999999999998E-2</v>
      </c>
      <c r="P30" s="36"/>
      <c r="Q30" s="36" t="s">
        <v>137</v>
      </c>
      <c r="R30" s="36"/>
      <c r="S30" s="36"/>
      <c r="T30" s="63">
        <f>3.14*(J42/2/1000)^2*D32/2500*J41</f>
        <v>0</v>
      </c>
      <c r="U30" s="62"/>
    </row>
    <row r="31" spans="2:21" outlineLevel="1" x14ac:dyDescent="0.35">
      <c r="B31" s="22" t="s">
        <v>104</v>
      </c>
      <c r="C31" s="36"/>
      <c r="D31" s="36">
        <f>O10</f>
        <v>0</v>
      </c>
      <c r="E31" s="36"/>
      <c r="F31" s="36"/>
      <c r="G31" s="36"/>
      <c r="H31" s="36"/>
      <c r="I31" s="36"/>
      <c r="J31" s="62"/>
      <c r="M31" s="22" t="s">
        <v>138</v>
      </c>
      <c r="N31" s="36"/>
      <c r="O31" s="64">
        <f>O13/1000*O14/1000*D42</f>
        <v>4.9600000000000005E-2</v>
      </c>
      <c r="P31" s="36"/>
      <c r="Q31" s="36"/>
      <c r="R31" s="36"/>
      <c r="S31" s="36"/>
      <c r="T31" s="65"/>
      <c r="U31" s="62"/>
    </row>
    <row r="32" spans="2:21" outlineLevel="1" x14ac:dyDescent="0.35">
      <c r="B32" s="22" t="s">
        <v>107</v>
      </c>
      <c r="C32" s="36"/>
      <c r="D32" s="36">
        <f>O11</f>
        <v>2500</v>
      </c>
      <c r="E32" s="36"/>
      <c r="F32" s="36"/>
      <c r="G32" s="36"/>
      <c r="H32" s="36"/>
      <c r="I32" s="36"/>
      <c r="J32" s="62"/>
      <c r="M32" s="22"/>
      <c r="N32" s="36"/>
      <c r="O32" s="36"/>
      <c r="P32" s="36"/>
      <c r="Q32" s="36"/>
      <c r="R32" s="36"/>
      <c r="S32" s="36"/>
      <c r="T32" s="36"/>
      <c r="U32" s="62"/>
    </row>
    <row r="33" spans="2:21" outlineLevel="1" x14ac:dyDescent="0.35">
      <c r="B33" s="22"/>
      <c r="C33" s="36"/>
      <c r="D33" s="36"/>
      <c r="E33" s="36"/>
      <c r="F33" s="36"/>
      <c r="G33" s="36"/>
      <c r="H33" s="36"/>
      <c r="I33" s="36"/>
      <c r="J33" s="62"/>
      <c r="M33" s="22" t="s">
        <v>139</v>
      </c>
      <c r="N33" s="36"/>
      <c r="O33" s="64">
        <f>O29+O30-O31</f>
        <v>1.7501599999999999</v>
      </c>
      <c r="P33" s="36"/>
      <c r="Q33" s="36"/>
      <c r="R33" s="36"/>
      <c r="S33" s="36"/>
      <c r="T33" s="36"/>
      <c r="U33" s="62"/>
    </row>
    <row r="34" spans="2:21" outlineLevel="1" x14ac:dyDescent="0.35">
      <c r="B34" s="22"/>
      <c r="C34" s="36"/>
      <c r="D34" s="36"/>
      <c r="E34" s="36"/>
      <c r="F34" s="36"/>
      <c r="G34" s="36"/>
      <c r="H34" s="36"/>
      <c r="I34" s="36"/>
      <c r="J34" s="62"/>
      <c r="M34" s="22"/>
      <c r="N34" s="36"/>
      <c r="O34" s="36"/>
      <c r="P34" s="36"/>
      <c r="Q34" s="36"/>
      <c r="R34" s="36"/>
      <c r="S34" s="36"/>
      <c r="T34" s="36"/>
      <c r="U34" s="62"/>
    </row>
    <row r="35" spans="2:21" outlineLevel="1" x14ac:dyDescent="0.35">
      <c r="B35" s="22" t="s">
        <v>140</v>
      </c>
      <c r="C35" s="36"/>
      <c r="D35" s="36">
        <f>(2*D31+2*D29+(D28+4))/1000*D30/1000*D32/1000</f>
        <v>1.7700000000000001E-3</v>
      </c>
      <c r="E35" s="36"/>
      <c r="F35" s="36"/>
      <c r="G35" s="36"/>
      <c r="H35" s="36"/>
      <c r="I35" s="36"/>
      <c r="J35" s="62"/>
      <c r="M35" s="22" t="s">
        <v>141</v>
      </c>
      <c r="N35" s="36"/>
      <c r="O35" s="64">
        <f>O33+T29-T30</f>
        <v>1.7501599999999999</v>
      </c>
      <c r="P35" s="36"/>
      <c r="Q35" s="36"/>
      <c r="R35" s="36"/>
      <c r="S35" s="36"/>
      <c r="T35" s="36"/>
      <c r="U35" s="62"/>
    </row>
    <row r="36" spans="2:21" outlineLevel="1" x14ac:dyDescent="0.35">
      <c r="B36" s="22" t="s">
        <v>142</v>
      </c>
      <c r="C36" s="36"/>
      <c r="D36" s="36">
        <f>D35*D8</f>
        <v>13.894500000000001</v>
      </c>
      <c r="E36" s="36"/>
      <c r="F36" s="36"/>
      <c r="G36" s="36"/>
      <c r="H36" s="36"/>
      <c r="I36" s="36"/>
      <c r="J36" s="62"/>
      <c r="M36" s="22"/>
      <c r="N36" s="36"/>
      <c r="O36" s="36"/>
      <c r="P36" s="36"/>
      <c r="Q36" s="36"/>
      <c r="R36" s="36"/>
      <c r="S36" s="36"/>
      <c r="T36" s="36"/>
      <c r="U36" s="62"/>
    </row>
    <row r="37" spans="2:21" outlineLevel="1" x14ac:dyDescent="0.35">
      <c r="B37" s="22" t="s">
        <v>143</v>
      </c>
      <c r="C37" s="36"/>
      <c r="D37" s="36">
        <f>D36*(D6*(1+D7))</f>
        <v>1014.2985000000001</v>
      </c>
      <c r="E37" s="36"/>
      <c r="F37" s="36"/>
      <c r="G37" s="36"/>
      <c r="H37" s="36"/>
      <c r="I37" s="36"/>
      <c r="J37" s="62"/>
      <c r="M37" s="22" t="s">
        <v>144</v>
      </c>
      <c r="N37" s="36"/>
      <c r="O37" s="66">
        <f>O35*H6*10^-6*H7</f>
        <v>1.0739156775999998</v>
      </c>
      <c r="P37" s="36"/>
      <c r="Q37" s="36"/>
      <c r="R37" s="36"/>
      <c r="S37" s="36"/>
      <c r="T37" s="36"/>
      <c r="U37" s="62"/>
    </row>
    <row r="38" spans="2:21" outlineLevel="1" x14ac:dyDescent="0.35">
      <c r="B38" s="22"/>
      <c r="C38" s="36"/>
      <c r="D38" s="36"/>
      <c r="E38" s="36"/>
      <c r="F38" s="36"/>
      <c r="G38" s="36"/>
      <c r="H38" s="36"/>
      <c r="I38" s="36"/>
      <c r="J38" s="62"/>
      <c r="M38" s="22" t="s">
        <v>100</v>
      </c>
      <c r="N38" s="36"/>
      <c r="O38" s="67">
        <f>H9</f>
        <v>0</v>
      </c>
      <c r="P38" s="36"/>
      <c r="Q38" s="36"/>
      <c r="R38" s="36"/>
      <c r="S38" s="36"/>
      <c r="T38" s="36"/>
      <c r="U38" s="62"/>
    </row>
    <row r="39" spans="2:21" outlineLevel="1" x14ac:dyDescent="0.35">
      <c r="B39" s="68" t="s">
        <v>145</v>
      </c>
      <c r="C39" s="36"/>
      <c r="D39" s="36"/>
      <c r="E39" s="36"/>
      <c r="F39" s="69" t="s">
        <v>146</v>
      </c>
      <c r="G39" s="36"/>
      <c r="H39" s="36"/>
      <c r="I39" s="36"/>
      <c r="J39" s="62"/>
      <c r="M39" s="22" t="s">
        <v>147</v>
      </c>
      <c r="N39" s="36"/>
      <c r="O39" s="66">
        <f>(1+O38)*O37</f>
        <v>1.0739156775999998</v>
      </c>
      <c r="P39" s="36"/>
      <c r="Q39" s="36"/>
      <c r="R39" s="36"/>
      <c r="S39" s="36"/>
      <c r="T39" s="36"/>
      <c r="U39" s="62"/>
    </row>
    <row r="40" spans="2:21" outlineLevel="1" x14ac:dyDescent="0.35">
      <c r="B40" s="22"/>
      <c r="C40" s="36"/>
      <c r="D40" s="36"/>
      <c r="E40" s="36"/>
      <c r="F40" s="36"/>
      <c r="G40" s="36"/>
      <c r="H40" s="36"/>
      <c r="I40" s="36"/>
      <c r="J40" s="62"/>
      <c r="M40" s="22" t="s">
        <v>148</v>
      </c>
      <c r="N40" s="36"/>
      <c r="O40" s="70">
        <f>O39*H8</f>
        <v>457.05851238655998</v>
      </c>
      <c r="P40" s="36"/>
      <c r="Q40" s="36"/>
      <c r="R40" s="36"/>
      <c r="S40" s="36"/>
      <c r="T40" s="36"/>
      <c r="U40" s="62"/>
    </row>
    <row r="41" spans="2:21" outlineLevel="1" x14ac:dyDescent="0.35">
      <c r="B41" s="22" t="s">
        <v>110</v>
      </c>
      <c r="C41" s="36"/>
      <c r="D41" s="36">
        <f>O12</f>
        <v>4</v>
      </c>
      <c r="E41" s="36"/>
      <c r="F41" s="36" t="s">
        <v>149</v>
      </c>
      <c r="G41" s="36"/>
      <c r="H41" s="36"/>
      <c r="I41" s="36">
        <f>O17</f>
        <v>16</v>
      </c>
      <c r="J41" s="62"/>
      <c r="M41" s="22"/>
      <c r="N41" s="36"/>
      <c r="O41" s="36"/>
      <c r="P41" s="36"/>
      <c r="Q41" s="36"/>
      <c r="R41" s="36"/>
      <c r="S41" s="36"/>
      <c r="T41" s="36"/>
      <c r="U41" s="62"/>
    </row>
    <row r="42" spans="2:21" outlineLevel="1" x14ac:dyDescent="0.35">
      <c r="B42" s="22" t="s">
        <v>150</v>
      </c>
      <c r="C42" s="36"/>
      <c r="D42" s="36">
        <f>D41*O16</f>
        <v>248</v>
      </c>
      <c r="E42" s="36"/>
      <c r="F42" s="36" t="s">
        <v>151</v>
      </c>
      <c r="G42" s="36"/>
      <c r="H42" s="36"/>
      <c r="I42" s="36">
        <f>O18</f>
        <v>10</v>
      </c>
      <c r="J42" s="62"/>
      <c r="M42" s="22" t="s">
        <v>152</v>
      </c>
      <c r="N42" s="36"/>
      <c r="O42" s="66">
        <f>H10*O37</f>
        <v>0.12886988131199997</v>
      </c>
      <c r="P42" s="36"/>
      <c r="Q42" s="36" t="s">
        <v>153</v>
      </c>
      <c r="R42" s="36"/>
      <c r="S42" s="36"/>
      <c r="T42" s="36">
        <f>H12*$H$8</f>
        <v>110.65600000000001</v>
      </c>
      <c r="U42" s="62"/>
    </row>
    <row r="43" spans="2:21" outlineLevel="1" x14ac:dyDescent="0.35">
      <c r="B43" s="22" t="s">
        <v>154</v>
      </c>
      <c r="C43" s="36"/>
      <c r="D43" s="71">
        <f>D42*O13/1000*O14/1000*O9/1000</f>
        <v>9.9199999999999999E-5</v>
      </c>
      <c r="E43" s="36"/>
      <c r="F43" s="36" t="s">
        <v>155</v>
      </c>
      <c r="G43" s="36"/>
      <c r="H43" s="36"/>
      <c r="I43" s="72">
        <f>I41*3.14*(I42/2/1000)^2*O9/1000</f>
        <v>2.5120000000000003E-6</v>
      </c>
      <c r="J43" s="62"/>
      <c r="M43" s="22" t="s">
        <v>156</v>
      </c>
      <c r="N43" s="36"/>
      <c r="O43" s="66">
        <f>H11*O37</f>
        <v>8.5913254207999987E-2</v>
      </c>
      <c r="P43" s="36"/>
      <c r="Q43" s="36" t="s">
        <v>157</v>
      </c>
      <c r="R43" s="36"/>
      <c r="S43" s="36"/>
      <c r="T43" s="36">
        <f>H13*$H$8</f>
        <v>221.31200000000001</v>
      </c>
      <c r="U43" s="62"/>
    </row>
    <row r="44" spans="2:21" outlineLevel="1" x14ac:dyDescent="0.35">
      <c r="B44" s="22" t="s">
        <v>158</v>
      </c>
      <c r="C44" s="36"/>
      <c r="D44" s="66">
        <f>D43*D8</f>
        <v>0.77871999999999997</v>
      </c>
      <c r="E44" s="36"/>
      <c r="F44" s="36" t="s">
        <v>159</v>
      </c>
      <c r="G44" s="36"/>
      <c r="H44" s="36"/>
      <c r="I44" s="72">
        <f>I43*D32/2500</f>
        <v>2.5120000000000003E-6</v>
      </c>
      <c r="J44" s="62"/>
      <c r="M44" s="22" t="s">
        <v>160</v>
      </c>
      <c r="N44" s="36"/>
      <c r="O44" s="66">
        <f>O42*T42+O43*T43</f>
        <v>33.273859701741564</v>
      </c>
      <c r="P44" s="36"/>
      <c r="Q44" s="36"/>
      <c r="R44" s="36"/>
      <c r="S44" s="36"/>
      <c r="T44" s="36"/>
      <c r="U44" s="62"/>
    </row>
    <row r="45" spans="2:21" outlineLevel="1" x14ac:dyDescent="0.35">
      <c r="B45" s="22" t="s">
        <v>161</v>
      </c>
      <c r="C45" s="36"/>
      <c r="D45" s="66">
        <f>D44*D6</f>
        <v>56.846559999999997</v>
      </c>
      <c r="E45" s="36"/>
      <c r="F45" s="36" t="s">
        <v>162</v>
      </c>
      <c r="G45" s="36"/>
      <c r="H45" s="36"/>
      <c r="I45" s="66">
        <f>I44*D8</f>
        <v>1.9719200000000003E-2</v>
      </c>
      <c r="J45" s="62"/>
      <c r="M45" s="22"/>
      <c r="N45" s="36"/>
      <c r="O45" s="36"/>
      <c r="P45" s="36"/>
      <c r="Q45" s="36"/>
      <c r="R45" s="36"/>
      <c r="S45" s="36"/>
      <c r="T45" s="36"/>
      <c r="U45" s="62"/>
    </row>
    <row r="46" spans="2:21" outlineLevel="1" x14ac:dyDescent="0.35">
      <c r="B46" s="22" t="s">
        <v>163</v>
      </c>
      <c r="C46" s="36"/>
      <c r="D46" s="67">
        <f>D11</f>
        <v>0.3</v>
      </c>
      <c r="E46" s="36"/>
      <c r="F46" s="36" t="s">
        <v>161</v>
      </c>
      <c r="G46" s="36"/>
      <c r="H46" s="36"/>
      <c r="I46" s="66">
        <f>I45*D6</f>
        <v>1.4395016000000003</v>
      </c>
      <c r="J46" s="62"/>
      <c r="M46" s="22" t="s">
        <v>164</v>
      </c>
      <c r="N46" s="36"/>
      <c r="O46" s="66">
        <f>O40-O44</f>
        <v>423.78465268481841</v>
      </c>
      <c r="P46" s="36"/>
      <c r="Q46" s="36"/>
      <c r="R46" s="36"/>
      <c r="S46" s="36"/>
      <c r="T46" s="36"/>
      <c r="U46" s="62"/>
    </row>
    <row r="47" spans="2:21" outlineLevel="1" x14ac:dyDescent="0.35">
      <c r="B47" s="22" t="s">
        <v>165</v>
      </c>
      <c r="C47" s="36"/>
      <c r="D47" s="66">
        <f>D45*D46</f>
        <v>17.053967999999998</v>
      </c>
      <c r="E47" s="36"/>
      <c r="F47" s="36" t="s">
        <v>166</v>
      </c>
      <c r="G47" s="36"/>
      <c r="H47" s="36"/>
      <c r="I47" s="66">
        <f>I46*D46</f>
        <v>0.43185048000000009</v>
      </c>
      <c r="J47" s="62"/>
      <c r="M47" s="22"/>
      <c r="N47" s="36"/>
      <c r="O47" s="36"/>
      <c r="P47" s="36"/>
      <c r="Q47" s="36"/>
      <c r="R47" s="36"/>
      <c r="S47" s="36"/>
      <c r="T47" s="36"/>
      <c r="U47" s="62"/>
    </row>
    <row r="48" spans="2:21" outlineLevel="1" x14ac:dyDescent="0.35">
      <c r="B48" s="22"/>
      <c r="C48" s="36"/>
      <c r="D48" s="36"/>
      <c r="E48" s="36"/>
      <c r="F48" s="36"/>
      <c r="G48" s="36"/>
      <c r="H48" s="36"/>
      <c r="I48" s="36"/>
      <c r="J48" s="62"/>
      <c r="M48" s="22"/>
      <c r="N48" s="36"/>
      <c r="O48" s="36"/>
      <c r="P48" s="36"/>
      <c r="Q48" s="36"/>
      <c r="R48" s="36"/>
      <c r="S48" s="36"/>
      <c r="T48" s="36"/>
      <c r="U48" s="62"/>
    </row>
    <row r="49" spans="2:21" outlineLevel="1" x14ac:dyDescent="0.35">
      <c r="B49" s="22" t="s">
        <v>167</v>
      </c>
      <c r="C49" s="36"/>
      <c r="D49" s="66">
        <f>D37-D47-I47</f>
        <v>996.81268152000018</v>
      </c>
      <c r="E49" s="36"/>
      <c r="F49" s="36"/>
      <c r="G49" s="36"/>
      <c r="H49" s="36"/>
      <c r="I49" s="36"/>
      <c r="J49" s="62"/>
      <c r="M49" s="22"/>
      <c r="N49" s="36"/>
      <c r="O49" s="36"/>
      <c r="P49" s="36"/>
      <c r="Q49" s="36"/>
      <c r="R49" s="36"/>
      <c r="S49" s="36"/>
      <c r="T49" s="36"/>
      <c r="U49" s="62"/>
    </row>
    <row r="50" spans="2:21" outlineLevel="1" x14ac:dyDescent="0.35">
      <c r="B50" s="22"/>
      <c r="C50" s="36"/>
      <c r="D50" s="36"/>
      <c r="E50" s="36"/>
      <c r="F50" s="36"/>
      <c r="G50" s="36"/>
      <c r="H50" s="36"/>
      <c r="I50" s="36"/>
      <c r="J50" s="62"/>
      <c r="M50" s="22"/>
      <c r="N50" s="36"/>
      <c r="O50" s="36"/>
      <c r="P50" s="36"/>
      <c r="Q50" s="36"/>
      <c r="R50" s="36"/>
      <c r="S50" s="36"/>
      <c r="T50" s="36"/>
      <c r="U50" s="62"/>
    </row>
    <row r="51" spans="2:21" outlineLevel="1" x14ac:dyDescent="0.35">
      <c r="B51" s="22" t="s">
        <v>168</v>
      </c>
      <c r="C51" s="36"/>
      <c r="D51" s="66">
        <f>D49</f>
        <v>996.81268152000018</v>
      </c>
      <c r="E51" s="36"/>
      <c r="F51" s="36"/>
      <c r="G51" s="36"/>
      <c r="H51" s="36"/>
      <c r="I51" s="36"/>
      <c r="J51" s="62"/>
      <c r="M51" s="22"/>
      <c r="N51" s="36"/>
      <c r="O51" s="36"/>
      <c r="P51" s="36"/>
      <c r="Q51" s="36"/>
      <c r="R51" s="36"/>
      <c r="S51" s="36"/>
      <c r="T51" s="36"/>
      <c r="U51" s="62"/>
    </row>
    <row r="52" spans="2:21" outlineLevel="1" x14ac:dyDescent="0.35">
      <c r="B52" s="22" t="s">
        <v>108</v>
      </c>
      <c r="C52" s="36"/>
      <c r="D52" s="73">
        <f>D12</f>
        <v>0</v>
      </c>
      <c r="E52" s="36"/>
      <c r="F52" s="36"/>
      <c r="G52" s="36"/>
      <c r="H52" s="36"/>
      <c r="I52" s="36"/>
      <c r="J52" s="74"/>
      <c r="M52" s="22"/>
      <c r="N52" s="36"/>
      <c r="O52" s="36"/>
      <c r="P52" s="36"/>
      <c r="Q52" s="36"/>
      <c r="R52" s="36"/>
      <c r="S52" s="36"/>
      <c r="T52" s="36"/>
      <c r="U52" s="62"/>
    </row>
    <row r="53" spans="2:21" outlineLevel="1" x14ac:dyDescent="0.35">
      <c r="B53" s="22" t="s">
        <v>169</v>
      </c>
      <c r="C53" s="36"/>
      <c r="D53" s="75">
        <f>(1+D52)*D51</f>
        <v>996.81268152000018</v>
      </c>
      <c r="E53" s="36"/>
      <c r="F53" s="36"/>
      <c r="G53" s="36"/>
      <c r="H53" s="36"/>
      <c r="I53" s="36"/>
      <c r="J53" s="62"/>
      <c r="M53" s="22"/>
      <c r="N53" s="36"/>
      <c r="O53" s="36"/>
      <c r="P53" s="36"/>
      <c r="Q53" s="36"/>
      <c r="R53" s="36"/>
      <c r="S53" s="36"/>
      <c r="T53" s="36"/>
      <c r="U53" s="62"/>
    </row>
    <row r="54" spans="2:21" ht="15" outlineLevel="1" thickBot="1" x14ac:dyDescent="0.4">
      <c r="B54" s="76"/>
      <c r="C54" s="77"/>
      <c r="D54" s="78"/>
      <c r="E54" s="77"/>
      <c r="F54" s="77"/>
      <c r="G54" s="77"/>
      <c r="H54" s="77"/>
      <c r="I54" s="77"/>
      <c r="J54" s="79"/>
      <c r="M54" s="76"/>
      <c r="N54" s="77"/>
      <c r="O54" s="77"/>
      <c r="P54" s="77"/>
      <c r="Q54" s="77"/>
      <c r="R54" s="77"/>
      <c r="S54" s="77"/>
      <c r="T54" s="77"/>
      <c r="U54" s="79"/>
    </row>
    <row r="55" spans="2:21" ht="15" outlineLevel="1" thickBot="1" x14ac:dyDescent="0.4"/>
    <row r="56" spans="2:21" ht="15.5" outlineLevel="1" x14ac:dyDescent="0.35">
      <c r="B56" s="56" t="s">
        <v>170</v>
      </c>
      <c r="C56" s="57"/>
      <c r="D56" s="57"/>
      <c r="E56" s="57"/>
      <c r="F56" s="57"/>
      <c r="G56" s="57"/>
      <c r="H56" s="57"/>
      <c r="I56" s="57"/>
      <c r="J56" s="58"/>
    </row>
    <row r="57" spans="2:21" outlineLevel="1" x14ac:dyDescent="0.35">
      <c r="B57" s="22" t="s">
        <v>171</v>
      </c>
      <c r="C57" s="36"/>
      <c r="D57" s="66">
        <f>D37*D9</f>
        <v>0</v>
      </c>
      <c r="E57" s="36"/>
      <c r="F57" s="36"/>
      <c r="G57" s="36"/>
      <c r="H57" s="36"/>
      <c r="I57" s="36"/>
      <c r="J57" s="62"/>
    </row>
    <row r="58" spans="2:21" outlineLevel="1" x14ac:dyDescent="0.35">
      <c r="B58" s="80" t="s">
        <v>172</v>
      </c>
      <c r="C58" s="81"/>
      <c r="D58" s="82">
        <f>D37*D10</f>
        <v>0</v>
      </c>
      <c r="E58" s="81"/>
      <c r="F58" s="81"/>
      <c r="G58" s="81"/>
      <c r="H58" s="81"/>
      <c r="I58" s="81"/>
      <c r="J58" s="83"/>
    </row>
    <row r="59" spans="2:21" ht="15" outlineLevel="1" thickBot="1" x14ac:dyDescent="0.4">
      <c r="B59" s="76"/>
      <c r="C59" s="77"/>
      <c r="D59" s="77"/>
      <c r="E59" s="77"/>
      <c r="F59" s="77"/>
      <c r="G59" s="77"/>
      <c r="H59" s="77"/>
      <c r="I59" s="77"/>
      <c r="J59" s="79"/>
    </row>
    <row r="60" spans="2:21" ht="15" thickBot="1" x14ac:dyDescent="0.4"/>
    <row r="61" spans="2:21" ht="15.5" x14ac:dyDescent="0.35">
      <c r="B61" s="84" t="s">
        <v>173</v>
      </c>
      <c r="C61" s="85" t="s">
        <v>174</v>
      </c>
      <c r="D61" s="85"/>
      <c r="E61" s="85"/>
      <c r="F61" s="85"/>
      <c r="G61" s="85"/>
      <c r="H61" s="85"/>
      <c r="I61" s="85"/>
      <c r="J61" s="86"/>
    </row>
    <row r="62" spans="2:21" x14ac:dyDescent="0.35">
      <c r="B62" s="87"/>
      <c r="J62" s="88"/>
    </row>
    <row r="63" spans="2:21" x14ac:dyDescent="0.35">
      <c r="B63" s="87"/>
      <c r="C63" s="89"/>
      <c r="J63" s="88"/>
    </row>
    <row r="64" spans="2:21" x14ac:dyDescent="0.35">
      <c r="B64" s="87"/>
      <c r="J64" s="88"/>
    </row>
    <row r="65" spans="2:10" ht="15.65" hidden="1" customHeight="1" x14ac:dyDescent="0.35">
      <c r="B65" s="56" t="s">
        <v>175</v>
      </c>
      <c r="C65" s="57"/>
      <c r="D65" s="57"/>
      <c r="E65" s="57"/>
      <c r="F65" s="57"/>
      <c r="G65" s="57"/>
      <c r="H65" s="57"/>
      <c r="I65" s="57"/>
      <c r="J65" s="58"/>
    </row>
    <row r="66" spans="2:10" ht="14.5" hidden="1" customHeight="1" x14ac:dyDescent="0.35">
      <c r="B66" s="22"/>
      <c r="C66" s="36"/>
      <c r="D66" s="36"/>
      <c r="E66" s="36"/>
      <c r="F66" s="36"/>
      <c r="G66" s="36"/>
      <c r="H66" s="36"/>
      <c r="I66" s="36"/>
      <c r="J66" s="62"/>
    </row>
    <row r="67" spans="2:10" ht="14.5" hidden="1" customHeight="1" x14ac:dyDescent="0.35">
      <c r="B67" s="22" t="s">
        <v>176</v>
      </c>
      <c r="C67" s="36"/>
      <c r="D67" s="90">
        <f>D53</f>
        <v>996.81268152000018</v>
      </c>
      <c r="E67" s="36"/>
      <c r="F67" s="36"/>
      <c r="G67" s="36"/>
      <c r="H67" s="36"/>
      <c r="I67" s="36"/>
      <c r="J67" s="62"/>
    </row>
    <row r="68" spans="2:10" ht="14.5" hidden="1" customHeight="1" x14ac:dyDescent="0.35">
      <c r="B68" s="22" t="s">
        <v>177</v>
      </c>
      <c r="C68" s="36"/>
      <c r="D68" s="90">
        <f>O46</f>
        <v>423.78465268481841</v>
      </c>
      <c r="E68" s="36"/>
      <c r="F68" s="36"/>
      <c r="G68" s="36"/>
      <c r="H68" s="36"/>
      <c r="I68" s="36"/>
      <c r="J68" s="62"/>
    </row>
    <row r="69" spans="2:10" ht="14.5" hidden="1" customHeight="1" x14ac:dyDescent="0.35">
      <c r="B69" s="22" t="s">
        <v>178</v>
      </c>
      <c r="C69" s="36"/>
      <c r="D69" s="90">
        <f>D57</f>
        <v>0</v>
      </c>
      <c r="E69" s="36"/>
      <c r="F69" s="36"/>
      <c r="G69" s="36"/>
      <c r="H69" s="36"/>
      <c r="I69" s="36"/>
      <c r="J69" s="62"/>
    </row>
    <row r="70" spans="2:10" ht="14.5" hidden="1" customHeight="1" x14ac:dyDescent="0.35">
      <c r="B70" s="22" t="s">
        <v>179</v>
      </c>
      <c r="C70" s="36"/>
      <c r="D70" s="90">
        <f>O57</f>
        <v>0</v>
      </c>
      <c r="E70" s="36"/>
      <c r="F70" s="36"/>
      <c r="G70" s="36"/>
      <c r="H70" s="36"/>
      <c r="I70" s="36"/>
      <c r="J70" s="62"/>
    </row>
    <row r="71" spans="2:10" ht="14.5" hidden="1" customHeight="1" x14ac:dyDescent="0.35">
      <c r="B71" s="80" t="s">
        <v>172</v>
      </c>
      <c r="C71" s="36"/>
      <c r="D71" s="90">
        <f>D58</f>
        <v>0</v>
      </c>
      <c r="E71" s="36"/>
      <c r="F71" s="36"/>
      <c r="G71" s="36"/>
      <c r="H71" s="36"/>
      <c r="I71" s="36"/>
      <c r="J71" s="62"/>
    </row>
    <row r="72" spans="2:10" ht="14.5" hidden="1" customHeight="1" x14ac:dyDescent="0.35">
      <c r="B72" s="22" t="s">
        <v>180</v>
      </c>
      <c r="C72" s="36"/>
      <c r="D72" s="90">
        <f>SUM(D67:D71)*D14</f>
        <v>0</v>
      </c>
      <c r="E72" s="36"/>
      <c r="F72" s="36"/>
      <c r="G72" s="36"/>
      <c r="H72" s="36"/>
      <c r="I72" s="36"/>
      <c r="J72" s="62"/>
    </row>
    <row r="73" spans="2:10" ht="14.5" hidden="1" customHeight="1" x14ac:dyDescent="0.35">
      <c r="B73" s="22" t="s">
        <v>181</v>
      </c>
      <c r="C73" s="36"/>
      <c r="D73" s="90">
        <f>SUM(D67:D72)*D15</f>
        <v>3551.4933355120465</v>
      </c>
      <c r="E73" s="36"/>
      <c r="F73" s="36"/>
      <c r="G73" s="36"/>
      <c r="H73" s="36"/>
      <c r="I73" s="36"/>
      <c r="J73" s="62"/>
    </row>
    <row r="74" spans="2:10" ht="14.5" hidden="1" customHeight="1" x14ac:dyDescent="0.35">
      <c r="B74" s="22" t="s">
        <v>182</v>
      </c>
      <c r="C74" s="36"/>
      <c r="D74" s="90">
        <f>SUM(D67:D73)*D16</f>
        <v>0</v>
      </c>
      <c r="E74" s="36"/>
      <c r="F74" s="36"/>
      <c r="G74" s="36"/>
      <c r="H74" s="36"/>
      <c r="I74" s="36"/>
      <c r="J74" s="62"/>
    </row>
    <row r="75" spans="2:10" ht="14.5" hidden="1" customHeight="1" x14ac:dyDescent="0.35">
      <c r="B75" s="22" t="s">
        <v>183</v>
      </c>
      <c r="C75" s="36"/>
      <c r="D75" s="90">
        <f>(D36-D44-I45)*D13</f>
        <v>0</v>
      </c>
      <c r="E75" s="36"/>
      <c r="F75" s="36"/>
      <c r="G75" s="36"/>
      <c r="H75" s="36"/>
      <c r="I75" s="36"/>
      <c r="J75" s="62"/>
    </row>
    <row r="76" spans="2:10" ht="14.5" hidden="1" customHeight="1" x14ac:dyDescent="0.35">
      <c r="B76" s="22"/>
      <c r="C76" s="36"/>
      <c r="D76" s="90"/>
      <c r="E76" s="36"/>
      <c r="F76" s="36"/>
      <c r="G76" s="36"/>
      <c r="H76" s="36"/>
      <c r="I76" s="36"/>
      <c r="J76" s="62"/>
    </row>
    <row r="77" spans="2:10" ht="18.649999999999999" hidden="1" customHeight="1" x14ac:dyDescent="0.35">
      <c r="B77" s="91" t="s">
        <v>184</v>
      </c>
      <c r="C77" s="92"/>
      <c r="D77" s="93">
        <f>SUM(D67:D75)</f>
        <v>4972.0906697168648</v>
      </c>
      <c r="E77" s="92"/>
      <c r="F77" s="92"/>
      <c r="G77" s="92"/>
      <c r="H77" s="92"/>
      <c r="I77" s="92"/>
      <c r="J77" s="94"/>
    </row>
    <row r="78" spans="2:10" ht="19" hidden="1" customHeight="1" thickBot="1" x14ac:dyDescent="0.4">
      <c r="B78" s="95" t="s">
        <v>185</v>
      </c>
      <c r="C78" s="96"/>
      <c r="D78" s="97">
        <f>SUM(D67:D74)</f>
        <v>4972.0906697168648</v>
      </c>
      <c r="E78" s="96"/>
      <c r="F78" s="96"/>
      <c r="G78" s="96"/>
      <c r="H78" s="96"/>
      <c r="I78" s="96"/>
      <c r="J78" s="98"/>
    </row>
    <row r="79" spans="2:10" x14ac:dyDescent="0.35">
      <c r="B79" s="87"/>
      <c r="D79" s="99"/>
      <c r="E79" s="99" t="s">
        <v>186</v>
      </c>
      <c r="J79" s="88"/>
    </row>
    <row r="80" spans="2:10" x14ac:dyDescent="0.35">
      <c r="B80" s="22"/>
      <c r="C80" s="36" t="s">
        <v>187</v>
      </c>
      <c r="D80" s="100">
        <f>D36</f>
        <v>13.894500000000001</v>
      </c>
      <c r="E80" s="100">
        <f>D32/1000*(D28+2*D29+2*D31)/1000*D30/1000*D8</f>
        <v>13.737500000000001</v>
      </c>
      <c r="F80" s="36"/>
      <c r="G80" s="36"/>
      <c r="H80" s="36"/>
      <c r="I80" s="36"/>
      <c r="J80" s="62"/>
    </row>
    <row r="81" spans="2:10" x14ac:dyDescent="0.35">
      <c r="B81" s="22"/>
      <c r="C81" s="36" t="s">
        <v>188</v>
      </c>
      <c r="D81" s="101">
        <f>D44+I45</f>
        <v>0.79843920000000002</v>
      </c>
      <c r="E81" s="101">
        <v>0</v>
      </c>
      <c r="F81" s="102">
        <f>D81/D80</f>
        <v>5.7464406779661012E-2</v>
      </c>
      <c r="G81" s="36"/>
      <c r="H81" s="36"/>
      <c r="I81" s="36"/>
      <c r="J81" s="62"/>
    </row>
    <row r="82" spans="2:10" x14ac:dyDescent="0.35">
      <c r="B82" s="22"/>
      <c r="C82" s="36" t="s">
        <v>189</v>
      </c>
      <c r="D82" s="101">
        <f>2*(O20*O21)/1000000*D8*O22/1000</f>
        <v>0.46157999999999999</v>
      </c>
      <c r="E82" s="101">
        <f>2*(O20*O21)/1000000*D8*O22/1000</f>
        <v>0.46157999999999999</v>
      </c>
      <c r="F82" s="103"/>
      <c r="G82" s="36"/>
      <c r="H82" s="36"/>
      <c r="I82" s="36"/>
      <c r="J82" s="62"/>
    </row>
    <row r="83" spans="2:10" x14ac:dyDescent="0.35">
      <c r="B83" s="22"/>
      <c r="C83" s="36" t="s">
        <v>190</v>
      </c>
      <c r="D83" s="100">
        <v>0.32</v>
      </c>
      <c r="E83" s="100">
        <v>0.32</v>
      </c>
      <c r="F83" s="104"/>
      <c r="G83" s="105" t="s">
        <v>191</v>
      </c>
      <c r="H83" s="36"/>
      <c r="I83" s="36"/>
      <c r="J83" s="62"/>
    </row>
    <row r="84" spans="2:10" x14ac:dyDescent="0.35">
      <c r="B84" s="22"/>
      <c r="C84" s="36" t="s">
        <v>192</v>
      </c>
      <c r="D84" s="100">
        <f>D80-D81+D82+D83</f>
        <v>13.8776408</v>
      </c>
      <c r="E84" s="100">
        <f>E80-E81+E82+E83</f>
        <v>14.519080000000001</v>
      </c>
      <c r="F84" s="103">
        <f>(E84-D84)/D84</f>
        <v>4.6221055094609498E-2</v>
      </c>
      <c r="G84" s="67"/>
      <c r="H84" s="36"/>
      <c r="I84" s="36"/>
      <c r="J84" s="62"/>
    </row>
    <row r="85" spans="2:10" x14ac:dyDescent="0.35">
      <c r="B85" s="22"/>
      <c r="C85" s="69" t="s">
        <v>193</v>
      </c>
      <c r="D85" s="106">
        <f>((D80+D83)-D81*D46)*D6+2*('[1]Final Coupler Plate'!D24-'[1]Final Coupler Plate'!D34*'[1]Final Coupler Plate'!D11)*D6</f>
        <v>1055.2330266200001</v>
      </c>
      <c r="E85" s="106">
        <f>E84*D6</f>
        <v>1059.89284</v>
      </c>
      <c r="F85" s="103">
        <f>(E85-D85)/D85</f>
        <v>4.4159093417741151E-3</v>
      </c>
      <c r="G85" s="67"/>
      <c r="H85" s="36"/>
      <c r="I85" s="36"/>
      <c r="J85" s="62"/>
    </row>
    <row r="86" spans="2:10" x14ac:dyDescent="0.35">
      <c r="B86" s="22"/>
      <c r="C86" s="36"/>
      <c r="D86" s="100"/>
      <c r="E86" s="100"/>
      <c r="F86" s="36"/>
      <c r="G86" s="36"/>
      <c r="H86" s="36"/>
      <c r="I86" s="36"/>
      <c r="J86" s="62"/>
    </row>
    <row r="87" spans="2:10" x14ac:dyDescent="0.35">
      <c r="B87" s="22"/>
      <c r="C87" s="36" t="s">
        <v>144</v>
      </c>
      <c r="D87" s="100">
        <f>O39</f>
        <v>1.0739156775999998</v>
      </c>
      <c r="E87" s="100">
        <f>5%*E84</f>
        <v>0.7259540000000001</v>
      </c>
      <c r="F87" s="36"/>
      <c r="G87" s="105" t="s">
        <v>194</v>
      </c>
      <c r="H87" s="36"/>
      <c r="I87" s="36"/>
      <c r="J87" s="62"/>
    </row>
    <row r="88" spans="2:10" x14ac:dyDescent="0.35">
      <c r="B88" s="22"/>
      <c r="C88" s="36" t="s">
        <v>195</v>
      </c>
      <c r="D88" s="107">
        <f>D87*H8-O44</f>
        <v>423.78465268481841</v>
      </c>
      <c r="E88" s="107">
        <f>E87*H8</f>
        <v>308.96602240000004</v>
      </c>
      <c r="F88" s="36"/>
      <c r="G88" s="36"/>
      <c r="H88" s="36"/>
      <c r="I88" s="36"/>
      <c r="J88" s="62"/>
    </row>
    <row r="89" spans="2:10" x14ac:dyDescent="0.35">
      <c r="B89" s="22"/>
      <c r="C89" s="36"/>
      <c r="D89" s="100"/>
      <c r="E89" s="100"/>
      <c r="F89" s="36"/>
      <c r="G89" s="36"/>
      <c r="H89" s="36"/>
      <c r="I89" s="36"/>
      <c r="J89" s="62"/>
    </row>
    <row r="90" spans="2:10" x14ac:dyDescent="0.35">
      <c r="B90" s="22"/>
      <c r="C90" s="36" t="s">
        <v>196</v>
      </c>
      <c r="D90" s="107">
        <f>(D84+D87)*($D$17+$D$15)</f>
        <v>154.00103171928001</v>
      </c>
      <c r="E90" s="107">
        <f>(E84+E87)*($D$17+$D$15)</f>
        <v>157.02385020000003</v>
      </c>
      <c r="F90" s="36"/>
      <c r="G90" s="36"/>
      <c r="H90" s="36"/>
      <c r="I90" s="36"/>
      <c r="J90" s="62"/>
    </row>
    <row r="91" spans="2:10" x14ac:dyDescent="0.35">
      <c r="B91" s="22"/>
      <c r="C91" s="36"/>
      <c r="D91" s="100"/>
      <c r="E91" s="100"/>
      <c r="F91" s="36"/>
      <c r="G91" s="36"/>
      <c r="H91" s="36"/>
      <c r="I91" s="36"/>
      <c r="J91" s="62"/>
    </row>
    <row r="92" spans="2:10" x14ac:dyDescent="0.35">
      <c r="B92" s="22"/>
      <c r="C92" s="69" t="s">
        <v>197</v>
      </c>
      <c r="D92" s="106">
        <f>D90+D85+D88</f>
        <v>1633.0187110240986</v>
      </c>
      <c r="E92" s="106">
        <f>E90+E85+E88</f>
        <v>1525.8827126000001</v>
      </c>
      <c r="F92" s="36"/>
      <c r="G92" s="36"/>
      <c r="H92" s="36"/>
      <c r="I92" s="36"/>
      <c r="J92" s="62"/>
    </row>
    <row r="93" spans="2:10" x14ac:dyDescent="0.35">
      <c r="B93" s="22"/>
      <c r="C93" s="69" t="s">
        <v>199</v>
      </c>
      <c r="D93" s="115">
        <f>D92/(O11/1000)</f>
        <v>653.20748440963939</v>
      </c>
      <c r="E93" s="115">
        <f>E92/(O11/1000)</f>
        <v>610.35308504</v>
      </c>
      <c r="F93" s="36"/>
      <c r="G93" s="36"/>
      <c r="H93" s="36"/>
      <c r="I93" s="36"/>
      <c r="J93" s="62"/>
    </row>
    <row r="94" spans="2:10" x14ac:dyDescent="0.35">
      <c r="B94" s="22"/>
      <c r="C94" s="36" t="s">
        <v>198</v>
      </c>
      <c r="D94" s="108">
        <f>(E92-D92)/D92</f>
        <v>-6.5606105858340938E-2</v>
      </c>
      <c r="E94" s="100"/>
      <c r="F94" s="36"/>
      <c r="G94" s="36"/>
      <c r="H94" s="36"/>
      <c r="I94" s="36"/>
      <c r="J94" s="62"/>
    </row>
    <row r="95" spans="2:10" ht="15" thickBot="1" x14ac:dyDescent="0.4">
      <c r="B95" s="76"/>
      <c r="C95" s="109"/>
      <c r="D95" s="109"/>
      <c r="E95" s="109"/>
      <c r="F95" s="77"/>
      <c r="G95" s="77"/>
      <c r="H95" s="77"/>
      <c r="I95" s="77"/>
      <c r="J95" s="79"/>
    </row>
    <row r="98" spans="3:5" x14ac:dyDescent="0.35">
      <c r="E98" s="110"/>
    </row>
    <row r="99" spans="3:5" s="111" customFormat="1" ht="6" customHeight="1" x14ac:dyDescent="0.35">
      <c r="D99" s="112"/>
      <c r="E99" s="112"/>
    </row>
    <row r="100" spans="3:5" s="113" customFormat="1" x14ac:dyDescent="0.35">
      <c r="D100" s="114"/>
      <c r="E100" s="114"/>
    </row>
    <row r="104" spans="3:5" x14ac:dyDescent="0.35">
      <c r="C104" s="89"/>
    </row>
  </sheetData>
  <mergeCells count="10">
    <mergeCell ref="B56:J56"/>
    <mergeCell ref="B61:J61"/>
    <mergeCell ref="B65:J65"/>
    <mergeCell ref="A1:U2"/>
    <mergeCell ref="B5:J5"/>
    <mergeCell ref="M5:U5"/>
    <mergeCell ref="B7:C7"/>
    <mergeCell ref="B13:C13"/>
    <mergeCell ref="B26:J26"/>
    <mergeCell ref="M26:U2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25FB-C834-4DCE-857E-7388EE4A1A2A}">
  <dimension ref="A1:W132"/>
  <sheetViews>
    <sheetView showGridLines="0" topLeftCell="C1" zoomScale="70" zoomScaleNormal="70" workbookViewId="0">
      <selection activeCell="O9" sqref="O9"/>
    </sheetView>
  </sheetViews>
  <sheetFormatPr defaultColWidth="9.1796875" defaultRowHeight="14.5" outlineLevelRow="1" x14ac:dyDescent="0.35"/>
  <cols>
    <col min="1" max="1" width="2.54296875" style="17" customWidth="1"/>
    <col min="2" max="2" width="9.1796875" style="17"/>
    <col min="3" max="3" width="44.7265625" style="17" customWidth="1"/>
    <col min="4" max="4" width="12" style="17" bestFit="1" customWidth="1"/>
    <col min="5" max="5" width="13.54296875" style="17" customWidth="1"/>
    <col min="6" max="6" width="28.1796875" style="17" customWidth="1"/>
    <col min="7" max="7" width="17.81640625" style="17" customWidth="1"/>
    <col min="8" max="9" width="9.1796875" style="17"/>
    <col min="10" max="10" width="22" style="17" customWidth="1"/>
    <col min="11" max="12" width="9.1796875" style="17"/>
    <col min="13" max="13" width="30.1796875" style="17" customWidth="1"/>
    <col min="14" max="14" width="17.81640625" style="17" customWidth="1"/>
    <col min="15" max="15" width="12.1796875" style="17" customWidth="1"/>
    <col min="16" max="16" width="9.1796875" style="17"/>
    <col min="17" max="17" width="27.1796875" style="17" customWidth="1"/>
    <col min="18" max="18" width="14.1796875" style="17" customWidth="1"/>
    <col min="19" max="16384" width="9.1796875" style="17"/>
  </cols>
  <sheetData>
    <row r="1" spans="1:21" ht="15" customHeight="1" x14ac:dyDescent="0.35">
      <c r="A1" s="16" t="s">
        <v>200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1:21" ht="15" thickBot="1" x14ac:dyDescent="0.4">
      <c r="B4" s="18"/>
    </row>
    <row r="5" spans="1:21" ht="15.5" x14ac:dyDescent="0.35">
      <c r="B5" s="56" t="s">
        <v>89</v>
      </c>
      <c r="C5" s="57"/>
      <c r="D5" s="57"/>
      <c r="E5" s="57"/>
      <c r="F5" s="57"/>
      <c r="G5" s="57"/>
      <c r="H5" s="57"/>
      <c r="I5" s="57"/>
      <c r="J5" s="58"/>
      <c r="M5" s="19" t="s">
        <v>90</v>
      </c>
      <c r="N5" s="20"/>
      <c r="O5" s="20"/>
      <c r="P5" s="20"/>
      <c r="Q5" s="20"/>
      <c r="R5" s="20"/>
      <c r="S5" s="20"/>
      <c r="T5" s="20"/>
      <c r="U5" s="21"/>
    </row>
    <row r="6" spans="1:21" x14ac:dyDescent="0.35">
      <c r="B6" s="22" t="s">
        <v>201</v>
      </c>
      <c r="C6" s="36"/>
      <c r="D6" s="24">
        <f>'[1]Final Perforated'!D6</f>
        <v>73</v>
      </c>
      <c r="E6" s="36"/>
      <c r="F6" s="36" t="s">
        <v>92</v>
      </c>
      <c r="G6" s="36"/>
      <c r="H6" s="24">
        <f>'[1]Final Perforated'!H6</f>
        <v>86</v>
      </c>
      <c r="I6" s="36"/>
      <c r="J6" s="62"/>
      <c r="M6" s="26" t="s">
        <v>202</v>
      </c>
      <c r="N6" s="23"/>
      <c r="O6" s="23"/>
      <c r="P6" s="23"/>
      <c r="Q6" s="27" t="s">
        <v>203</v>
      </c>
      <c r="R6" s="23"/>
      <c r="S6" s="23"/>
      <c r="T6" s="23"/>
      <c r="U6" s="25"/>
    </row>
    <row r="7" spans="1:21" ht="31.5" customHeight="1" x14ac:dyDescent="0.35">
      <c r="B7" s="28" t="s">
        <v>93</v>
      </c>
      <c r="C7" s="29"/>
      <c r="D7" s="30">
        <f>'[1]Final Perforated'!D7</f>
        <v>0</v>
      </c>
      <c r="E7" s="36"/>
      <c r="F7" s="36" t="s">
        <v>94</v>
      </c>
      <c r="G7" s="36"/>
      <c r="H7" s="24">
        <f>'[1]Final Perforated'!H7</f>
        <v>7135</v>
      </c>
      <c r="I7" s="36"/>
      <c r="J7" s="62"/>
      <c r="M7" s="31" t="s">
        <v>204</v>
      </c>
      <c r="N7" s="23"/>
      <c r="O7" s="116">
        <v>2</v>
      </c>
      <c r="P7" s="23"/>
      <c r="Q7" s="23" t="s">
        <v>205</v>
      </c>
      <c r="R7" s="23"/>
      <c r="S7" s="23"/>
      <c r="T7" s="23"/>
      <c r="U7" s="33">
        <v>10</v>
      </c>
    </row>
    <row r="8" spans="1:21" x14ac:dyDescent="0.35">
      <c r="B8" s="22" t="s">
        <v>96</v>
      </c>
      <c r="C8" s="36"/>
      <c r="D8" s="24">
        <v>7850</v>
      </c>
      <c r="E8" s="36"/>
      <c r="F8" s="36" t="s">
        <v>97</v>
      </c>
      <c r="G8" s="36"/>
      <c r="H8" s="24">
        <f>'[1]Final Perforated'!H8</f>
        <v>425.6</v>
      </c>
      <c r="I8" s="36"/>
      <c r="J8" s="117"/>
      <c r="M8" s="31" t="s">
        <v>95</v>
      </c>
      <c r="N8" s="23"/>
      <c r="O8" s="32">
        <v>600</v>
      </c>
      <c r="P8" s="23"/>
      <c r="Q8" s="23" t="s">
        <v>206</v>
      </c>
      <c r="R8" s="23"/>
      <c r="S8" s="23"/>
      <c r="T8" s="23"/>
      <c r="U8" s="33">
        <f>O8</f>
        <v>600</v>
      </c>
    </row>
    <row r="9" spans="1:21" x14ac:dyDescent="0.35">
      <c r="B9" s="22" t="s">
        <v>99</v>
      </c>
      <c r="C9" s="36"/>
      <c r="D9" s="35">
        <f>'[1]Final Perforated'!D9</f>
        <v>0</v>
      </c>
      <c r="E9" s="36"/>
      <c r="F9" s="36" t="s">
        <v>100</v>
      </c>
      <c r="G9" s="36"/>
      <c r="H9" s="35">
        <f>'[1]Final Perforated'!H9</f>
        <v>0</v>
      </c>
      <c r="I9" s="36"/>
      <c r="J9" s="62"/>
      <c r="M9" s="31" t="s">
        <v>98</v>
      </c>
      <c r="N9" s="23"/>
      <c r="O9" s="32">
        <v>100</v>
      </c>
      <c r="P9" s="23"/>
      <c r="Q9" s="23" t="s">
        <v>207</v>
      </c>
      <c r="R9" s="23"/>
      <c r="S9" s="23"/>
      <c r="T9" s="23"/>
      <c r="U9" s="33">
        <v>50</v>
      </c>
    </row>
    <row r="10" spans="1:21" x14ac:dyDescent="0.35">
      <c r="B10" s="22" t="s">
        <v>102</v>
      </c>
      <c r="C10" s="36"/>
      <c r="D10" s="37">
        <f>'[1]Final Perforated'!D10</f>
        <v>0</v>
      </c>
      <c r="E10" s="36"/>
      <c r="F10" s="36" t="s">
        <v>103</v>
      </c>
      <c r="G10" s="36"/>
      <c r="H10" s="38">
        <f>'[1]Final Perforated'!H10</f>
        <v>0.12</v>
      </c>
      <c r="I10" s="36"/>
      <c r="J10" s="62"/>
      <c r="M10" s="31" t="s">
        <v>101</v>
      </c>
      <c r="N10" s="23"/>
      <c r="O10" s="32">
        <v>2</v>
      </c>
      <c r="P10" s="23"/>
      <c r="Q10" s="23" t="s">
        <v>208</v>
      </c>
      <c r="R10" s="23"/>
      <c r="S10" s="23"/>
      <c r="T10" s="23"/>
      <c r="U10" s="33">
        <v>20</v>
      </c>
    </row>
    <row r="11" spans="1:21" x14ac:dyDescent="0.35">
      <c r="B11" s="22" t="s">
        <v>105</v>
      </c>
      <c r="C11" s="36"/>
      <c r="D11" s="38">
        <v>0.5</v>
      </c>
      <c r="E11" s="36"/>
      <c r="F11" s="36" t="s">
        <v>106</v>
      </c>
      <c r="G11" s="36"/>
      <c r="H11" s="38">
        <f>'[1]Final Perforated'!H11</f>
        <v>0.08</v>
      </c>
      <c r="I11" s="36"/>
      <c r="J11" s="117"/>
      <c r="M11" s="31" t="s">
        <v>104</v>
      </c>
      <c r="N11" s="23"/>
      <c r="O11" s="39">
        <v>25</v>
      </c>
      <c r="P11" s="23"/>
      <c r="Q11" s="23" t="s">
        <v>209</v>
      </c>
      <c r="R11" s="23"/>
      <c r="S11" s="23"/>
      <c r="T11" s="23"/>
      <c r="U11" s="33">
        <v>2</v>
      </c>
    </row>
    <row r="12" spans="1:21" x14ac:dyDescent="0.35">
      <c r="B12" s="22" t="s">
        <v>108</v>
      </c>
      <c r="C12" s="36"/>
      <c r="D12" s="30">
        <f>'[1]Final Perforated'!D12</f>
        <v>0</v>
      </c>
      <c r="E12" s="36"/>
      <c r="F12" s="36" t="s">
        <v>109</v>
      </c>
      <c r="G12" s="36"/>
      <c r="H12" s="38">
        <f>'[1]Final Perforated'!H12</f>
        <v>0.26</v>
      </c>
      <c r="I12" s="36"/>
      <c r="J12" s="62"/>
      <c r="M12" s="31" t="s">
        <v>107</v>
      </c>
      <c r="N12" s="23"/>
      <c r="O12" s="32">
        <v>2500</v>
      </c>
      <c r="P12" s="23"/>
      <c r="Q12" s="23" t="s">
        <v>210</v>
      </c>
      <c r="R12" s="23"/>
      <c r="S12" s="23"/>
      <c r="T12" s="23"/>
      <c r="U12" s="33">
        <v>1</v>
      </c>
    </row>
    <row r="13" spans="1:21" ht="32.25" customHeight="1" x14ac:dyDescent="0.35">
      <c r="B13" s="28" t="s">
        <v>111</v>
      </c>
      <c r="C13" s="29"/>
      <c r="D13" s="41">
        <f>'[1]Final Perforated'!D13</f>
        <v>0</v>
      </c>
      <c r="E13" s="36"/>
      <c r="F13" s="36" t="s">
        <v>112</v>
      </c>
      <c r="G13" s="36"/>
      <c r="H13" s="38">
        <f>'[1]Final Perforated'!H13</f>
        <v>0.52</v>
      </c>
      <c r="I13" s="36"/>
      <c r="J13" s="62"/>
      <c r="M13" s="31" t="s">
        <v>211</v>
      </c>
      <c r="N13" s="23"/>
      <c r="O13" s="39">
        <v>20</v>
      </c>
      <c r="P13" s="23"/>
      <c r="Q13" s="23" t="s">
        <v>212</v>
      </c>
      <c r="R13" s="23"/>
      <c r="S13" s="23"/>
      <c r="T13" s="23"/>
      <c r="U13" s="33">
        <v>25</v>
      </c>
    </row>
    <row r="14" spans="1:21" x14ac:dyDescent="0.35">
      <c r="B14" s="22" t="s">
        <v>114</v>
      </c>
      <c r="C14" s="36"/>
      <c r="D14" s="42">
        <f>'[1]Final Perforated'!D14</f>
        <v>0</v>
      </c>
      <c r="E14" s="36"/>
      <c r="F14" s="36" t="s">
        <v>115</v>
      </c>
      <c r="G14" s="36"/>
      <c r="H14" s="118">
        <f>'[1]Final Perforated'!H14</f>
        <v>0</v>
      </c>
      <c r="I14" s="36"/>
      <c r="J14" s="62"/>
      <c r="M14" s="31" t="s">
        <v>123</v>
      </c>
      <c r="N14" s="23"/>
      <c r="O14" s="39">
        <v>10</v>
      </c>
      <c r="P14" s="23"/>
      <c r="Q14" s="23" t="s">
        <v>213</v>
      </c>
      <c r="R14" s="23"/>
      <c r="S14" s="23"/>
      <c r="T14" s="23"/>
      <c r="U14" s="33">
        <v>10</v>
      </c>
    </row>
    <row r="15" spans="1:21" x14ac:dyDescent="0.35">
      <c r="B15" s="22" t="s">
        <v>214</v>
      </c>
      <c r="C15" s="36"/>
      <c r="D15" s="43">
        <f>'[1]Final Perforated'!D15</f>
        <v>2.5</v>
      </c>
      <c r="E15" s="36"/>
      <c r="F15" s="36"/>
      <c r="G15" s="36"/>
      <c r="H15" s="118"/>
      <c r="I15" s="36"/>
      <c r="J15" s="62"/>
      <c r="M15" s="48"/>
      <c r="N15" s="44"/>
      <c r="O15" s="119"/>
      <c r="P15" s="44"/>
      <c r="Q15" s="44"/>
      <c r="R15" s="44"/>
      <c r="S15" s="44"/>
      <c r="T15" s="44"/>
      <c r="U15" s="47"/>
    </row>
    <row r="16" spans="1:21" x14ac:dyDescent="0.35">
      <c r="B16" s="22" t="s">
        <v>119</v>
      </c>
      <c r="C16" s="36"/>
      <c r="D16" s="37">
        <f>'[1]Final Perforated'!D16</f>
        <v>0</v>
      </c>
      <c r="E16" s="36"/>
      <c r="F16" s="36"/>
      <c r="G16" s="36"/>
      <c r="H16" s="118"/>
      <c r="I16" s="36"/>
      <c r="J16" s="62"/>
      <c r="M16" s="48"/>
      <c r="N16" s="44"/>
      <c r="O16" s="119"/>
      <c r="P16" s="44"/>
      <c r="Q16" s="44"/>
      <c r="R16" s="44"/>
      <c r="S16" s="44"/>
      <c r="T16" s="44"/>
      <c r="U16" s="47"/>
    </row>
    <row r="17" spans="2:23" x14ac:dyDescent="0.35">
      <c r="B17" s="48" t="s">
        <v>215</v>
      </c>
      <c r="C17" s="36"/>
      <c r="D17" s="43">
        <f>'[1]Final Perforated'!D17</f>
        <v>7.8</v>
      </c>
      <c r="E17" s="36"/>
      <c r="F17" s="36"/>
      <c r="G17" s="36"/>
      <c r="H17" s="118"/>
      <c r="I17" s="36"/>
      <c r="J17" s="62"/>
      <c r="M17" s="48"/>
      <c r="N17" s="44"/>
      <c r="O17" s="119"/>
      <c r="P17" s="44"/>
      <c r="Q17" s="44"/>
      <c r="R17" s="44"/>
      <c r="S17" s="44"/>
      <c r="T17" s="44"/>
      <c r="U17" s="47"/>
    </row>
    <row r="18" spans="2:23" ht="15" thickBot="1" x14ac:dyDescent="0.4">
      <c r="B18" s="76"/>
      <c r="C18" s="77"/>
      <c r="D18" s="77"/>
      <c r="E18" s="77"/>
      <c r="F18" s="77"/>
      <c r="G18" s="77"/>
      <c r="H18" s="77"/>
      <c r="I18" s="77"/>
      <c r="J18" s="79"/>
      <c r="M18" s="51"/>
      <c r="N18" s="52"/>
      <c r="O18" s="52"/>
      <c r="P18" s="52"/>
      <c r="Q18" s="52"/>
      <c r="R18" s="52"/>
      <c r="S18" s="52"/>
      <c r="T18" s="52"/>
      <c r="U18" s="53"/>
    </row>
    <row r="20" spans="2:23" ht="16" thickBot="1" x14ac:dyDescent="0.4">
      <c r="B20" s="55" t="s">
        <v>128</v>
      </c>
    </row>
    <row r="21" spans="2:23" ht="15.5" outlineLevel="1" x14ac:dyDescent="0.35">
      <c r="B21" s="56" t="s">
        <v>129</v>
      </c>
      <c r="C21" s="57"/>
      <c r="D21" s="57"/>
      <c r="E21" s="57"/>
      <c r="F21" s="57"/>
      <c r="G21" s="57"/>
      <c r="H21" s="57"/>
      <c r="I21" s="57"/>
      <c r="J21" s="58"/>
      <c r="M21" s="56" t="s">
        <v>130</v>
      </c>
      <c r="N21" s="57"/>
      <c r="O21" s="57"/>
      <c r="P21" s="57"/>
      <c r="Q21" s="57"/>
      <c r="R21" s="57"/>
      <c r="S21" s="57"/>
      <c r="T21" s="57"/>
      <c r="U21" s="58"/>
    </row>
    <row r="22" spans="2:23" ht="15.5" outlineLevel="1" x14ac:dyDescent="0.35">
      <c r="B22" s="59" t="s">
        <v>216</v>
      </c>
      <c r="C22" s="60"/>
      <c r="D22" s="60"/>
      <c r="E22" s="60"/>
      <c r="F22" s="60" t="s">
        <v>217</v>
      </c>
      <c r="G22" s="60"/>
      <c r="H22" s="60"/>
      <c r="I22" s="60"/>
      <c r="J22" s="61"/>
      <c r="M22" s="22" t="s">
        <v>131</v>
      </c>
      <c r="N22" s="36"/>
      <c r="O22" s="36"/>
      <c r="P22" s="36"/>
      <c r="Q22" s="36"/>
      <c r="R22" s="36"/>
      <c r="S22" s="36"/>
      <c r="T22" s="36"/>
      <c r="U22" s="62"/>
    </row>
    <row r="23" spans="2:23" ht="15.5" outlineLevel="1" x14ac:dyDescent="0.35">
      <c r="B23" s="22" t="s">
        <v>218</v>
      </c>
      <c r="C23" s="36"/>
      <c r="D23" s="36">
        <f>O7</f>
        <v>2</v>
      </c>
      <c r="E23" s="36"/>
      <c r="F23" s="36" t="s">
        <v>219</v>
      </c>
      <c r="G23" s="36"/>
      <c r="H23" s="36"/>
      <c r="I23" s="36"/>
      <c r="J23" s="62">
        <f>U7</f>
        <v>10</v>
      </c>
      <c r="M23" s="59" t="s">
        <v>216</v>
      </c>
      <c r="N23" s="36"/>
      <c r="O23" s="36"/>
      <c r="P23" s="36"/>
      <c r="Q23" s="60" t="s">
        <v>217</v>
      </c>
      <c r="R23" s="36"/>
      <c r="S23" s="36"/>
      <c r="T23" s="36"/>
      <c r="U23" s="62"/>
    </row>
    <row r="24" spans="2:23" outlineLevel="1" x14ac:dyDescent="0.35">
      <c r="B24" s="22" t="s">
        <v>95</v>
      </c>
      <c r="C24" s="36"/>
      <c r="D24" s="36">
        <f t="shared" ref="D24:D28" si="0">O8</f>
        <v>600</v>
      </c>
      <c r="E24" s="36"/>
      <c r="F24" s="36" t="s">
        <v>206</v>
      </c>
      <c r="G24" s="36"/>
      <c r="H24" s="36"/>
      <c r="I24" s="36"/>
      <c r="J24" s="62">
        <f>U8</f>
        <v>600</v>
      </c>
      <c r="M24" s="22" t="s">
        <v>220</v>
      </c>
      <c r="N24" s="36"/>
      <c r="O24" s="36">
        <f>2*(2*(2*D27+D25)/1000*D28/1000)</f>
        <v>1.5</v>
      </c>
      <c r="P24" s="36"/>
      <c r="Q24" s="36" t="s">
        <v>221</v>
      </c>
      <c r="R24" s="36"/>
      <c r="S24" s="36"/>
      <c r="T24" s="66">
        <f>2*J24/1000*(J25+2*J26)/1000</f>
        <v>0.108</v>
      </c>
      <c r="U24" s="62"/>
    </row>
    <row r="25" spans="2:23" outlineLevel="1" x14ac:dyDescent="0.35">
      <c r="B25" s="22" t="s">
        <v>98</v>
      </c>
      <c r="C25" s="36"/>
      <c r="D25" s="36">
        <f t="shared" si="0"/>
        <v>100</v>
      </c>
      <c r="E25" s="36"/>
      <c r="F25" s="36" t="s">
        <v>207</v>
      </c>
      <c r="G25" s="36"/>
      <c r="H25" s="36"/>
      <c r="I25" s="36"/>
      <c r="J25" s="62">
        <f t="shared" ref="J25:J27" si="1">U9</f>
        <v>50</v>
      </c>
      <c r="M25" s="22" t="s">
        <v>222</v>
      </c>
      <c r="N25" s="36"/>
      <c r="O25" s="64">
        <f>D37*3.14*D38/1000*D26/1000*D28/125</f>
        <v>2.5119999999999996E-2</v>
      </c>
      <c r="P25" s="36"/>
      <c r="Q25" s="36" t="s">
        <v>223</v>
      </c>
      <c r="R25" s="36"/>
      <c r="S25" s="36"/>
      <c r="T25" s="36">
        <f>(2*(J38+J39)/1000*D26/1000)*D24/40</f>
        <v>2.1000000000000003E-3</v>
      </c>
      <c r="U25" s="62"/>
    </row>
    <row r="26" spans="2:23" outlineLevel="1" x14ac:dyDescent="0.35">
      <c r="B26" s="22" t="s">
        <v>101</v>
      </c>
      <c r="C26" s="36"/>
      <c r="D26" s="36">
        <f t="shared" si="0"/>
        <v>2</v>
      </c>
      <c r="E26" s="36"/>
      <c r="F26" s="36" t="s">
        <v>208</v>
      </c>
      <c r="G26" s="36"/>
      <c r="H26" s="36"/>
      <c r="I26" s="36"/>
      <c r="J26" s="62">
        <f t="shared" si="1"/>
        <v>20</v>
      </c>
      <c r="M26" s="22" t="s">
        <v>138</v>
      </c>
      <c r="N26" s="36"/>
      <c r="O26" s="64">
        <f>D37*3.14*(D38/2/1000)^2*D28/125</f>
        <v>3.1400000000000004E-2</v>
      </c>
      <c r="P26" s="36"/>
      <c r="Q26" s="36" t="s">
        <v>224</v>
      </c>
      <c r="R26" s="36"/>
      <c r="S26" s="36"/>
      <c r="T26" s="65">
        <f>J38/1000*J39/1000*D24/40</f>
        <v>3.7499999999999999E-3</v>
      </c>
      <c r="U26" s="62"/>
      <c r="W26" s="120"/>
    </row>
    <row r="27" spans="2:23" outlineLevel="1" x14ac:dyDescent="0.35">
      <c r="B27" s="22" t="s">
        <v>104</v>
      </c>
      <c r="C27" s="36"/>
      <c r="D27" s="36">
        <f t="shared" si="0"/>
        <v>25</v>
      </c>
      <c r="E27" s="36"/>
      <c r="F27" s="36" t="s">
        <v>209</v>
      </c>
      <c r="G27" s="36"/>
      <c r="H27" s="36"/>
      <c r="I27" s="36"/>
      <c r="J27" s="62">
        <f t="shared" si="1"/>
        <v>2</v>
      </c>
      <c r="M27" s="22"/>
      <c r="N27" s="36"/>
      <c r="O27" s="36"/>
      <c r="P27" s="36"/>
      <c r="Q27" s="36"/>
      <c r="R27" s="36"/>
      <c r="S27" s="36"/>
      <c r="T27" s="36"/>
      <c r="U27" s="62"/>
    </row>
    <row r="28" spans="2:23" outlineLevel="1" x14ac:dyDescent="0.35">
      <c r="B28" s="22" t="s">
        <v>107</v>
      </c>
      <c r="C28" s="36"/>
      <c r="D28" s="36">
        <f t="shared" si="0"/>
        <v>2500</v>
      </c>
      <c r="E28" s="36"/>
      <c r="F28" s="36"/>
      <c r="G28" s="36"/>
      <c r="H28" s="36"/>
      <c r="I28" s="36"/>
      <c r="J28" s="62"/>
      <c r="M28" s="22" t="s">
        <v>139</v>
      </c>
      <c r="N28" s="36"/>
      <c r="O28" s="64">
        <f>O24+O25-O26</f>
        <v>1.4937199999999999</v>
      </c>
      <c r="P28" s="36"/>
      <c r="Q28" s="36" t="s">
        <v>225</v>
      </c>
      <c r="R28" s="36"/>
      <c r="S28" s="36"/>
      <c r="T28" s="36">
        <f>(T24+T25-T26)*J23</f>
        <v>1.0634999999999999</v>
      </c>
      <c r="U28" s="62"/>
    </row>
    <row r="29" spans="2:23" outlineLevel="1" x14ac:dyDescent="0.35">
      <c r="B29" s="22"/>
      <c r="C29" s="36"/>
      <c r="D29" s="36"/>
      <c r="E29" s="36"/>
      <c r="F29" s="36" t="s">
        <v>226</v>
      </c>
      <c r="G29" s="36"/>
      <c r="H29" s="36"/>
      <c r="I29" s="36"/>
      <c r="J29" s="121">
        <f>(2*J26+J25)/1000*J24/1000*J27/1000</f>
        <v>1.08E-4</v>
      </c>
      <c r="M29" s="22"/>
      <c r="N29" s="36"/>
      <c r="O29" s="36"/>
      <c r="P29" s="36"/>
      <c r="Q29" s="36"/>
      <c r="R29" s="36"/>
      <c r="S29" s="36"/>
      <c r="T29" s="36"/>
      <c r="U29" s="62"/>
    </row>
    <row r="30" spans="2:23" outlineLevel="1" x14ac:dyDescent="0.35">
      <c r="B30" s="22"/>
      <c r="C30" s="36"/>
      <c r="D30" s="36"/>
      <c r="E30" s="36"/>
      <c r="F30" s="36" t="s">
        <v>227</v>
      </c>
      <c r="G30" s="36"/>
      <c r="H30" s="36"/>
      <c r="I30" s="36"/>
      <c r="J30" s="74">
        <f>J29*D8</f>
        <v>0.8478</v>
      </c>
      <c r="M30" s="22" t="s">
        <v>141</v>
      </c>
      <c r="N30" s="36"/>
      <c r="O30" s="64">
        <f>O28+T28</f>
        <v>2.55722</v>
      </c>
      <c r="P30" s="36"/>
      <c r="Q30" s="36"/>
      <c r="R30" s="36"/>
      <c r="S30" s="36"/>
      <c r="T30" s="36"/>
      <c r="U30" s="62"/>
    </row>
    <row r="31" spans="2:23" outlineLevel="1" x14ac:dyDescent="0.35">
      <c r="B31" s="22" t="s">
        <v>228</v>
      </c>
      <c r="C31" s="36"/>
      <c r="D31" s="36">
        <f>2*(D25+D27*2)/1000*D26/1000*D28/1000</f>
        <v>1.4999999999999998E-3</v>
      </c>
      <c r="E31" s="36"/>
      <c r="F31" s="36" t="s">
        <v>229</v>
      </c>
      <c r="G31" s="36"/>
      <c r="H31" s="36"/>
      <c r="I31" s="36"/>
      <c r="J31" s="74">
        <f>J30*(D6*(1+D7))</f>
        <v>61.889400000000002</v>
      </c>
      <c r="M31" s="22"/>
      <c r="N31" s="36"/>
      <c r="O31" s="36"/>
      <c r="P31" s="36"/>
      <c r="Q31" s="36"/>
      <c r="R31" s="36"/>
      <c r="S31" s="36"/>
      <c r="T31" s="36"/>
      <c r="U31" s="62"/>
    </row>
    <row r="32" spans="2:23" outlineLevel="1" x14ac:dyDescent="0.35">
      <c r="B32" s="22" t="s">
        <v>230</v>
      </c>
      <c r="C32" s="36"/>
      <c r="D32" s="36">
        <f>D31*D8</f>
        <v>11.774999999999999</v>
      </c>
      <c r="E32" s="36"/>
      <c r="F32" s="36" t="s">
        <v>231</v>
      </c>
      <c r="G32" s="36"/>
      <c r="H32" s="36"/>
      <c r="I32" s="36"/>
      <c r="J32" s="74">
        <f>J31*J23</f>
        <v>618.89400000000001</v>
      </c>
      <c r="M32" s="22" t="s">
        <v>144</v>
      </c>
      <c r="N32" s="36"/>
      <c r="O32" s="66">
        <f>O30*H6*10^-6*H7</f>
        <v>1.5691357641999999</v>
      </c>
      <c r="P32" s="36"/>
      <c r="Q32" s="36"/>
      <c r="R32" s="36"/>
      <c r="S32" s="36"/>
      <c r="T32" s="36"/>
      <c r="U32" s="62"/>
    </row>
    <row r="33" spans="2:21" outlineLevel="1" x14ac:dyDescent="0.35">
      <c r="B33" s="22" t="s">
        <v>232</v>
      </c>
      <c r="C33" s="36"/>
      <c r="D33" s="66">
        <f>D32*(D6*(1+D7))</f>
        <v>859.57499999999993</v>
      </c>
      <c r="E33" s="36"/>
      <c r="F33" s="36"/>
      <c r="G33" s="36"/>
      <c r="H33" s="36"/>
      <c r="I33" s="36"/>
      <c r="J33" s="62"/>
      <c r="M33" s="22" t="s">
        <v>100</v>
      </c>
      <c r="N33" s="36"/>
      <c r="O33" s="67">
        <f>H9</f>
        <v>0</v>
      </c>
      <c r="P33" s="36"/>
      <c r="Q33" s="36"/>
      <c r="R33" s="36"/>
      <c r="S33" s="36"/>
      <c r="T33" s="36"/>
      <c r="U33" s="62"/>
    </row>
    <row r="34" spans="2:21" outlineLevel="1" x14ac:dyDescent="0.35">
      <c r="B34" s="22"/>
      <c r="C34" s="36"/>
      <c r="D34" s="36"/>
      <c r="E34" s="36"/>
      <c r="F34" s="36"/>
      <c r="G34" s="36"/>
      <c r="H34" s="36"/>
      <c r="I34" s="36"/>
      <c r="J34" s="62"/>
      <c r="M34" s="22" t="s">
        <v>147</v>
      </c>
      <c r="N34" s="36"/>
      <c r="O34" s="66">
        <f>(1+O33)*O32</f>
        <v>1.5691357641999999</v>
      </c>
      <c r="P34" s="36"/>
      <c r="Q34" s="36"/>
      <c r="R34" s="36"/>
      <c r="S34" s="36"/>
      <c r="T34" s="36"/>
      <c r="U34" s="62"/>
    </row>
    <row r="35" spans="2:21" outlineLevel="1" x14ac:dyDescent="0.35">
      <c r="B35" s="68" t="s">
        <v>233</v>
      </c>
      <c r="C35" s="36"/>
      <c r="D35" s="36"/>
      <c r="E35" s="36"/>
      <c r="F35" s="36"/>
      <c r="G35" s="36"/>
      <c r="H35" s="36"/>
      <c r="I35" s="36"/>
      <c r="J35" s="62"/>
      <c r="M35" s="22" t="s">
        <v>148</v>
      </c>
      <c r="N35" s="36"/>
      <c r="O35" s="70">
        <f>O34*H8</f>
        <v>667.82418124352</v>
      </c>
      <c r="P35" s="36"/>
      <c r="Q35" s="36"/>
      <c r="R35" s="36"/>
      <c r="S35" s="36"/>
      <c r="T35" s="36"/>
      <c r="U35" s="62"/>
    </row>
    <row r="36" spans="2:21" ht="15.5" outlineLevel="1" x14ac:dyDescent="0.35">
      <c r="B36" s="59" t="s">
        <v>216</v>
      </c>
      <c r="C36" s="36"/>
      <c r="D36" s="36"/>
      <c r="E36" s="36"/>
      <c r="F36" s="60" t="s">
        <v>217</v>
      </c>
      <c r="G36" s="36"/>
      <c r="H36" s="36"/>
      <c r="I36" s="36"/>
      <c r="J36" s="62"/>
      <c r="M36" s="22"/>
      <c r="N36" s="36"/>
      <c r="O36" s="36"/>
      <c r="P36" s="36"/>
      <c r="Q36" s="36"/>
      <c r="R36" s="36"/>
      <c r="S36" s="36"/>
      <c r="T36" s="36"/>
      <c r="U36" s="62"/>
    </row>
    <row r="37" spans="2:21" outlineLevel="1" x14ac:dyDescent="0.35">
      <c r="B37" s="22" t="s">
        <v>211</v>
      </c>
      <c r="C37" s="36"/>
      <c r="D37" s="36">
        <f>O13</f>
        <v>20</v>
      </c>
      <c r="E37" s="36"/>
      <c r="F37" s="36" t="s">
        <v>210</v>
      </c>
      <c r="G37" s="36"/>
      <c r="H37" s="36"/>
      <c r="I37" s="36"/>
      <c r="J37" s="62">
        <f>U12</f>
        <v>1</v>
      </c>
      <c r="M37" s="22" t="s">
        <v>152</v>
      </c>
      <c r="N37" s="36"/>
      <c r="O37" s="66">
        <f>H10*O32</f>
        <v>0.18829629170399997</v>
      </c>
      <c r="P37" s="36"/>
      <c r="Q37" s="36" t="s">
        <v>153</v>
      </c>
      <c r="R37" s="36"/>
      <c r="S37" s="36"/>
      <c r="T37" s="36">
        <f>H12*$H$8</f>
        <v>110.65600000000001</v>
      </c>
      <c r="U37" s="62"/>
    </row>
    <row r="38" spans="2:21" outlineLevel="1" x14ac:dyDescent="0.35">
      <c r="B38" s="22" t="s">
        <v>123</v>
      </c>
      <c r="C38" s="36"/>
      <c r="D38" s="36">
        <f>O14</f>
        <v>10</v>
      </c>
      <c r="E38" s="36"/>
      <c r="F38" s="36" t="s">
        <v>212</v>
      </c>
      <c r="G38" s="36"/>
      <c r="H38" s="36"/>
      <c r="I38" s="36"/>
      <c r="J38" s="62">
        <f>U13</f>
        <v>25</v>
      </c>
      <c r="M38" s="22" t="s">
        <v>156</v>
      </c>
      <c r="N38" s="36"/>
      <c r="O38" s="66">
        <f>H11*O32</f>
        <v>0.12553086113599998</v>
      </c>
      <c r="P38" s="36"/>
      <c r="Q38" s="36" t="s">
        <v>157</v>
      </c>
      <c r="R38" s="36"/>
      <c r="S38" s="36"/>
      <c r="T38" s="36">
        <f>H13*$H$8</f>
        <v>221.31200000000001</v>
      </c>
      <c r="U38" s="62"/>
    </row>
    <row r="39" spans="2:21" outlineLevel="1" x14ac:dyDescent="0.35">
      <c r="B39" s="22" t="s">
        <v>155</v>
      </c>
      <c r="C39" s="36"/>
      <c r="D39" s="71">
        <f>2*D37*3.14*(D38/2/1000)^2*D26/1000</f>
        <v>6.2800000000000009E-6</v>
      </c>
      <c r="E39" s="36"/>
      <c r="F39" s="36" t="s">
        <v>213</v>
      </c>
      <c r="G39" s="36"/>
      <c r="H39" s="36"/>
      <c r="I39" s="36"/>
      <c r="J39" s="62">
        <f>U14</f>
        <v>10</v>
      </c>
      <c r="M39" s="22" t="s">
        <v>160</v>
      </c>
      <c r="N39" s="36"/>
      <c r="O39" s="66">
        <f>O37*T37+O38*T38</f>
        <v>48.617600394528253</v>
      </c>
      <c r="P39" s="36"/>
      <c r="Q39" s="36"/>
      <c r="R39" s="36"/>
      <c r="S39" s="36"/>
      <c r="T39" s="36"/>
      <c r="U39" s="62"/>
    </row>
    <row r="40" spans="2:21" outlineLevel="1" x14ac:dyDescent="0.35">
      <c r="B40" s="22"/>
      <c r="C40" s="36"/>
      <c r="D40" s="71"/>
      <c r="E40" s="36"/>
      <c r="F40" s="36" t="s">
        <v>234</v>
      </c>
      <c r="G40" s="36"/>
      <c r="H40" s="36"/>
      <c r="I40" s="36"/>
      <c r="J40" s="62">
        <f>J38/1000*J39/1000*J27/1000</f>
        <v>4.9999999999999998E-7</v>
      </c>
      <c r="M40" s="22"/>
      <c r="N40" s="36"/>
      <c r="O40" s="36"/>
      <c r="P40" s="36"/>
      <c r="Q40" s="36"/>
      <c r="R40" s="36"/>
      <c r="S40" s="36"/>
      <c r="T40" s="36"/>
      <c r="U40" s="62"/>
    </row>
    <row r="41" spans="2:21" outlineLevel="1" x14ac:dyDescent="0.35">
      <c r="B41" s="22" t="s">
        <v>235</v>
      </c>
      <c r="C41" s="36"/>
      <c r="D41" s="66">
        <f>D39*D8</f>
        <v>4.9298000000000008E-2</v>
      </c>
      <c r="E41" s="36"/>
      <c r="F41" s="36" t="s">
        <v>236</v>
      </c>
      <c r="G41" s="36"/>
      <c r="H41" s="36"/>
      <c r="I41" s="36"/>
      <c r="J41" s="62">
        <f>D24/40*J40</f>
        <v>7.4999999999999993E-6</v>
      </c>
      <c r="M41" s="22" t="s">
        <v>164</v>
      </c>
      <c r="N41" s="36"/>
      <c r="O41" s="66">
        <f>O35-O39</f>
        <v>619.20658084899173</v>
      </c>
      <c r="P41" s="36"/>
      <c r="Q41" s="36"/>
      <c r="R41" s="36"/>
      <c r="S41" s="36"/>
      <c r="T41" s="36"/>
      <c r="U41" s="62"/>
    </row>
    <row r="42" spans="2:21" outlineLevel="1" x14ac:dyDescent="0.35">
      <c r="B42" s="22" t="s">
        <v>161</v>
      </c>
      <c r="C42" s="36"/>
      <c r="D42" s="66">
        <f>D41*D6</f>
        <v>3.5987540000000005</v>
      </c>
      <c r="E42" s="36"/>
      <c r="F42" s="36" t="s">
        <v>237</v>
      </c>
      <c r="G42" s="36"/>
      <c r="H42" s="36"/>
      <c r="I42" s="36"/>
      <c r="J42" s="62">
        <f>J41*D8</f>
        <v>5.8874999999999997E-2</v>
      </c>
      <c r="M42" s="22"/>
      <c r="N42" s="36"/>
      <c r="O42" s="36"/>
      <c r="P42" s="36"/>
      <c r="Q42" s="36"/>
      <c r="R42" s="36"/>
      <c r="S42" s="36"/>
      <c r="T42" s="36"/>
      <c r="U42" s="62"/>
    </row>
    <row r="43" spans="2:21" outlineLevel="1" x14ac:dyDescent="0.35">
      <c r="B43" s="22" t="s">
        <v>163</v>
      </c>
      <c r="C43" s="36"/>
      <c r="D43" s="67">
        <f>D11</f>
        <v>0.5</v>
      </c>
      <c r="E43" s="36"/>
      <c r="F43" s="36" t="s">
        <v>238</v>
      </c>
      <c r="G43" s="36"/>
      <c r="H43" s="36"/>
      <c r="I43" s="36"/>
      <c r="J43" s="62">
        <f>J42*J23</f>
        <v>0.58875</v>
      </c>
      <c r="M43" s="22"/>
      <c r="N43" s="36"/>
      <c r="O43" s="36"/>
      <c r="P43" s="36"/>
      <c r="Q43" s="36"/>
      <c r="R43" s="36"/>
      <c r="S43" s="36"/>
      <c r="T43" s="36"/>
      <c r="U43" s="62"/>
    </row>
    <row r="44" spans="2:21" outlineLevel="1" x14ac:dyDescent="0.35">
      <c r="B44" s="22" t="s">
        <v>166</v>
      </c>
      <c r="C44" s="36"/>
      <c r="D44" s="66">
        <f>D42*D43</f>
        <v>1.7993770000000002</v>
      </c>
      <c r="E44" s="36"/>
      <c r="F44" s="36" t="s">
        <v>161</v>
      </c>
      <c r="G44" s="36"/>
      <c r="H44" s="36"/>
      <c r="I44" s="36"/>
      <c r="J44" s="74">
        <f>J43*D6</f>
        <v>42.978749999999998</v>
      </c>
      <c r="M44" s="22"/>
      <c r="N44" s="36"/>
      <c r="O44" s="36"/>
      <c r="P44" s="36"/>
      <c r="Q44" s="36"/>
      <c r="R44" s="36"/>
      <c r="S44" s="36"/>
      <c r="T44" s="36"/>
      <c r="U44" s="62"/>
    </row>
    <row r="45" spans="2:21" outlineLevel="1" x14ac:dyDescent="0.35">
      <c r="B45" s="22"/>
      <c r="C45" s="36"/>
      <c r="D45" s="36"/>
      <c r="E45" s="36"/>
      <c r="F45" s="36" t="s">
        <v>166</v>
      </c>
      <c r="G45" s="36"/>
      <c r="H45" s="36"/>
      <c r="I45" s="36"/>
      <c r="J45" s="74">
        <f>J44*D43</f>
        <v>21.489374999999999</v>
      </c>
      <c r="M45" s="22"/>
      <c r="N45" s="36"/>
      <c r="O45" s="36"/>
      <c r="P45" s="36"/>
      <c r="Q45" s="36"/>
      <c r="R45" s="36"/>
      <c r="S45" s="36"/>
      <c r="T45" s="36"/>
      <c r="U45" s="62"/>
    </row>
    <row r="46" spans="2:21" outlineLevel="1" x14ac:dyDescent="0.35">
      <c r="B46" s="22"/>
      <c r="C46" s="36"/>
      <c r="D46" s="36"/>
      <c r="E46" s="36"/>
      <c r="F46" s="36"/>
      <c r="G46" s="36"/>
      <c r="H46" s="36"/>
      <c r="I46" s="36"/>
      <c r="J46" s="62"/>
      <c r="M46" s="22"/>
      <c r="N46" s="36"/>
      <c r="O46" s="36"/>
      <c r="P46" s="36"/>
      <c r="Q46" s="36"/>
      <c r="R46" s="36"/>
      <c r="S46" s="36"/>
      <c r="T46" s="36"/>
      <c r="U46" s="62"/>
    </row>
    <row r="47" spans="2:21" outlineLevel="1" x14ac:dyDescent="0.35">
      <c r="B47" s="22" t="s">
        <v>239</v>
      </c>
      <c r="C47" s="36"/>
      <c r="D47" s="66">
        <f>D33-D44</f>
        <v>857.77562299999988</v>
      </c>
      <c r="E47" s="36"/>
      <c r="F47" s="36" t="s">
        <v>240</v>
      </c>
      <c r="G47" s="36"/>
      <c r="H47" s="36"/>
      <c r="I47" s="36"/>
      <c r="J47" s="74">
        <f>J32-J45</f>
        <v>597.40462500000001</v>
      </c>
      <c r="M47" s="22"/>
      <c r="N47" s="36"/>
      <c r="O47" s="36"/>
      <c r="P47" s="36"/>
      <c r="Q47" s="36"/>
      <c r="R47" s="36"/>
      <c r="S47" s="36"/>
      <c r="T47" s="36"/>
      <c r="U47" s="62"/>
    </row>
    <row r="48" spans="2:21" outlineLevel="1" x14ac:dyDescent="0.35">
      <c r="B48" s="22"/>
      <c r="C48" s="36"/>
      <c r="D48" s="36"/>
      <c r="E48" s="36"/>
      <c r="F48" s="36"/>
      <c r="G48" s="36"/>
      <c r="H48" s="36"/>
      <c r="I48" s="36"/>
      <c r="J48" s="62"/>
      <c r="M48" s="22"/>
      <c r="N48" s="36"/>
      <c r="O48" s="36"/>
      <c r="P48" s="36"/>
      <c r="Q48" s="36"/>
      <c r="R48" s="36"/>
      <c r="S48" s="36"/>
      <c r="T48" s="36"/>
      <c r="U48" s="62"/>
    </row>
    <row r="49" spans="2:21" outlineLevel="1" x14ac:dyDescent="0.35">
      <c r="B49" s="22" t="s">
        <v>168</v>
      </c>
      <c r="C49" s="36"/>
      <c r="D49" s="66">
        <f>D47+J47</f>
        <v>1455.1802479999999</v>
      </c>
      <c r="E49" s="36"/>
      <c r="F49" s="36"/>
      <c r="G49" s="36"/>
      <c r="H49" s="36"/>
      <c r="I49" s="36"/>
      <c r="J49" s="62"/>
      <c r="M49" s="22"/>
      <c r="N49" s="36"/>
      <c r="O49" s="36"/>
      <c r="P49" s="36"/>
      <c r="Q49" s="36"/>
      <c r="R49" s="36"/>
      <c r="S49" s="36"/>
      <c r="T49" s="36"/>
      <c r="U49" s="62"/>
    </row>
    <row r="50" spans="2:21" outlineLevel="1" x14ac:dyDescent="0.35">
      <c r="B50" s="22" t="s">
        <v>108</v>
      </c>
      <c r="C50" s="36"/>
      <c r="D50" s="122">
        <f>D12</f>
        <v>0</v>
      </c>
      <c r="E50" s="36"/>
      <c r="F50" s="36"/>
      <c r="G50" s="36"/>
      <c r="H50" s="36"/>
      <c r="I50" s="36"/>
      <c r="J50" s="62"/>
      <c r="M50" s="22"/>
      <c r="N50" s="36"/>
      <c r="O50" s="36"/>
      <c r="P50" s="36"/>
      <c r="Q50" s="36"/>
      <c r="R50" s="36"/>
      <c r="S50" s="36"/>
      <c r="T50" s="36"/>
      <c r="U50" s="62"/>
    </row>
    <row r="51" spans="2:21" outlineLevel="1" x14ac:dyDescent="0.35">
      <c r="B51" s="22" t="s">
        <v>169</v>
      </c>
      <c r="C51" s="36"/>
      <c r="D51" s="70">
        <f>(1+D50)*D49</f>
        <v>1455.1802479999999</v>
      </c>
      <c r="E51" s="36"/>
      <c r="F51" s="36"/>
      <c r="G51" s="36"/>
      <c r="H51" s="36"/>
      <c r="I51" s="36"/>
      <c r="J51" s="62"/>
      <c r="M51" s="22"/>
      <c r="N51" s="36"/>
      <c r="O51" s="36"/>
      <c r="P51" s="36"/>
      <c r="Q51" s="36"/>
      <c r="R51" s="36"/>
      <c r="S51" s="36"/>
      <c r="T51" s="36"/>
      <c r="U51" s="62"/>
    </row>
    <row r="52" spans="2:21" ht="15" outlineLevel="1" thickBot="1" x14ac:dyDescent="0.4">
      <c r="B52" s="76"/>
      <c r="C52" s="77"/>
      <c r="D52" s="78"/>
      <c r="E52" s="77"/>
      <c r="F52" s="77"/>
      <c r="G52" s="77"/>
      <c r="H52" s="77"/>
      <c r="I52" s="77"/>
      <c r="J52" s="79"/>
      <c r="M52" s="76"/>
      <c r="N52" s="77"/>
      <c r="O52" s="77"/>
      <c r="P52" s="77"/>
      <c r="Q52" s="77"/>
      <c r="R52" s="77"/>
      <c r="S52" s="77"/>
      <c r="T52" s="77"/>
      <c r="U52" s="79"/>
    </row>
    <row r="54" spans="2:21" ht="15.5" hidden="1" x14ac:dyDescent="0.35">
      <c r="B54" s="56" t="s">
        <v>170</v>
      </c>
      <c r="C54" s="57"/>
      <c r="D54" s="57"/>
      <c r="E54" s="57"/>
      <c r="F54" s="57"/>
      <c r="G54" s="57"/>
      <c r="H54" s="57"/>
      <c r="I54" s="57"/>
      <c r="J54" s="58"/>
      <c r="M54" s="56" t="s">
        <v>241</v>
      </c>
      <c r="N54" s="57"/>
      <c r="O54" s="57"/>
      <c r="P54" s="57"/>
      <c r="Q54" s="57"/>
      <c r="R54" s="57"/>
      <c r="S54" s="57"/>
      <c r="T54" s="57"/>
      <c r="U54" s="58"/>
    </row>
    <row r="55" spans="2:21" hidden="1" x14ac:dyDescent="0.35">
      <c r="B55" s="22" t="s">
        <v>171</v>
      </c>
      <c r="C55" s="36"/>
      <c r="D55" s="66">
        <f>(D33+J32)*D9</f>
        <v>0</v>
      </c>
      <c r="E55" s="36"/>
      <c r="F55" s="36"/>
      <c r="G55" s="36"/>
      <c r="H55" s="36"/>
      <c r="I55" s="36"/>
      <c r="J55" s="62"/>
      <c r="M55" s="22" t="s">
        <v>242</v>
      </c>
      <c r="N55" s="66">
        <f>O35*H14</f>
        <v>0</v>
      </c>
      <c r="O55" s="36"/>
      <c r="P55" s="36"/>
      <c r="Q55" s="36"/>
      <c r="R55" s="36"/>
      <c r="S55" s="36"/>
      <c r="T55" s="36"/>
      <c r="U55" s="62"/>
    </row>
    <row r="56" spans="2:21" hidden="1" x14ac:dyDescent="0.35">
      <c r="B56" s="80" t="s">
        <v>172</v>
      </c>
      <c r="C56" s="81"/>
      <c r="D56" s="82">
        <f>(D33+J32)*D10</f>
        <v>0</v>
      </c>
      <c r="E56" s="81"/>
      <c r="F56" s="81"/>
      <c r="G56" s="81"/>
      <c r="H56" s="81"/>
      <c r="I56" s="81"/>
      <c r="J56" s="83"/>
      <c r="M56" s="80"/>
      <c r="N56" s="82"/>
      <c r="O56" s="81"/>
      <c r="P56" s="81"/>
      <c r="Q56" s="81"/>
      <c r="R56" s="81"/>
      <c r="S56" s="81"/>
      <c r="T56" s="81"/>
      <c r="U56" s="83"/>
    </row>
    <row r="57" spans="2:21" hidden="1" x14ac:dyDescent="0.35">
      <c r="B57" s="80"/>
      <c r="C57" s="81"/>
      <c r="D57" s="82"/>
      <c r="E57" s="81"/>
      <c r="F57" s="81"/>
      <c r="G57" s="81"/>
      <c r="H57" s="81"/>
      <c r="I57" s="81"/>
      <c r="J57" s="83"/>
      <c r="M57" s="80"/>
      <c r="N57" s="82"/>
      <c r="O57" s="81"/>
      <c r="P57" s="81"/>
      <c r="Q57" s="81"/>
      <c r="R57" s="81"/>
      <c r="S57" s="81"/>
      <c r="T57" s="81"/>
      <c r="U57" s="83"/>
    </row>
    <row r="58" spans="2:21" ht="15" hidden="1" thickBot="1" x14ac:dyDescent="0.4">
      <c r="B58" s="76"/>
      <c r="C58" s="77"/>
      <c r="D58" s="77"/>
      <c r="E58" s="77"/>
      <c r="F58" s="77"/>
      <c r="G58" s="77"/>
      <c r="H58" s="77"/>
      <c r="I58" s="77"/>
      <c r="J58" s="79"/>
      <c r="M58" s="76"/>
      <c r="N58" s="77"/>
      <c r="O58" s="77"/>
      <c r="P58" s="77"/>
      <c r="Q58" s="77"/>
      <c r="R58" s="77"/>
      <c r="S58" s="77"/>
      <c r="T58" s="77"/>
      <c r="U58" s="79"/>
    </row>
    <row r="59" spans="2:21" hidden="1" x14ac:dyDescent="0.35"/>
    <row r="60" spans="2:21" hidden="1" x14ac:dyDescent="0.35"/>
    <row r="61" spans="2:21" ht="15.5" hidden="1" x14ac:dyDescent="0.35">
      <c r="B61" s="56" t="s">
        <v>243</v>
      </c>
      <c r="C61" s="57"/>
      <c r="D61" s="57"/>
      <c r="E61" s="57"/>
      <c r="F61" s="57"/>
      <c r="G61" s="57"/>
      <c r="H61" s="57"/>
      <c r="I61" s="57"/>
      <c r="J61" s="58"/>
    </row>
    <row r="62" spans="2:21" hidden="1" x14ac:dyDescent="0.35">
      <c r="B62" s="22"/>
      <c r="C62" s="36"/>
      <c r="D62" s="36"/>
      <c r="E62" s="36"/>
      <c r="F62" s="36"/>
      <c r="G62" s="36"/>
      <c r="H62" s="36"/>
      <c r="I62" s="36"/>
      <c r="J62" s="62"/>
    </row>
    <row r="63" spans="2:21" hidden="1" x14ac:dyDescent="0.35">
      <c r="B63" s="22" t="s">
        <v>176</v>
      </c>
      <c r="C63" s="36"/>
      <c r="D63" s="90">
        <f>D51</f>
        <v>1455.1802479999999</v>
      </c>
      <c r="E63" s="36"/>
      <c r="F63" s="36"/>
      <c r="G63" s="36"/>
      <c r="H63" s="36"/>
      <c r="I63" s="36"/>
      <c r="J63" s="62"/>
    </row>
    <row r="64" spans="2:21" hidden="1" x14ac:dyDescent="0.35">
      <c r="B64" s="22" t="s">
        <v>177</v>
      </c>
      <c r="C64" s="36"/>
      <c r="D64" s="90">
        <f>O41</f>
        <v>619.20658084899173</v>
      </c>
      <c r="E64" s="36"/>
      <c r="F64" s="36"/>
      <c r="G64" s="36"/>
      <c r="H64" s="36"/>
      <c r="I64" s="36"/>
      <c r="J64" s="62"/>
    </row>
    <row r="65" spans="2:11" hidden="1" x14ac:dyDescent="0.35">
      <c r="B65" s="22" t="s">
        <v>178</v>
      </c>
      <c r="C65" s="36"/>
      <c r="D65" s="90">
        <f>D55</f>
        <v>0</v>
      </c>
      <c r="E65" s="36"/>
      <c r="F65" s="36"/>
      <c r="G65" s="36"/>
      <c r="H65" s="36"/>
      <c r="I65" s="36"/>
      <c r="J65" s="62"/>
    </row>
    <row r="66" spans="2:11" hidden="1" x14ac:dyDescent="0.35">
      <c r="B66" s="22" t="s">
        <v>179</v>
      </c>
      <c r="C66" s="36"/>
      <c r="D66" s="90">
        <f>N55</f>
        <v>0</v>
      </c>
      <c r="E66" s="36"/>
      <c r="F66" s="36"/>
      <c r="G66" s="36"/>
      <c r="H66" s="36"/>
      <c r="I66" s="36"/>
      <c r="J66" s="62"/>
    </row>
    <row r="67" spans="2:11" hidden="1" x14ac:dyDescent="0.35">
      <c r="B67" s="80" t="s">
        <v>172</v>
      </c>
      <c r="C67" s="36"/>
      <c r="D67" s="90">
        <f>D56</f>
        <v>0</v>
      </c>
      <c r="E67" s="36"/>
      <c r="F67" s="36"/>
      <c r="G67" s="36"/>
      <c r="H67" s="36"/>
      <c r="I67" s="36"/>
      <c r="J67" s="62"/>
    </row>
    <row r="68" spans="2:11" hidden="1" x14ac:dyDescent="0.35">
      <c r="B68" s="22" t="s">
        <v>180</v>
      </c>
      <c r="C68" s="36"/>
      <c r="D68" s="90">
        <f>SUM(D63:D67)*D14</f>
        <v>0</v>
      </c>
      <c r="E68" s="36"/>
      <c r="F68" s="36"/>
      <c r="G68" s="36"/>
      <c r="H68" s="36"/>
      <c r="I68" s="36"/>
      <c r="J68" s="62"/>
    </row>
    <row r="69" spans="2:11" hidden="1" x14ac:dyDescent="0.35">
      <c r="B69" s="22" t="s">
        <v>244</v>
      </c>
      <c r="C69" s="36"/>
      <c r="D69" s="90">
        <f>SUM(D63:D68)*D15</f>
        <v>5185.9670721224793</v>
      </c>
      <c r="E69" s="36"/>
      <c r="F69" s="36"/>
      <c r="G69" s="36"/>
      <c r="H69" s="36"/>
      <c r="I69" s="36"/>
      <c r="J69" s="62"/>
    </row>
    <row r="70" spans="2:11" hidden="1" x14ac:dyDescent="0.35">
      <c r="B70" s="22" t="s">
        <v>182</v>
      </c>
      <c r="C70" s="36"/>
      <c r="D70" s="90">
        <f>SUM(D63:D69)*D16</f>
        <v>0</v>
      </c>
      <c r="E70" s="36"/>
      <c r="F70" s="36"/>
      <c r="G70" s="36"/>
      <c r="H70" s="36"/>
      <c r="I70" s="36"/>
      <c r="J70" s="62"/>
    </row>
    <row r="71" spans="2:11" hidden="1" x14ac:dyDescent="0.35">
      <c r="B71" s="22" t="s">
        <v>183</v>
      </c>
      <c r="C71" s="36"/>
      <c r="D71" s="90">
        <f>(D32+J30*J23-D41-J43)*D13</f>
        <v>0</v>
      </c>
      <c r="E71" s="36"/>
      <c r="F71" s="36"/>
      <c r="G71" s="36"/>
      <c r="H71" s="36"/>
      <c r="I71" s="36"/>
      <c r="J71" s="62"/>
      <c r="K71" s="123"/>
    </row>
    <row r="72" spans="2:11" ht="18.5" hidden="1" x14ac:dyDescent="0.35">
      <c r="B72" s="91" t="s">
        <v>245</v>
      </c>
      <c r="C72" s="92"/>
      <c r="D72" s="93">
        <f>SUM(D63:D71)</f>
        <v>7260.3539009714714</v>
      </c>
      <c r="E72" s="92"/>
      <c r="F72" s="92"/>
      <c r="G72" s="92"/>
      <c r="H72" s="92"/>
      <c r="I72" s="92"/>
      <c r="J72" s="94"/>
      <c r="K72" s="120"/>
    </row>
    <row r="73" spans="2:11" ht="19" hidden="1" thickBot="1" x14ac:dyDescent="0.4">
      <c r="B73" s="95" t="s">
        <v>246</v>
      </c>
      <c r="C73" s="96"/>
      <c r="D73" s="97">
        <f>SUM(D63:D70)</f>
        <v>7260.3539009714714</v>
      </c>
      <c r="E73" s="96"/>
      <c r="F73" s="96"/>
      <c r="G73" s="96"/>
      <c r="H73" s="96"/>
      <c r="I73" s="96"/>
      <c r="J73" s="98"/>
    </row>
    <row r="74" spans="2:11" hidden="1" x14ac:dyDescent="0.35"/>
    <row r="75" spans="2:11" hidden="1" x14ac:dyDescent="0.35"/>
    <row r="76" spans="2:11" hidden="1" x14ac:dyDescent="0.35">
      <c r="D76" s="124"/>
    </row>
    <row r="77" spans="2:11" hidden="1" x14ac:dyDescent="0.35"/>
    <row r="78" spans="2:11" ht="15" thickBot="1" x14ac:dyDescent="0.4"/>
    <row r="79" spans="2:11" ht="15.5" x14ac:dyDescent="0.35">
      <c r="B79" s="84" t="s">
        <v>173</v>
      </c>
      <c r="C79" s="85" t="s">
        <v>174</v>
      </c>
      <c r="D79" s="85"/>
      <c r="E79" s="85"/>
      <c r="F79" s="85"/>
      <c r="G79" s="85"/>
      <c r="H79" s="85"/>
      <c r="I79" s="85"/>
      <c r="J79" s="86"/>
    </row>
    <row r="80" spans="2:11" x14ac:dyDescent="0.35">
      <c r="B80" s="87"/>
      <c r="J80" s="88"/>
    </row>
    <row r="81" spans="2:10" x14ac:dyDescent="0.35">
      <c r="B81" s="87"/>
      <c r="C81" s="89" t="s">
        <v>247</v>
      </c>
      <c r="J81" s="88"/>
    </row>
    <row r="82" spans="2:10" x14ac:dyDescent="0.35">
      <c r="B82" s="87"/>
      <c r="J82" s="88"/>
    </row>
    <row r="83" spans="2:10" ht="15.65" hidden="1" customHeight="1" x14ac:dyDescent="0.35">
      <c r="B83" s="56" t="s">
        <v>175</v>
      </c>
      <c r="C83" s="57"/>
      <c r="D83" s="57"/>
      <c r="E83" s="57"/>
      <c r="F83" s="57"/>
      <c r="G83" s="57"/>
      <c r="H83" s="57"/>
      <c r="I83" s="57"/>
      <c r="J83" s="58"/>
    </row>
    <row r="84" spans="2:10" ht="14.5" hidden="1" customHeight="1" x14ac:dyDescent="0.35">
      <c r="B84" s="22"/>
      <c r="C84" s="36"/>
      <c r="D84" s="36"/>
      <c r="E84" s="36"/>
      <c r="F84" s="36"/>
      <c r="G84" s="36"/>
      <c r="H84" s="36"/>
      <c r="I84" s="36"/>
      <c r="J84" s="62"/>
    </row>
    <row r="85" spans="2:10" ht="14.5" hidden="1" customHeight="1" x14ac:dyDescent="0.35">
      <c r="B85" s="22" t="s">
        <v>176</v>
      </c>
      <c r="C85" s="36"/>
      <c r="D85" s="90">
        <f>D71</f>
        <v>0</v>
      </c>
      <c r="E85" s="36"/>
      <c r="F85" s="36"/>
      <c r="G85" s="36"/>
      <c r="H85" s="36"/>
      <c r="I85" s="36"/>
      <c r="J85" s="62"/>
    </row>
    <row r="86" spans="2:10" ht="14.5" hidden="1" customHeight="1" x14ac:dyDescent="0.35">
      <c r="B86" s="22" t="s">
        <v>177</v>
      </c>
      <c r="C86" s="36"/>
      <c r="D86" s="90">
        <f>O64</f>
        <v>0</v>
      </c>
      <c r="E86" s="36"/>
      <c r="F86" s="36"/>
      <c r="G86" s="36"/>
      <c r="H86" s="36"/>
      <c r="I86" s="36"/>
      <c r="J86" s="62"/>
    </row>
    <row r="87" spans="2:10" ht="14.5" hidden="1" customHeight="1" x14ac:dyDescent="0.35">
      <c r="B87" s="22" t="s">
        <v>178</v>
      </c>
      <c r="C87" s="36"/>
      <c r="D87" s="90">
        <f>D75</f>
        <v>0</v>
      </c>
      <c r="E87" s="36"/>
      <c r="F87" s="36"/>
      <c r="G87" s="36"/>
      <c r="H87" s="36"/>
      <c r="I87" s="36"/>
      <c r="J87" s="62"/>
    </row>
    <row r="88" spans="2:10" ht="14.5" hidden="1" customHeight="1" x14ac:dyDescent="0.35">
      <c r="B88" s="22" t="s">
        <v>179</v>
      </c>
      <c r="C88" s="36"/>
      <c r="D88" s="90">
        <f>O75</f>
        <v>0</v>
      </c>
      <c r="E88" s="36"/>
      <c r="F88" s="36"/>
      <c r="G88" s="36"/>
      <c r="H88" s="36"/>
      <c r="I88" s="36"/>
      <c r="J88" s="62"/>
    </row>
    <row r="89" spans="2:10" ht="14.5" hidden="1" customHeight="1" x14ac:dyDescent="0.35">
      <c r="B89" s="80" t="s">
        <v>172</v>
      </c>
      <c r="C89" s="36"/>
      <c r="D89" s="90">
        <f>D76</f>
        <v>0</v>
      </c>
      <c r="E89" s="36"/>
      <c r="F89" s="36"/>
      <c r="G89" s="36"/>
      <c r="H89" s="36"/>
      <c r="I89" s="36"/>
      <c r="J89" s="62"/>
    </row>
    <row r="90" spans="2:10" ht="14.5" hidden="1" customHeight="1" x14ac:dyDescent="0.35">
      <c r="B90" s="22" t="s">
        <v>180</v>
      </c>
      <c r="C90" s="36"/>
      <c r="D90" s="90">
        <f>SUM(D85:D89)*D36</f>
        <v>0</v>
      </c>
      <c r="E90" s="36"/>
      <c r="F90" s="36"/>
      <c r="G90" s="36"/>
      <c r="H90" s="36"/>
      <c r="I90" s="36"/>
      <c r="J90" s="62"/>
    </row>
    <row r="91" spans="2:10" ht="14.5" hidden="1" customHeight="1" x14ac:dyDescent="0.35">
      <c r="B91" s="22" t="s">
        <v>181</v>
      </c>
      <c r="C91" s="36"/>
      <c r="D91" s="90">
        <f>SUM(D85:D90)*D37</f>
        <v>0</v>
      </c>
      <c r="E91" s="36"/>
      <c r="F91" s="36"/>
      <c r="G91" s="36"/>
      <c r="H91" s="36"/>
      <c r="I91" s="36"/>
      <c r="J91" s="62"/>
    </row>
    <row r="92" spans="2:10" ht="14.5" hidden="1" customHeight="1" x14ac:dyDescent="0.35">
      <c r="B92" s="22" t="s">
        <v>182</v>
      </c>
      <c r="C92" s="36"/>
      <c r="D92" s="90">
        <f>SUM(D85:D91)*D38</f>
        <v>0</v>
      </c>
      <c r="E92" s="36"/>
      <c r="F92" s="36"/>
      <c r="G92" s="36"/>
      <c r="H92" s="36"/>
      <c r="I92" s="36"/>
      <c r="J92" s="62"/>
    </row>
    <row r="93" spans="2:10" ht="14.5" hidden="1" customHeight="1" x14ac:dyDescent="0.35">
      <c r="B93" s="22" t="s">
        <v>183</v>
      </c>
      <c r="C93" s="36"/>
      <c r="D93" s="90">
        <f>(D54-D62-I63)*D35</f>
        <v>0</v>
      </c>
      <c r="E93" s="36"/>
      <c r="F93" s="36"/>
      <c r="G93" s="36"/>
      <c r="H93" s="36"/>
      <c r="I93" s="36"/>
      <c r="J93" s="62"/>
    </row>
    <row r="94" spans="2:10" ht="14.5" hidden="1" customHeight="1" x14ac:dyDescent="0.35">
      <c r="B94" s="22"/>
      <c r="C94" s="36"/>
      <c r="D94" s="90"/>
      <c r="E94" s="36"/>
      <c r="F94" s="36"/>
      <c r="G94" s="36"/>
      <c r="H94" s="36"/>
      <c r="I94" s="36"/>
      <c r="J94" s="62"/>
    </row>
    <row r="95" spans="2:10" ht="18.649999999999999" hidden="1" customHeight="1" x14ac:dyDescent="0.35">
      <c r="B95" s="91" t="s">
        <v>184</v>
      </c>
      <c r="C95" s="92"/>
      <c r="D95" s="93">
        <f>SUM(D85:D93)</f>
        <v>0</v>
      </c>
      <c r="E95" s="92"/>
      <c r="F95" s="92"/>
      <c r="G95" s="92"/>
      <c r="H95" s="92"/>
      <c r="I95" s="92"/>
      <c r="J95" s="94"/>
    </row>
    <row r="96" spans="2:10" ht="19" hidden="1" customHeight="1" x14ac:dyDescent="0.35">
      <c r="B96" s="95" t="s">
        <v>185</v>
      </c>
      <c r="C96" s="96"/>
      <c r="D96" s="97">
        <f>SUM(D85:D92)</f>
        <v>0</v>
      </c>
      <c r="E96" s="96"/>
      <c r="F96" s="96"/>
      <c r="G96" s="96"/>
      <c r="H96" s="96"/>
      <c r="I96" s="96"/>
      <c r="J96" s="98"/>
    </row>
    <row r="97" spans="2:10" x14ac:dyDescent="0.35">
      <c r="B97" s="87"/>
      <c r="D97" s="99" t="s">
        <v>248</v>
      </c>
      <c r="E97" s="99" t="s">
        <v>186</v>
      </c>
      <c r="J97" s="88"/>
    </row>
    <row r="98" spans="2:10" x14ac:dyDescent="0.35">
      <c r="B98" s="22"/>
      <c r="C98" s="36" t="s">
        <v>249</v>
      </c>
      <c r="D98" s="100">
        <f>D32</f>
        <v>11.774999999999999</v>
      </c>
      <c r="E98" s="100">
        <f>'[1]Old Ladder type '!K9</f>
        <v>11.775</v>
      </c>
      <c r="F98" s="36"/>
      <c r="G98" s="36"/>
      <c r="H98" s="36"/>
      <c r="I98" s="36"/>
      <c r="J98" s="62"/>
    </row>
    <row r="99" spans="2:10" x14ac:dyDescent="0.35">
      <c r="B99" s="22"/>
      <c r="C99" s="36" t="s">
        <v>250</v>
      </c>
      <c r="D99" s="101">
        <f>D41</f>
        <v>4.9298000000000008E-2</v>
      </c>
      <c r="E99" s="101">
        <v>0</v>
      </c>
      <c r="F99" s="36"/>
      <c r="G99" s="36"/>
      <c r="H99" s="36"/>
      <c r="I99" s="36"/>
      <c r="J99" s="62"/>
    </row>
    <row r="100" spans="2:10" x14ac:dyDescent="0.35">
      <c r="B100" s="22"/>
      <c r="C100" s="36" t="s">
        <v>251</v>
      </c>
      <c r="D100" s="100">
        <f>J30*J23</f>
        <v>8.4779999999999998</v>
      </c>
      <c r="E100" s="100">
        <f>'[1]Old Ladder type '!L9</f>
        <v>8.4779999999999998</v>
      </c>
      <c r="F100" s="36"/>
      <c r="G100" s="36"/>
      <c r="H100" s="36"/>
      <c r="I100" s="36"/>
      <c r="J100" s="62"/>
    </row>
    <row r="101" spans="2:10" x14ac:dyDescent="0.35">
      <c r="B101" s="22"/>
      <c r="C101" s="36" t="s">
        <v>252</v>
      </c>
      <c r="D101" s="101">
        <f>J43</f>
        <v>0.58875</v>
      </c>
      <c r="E101" s="101">
        <v>0</v>
      </c>
      <c r="F101" s="125"/>
      <c r="G101" s="36"/>
      <c r="H101" s="36"/>
      <c r="I101" s="36"/>
      <c r="J101" s="62"/>
    </row>
    <row r="102" spans="2:10" x14ac:dyDescent="0.35">
      <c r="B102" s="22"/>
      <c r="C102" s="36" t="s">
        <v>253</v>
      </c>
      <c r="D102" s="101">
        <f>'[1]Final Coupler Plate'!D37*2</f>
        <v>0.44697900000000002</v>
      </c>
      <c r="E102" s="101">
        <f>'[1]Old Ladder type '!M9</f>
        <v>0.46157999999999999</v>
      </c>
      <c r="F102" s="103"/>
      <c r="G102" s="36"/>
      <c r="H102" s="36"/>
      <c r="I102" s="36"/>
      <c r="J102" s="62"/>
    </row>
    <row r="103" spans="2:10" x14ac:dyDescent="0.35">
      <c r="B103" s="22"/>
      <c r="C103" s="36" t="s">
        <v>190</v>
      </c>
      <c r="D103" s="100">
        <v>0.32</v>
      </c>
      <c r="E103" s="100">
        <v>0.32</v>
      </c>
      <c r="F103" s="104"/>
      <c r="G103" s="105" t="s">
        <v>191</v>
      </c>
      <c r="H103" s="36"/>
      <c r="I103" s="36"/>
      <c r="J103" s="62"/>
    </row>
    <row r="104" spans="2:10" x14ac:dyDescent="0.35">
      <c r="B104" s="22"/>
      <c r="C104" s="36" t="s">
        <v>192</v>
      </c>
      <c r="D104" s="100">
        <f>D98-D99+D100-D101+D102+D103</f>
        <v>20.381930999999998</v>
      </c>
      <c r="E104" s="100">
        <f>E98-E99+E100-E101+E102+E103</f>
        <v>21.034580000000002</v>
      </c>
      <c r="F104" s="103">
        <f>(E104-D104)/D104</f>
        <v>3.2020960133757881E-2</v>
      </c>
      <c r="G104" s="67"/>
      <c r="H104" s="36"/>
      <c r="I104" s="36"/>
      <c r="J104" s="62"/>
    </row>
    <row r="105" spans="2:10" x14ac:dyDescent="0.35">
      <c r="B105" s="22"/>
      <c r="C105" s="69" t="s">
        <v>193</v>
      </c>
      <c r="D105" s="126">
        <f>(D98*D6-D11*D99*D6)+(D100*D6-D11*D101*D6)+('[1]Final Coupler Plate'!D24-'Ladder 600x100x2'!D43*'[1]Final Coupler Plate'!D34)*'Ladder 600x100x2'!D6*2+'Ladder 600x100x2'!D103*'Ladder 600x100x2'!D6</f>
        <v>1512.9060564999997</v>
      </c>
      <c r="E105" s="126">
        <f>E104*D6</f>
        <v>1535.5243400000002</v>
      </c>
      <c r="F105" s="36"/>
      <c r="G105" s="67"/>
      <c r="H105" s="36"/>
      <c r="I105" s="36"/>
      <c r="J105" s="62"/>
    </row>
    <row r="106" spans="2:10" x14ac:dyDescent="0.35">
      <c r="B106" s="22"/>
      <c r="C106" s="36"/>
      <c r="D106" s="100"/>
      <c r="E106" s="100"/>
      <c r="F106" s="36"/>
      <c r="G106" s="36"/>
      <c r="H106" s="36"/>
      <c r="I106" s="36"/>
      <c r="J106" s="62"/>
    </row>
    <row r="107" spans="2:10" x14ac:dyDescent="0.35">
      <c r="B107" s="22"/>
      <c r="C107" s="36" t="s">
        <v>144</v>
      </c>
      <c r="D107" s="100">
        <f>5%*D104</f>
        <v>1.01909655</v>
      </c>
      <c r="E107" s="100">
        <f>5%*E104</f>
        <v>1.0517290000000001</v>
      </c>
      <c r="F107" s="36"/>
      <c r="G107" s="105" t="s">
        <v>254</v>
      </c>
      <c r="H107" s="36"/>
      <c r="I107" s="36"/>
      <c r="J107" s="62"/>
    </row>
    <row r="108" spans="2:10" x14ac:dyDescent="0.35">
      <c r="B108" s="22"/>
      <c r="C108" s="36" t="s">
        <v>195</v>
      </c>
      <c r="D108" s="100">
        <f>D107*$H$8</f>
        <v>433.72749168000001</v>
      </c>
      <c r="E108" s="100">
        <f>E107*$H$8</f>
        <v>447.61586240000008</v>
      </c>
      <c r="F108" s="36"/>
      <c r="G108" s="36"/>
      <c r="H108" s="36"/>
      <c r="I108" s="36"/>
      <c r="J108" s="62"/>
    </row>
    <row r="109" spans="2:10" x14ac:dyDescent="0.35">
      <c r="B109" s="22"/>
      <c r="C109" s="36"/>
      <c r="D109" s="100"/>
      <c r="E109" s="100"/>
      <c r="F109" s="36"/>
      <c r="G109" s="36"/>
      <c r="H109" s="36"/>
      <c r="I109" s="36"/>
      <c r="J109" s="62"/>
    </row>
    <row r="110" spans="2:10" x14ac:dyDescent="0.35">
      <c r="B110" s="22"/>
      <c r="C110" s="36" t="s">
        <v>196</v>
      </c>
      <c r="D110" s="100">
        <f>(D104+D107)*$D$17</f>
        <v>166.92801488999999</v>
      </c>
      <c r="E110" s="100">
        <f>(E104+E107)*$D$17</f>
        <v>172.27321020000002</v>
      </c>
      <c r="F110" s="36"/>
      <c r="G110" s="36"/>
      <c r="H110" s="36"/>
      <c r="I110" s="36"/>
      <c r="J110" s="62"/>
    </row>
    <row r="111" spans="2:10" x14ac:dyDescent="0.35">
      <c r="B111" s="22"/>
      <c r="C111" s="36"/>
      <c r="D111" s="100"/>
      <c r="E111" s="100"/>
      <c r="F111" s="36"/>
      <c r="G111" s="36"/>
      <c r="H111" s="36"/>
      <c r="I111" s="36"/>
      <c r="J111" s="62"/>
    </row>
    <row r="112" spans="2:10" x14ac:dyDescent="0.35">
      <c r="B112" s="22"/>
      <c r="C112" s="69" t="s">
        <v>255</v>
      </c>
      <c r="D112" s="126">
        <f>D110+D105+D108</f>
        <v>2113.5615630699999</v>
      </c>
      <c r="E112" s="126">
        <f>E110+E105+E108</f>
        <v>2155.4134126000004</v>
      </c>
      <c r="F112" s="36"/>
      <c r="G112" s="36"/>
      <c r="H112" s="36"/>
      <c r="I112" s="36"/>
      <c r="J112" s="62"/>
    </row>
    <row r="113" spans="2:12" x14ac:dyDescent="0.35">
      <c r="B113" s="22"/>
      <c r="C113" s="69" t="s">
        <v>199</v>
      </c>
      <c r="D113" s="115">
        <f>D112/(O12/1000)</f>
        <v>845.42462522799997</v>
      </c>
      <c r="E113" s="115">
        <f>E112/(O12/1000)</f>
        <v>862.1653650400001</v>
      </c>
      <c r="F113" s="36"/>
      <c r="G113" s="36"/>
      <c r="H113" s="36"/>
      <c r="I113" s="36"/>
      <c r="J113" s="62"/>
    </row>
    <row r="114" spans="2:12" x14ac:dyDescent="0.35">
      <c r="B114" s="22"/>
      <c r="C114" s="36" t="s">
        <v>198</v>
      </c>
      <c r="D114" s="108">
        <f>(E112-D112)/D112</f>
        <v>1.9801575814621459E-2</v>
      </c>
      <c r="E114" s="100"/>
      <c r="F114" s="36"/>
      <c r="G114" s="36"/>
      <c r="H114" s="36"/>
      <c r="I114" s="36"/>
      <c r="J114" s="62"/>
    </row>
    <row r="115" spans="2:12" ht="15" thickBot="1" x14ac:dyDescent="0.4">
      <c r="B115" s="76"/>
      <c r="C115" s="109"/>
      <c r="D115" s="109"/>
      <c r="E115" s="109"/>
      <c r="F115" s="77"/>
      <c r="G115" s="77"/>
      <c r="H115" s="77"/>
      <c r="I115" s="77"/>
      <c r="J115" s="79"/>
    </row>
    <row r="117" spans="2:12" hidden="1" x14ac:dyDescent="0.35"/>
    <row r="118" spans="2:12" ht="15.5" hidden="1" x14ac:dyDescent="0.35">
      <c r="B118" s="127" t="s">
        <v>256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9"/>
    </row>
    <row r="119" spans="2:12" hidden="1" x14ac:dyDescent="0.35">
      <c r="B119" s="87"/>
      <c r="L119" s="88"/>
    </row>
    <row r="120" spans="2:12" ht="15.5" hidden="1" x14ac:dyDescent="0.35">
      <c r="B120" s="87"/>
      <c r="D120" s="130" t="s">
        <v>257</v>
      </c>
      <c r="E120" s="130"/>
      <c r="F120" s="130"/>
      <c r="H120" s="131" t="s">
        <v>258</v>
      </c>
      <c r="I120" s="131"/>
      <c r="J120" s="131"/>
      <c r="L120" s="88"/>
    </row>
    <row r="121" spans="2:12" ht="43.5" hidden="1" x14ac:dyDescent="0.35">
      <c r="B121" s="87"/>
      <c r="C121" s="132" t="s">
        <v>259</v>
      </c>
      <c r="D121" s="89"/>
      <c r="H121" s="89"/>
      <c r="L121" s="88"/>
    </row>
    <row r="122" spans="2:12" hidden="1" x14ac:dyDescent="0.35">
      <c r="B122" s="87"/>
      <c r="D122" s="89"/>
      <c r="H122" s="89"/>
      <c r="L122" s="88"/>
    </row>
    <row r="123" spans="2:12" ht="29" hidden="1" x14ac:dyDescent="0.35">
      <c r="B123" s="87"/>
      <c r="D123" s="133" t="s">
        <v>260</v>
      </c>
      <c r="E123" s="133" t="s">
        <v>261</v>
      </c>
      <c r="F123" s="134" t="s">
        <v>262</v>
      </c>
      <c r="H123" s="133" t="s">
        <v>260</v>
      </c>
      <c r="I123" s="133" t="s">
        <v>261</v>
      </c>
      <c r="J123" s="134" t="s">
        <v>262</v>
      </c>
      <c r="K123" s="135" t="s">
        <v>263</v>
      </c>
      <c r="L123" s="136"/>
    </row>
    <row r="124" spans="2:12" ht="15.5" hidden="1" x14ac:dyDescent="0.35">
      <c r="B124" s="87"/>
      <c r="C124" s="137" t="str">
        <f>'[1]Old Ladder type '!B9</f>
        <v>600mm(W)X100mm(H)</v>
      </c>
      <c r="D124" s="138">
        <f>'[1]Old Ladder type '!Q9</f>
        <v>21.034580000000002</v>
      </c>
      <c r="E124" s="138">
        <f>'[1]Old Ladder type '!U9</f>
        <v>1.0517290000000001</v>
      </c>
      <c r="F124" s="138">
        <f>'[1]Old Ladder type '!Z9</f>
        <v>1774.5718244100003</v>
      </c>
      <c r="H124" s="138">
        <v>20.348960999999999</v>
      </c>
      <c r="I124" s="138">
        <v>1.01744805</v>
      </c>
      <c r="J124" s="138">
        <v>1322.4675931345</v>
      </c>
      <c r="K124" s="139">
        <f>(F124-J124)/J124</f>
        <v>0.3418641285597987</v>
      </c>
      <c r="L124" s="136"/>
    </row>
    <row r="125" spans="2:12" ht="15.5" hidden="1" x14ac:dyDescent="0.35">
      <c r="B125" s="87"/>
      <c r="C125" s="137" t="str">
        <f>'[1]Old Ladder type '!B10</f>
        <v>450mm(W)X100mm(H)</v>
      </c>
      <c r="D125" s="138">
        <f>'[1]Old Ladder type '!Q10</f>
        <v>18.915080000000003</v>
      </c>
      <c r="E125" s="138">
        <f>'[1]Old Ladder type '!U10</f>
        <v>0.94575400000000021</v>
      </c>
      <c r="F125" s="138">
        <f>'[1]Old Ladder type '!Z10</f>
        <v>1214.6224046600005</v>
      </c>
      <c r="H125" s="138">
        <v>18.376648499999998</v>
      </c>
      <c r="I125" s="138">
        <v>0.91883242499999995</v>
      </c>
      <c r="J125" s="138">
        <v>1192.4312196032499</v>
      </c>
      <c r="K125" s="139">
        <v>2.4768732392250623E-2</v>
      </c>
      <c r="L125" s="136"/>
    </row>
    <row r="126" spans="2:12" ht="15.5" hidden="1" x14ac:dyDescent="0.35">
      <c r="B126" s="87"/>
      <c r="C126" s="137" t="str">
        <f>'[1]Old Ladder type '!B11</f>
        <v>300mm(W)X100mm(H)</v>
      </c>
      <c r="D126" s="138">
        <f>'[1]Old Ladder type '!Q11</f>
        <v>16.795580000000001</v>
      </c>
      <c r="E126" s="138">
        <f>'[1]Old Ladder type '!U11</f>
        <v>0.83977900000000005</v>
      </c>
      <c r="F126" s="138">
        <f>'[1]Old Ladder type '!Z11</f>
        <v>1078.5197719100001</v>
      </c>
      <c r="H126" s="138">
        <v>16.404336000000001</v>
      </c>
      <c r="I126" s="138">
        <v>0.82021680000000008</v>
      </c>
      <c r="J126" s="138">
        <v>1062.3948460720001</v>
      </c>
      <c r="K126" s="139">
        <f>(F126-J126)/J126</f>
        <v>1.5177902921516311E-2</v>
      </c>
      <c r="L126" s="136"/>
    </row>
    <row r="127" spans="2:12" ht="15.5" hidden="1" x14ac:dyDescent="0.35">
      <c r="B127" s="87"/>
      <c r="C127" s="137"/>
      <c r="D127" s="138"/>
      <c r="E127" s="138"/>
      <c r="F127" s="138"/>
      <c r="H127" s="138"/>
      <c r="I127" s="138"/>
      <c r="J127" s="138"/>
      <c r="K127" s="139"/>
      <c r="L127" s="136"/>
    </row>
    <row r="128" spans="2:12" ht="15.5" hidden="1" x14ac:dyDescent="0.35">
      <c r="B128" s="87"/>
      <c r="C128" s="137"/>
      <c r="D128" s="138"/>
      <c r="E128" s="138"/>
      <c r="F128" s="138"/>
      <c r="H128" s="138"/>
      <c r="I128" s="138"/>
      <c r="J128" s="138"/>
      <c r="K128" s="139"/>
      <c r="L128" s="136"/>
    </row>
    <row r="129" spans="2:12" ht="15.5" hidden="1" x14ac:dyDescent="0.35">
      <c r="B129" s="87"/>
      <c r="C129" s="137"/>
      <c r="D129" s="138"/>
      <c r="E129" s="138"/>
      <c r="F129" s="138"/>
      <c r="H129" s="138"/>
      <c r="I129" s="138"/>
      <c r="J129" s="138"/>
      <c r="K129" s="139"/>
      <c r="L129" s="136"/>
    </row>
    <row r="130" spans="2:12" hidden="1" x14ac:dyDescent="0.35">
      <c r="B130" s="87"/>
      <c r="L130" s="88"/>
    </row>
    <row r="131" spans="2:12" hidden="1" x14ac:dyDescent="0.35">
      <c r="B131" s="87"/>
      <c r="L131" s="88"/>
    </row>
    <row r="132" spans="2:12" ht="15" hidden="1" thickBot="1" x14ac:dyDescent="0.4">
      <c r="B132" s="140"/>
      <c r="C132" s="109"/>
      <c r="D132" s="109"/>
      <c r="E132" s="109"/>
      <c r="F132" s="109"/>
      <c r="G132" s="109"/>
      <c r="H132" s="109"/>
      <c r="I132" s="109"/>
      <c r="J132" s="109"/>
      <c r="K132" s="109"/>
      <c r="L132" s="141"/>
    </row>
  </sheetData>
  <mergeCells count="14">
    <mergeCell ref="B54:J54"/>
    <mergeCell ref="M54:U54"/>
    <mergeCell ref="B61:J61"/>
    <mergeCell ref="B79:J79"/>
    <mergeCell ref="B83:J83"/>
    <mergeCell ref="D120:F120"/>
    <mergeCell ref="H120:J120"/>
    <mergeCell ref="A1:U2"/>
    <mergeCell ref="B5:J5"/>
    <mergeCell ref="M5:U5"/>
    <mergeCell ref="B7:C7"/>
    <mergeCell ref="B13:C13"/>
    <mergeCell ref="B21:J21"/>
    <mergeCell ref="M21:U2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F5C8-5197-4523-B35A-3EC0CA00FEC8}">
  <dimension ref="A1:W132"/>
  <sheetViews>
    <sheetView showGridLines="0" topLeftCell="C1" zoomScale="70" zoomScaleNormal="70" workbookViewId="0">
      <selection activeCell="O9" sqref="O9"/>
    </sheetView>
  </sheetViews>
  <sheetFormatPr defaultColWidth="9.1796875" defaultRowHeight="14.5" outlineLevelRow="1" x14ac:dyDescent="0.35"/>
  <cols>
    <col min="1" max="1" width="2.54296875" style="17" customWidth="1"/>
    <col min="2" max="2" width="9.1796875" style="17"/>
    <col min="3" max="3" width="44.7265625" style="17" customWidth="1"/>
    <col min="4" max="4" width="12" style="17" bestFit="1" customWidth="1"/>
    <col min="5" max="5" width="13.54296875" style="17" customWidth="1"/>
    <col min="6" max="6" width="28.1796875" style="17" customWidth="1"/>
    <col min="7" max="7" width="17.81640625" style="17" customWidth="1"/>
    <col min="8" max="9" width="9.1796875" style="17"/>
    <col min="10" max="10" width="22" style="17" customWidth="1"/>
    <col min="11" max="12" width="9.1796875" style="17"/>
    <col min="13" max="13" width="30.1796875" style="17" customWidth="1"/>
    <col min="14" max="14" width="17.81640625" style="17" customWidth="1"/>
    <col min="15" max="15" width="12.1796875" style="17" customWidth="1"/>
    <col min="16" max="16" width="9.1796875" style="17"/>
    <col min="17" max="17" width="27.1796875" style="17" customWidth="1"/>
    <col min="18" max="18" width="14.1796875" style="17" customWidth="1"/>
    <col min="19" max="16384" width="9.1796875" style="17"/>
  </cols>
  <sheetData>
    <row r="1" spans="1:21" ht="15" customHeight="1" x14ac:dyDescent="0.35">
      <c r="A1" s="16" t="s">
        <v>200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1:21" ht="15" thickBot="1" x14ac:dyDescent="0.4">
      <c r="B4" s="18"/>
    </row>
    <row r="5" spans="1:21" ht="15.5" x14ac:dyDescent="0.35">
      <c r="B5" s="56" t="s">
        <v>89</v>
      </c>
      <c r="C5" s="57"/>
      <c r="D5" s="57"/>
      <c r="E5" s="57"/>
      <c r="F5" s="57"/>
      <c r="G5" s="57"/>
      <c r="H5" s="57"/>
      <c r="I5" s="57"/>
      <c r="J5" s="58"/>
      <c r="M5" s="19" t="s">
        <v>90</v>
      </c>
      <c r="N5" s="20"/>
      <c r="O5" s="20"/>
      <c r="P5" s="20"/>
      <c r="Q5" s="20"/>
      <c r="R5" s="20"/>
      <c r="S5" s="20"/>
      <c r="T5" s="20"/>
      <c r="U5" s="21"/>
    </row>
    <row r="6" spans="1:21" x14ac:dyDescent="0.35">
      <c r="B6" s="22" t="s">
        <v>201</v>
      </c>
      <c r="C6" s="36"/>
      <c r="D6" s="24">
        <f>'[1]Final Perforated'!D6</f>
        <v>73</v>
      </c>
      <c r="E6" s="36"/>
      <c r="F6" s="36" t="s">
        <v>92</v>
      </c>
      <c r="G6" s="36"/>
      <c r="H6" s="24">
        <f>'[1]Final Perforated'!H6</f>
        <v>86</v>
      </c>
      <c r="I6" s="36"/>
      <c r="J6" s="62"/>
      <c r="M6" s="26" t="s">
        <v>202</v>
      </c>
      <c r="N6" s="23"/>
      <c r="O6" s="23"/>
      <c r="P6" s="23"/>
      <c r="Q6" s="27" t="s">
        <v>203</v>
      </c>
      <c r="R6" s="23"/>
      <c r="S6" s="23"/>
      <c r="T6" s="23"/>
      <c r="U6" s="25"/>
    </row>
    <row r="7" spans="1:21" ht="31.5" customHeight="1" x14ac:dyDescent="0.35">
      <c r="B7" s="28" t="s">
        <v>93</v>
      </c>
      <c r="C7" s="29"/>
      <c r="D7" s="30">
        <f>'[1]Final Perforated'!D7</f>
        <v>0</v>
      </c>
      <c r="E7" s="36"/>
      <c r="F7" s="36" t="s">
        <v>94</v>
      </c>
      <c r="G7" s="36"/>
      <c r="H7" s="24">
        <f>'[1]Final Perforated'!H7</f>
        <v>7135</v>
      </c>
      <c r="I7" s="36"/>
      <c r="J7" s="62"/>
      <c r="M7" s="31" t="s">
        <v>204</v>
      </c>
      <c r="N7" s="23"/>
      <c r="O7" s="116">
        <v>2</v>
      </c>
      <c r="P7" s="23"/>
      <c r="Q7" s="23" t="s">
        <v>205</v>
      </c>
      <c r="R7" s="23"/>
      <c r="S7" s="23"/>
      <c r="T7" s="23"/>
      <c r="U7" s="33">
        <v>10</v>
      </c>
    </row>
    <row r="8" spans="1:21" x14ac:dyDescent="0.35">
      <c r="B8" s="22" t="s">
        <v>96</v>
      </c>
      <c r="C8" s="36"/>
      <c r="D8" s="24">
        <v>7850</v>
      </c>
      <c r="E8" s="36"/>
      <c r="F8" s="36" t="s">
        <v>97</v>
      </c>
      <c r="G8" s="36"/>
      <c r="H8" s="24">
        <f>'[1]Final Perforated'!H8</f>
        <v>425.6</v>
      </c>
      <c r="I8" s="36"/>
      <c r="J8" s="117"/>
      <c r="M8" s="31" t="s">
        <v>95</v>
      </c>
      <c r="N8" s="23"/>
      <c r="O8" s="32">
        <v>300</v>
      </c>
      <c r="P8" s="23"/>
      <c r="Q8" s="23" t="s">
        <v>206</v>
      </c>
      <c r="R8" s="23"/>
      <c r="S8" s="23"/>
      <c r="T8" s="23"/>
      <c r="U8" s="33">
        <f>O8</f>
        <v>300</v>
      </c>
    </row>
    <row r="9" spans="1:21" x14ac:dyDescent="0.35">
      <c r="B9" s="22" t="s">
        <v>99</v>
      </c>
      <c r="C9" s="36"/>
      <c r="D9" s="35">
        <f>'[1]Final Perforated'!D9</f>
        <v>0</v>
      </c>
      <c r="E9" s="36"/>
      <c r="F9" s="36" t="s">
        <v>100</v>
      </c>
      <c r="G9" s="36"/>
      <c r="H9" s="35">
        <f>'[1]Final Perforated'!H9</f>
        <v>0</v>
      </c>
      <c r="I9" s="36"/>
      <c r="J9" s="62"/>
      <c r="M9" s="31" t="s">
        <v>98</v>
      </c>
      <c r="N9" s="23"/>
      <c r="O9" s="32">
        <v>100</v>
      </c>
      <c r="P9" s="23"/>
      <c r="Q9" s="23" t="s">
        <v>207</v>
      </c>
      <c r="R9" s="23"/>
      <c r="S9" s="23"/>
      <c r="T9" s="23"/>
      <c r="U9" s="33">
        <v>50</v>
      </c>
    </row>
    <row r="10" spans="1:21" x14ac:dyDescent="0.35">
      <c r="B10" s="22" t="s">
        <v>102</v>
      </c>
      <c r="C10" s="36"/>
      <c r="D10" s="37">
        <f>'[1]Final Perforated'!D10</f>
        <v>0</v>
      </c>
      <c r="E10" s="36"/>
      <c r="F10" s="36" t="s">
        <v>103</v>
      </c>
      <c r="G10" s="36"/>
      <c r="H10" s="38">
        <f>'[1]Final Perforated'!H10</f>
        <v>0.12</v>
      </c>
      <c r="I10" s="36"/>
      <c r="J10" s="62"/>
      <c r="M10" s="31" t="s">
        <v>101</v>
      </c>
      <c r="N10" s="23"/>
      <c r="O10" s="32">
        <v>2</v>
      </c>
      <c r="P10" s="23"/>
      <c r="Q10" s="23" t="s">
        <v>208</v>
      </c>
      <c r="R10" s="23"/>
      <c r="S10" s="23"/>
      <c r="T10" s="23"/>
      <c r="U10" s="33">
        <v>20</v>
      </c>
    </row>
    <row r="11" spans="1:21" x14ac:dyDescent="0.35">
      <c r="B11" s="22" t="s">
        <v>105</v>
      </c>
      <c r="C11" s="36"/>
      <c r="D11" s="38">
        <v>0.5</v>
      </c>
      <c r="E11" s="36"/>
      <c r="F11" s="36" t="s">
        <v>106</v>
      </c>
      <c r="G11" s="36"/>
      <c r="H11" s="38">
        <f>'[1]Final Perforated'!H11</f>
        <v>0.08</v>
      </c>
      <c r="I11" s="36"/>
      <c r="J11" s="117"/>
      <c r="M11" s="31" t="s">
        <v>104</v>
      </c>
      <c r="N11" s="23"/>
      <c r="O11" s="39">
        <v>25</v>
      </c>
      <c r="P11" s="23"/>
      <c r="Q11" s="23" t="s">
        <v>209</v>
      </c>
      <c r="R11" s="23"/>
      <c r="S11" s="23"/>
      <c r="T11" s="23"/>
      <c r="U11" s="33">
        <v>2</v>
      </c>
    </row>
    <row r="12" spans="1:21" x14ac:dyDescent="0.35">
      <c r="B12" s="22" t="s">
        <v>108</v>
      </c>
      <c r="C12" s="36"/>
      <c r="D12" s="30">
        <f>'[1]Final Perforated'!D12</f>
        <v>0</v>
      </c>
      <c r="E12" s="36"/>
      <c r="F12" s="36" t="s">
        <v>109</v>
      </c>
      <c r="G12" s="36"/>
      <c r="H12" s="38">
        <f>'[1]Final Perforated'!H12</f>
        <v>0.26</v>
      </c>
      <c r="I12" s="36"/>
      <c r="J12" s="62"/>
      <c r="M12" s="31" t="s">
        <v>107</v>
      </c>
      <c r="N12" s="23"/>
      <c r="O12" s="32">
        <v>2500</v>
      </c>
      <c r="P12" s="23"/>
      <c r="Q12" s="23" t="s">
        <v>210</v>
      </c>
      <c r="R12" s="23"/>
      <c r="S12" s="23"/>
      <c r="T12" s="23"/>
      <c r="U12" s="33">
        <v>1</v>
      </c>
    </row>
    <row r="13" spans="1:21" ht="32.25" customHeight="1" x14ac:dyDescent="0.35">
      <c r="B13" s="28" t="s">
        <v>111</v>
      </c>
      <c r="C13" s="29"/>
      <c r="D13" s="41">
        <f>'[1]Final Perforated'!D13</f>
        <v>0</v>
      </c>
      <c r="E13" s="36"/>
      <c r="F13" s="36" t="s">
        <v>112</v>
      </c>
      <c r="G13" s="36"/>
      <c r="H13" s="38">
        <f>'[1]Final Perforated'!H13</f>
        <v>0.52</v>
      </c>
      <c r="I13" s="36"/>
      <c r="J13" s="62"/>
      <c r="M13" s="31" t="s">
        <v>211</v>
      </c>
      <c r="N13" s="23"/>
      <c r="O13" s="39">
        <v>20</v>
      </c>
      <c r="P13" s="23"/>
      <c r="Q13" s="23" t="s">
        <v>212</v>
      </c>
      <c r="R13" s="23"/>
      <c r="S13" s="23"/>
      <c r="T13" s="23"/>
      <c r="U13" s="33">
        <v>25</v>
      </c>
    </row>
    <row r="14" spans="1:21" x14ac:dyDescent="0.35">
      <c r="B14" s="22" t="s">
        <v>114</v>
      </c>
      <c r="C14" s="36"/>
      <c r="D14" s="42">
        <f>'[1]Final Perforated'!D14</f>
        <v>0</v>
      </c>
      <c r="E14" s="36"/>
      <c r="F14" s="36" t="s">
        <v>115</v>
      </c>
      <c r="G14" s="36"/>
      <c r="H14" s="118">
        <f>'[1]Final Perforated'!H14</f>
        <v>0</v>
      </c>
      <c r="I14" s="36"/>
      <c r="J14" s="62"/>
      <c r="M14" s="31" t="s">
        <v>123</v>
      </c>
      <c r="N14" s="23"/>
      <c r="O14" s="39">
        <v>10</v>
      </c>
      <c r="P14" s="23"/>
      <c r="Q14" s="23" t="s">
        <v>213</v>
      </c>
      <c r="R14" s="23"/>
      <c r="S14" s="23"/>
      <c r="T14" s="23"/>
      <c r="U14" s="33">
        <v>10</v>
      </c>
    </row>
    <row r="15" spans="1:21" x14ac:dyDescent="0.35">
      <c r="B15" s="22" t="s">
        <v>214</v>
      </c>
      <c r="C15" s="36"/>
      <c r="D15" s="43">
        <f>'[1]Final Perforated'!D15</f>
        <v>2.5</v>
      </c>
      <c r="E15" s="36"/>
      <c r="F15" s="36"/>
      <c r="G15" s="36"/>
      <c r="H15" s="118"/>
      <c r="I15" s="36"/>
      <c r="J15" s="62"/>
      <c r="M15" s="48"/>
      <c r="N15" s="44"/>
      <c r="O15" s="119"/>
      <c r="P15" s="44"/>
      <c r="Q15" s="44"/>
      <c r="R15" s="44"/>
      <c r="S15" s="44"/>
      <c r="T15" s="44"/>
      <c r="U15" s="47"/>
    </row>
    <row r="16" spans="1:21" x14ac:dyDescent="0.35">
      <c r="B16" s="22" t="s">
        <v>119</v>
      </c>
      <c r="C16" s="36"/>
      <c r="D16" s="37">
        <f>'[1]Final Perforated'!D16</f>
        <v>0</v>
      </c>
      <c r="E16" s="36"/>
      <c r="F16" s="36"/>
      <c r="G16" s="36"/>
      <c r="H16" s="118"/>
      <c r="I16" s="36"/>
      <c r="J16" s="62"/>
      <c r="M16" s="48"/>
      <c r="N16" s="44"/>
      <c r="O16" s="119"/>
      <c r="P16" s="44"/>
      <c r="Q16" s="44"/>
      <c r="R16" s="44"/>
      <c r="S16" s="44"/>
      <c r="T16" s="44"/>
      <c r="U16" s="47"/>
    </row>
    <row r="17" spans="2:23" x14ac:dyDescent="0.35">
      <c r="B17" s="48" t="s">
        <v>215</v>
      </c>
      <c r="C17" s="36"/>
      <c r="D17" s="43">
        <f>'[1]Final Perforated'!D17</f>
        <v>7.8</v>
      </c>
      <c r="E17" s="36"/>
      <c r="F17" s="36"/>
      <c r="G17" s="36"/>
      <c r="H17" s="118"/>
      <c r="I17" s="36"/>
      <c r="J17" s="62"/>
      <c r="M17" s="48"/>
      <c r="N17" s="44"/>
      <c r="O17" s="119"/>
      <c r="P17" s="44"/>
      <c r="Q17" s="44"/>
      <c r="R17" s="44"/>
      <c r="S17" s="44"/>
      <c r="T17" s="44"/>
      <c r="U17" s="47"/>
    </row>
    <row r="18" spans="2:23" ht="15" thickBot="1" x14ac:dyDescent="0.4">
      <c r="B18" s="76"/>
      <c r="C18" s="77"/>
      <c r="D18" s="77"/>
      <c r="E18" s="77"/>
      <c r="F18" s="77"/>
      <c r="G18" s="77"/>
      <c r="H18" s="77"/>
      <c r="I18" s="77"/>
      <c r="J18" s="79"/>
      <c r="M18" s="51"/>
      <c r="N18" s="52"/>
      <c r="O18" s="52"/>
      <c r="P18" s="52"/>
      <c r="Q18" s="52"/>
      <c r="R18" s="52"/>
      <c r="S18" s="52"/>
      <c r="T18" s="52"/>
      <c r="U18" s="53"/>
    </row>
    <row r="20" spans="2:23" ht="16" thickBot="1" x14ac:dyDescent="0.4">
      <c r="B20" s="55" t="s">
        <v>128</v>
      </c>
    </row>
    <row r="21" spans="2:23" ht="15.5" outlineLevel="1" x14ac:dyDescent="0.35">
      <c r="B21" s="56" t="s">
        <v>129</v>
      </c>
      <c r="C21" s="57"/>
      <c r="D21" s="57"/>
      <c r="E21" s="57"/>
      <c r="F21" s="57"/>
      <c r="G21" s="57"/>
      <c r="H21" s="57"/>
      <c r="I21" s="57"/>
      <c r="J21" s="58"/>
      <c r="M21" s="56" t="s">
        <v>130</v>
      </c>
      <c r="N21" s="57"/>
      <c r="O21" s="57"/>
      <c r="P21" s="57"/>
      <c r="Q21" s="57"/>
      <c r="R21" s="57"/>
      <c r="S21" s="57"/>
      <c r="T21" s="57"/>
      <c r="U21" s="58"/>
    </row>
    <row r="22" spans="2:23" ht="15.5" outlineLevel="1" x14ac:dyDescent="0.35">
      <c r="B22" s="59" t="s">
        <v>216</v>
      </c>
      <c r="C22" s="60"/>
      <c r="D22" s="60"/>
      <c r="E22" s="60"/>
      <c r="F22" s="60" t="s">
        <v>217</v>
      </c>
      <c r="G22" s="60"/>
      <c r="H22" s="60"/>
      <c r="I22" s="60"/>
      <c r="J22" s="61"/>
      <c r="M22" s="22" t="s">
        <v>131</v>
      </c>
      <c r="N22" s="36"/>
      <c r="O22" s="36"/>
      <c r="P22" s="36"/>
      <c r="Q22" s="36"/>
      <c r="R22" s="36"/>
      <c r="S22" s="36"/>
      <c r="T22" s="36"/>
      <c r="U22" s="62"/>
    </row>
    <row r="23" spans="2:23" ht="15.5" outlineLevel="1" x14ac:dyDescent="0.35">
      <c r="B23" s="22" t="s">
        <v>218</v>
      </c>
      <c r="C23" s="36"/>
      <c r="D23" s="36">
        <f>O7</f>
        <v>2</v>
      </c>
      <c r="E23" s="36"/>
      <c r="F23" s="36" t="s">
        <v>219</v>
      </c>
      <c r="G23" s="36"/>
      <c r="H23" s="36"/>
      <c r="I23" s="36"/>
      <c r="J23" s="62">
        <f>U7</f>
        <v>10</v>
      </c>
      <c r="M23" s="59" t="s">
        <v>216</v>
      </c>
      <c r="N23" s="36"/>
      <c r="O23" s="36"/>
      <c r="P23" s="36"/>
      <c r="Q23" s="60" t="s">
        <v>217</v>
      </c>
      <c r="R23" s="36"/>
      <c r="S23" s="36"/>
      <c r="T23" s="36"/>
      <c r="U23" s="62"/>
    </row>
    <row r="24" spans="2:23" outlineLevel="1" x14ac:dyDescent="0.35">
      <c r="B24" s="22" t="s">
        <v>95</v>
      </c>
      <c r="C24" s="36"/>
      <c r="D24" s="36">
        <f t="shared" ref="D24:D28" si="0">O8</f>
        <v>300</v>
      </c>
      <c r="E24" s="36"/>
      <c r="F24" s="36" t="s">
        <v>206</v>
      </c>
      <c r="G24" s="36"/>
      <c r="H24" s="36"/>
      <c r="I24" s="36"/>
      <c r="J24" s="62">
        <f>U8</f>
        <v>300</v>
      </c>
      <c r="M24" s="22" t="s">
        <v>220</v>
      </c>
      <c r="N24" s="36"/>
      <c r="O24" s="36">
        <f>2*(2*(2*D27+D25)/1000*D28/1000)</f>
        <v>1.5</v>
      </c>
      <c r="P24" s="36"/>
      <c r="Q24" s="36" t="s">
        <v>221</v>
      </c>
      <c r="R24" s="36"/>
      <c r="S24" s="36"/>
      <c r="T24" s="66">
        <f>2*J24/1000*(J25+2*J26)/1000</f>
        <v>5.3999999999999999E-2</v>
      </c>
      <c r="U24" s="62"/>
    </row>
    <row r="25" spans="2:23" outlineLevel="1" x14ac:dyDescent="0.35">
      <c r="B25" s="22" t="s">
        <v>98</v>
      </c>
      <c r="C25" s="36"/>
      <c r="D25" s="36">
        <f t="shared" si="0"/>
        <v>100</v>
      </c>
      <c r="E25" s="36"/>
      <c r="F25" s="36" t="s">
        <v>207</v>
      </c>
      <c r="G25" s="36"/>
      <c r="H25" s="36"/>
      <c r="I25" s="36"/>
      <c r="J25" s="62">
        <f t="shared" ref="J25:J27" si="1">U9</f>
        <v>50</v>
      </c>
      <c r="M25" s="22" t="s">
        <v>222</v>
      </c>
      <c r="N25" s="36"/>
      <c r="O25" s="64">
        <f>D37*3.14*D38/1000*D26/1000*D28/125</f>
        <v>2.5119999999999996E-2</v>
      </c>
      <c r="P25" s="36"/>
      <c r="Q25" s="36" t="s">
        <v>223</v>
      </c>
      <c r="R25" s="36"/>
      <c r="S25" s="36"/>
      <c r="T25" s="36">
        <f>(2*(J38+J39)/1000*D26/1000)*D24/40</f>
        <v>1.0500000000000002E-3</v>
      </c>
      <c r="U25" s="62"/>
    </row>
    <row r="26" spans="2:23" outlineLevel="1" x14ac:dyDescent="0.35">
      <c r="B26" s="22" t="s">
        <v>101</v>
      </c>
      <c r="C26" s="36"/>
      <c r="D26" s="36">
        <f t="shared" si="0"/>
        <v>2</v>
      </c>
      <c r="E26" s="36"/>
      <c r="F26" s="36" t="s">
        <v>208</v>
      </c>
      <c r="G26" s="36"/>
      <c r="H26" s="36"/>
      <c r="I26" s="36"/>
      <c r="J26" s="62">
        <f t="shared" si="1"/>
        <v>20</v>
      </c>
      <c r="M26" s="22" t="s">
        <v>138</v>
      </c>
      <c r="N26" s="36"/>
      <c r="O26" s="64">
        <f>D37*3.14*(D38/2/1000)^2*D28/125</f>
        <v>3.1400000000000004E-2</v>
      </c>
      <c r="P26" s="36"/>
      <c r="Q26" s="36" t="s">
        <v>224</v>
      </c>
      <c r="R26" s="36"/>
      <c r="S26" s="36"/>
      <c r="T26" s="65">
        <f>J38/1000*J39/1000*D24/40</f>
        <v>1.8749999999999999E-3</v>
      </c>
      <c r="U26" s="62"/>
      <c r="W26" s="120"/>
    </row>
    <row r="27" spans="2:23" outlineLevel="1" x14ac:dyDescent="0.35">
      <c r="B27" s="22" t="s">
        <v>104</v>
      </c>
      <c r="C27" s="36"/>
      <c r="D27" s="36">
        <f t="shared" si="0"/>
        <v>25</v>
      </c>
      <c r="E27" s="36"/>
      <c r="F27" s="36" t="s">
        <v>209</v>
      </c>
      <c r="G27" s="36"/>
      <c r="H27" s="36"/>
      <c r="I27" s="36"/>
      <c r="J27" s="62">
        <f t="shared" si="1"/>
        <v>2</v>
      </c>
      <c r="M27" s="22"/>
      <c r="N27" s="36"/>
      <c r="O27" s="36"/>
      <c r="P27" s="36"/>
      <c r="Q27" s="36"/>
      <c r="R27" s="36"/>
      <c r="S27" s="36"/>
      <c r="T27" s="36"/>
      <c r="U27" s="62"/>
    </row>
    <row r="28" spans="2:23" outlineLevel="1" x14ac:dyDescent="0.35">
      <c r="B28" s="22" t="s">
        <v>107</v>
      </c>
      <c r="C28" s="36"/>
      <c r="D28" s="36">
        <f t="shared" si="0"/>
        <v>2500</v>
      </c>
      <c r="E28" s="36"/>
      <c r="F28" s="36"/>
      <c r="G28" s="36"/>
      <c r="H28" s="36"/>
      <c r="I28" s="36"/>
      <c r="J28" s="62"/>
      <c r="M28" s="22" t="s">
        <v>139</v>
      </c>
      <c r="N28" s="36"/>
      <c r="O28" s="64">
        <f>O24+O25-O26</f>
        <v>1.4937199999999999</v>
      </c>
      <c r="P28" s="36"/>
      <c r="Q28" s="36" t="s">
        <v>225</v>
      </c>
      <c r="R28" s="36"/>
      <c r="S28" s="36"/>
      <c r="T28" s="36">
        <f>(T24+T25-T26)*J23</f>
        <v>0.53174999999999994</v>
      </c>
      <c r="U28" s="62"/>
    </row>
    <row r="29" spans="2:23" outlineLevel="1" x14ac:dyDescent="0.35">
      <c r="B29" s="22"/>
      <c r="C29" s="36"/>
      <c r="D29" s="36"/>
      <c r="E29" s="36"/>
      <c r="F29" s="36" t="s">
        <v>226</v>
      </c>
      <c r="G29" s="36"/>
      <c r="H29" s="36"/>
      <c r="I29" s="36"/>
      <c r="J29" s="121">
        <f>(2*J26+J25)/1000*J24/1000*J27/1000</f>
        <v>5.3999999999999998E-5</v>
      </c>
      <c r="M29" s="22"/>
      <c r="N29" s="36"/>
      <c r="O29" s="36"/>
      <c r="P29" s="36"/>
      <c r="Q29" s="36"/>
      <c r="R29" s="36"/>
      <c r="S29" s="36"/>
      <c r="T29" s="36"/>
      <c r="U29" s="62"/>
    </row>
    <row r="30" spans="2:23" outlineLevel="1" x14ac:dyDescent="0.35">
      <c r="B30" s="22"/>
      <c r="C30" s="36"/>
      <c r="D30" s="36"/>
      <c r="E30" s="36"/>
      <c r="F30" s="36" t="s">
        <v>227</v>
      </c>
      <c r="G30" s="36"/>
      <c r="H30" s="36"/>
      <c r="I30" s="36"/>
      <c r="J30" s="74">
        <f>J29*D8</f>
        <v>0.4239</v>
      </c>
      <c r="M30" s="22" t="s">
        <v>141</v>
      </c>
      <c r="N30" s="36"/>
      <c r="O30" s="64">
        <f>O28+T28</f>
        <v>2.0254699999999999</v>
      </c>
      <c r="P30" s="36"/>
      <c r="Q30" s="36"/>
      <c r="R30" s="36"/>
      <c r="S30" s="36"/>
      <c r="T30" s="36"/>
      <c r="U30" s="62"/>
    </row>
    <row r="31" spans="2:23" outlineLevel="1" x14ac:dyDescent="0.35">
      <c r="B31" s="22" t="s">
        <v>228</v>
      </c>
      <c r="C31" s="36"/>
      <c r="D31" s="36">
        <f>2*(D25+D27*2)/1000*D26/1000*D28/1000</f>
        <v>1.4999999999999998E-3</v>
      </c>
      <c r="E31" s="36"/>
      <c r="F31" s="36" t="s">
        <v>229</v>
      </c>
      <c r="G31" s="36"/>
      <c r="H31" s="36"/>
      <c r="I31" s="36"/>
      <c r="J31" s="74">
        <f>J30*(D6*(1+D7))</f>
        <v>30.944700000000001</v>
      </c>
      <c r="M31" s="22"/>
      <c r="N31" s="36"/>
      <c r="O31" s="36"/>
      <c r="P31" s="36"/>
      <c r="Q31" s="36"/>
      <c r="R31" s="36"/>
      <c r="S31" s="36"/>
      <c r="T31" s="36"/>
      <c r="U31" s="62"/>
    </row>
    <row r="32" spans="2:23" outlineLevel="1" x14ac:dyDescent="0.35">
      <c r="B32" s="22" t="s">
        <v>230</v>
      </c>
      <c r="C32" s="36"/>
      <c r="D32" s="36">
        <f>D31*D8</f>
        <v>11.774999999999999</v>
      </c>
      <c r="E32" s="36"/>
      <c r="F32" s="36" t="s">
        <v>231</v>
      </c>
      <c r="G32" s="36"/>
      <c r="H32" s="36"/>
      <c r="I32" s="36"/>
      <c r="J32" s="74">
        <f>J31*J23</f>
        <v>309.447</v>
      </c>
      <c r="M32" s="22" t="s">
        <v>144</v>
      </c>
      <c r="N32" s="36"/>
      <c r="O32" s="66">
        <f>O30*H6*10^-6*H7</f>
        <v>1.2428486466999999</v>
      </c>
      <c r="P32" s="36"/>
      <c r="Q32" s="36"/>
      <c r="R32" s="36"/>
      <c r="S32" s="36"/>
      <c r="T32" s="36"/>
      <c r="U32" s="62"/>
    </row>
    <row r="33" spans="2:21" outlineLevel="1" x14ac:dyDescent="0.35">
      <c r="B33" s="22" t="s">
        <v>232</v>
      </c>
      <c r="C33" s="36"/>
      <c r="D33" s="66">
        <f>D32*(D6*(1+D7))</f>
        <v>859.57499999999993</v>
      </c>
      <c r="E33" s="36"/>
      <c r="F33" s="36"/>
      <c r="G33" s="36"/>
      <c r="H33" s="36"/>
      <c r="I33" s="36"/>
      <c r="J33" s="62"/>
      <c r="M33" s="22" t="s">
        <v>100</v>
      </c>
      <c r="N33" s="36"/>
      <c r="O33" s="67">
        <f>H9</f>
        <v>0</v>
      </c>
      <c r="P33" s="36"/>
      <c r="Q33" s="36"/>
      <c r="R33" s="36"/>
      <c r="S33" s="36"/>
      <c r="T33" s="36"/>
      <c r="U33" s="62"/>
    </row>
    <row r="34" spans="2:21" outlineLevel="1" x14ac:dyDescent="0.35">
      <c r="B34" s="22"/>
      <c r="C34" s="36"/>
      <c r="D34" s="36"/>
      <c r="E34" s="36"/>
      <c r="F34" s="36"/>
      <c r="G34" s="36"/>
      <c r="H34" s="36"/>
      <c r="I34" s="36"/>
      <c r="J34" s="62"/>
      <c r="M34" s="22" t="s">
        <v>147</v>
      </c>
      <c r="N34" s="36"/>
      <c r="O34" s="66">
        <f>(1+O33)*O32</f>
        <v>1.2428486466999999</v>
      </c>
      <c r="P34" s="36"/>
      <c r="Q34" s="36"/>
      <c r="R34" s="36"/>
      <c r="S34" s="36"/>
      <c r="T34" s="36"/>
      <c r="U34" s="62"/>
    </row>
    <row r="35" spans="2:21" outlineLevel="1" x14ac:dyDescent="0.35">
      <c r="B35" s="68" t="s">
        <v>233</v>
      </c>
      <c r="C35" s="36"/>
      <c r="D35" s="36"/>
      <c r="E35" s="36"/>
      <c r="F35" s="36"/>
      <c r="G35" s="36"/>
      <c r="H35" s="36"/>
      <c r="I35" s="36"/>
      <c r="J35" s="62"/>
      <c r="M35" s="22" t="s">
        <v>148</v>
      </c>
      <c r="N35" s="36"/>
      <c r="O35" s="70">
        <f>O34*H8</f>
        <v>528.95638403552005</v>
      </c>
      <c r="P35" s="36"/>
      <c r="Q35" s="36"/>
      <c r="R35" s="36"/>
      <c r="S35" s="36"/>
      <c r="T35" s="36"/>
      <c r="U35" s="62"/>
    </row>
    <row r="36" spans="2:21" ht="15.5" outlineLevel="1" x14ac:dyDescent="0.35">
      <c r="B36" s="59" t="s">
        <v>216</v>
      </c>
      <c r="C36" s="36"/>
      <c r="D36" s="36"/>
      <c r="E36" s="36"/>
      <c r="F36" s="60" t="s">
        <v>217</v>
      </c>
      <c r="G36" s="36"/>
      <c r="H36" s="36"/>
      <c r="I36" s="36"/>
      <c r="J36" s="62"/>
      <c r="M36" s="22"/>
      <c r="N36" s="36"/>
      <c r="O36" s="36"/>
      <c r="P36" s="36"/>
      <c r="Q36" s="36"/>
      <c r="R36" s="36"/>
      <c r="S36" s="36"/>
      <c r="T36" s="36"/>
      <c r="U36" s="62"/>
    </row>
    <row r="37" spans="2:21" outlineLevel="1" x14ac:dyDescent="0.35">
      <c r="B37" s="22" t="s">
        <v>211</v>
      </c>
      <c r="C37" s="36"/>
      <c r="D37" s="36">
        <f>O13</f>
        <v>20</v>
      </c>
      <c r="E37" s="36"/>
      <c r="F37" s="36" t="s">
        <v>210</v>
      </c>
      <c r="G37" s="36"/>
      <c r="H37" s="36"/>
      <c r="I37" s="36"/>
      <c r="J37" s="62">
        <f>U12</f>
        <v>1</v>
      </c>
      <c r="M37" s="22" t="s">
        <v>152</v>
      </c>
      <c r="N37" s="36"/>
      <c r="O37" s="66">
        <f>H10*O32</f>
        <v>0.14914183760399999</v>
      </c>
      <c r="P37" s="36"/>
      <c r="Q37" s="36" t="s">
        <v>153</v>
      </c>
      <c r="R37" s="36"/>
      <c r="S37" s="36"/>
      <c r="T37" s="36">
        <f>H12*$H$8</f>
        <v>110.65600000000001</v>
      </c>
      <c r="U37" s="62"/>
    </row>
    <row r="38" spans="2:21" outlineLevel="1" x14ac:dyDescent="0.35">
      <c r="B38" s="22" t="s">
        <v>123</v>
      </c>
      <c r="C38" s="36"/>
      <c r="D38" s="36">
        <f>O14</f>
        <v>10</v>
      </c>
      <c r="E38" s="36"/>
      <c r="F38" s="36" t="s">
        <v>212</v>
      </c>
      <c r="G38" s="36"/>
      <c r="H38" s="36"/>
      <c r="I38" s="36"/>
      <c r="J38" s="62">
        <f>U13</f>
        <v>25</v>
      </c>
      <c r="M38" s="22" t="s">
        <v>156</v>
      </c>
      <c r="N38" s="36"/>
      <c r="O38" s="66">
        <f>H11*O32</f>
        <v>9.9427891736000001E-2</v>
      </c>
      <c r="P38" s="36"/>
      <c r="Q38" s="36" t="s">
        <v>157</v>
      </c>
      <c r="R38" s="36"/>
      <c r="S38" s="36"/>
      <c r="T38" s="36">
        <f>H13*$H$8</f>
        <v>221.31200000000001</v>
      </c>
      <c r="U38" s="62"/>
    </row>
    <row r="39" spans="2:21" outlineLevel="1" x14ac:dyDescent="0.35">
      <c r="B39" s="22" t="s">
        <v>155</v>
      </c>
      <c r="C39" s="36"/>
      <c r="D39" s="71">
        <f>2*D37*3.14*(D38/2/1000)^2*D26/1000</f>
        <v>6.2800000000000009E-6</v>
      </c>
      <c r="E39" s="36"/>
      <c r="F39" s="36" t="s">
        <v>213</v>
      </c>
      <c r="G39" s="36"/>
      <c r="H39" s="36"/>
      <c r="I39" s="36"/>
      <c r="J39" s="62">
        <f>U14</f>
        <v>10</v>
      </c>
      <c r="M39" s="22" t="s">
        <v>160</v>
      </c>
      <c r="N39" s="36"/>
      <c r="O39" s="66">
        <f>O37*T37+O38*T38</f>
        <v>38.508024757785861</v>
      </c>
      <c r="P39" s="36"/>
      <c r="Q39" s="36"/>
      <c r="R39" s="36"/>
      <c r="S39" s="36"/>
      <c r="T39" s="36"/>
      <c r="U39" s="62"/>
    </row>
    <row r="40" spans="2:21" outlineLevel="1" x14ac:dyDescent="0.35">
      <c r="B40" s="22"/>
      <c r="C40" s="36"/>
      <c r="D40" s="71"/>
      <c r="E40" s="36"/>
      <c r="F40" s="36" t="s">
        <v>234</v>
      </c>
      <c r="G40" s="36"/>
      <c r="H40" s="36"/>
      <c r="I40" s="36"/>
      <c r="J40" s="62">
        <f>J38/1000*J39/1000*J27/1000</f>
        <v>4.9999999999999998E-7</v>
      </c>
      <c r="M40" s="22"/>
      <c r="N40" s="36"/>
      <c r="O40" s="36"/>
      <c r="P40" s="36"/>
      <c r="Q40" s="36"/>
      <c r="R40" s="36"/>
      <c r="S40" s="36"/>
      <c r="T40" s="36"/>
      <c r="U40" s="62"/>
    </row>
    <row r="41" spans="2:21" outlineLevel="1" x14ac:dyDescent="0.35">
      <c r="B41" s="22" t="s">
        <v>235</v>
      </c>
      <c r="C41" s="36"/>
      <c r="D41" s="66">
        <f>D39*D8</f>
        <v>4.9298000000000008E-2</v>
      </c>
      <c r="E41" s="36"/>
      <c r="F41" s="36" t="s">
        <v>236</v>
      </c>
      <c r="G41" s="36"/>
      <c r="H41" s="36"/>
      <c r="I41" s="36"/>
      <c r="J41" s="62">
        <f>D24/40*J40</f>
        <v>3.7499999999999997E-6</v>
      </c>
      <c r="M41" s="22" t="s">
        <v>164</v>
      </c>
      <c r="N41" s="36"/>
      <c r="O41" s="66">
        <f>O35-O39</f>
        <v>490.4483592777342</v>
      </c>
      <c r="P41" s="36"/>
      <c r="Q41" s="36"/>
      <c r="R41" s="36"/>
      <c r="S41" s="36"/>
      <c r="T41" s="36"/>
      <c r="U41" s="62"/>
    </row>
    <row r="42" spans="2:21" outlineLevel="1" x14ac:dyDescent="0.35">
      <c r="B42" s="22" t="s">
        <v>161</v>
      </c>
      <c r="C42" s="36"/>
      <c r="D42" s="66">
        <f>D41*D6</f>
        <v>3.5987540000000005</v>
      </c>
      <c r="E42" s="36"/>
      <c r="F42" s="36" t="s">
        <v>237</v>
      </c>
      <c r="G42" s="36"/>
      <c r="H42" s="36"/>
      <c r="I42" s="36"/>
      <c r="J42" s="62">
        <f>J41*D8</f>
        <v>2.9437499999999998E-2</v>
      </c>
      <c r="M42" s="22"/>
      <c r="N42" s="36"/>
      <c r="O42" s="36"/>
      <c r="P42" s="36"/>
      <c r="Q42" s="36"/>
      <c r="R42" s="36"/>
      <c r="S42" s="36"/>
      <c r="T42" s="36"/>
      <c r="U42" s="62"/>
    </row>
    <row r="43" spans="2:21" outlineLevel="1" x14ac:dyDescent="0.35">
      <c r="B43" s="22" t="s">
        <v>163</v>
      </c>
      <c r="C43" s="36"/>
      <c r="D43" s="67">
        <f>D11</f>
        <v>0.5</v>
      </c>
      <c r="E43" s="36"/>
      <c r="F43" s="36" t="s">
        <v>238</v>
      </c>
      <c r="G43" s="36"/>
      <c r="H43" s="36"/>
      <c r="I43" s="36"/>
      <c r="J43" s="62">
        <f>J42*J23</f>
        <v>0.294375</v>
      </c>
      <c r="M43" s="22"/>
      <c r="N43" s="36"/>
      <c r="O43" s="36"/>
      <c r="P43" s="36"/>
      <c r="Q43" s="36"/>
      <c r="R43" s="36"/>
      <c r="S43" s="36"/>
      <c r="T43" s="36"/>
      <c r="U43" s="62"/>
    </row>
    <row r="44" spans="2:21" outlineLevel="1" x14ac:dyDescent="0.35">
      <c r="B44" s="22" t="s">
        <v>166</v>
      </c>
      <c r="C44" s="36"/>
      <c r="D44" s="66">
        <f>D42*D43</f>
        <v>1.7993770000000002</v>
      </c>
      <c r="E44" s="36"/>
      <c r="F44" s="36" t="s">
        <v>161</v>
      </c>
      <c r="G44" s="36"/>
      <c r="H44" s="36"/>
      <c r="I44" s="36"/>
      <c r="J44" s="74">
        <f>J43*D6</f>
        <v>21.489374999999999</v>
      </c>
      <c r="M44" s="22"/>
      <c r="N44" s="36"/>
      <c r="O44" s="36"/>
      <c r="P44" s="36"/>
      <c r="Q44" s="36"/>
      <c r="R44" s="36"/>
      <c r="S44" s="36"/>
      <c r="T44" s="36"/>
      <c r="U44" s="62"/>
    </row>
    <row r="45" spans="2:21" outlineLevel="1" x14ac:dyDescent="0.35">
      <c r="B45" s="22"/>
      <c r="C45" s="36"/>
      <c r="D45" s="36"/>
      <c r="E45" s="36"/>
      <c r="F45" s="36" t="s">
        <v>166</v>
      </c>
      <c r="G45" s="36"/>
      <c r="H45" s="36"/>
      <c r="I45" s="36"/>
      <c r="J45" s="74">
        <f>J44*D43</f>
        <v>10.7446875</v>
      </c>
      <c r="M45" s="22"/>
      <c r="N45" s="36"/>
      <c r="O45" s="36"/>
      <c r="P45" s="36"/>
      <c r="Q45" s="36"/>
      <c r="R45" s="36"/>
      <c r="S45" s="36"/>
      <c r="T45" s="36"/>
      <c r="U45" s="62"/>
    </row>
    <row r="46" spans="2:21" outlineLevel="1" x14ac:dyDescent="0.35">
      <c r="B46" s="22"/>
      <c r="C46" s="36"/>
      <c r="D46" s="36"/>
      <c r="E46" s="36"/>
      <c r="F46" s="36"/>
      <c r="G46" s="36"/>
      <c r="H46" s="36"/>
      <c r="I46" s="36"/>
      <c r="J46" s="62"/>
      <c r="M46" s="22"/>
      <c r="N46" s="36"/>
      <c r="O46" s="36"/>
      <c r="P46" s="36"/>
      <c r="Q46" s="36"/>
      <c r="R46" s="36"/>
      <c r="S46" s="36"/>
      <c r="T46" s="36"/>
      <c r="U46" s="62"/>
    </row>
    <row r="47" spans="2:21" outlineLevel="1" x14ac:dyDescent="0.35">
      <c r="B47" s="22" t="s">
        <v>239</v>
      </c>
      <c r="C47" s="36"/>
      <c r="D47" s="66">
        <f>D33-D44</f>
        <v>857.77562299999988</v>
      </c>
      <c r="E47" s="36"/>
      <c r="F47" s="36" t="s">
        <v>240</v>
      </c>
      <c r="G47" s="36"/>
      <c r="H47" s="36"/>
      <c r="I47" s="36"/>
      <c r="J47" s="74">
        <f>J32-J45</f>
        <v>298.70231250000001</v>
      </c>
      <c r="M47" s="22"/>
      <c r="N47" s="36"/>
      <c r="O47" s="36"/>
      <c r="P47" s="36"/>
      <c r="Q47" s="36"/>
      <c r="R47" s="36"/>
      <c r="S47" s="36"/>
      <c r="T47" s="36"/>
      <c r="U47" s="62"/>
    </row>
    <row r="48" spans="2:21" outlineLevel="1" x14ac:dyDescent="0.35">
      <c r="B48" s="22"/>
      <c r="C48" s="36"/>
      <c r="D48" s="36"/>
      <c r="E48" s="36"/>
      <c r="F48" s="36"/>
      <c r="G48" s="36"/>
      <c r="H48" s="36"/>
      <c r="I48" s="36"/>
      <c r="J48" s="62"/>
      <c r="M48" s="22"/>
      <c r="N48" s="36"/>
      <c r="O48" s="36"/>
      <c r="P48" s="36"/>
      <c r="Q48" s="36"/>
      <c r="R48" s="36"/>
      <c r="S48" s="36"/>
      <c r="T48" s="36"/>
      <c r="U48" s="62"/>
    </row>
    <row r="49" spans="2:21" outlineLevel="1" x14ac:dyDescent="0.35">
      <c r="B49" s="22" t="s">
        <v>168</v>
      </c>
      <c r="C49" s="36"/>
      <c r="D49" s="66">
        <f>D47+J47</f>
        <v>1156.4779354999998</v>
      </c>
      <c r="E49" s="36"/>
      <c r="F49" s="36"/>
      <c r="G49" s="36"/>
      <c r="H49" s="36"/>
      <c r="I49" s="36"/>
      <c r="J49" s="62"/>
      <c r="M49" s="22"/>
      <c r="N49" s="36"/>
      <c r="O49" s="36"/>
      <c r="P49" s="36"/>
      <c r="Q49" s="36"/>
      <c r="R49" s="36"/>
      <c r="S49" s="36"/>
      <c r="T49" s="36"/>
      <c r="U49" s="62"/>
    </row>
    <row r="50" spans="2:21" outlineLevel="1" x14ac:dyDescent="0.35">
      <c r="B50" s="22" t="s">
        <v>108</v>
      </c>
      <c r="C50" s="36"/>
      <c r="D50" s="122">
        <f>D12</f>
        <v>0</v>
      </c>
      <c r="E50" s="36"/>
      <c r="F50" s="36"/>
      <c r="G50" s="36"/>
      <c r="H50" s="36"/>
      <c r="I50" s="36"/>
      <c r="J50" s="62"/>
      <c r="M50" s="22"/>
      <c r="N50" s="36"/>
      <c r="O50" s="36"/>
      <c r="P50" s="36"/>
      <c r="Q50" s="36"/>
      <c r="R50" s="36"/>
      <c r="S50" s="36"/>
      <c r="T50" s="36"/>
      <c r="U50" s="62"/>
    </row>
    <row r="51" spans="2:21" outlineLevel="1" x14ac:dyDescent="0.35">
      <c r="B51" s="22" t="s">
        <v>169</v>
      </c>
      <c r="C51" s="36"/>
      <c r="D51" s="70">
        <f>(1+D50)*D49</f>
        <v>1156.4779354999998</v>
      </c>
      <c r="E51" s="36"/>
      <c r="F51" s="36"/>
      <c r="G51" s="36"/>
      <c r="H51" s="36"/>
      <c r="I51" s="36"/>
      <c r="J51" s="62"/>
      <c r="M51" s="22"/>
      <c r="N51" s="36"/>
      <c r="O51" s="36"/>
      <c r="P51" s="36"/>
      <c r="Q51" s="36"/>
      <c r="R51" s="36"/>
      <c r="S51" s="36"/>
      <c r="T51" s="36"/>
      <c r="U51" s="62"/>
    </row>
    <row r="52" spans="2:21" ht="15" outlineLevel="1" thickBot="1" x14ac:dyDescent="0.4">
      <c r="B52" s="76"/>
      <c r="C52" s="77"/>
      <c r="D52" s="78"/>
      <c r="E52" s="77"/>
      <c r="F52" s="77"/>
      <c r="G52" s="77"/>
      <c r="H52" s="77"/>
      <c r="I52" s="77"/>
      <c r="J52" s="79"/>
      <c r="M52" s="76"/>
      <c r="N52" s="77"/>
      <c r="O52" s="77"/>
      <c r="P52" s="77"/>
      <c r="Q52" s="77"/>
      <c r="R52" s="77"/>
      <c r="S52" s="77"/>
      <c r="T52" s="77"/>
      <c r="U52" s="79"/>
    </row>
    <row r="54" spans="2:21" ht="15.5" hidden="1" x14ac:dyDescent="0.35">
      <c r="B54" s="56" t="s">
        <v>170</v>
      </c>
      <c r="C54" s="57"/>
      <c r="D54" s="57"/>
      <c r="E54" s="57"/>
      <c r="F54" s="57"/>
      <c r="G54" s="57"/>
      <c r="H54" s="57"/>
      <c r="I54" s="57"/>
      <c r="J54" s="58"/>
      <c r="M54" s="56" t="s">
        <v>241</v>
      </c>
      <c r="N54" s="57"/>
      <c r="O54" s="57"/>
      <c r="P54" s="57"/>
      <c r="Q54" s="57"/>
      <c r="R54" s="57"/>
      <c r="S54" s="57"/>
      <c r="T54" s="57"/>
      <c r="U54" s="58"/>
    </row>
    <row r="55" spans="2:21" hidden="1" x14ac:dyDescent="0.35">
      <c r="B55" s="22" t="s">
        <v>171</v>
      </c>
      <c r="C55" s="36"/>
      <c r="D55" s="66">
        <f>(D33+J32)*D9</f>
        <v>0</v>
      </c>
      <c r="E55" s="36"/>
      <c r="F55" s="36"/>
      <c r="G55" s="36"/>
      <c r="H55" s="36"/>
      <c r="I55" s="36"/>
      <c r="J55" s="62"/>
      <c r="M55" s="22" t="s">
        <v>242</v>
      </c>
      <c r="N55" s="66">
        <f>O35*H14</f>
        <v>0</v>
      </c>
      <c r="O55" s="36"/>
      <c r="P55" s="36"/>
      <c r="Q55" s="36"/>
      <c r="R55" s="36"/>
      <c r="S55" s="36"/>
      <c r="T55" s="36"/>
      <c r="U55" s="62"/>
    </row>
    <row r="56" spans="2:21" hidden="1" x14ac:dyDescent="0.35">
      <c r="B56" s="80" t="s">
        <v>172</v>
      </c>
      <c r="C56" s="81"/>
      <c r="D56" s="82">
        <f>(D33+J32)*D10</f>
        <v>0</v>
      </c>
      <c r="E56" s="81"/>
      <c r="F56" s="81"/>
      <c r="G56" s="81"/>
      <c r="H56" s="81"/>
      <c r="I56" s="81"/>
      <c r="J56" s="83"/>
      <c r="M56" s="80"/>
      <c r="N56" s="82"/>
      <c r="O56" s="81"/>
      <c r="P56" s="81"/>
      <c r="Q56" s="81"/>
      <c r="R56" s="81"/>
      <c r="S56" s="81"/>
      <c r="T56" s="81"/>
      <c r="U56" s="83"/>
    </row>
    <row r="57" spans="2:21" hidden="1" x14ac:dyDescent="0.35">
      <c r="B57" s="80"/>
      <c r="C57" s="81"/>
      <c r="D57" s="82"/>
      <c r="E57" s="81"/>
      <c r="F57" s="81"/>
      <c r="G57" s="81"/>
      <c r="H57" s="81"/>
      <c r="I57" s="81"/>
      <c r="J57" s="83"/>
      <c r="M57" s="80"/>
      <c r="N57" s="82"/>
      <c r="O57" s="81"/>
      <c r="P57" s="81"/>
      <c r="Q57" s="81"/>
      <c r="R57" s="81"/>
      <c r="S57" s="81"/>
      <c r="T57" s="81"/>
      <c r="U57" s="83"/>
    </row>
    <row r="58" spans="2:21" ht="15" hidden="1" thickBot="1" x14ac:dyDescent="0.4">
      <c r="B58" s="76"/>
      <c r="C58" s="77"/>
      <c r="D58" s="77"/>
      <c r="E58" s="77"/>
      <c r="F58" s="77"/>
      <c r="G58" s="77"/>
      <c r="H58" s="77"/>
      <c r="I58" s="77"/>
      <c r="J58" s="79"/>
      <c r="M58" s="76"/>
      <c r="N58" s="77"/>
      <c r="O58" s="77"/>
      <c r="P58" s="77"/>
      <c r="Q58" s="77"/>
      <c r="R58" s="77"/>
      <c r="S58" s="77"/>
      <c r="T58" s="77"/>
      <c r="U58" s="79"/>
    </row>
    <row r="59" spans="2:21" hidden="1" x14ac:dyDescent="0.35"/>
    <row r="60" spans="2:21" hidden="1" x14ac:dyDescent="0.35"/>
    <row r="61" spans="2:21" ht="15.5" hidden="1" x14ac:dyDescent="0.35">
      <c r="B61" s="56" t="s">
        <v>243</v>
      </c>
      <c r="C61" s="57"/>
      <c r="D61" s="57"/>
      <c r="E61" s="57"/>
      <c r="F61" s="57"/>
      <c r="G61" s="57"/>
      <c r="H61" s="57"/>
      <c r="I61" s="57"/>
      <c r="J61" s="58"/>
    </row>
    <row r="62" spans="2:21" hidden="1" x14ac:dyDescent="0.35">
      <c r="B62" s="22"/>
      <c r="C62" s="36"/>
      <c r="D62" s="36"/>
      <c r="E62" s="36"/>
      <c r="F62" s="36"/>
      <c r="G62" s="36"/>
      <c r="H62" s="36"/>
      <c r="I62" s="36"/>
      <c r="J62" s="62"/>
    </row>
    <row r="63" spans="2:21" hidden="1" x14ac:dyDescent="0.35">
      <c r="B63" s="22" t="s">
        <v>176</v>
      </c>
      <c r="C63" s="36"/>
      <c r="D63" s="90">
        <f>D51</f>
        <v>1156.4779354999998</v>
      </c>
      <c r="E63" s="36"/>
      <c r="F63" s="36"/>
      <c r="G63" s="36"/>
      <c r="H63" s="36"/>
      <c r="I63" s="36"/>
      <c r="J63" s="62"/>
    </row>
    <row r="64" spans="2:21" hidden="1" x14ac:dyDescent="0.35">
      <c r="B64" s="22" t="s">
        <v>177</v>
      </c>
      <c r="C64" s="36"/>
      <c r="D64" s="90">
        <f>O41</f>
        <v>490.4483592777342</v>
      </c>
      <c r="E64" s="36"/>
      <c r="F64" s="36"/>
      <c r="G64" s="36"/>
      <c r="H64" s="36"/>
      <c r="I64" s="36"/>
      <c r="J64" s="62"/>
    </row>
    <row r="65" spans="2:11" hidden="1" x14ac:dyDescent="0.35">
      <c r="B65" s="22" t="s">
        <v>178</v>
      </c>
      <c r="C65" s="36"/>
      <c r="D65" s="90">
        <f>D55</f>
        <v>0</v>
      </c>
      <c r="E65" s="36"/>
      <c r="F65" s="36"/>
      <c r="G65" s="36"/>
      <c r="H65" s="36"/>
      <c r="I65" s="36"/>
      <c r="J65" s="62"/>
    </row>
    <row r="66" spans="2:11" hidden="1" x14ac:dyDescent="0.35">
      <c r="B66" s="22" t="s">
        <v>179</v>
      </c>
      <c r="C66" s="36"/>
      <c r="D66" s="90">
        <f>N55</f>
        <v>0</v>
      </c>
      <c r="E66" s="36"/>
      <c r="F66" s="36"/>
      <c r="G66" s="36"/>
      <c r="H66" s="36"/>
      <c r="I66" s="36"/>
      <c r="J66" s="62"/>
    </row>
    <row r="67" spans="2:11" hidden="1" x14ac:dyDescent="0.35">
      <c r="B67" s="80" t="s">
        <v>172</v>
      </c>
      <c r="C67" s="36"/>
      <c r="D67" s="90">
        <f>D56</f>
        <v>0</v>
      </c>
      <c r="E67" s="36"/>
      <c r="F67" s="36"/>
      <c r="G67" s="36"/>
      <c r="H67" s="36"/>
      <c r="I67" s="36"/>
      <c r="J67" s="62"/>
    </row>
    <row r="68" spans="2:11" hidden="1" x14ac:dyDescent="0.35">
      <c r="B68" s="22" t="s">
        <v>180</v>
      </c>
      <c r="C68" s="36"/>
      <c r="D68" s="90">
        <f>SUM(D63:D67)*D14</f>
        <v>0</v>
      </c>
      <c r="E68" s="36"/>
      <c r="F68" s="36"/>
      <c r="G68" s="36"/>
      <c r="H68" s="36"/>
      <c r="I68" s="36"/>
      <c r="J68" s="62"/>
    </row>
    <row r="69" spans="2:11" hidden="1" x14ac:dyDescent="0.35">
      <c r="B69" s="22" t="s">
        <v>244</v>
      </c>
      <c r="C69" s="36"/>
      <c r="D69" s="90">
        <f>SUM(D63:D68)*D15</f>
        <v>4117.3157369443352</v>
      </c>
      <c r="E69" s="36"/>
      <c r="F69" s="36"/>
      <c r="G69" s="36"/>
      <c r="H69" s="36"/>
      <c r="I69" s="36"/>
      <c r="J69" s="62"/>
    </row>
    <row r="70" spans="2:11" hidden="1" x14ac:dyDescent="0.35">
      <c r="B70" s="22" t="s">
        <v>182</v>
      </c>
      <c r="C70" s="36"/>
      <c r="D70" s="90">
        <f>SUM(D63:D69)*D16</f>
        <v>0</v>
      </c>
      <c r="E70" s="36"/>
      <c r="F70" s="36"/>
      <c r="G70" s="36"/>
      <c r="H70" s="36"/>
      <c r="I70" s="36"/>
      <c r="J70" s="62"/>
    </row>
    <row r="71" spans="2:11" hidden="1" x14ac:dyDescent="0.35">
      <c r="B71" s="22" t="s">
        <v>183</v>
      </c>
      <c r="C71" s="36"/>
      <c r="D71" s="90">
        <f>(D32+J30*J23-D41-J43)*D13</f>
        <v>0</v>
      </c>
      <c r="E71" s="36"/>
      <c r="F71" s="36"/>
      <c r="G71" s="36"/>
      <c r="H71" s="36"/>
      <c r="I71" s="36"/>
      <c r="J71" s="62"/>
      <c r="K71" s="123"/>
    </row>
    <row r="72" spans="2:11" ht="18.5" hidden="1" x14ac:dyDescent="0.35">
      <c r="B72" s="91" t="s">
        <v>245</v>
      </c>
      <c r="C72" s="92"/>
      <c r="D72" s="93">
        <f>SUM(D63:D71)</f>
        <v>5764.2420317220694</v>
      </c>
      <c r="E72" s="92"/>
      <c r="F72" s="92"/>
      <c r="G72" s="92"/>
      <c r="H72" s="92"/>
      <c r="I72" s="92"/>
      <c r="J72" s="94"/>
      <c r="K72" s="120"/>
    </row>
    <row r="73" spans="2:11" ht="19" hidden="1" thickBot="1" x14ac:dyDescent="0.4">
      <c r="B73" s="95" t="s">
        <v>246</v>
      </c>
      <c r="C73" s="96"/>
      <c r="D73" s="97">
        <f>SUM(D63:D70)</f>
        <v>5764.2420317220694</v>
      </c>
      <c r="E73" s="96"/>
      <c r="F73" s="96"/>
      <c r="G73" s="96"/>
      <c r="H73" s="96"/>
      <c r="I73" s="96"/>
      <c r="J73" s="98"/>
    </row>
    <row r="74" spans="2:11" hidden="1" x14ac:dyDescent="0.35"/>
    <row r="75" spans="2:11" hidden="1" x14ac:dyDescent="0.35"/>
    <row r="76" spans="2:11" hidden="1" x14ac:dyDescent="0.35">
      <c r="D76" s="124"/>
    </row>
    <row r="77" spans="2:11" hidden="1" x14ac:dyDescent="0.35"/>
    <row r="78" spans="2:11" ht="15" thickBot="1" x14ac:dyDescent="0.4"/>
    <row r="79" spans="2:11" ht="15.5" x14ac:dyDescent="0.35">
      <c r="B79" s="84" t="s">
        <v>173</v>
      </c>
      <c r="C79" s="85" t="s">
        <v>174</v>
      </c>
      <c r="D79" s="85"/>
      <c r="E79" s="85"/>
      <c r="F79" s="85"/>
      <c r="G79" s="85"/>
      <c r="H79" s="85"/>
      <c r="I79" s="85"/>
      <c r="J79" s="86"/>
    </row>
    <row r="80" spans="2:11" x14ac:dyDescent="0.35">
      <c r="B80" s="87"/>
      <c r="J80" s="88"/>
    </row>
    <row r="81" spans="2:10" x14ac:dyDescent="0.35">
      <c r="B81" s="87"/>
      <c r="C81" s="89" t="s">
        <v>247</v>
      </c>
      <c r="J81" s="88"/>
    </row>
    <row r="82" spans="2:10" x14ac:dyDescent="0.35">
      <c r="B82" s="87"/>
      <c r="J82" s="88"/>
    </row>
    <row r="83" spans="2:10" ht="15.65" hidden="1" customHeight="1" x14ac:dyDescent="0.35">
      <c r="B83" s="56" t="s">
        <v>175</v>
      </c>
      <c r="C83" s="57"/>
      <c r="D83" s="57"/>
      <c r="E83" s="57"/>
      <c r="F83" s="57"/>
      <c r="G83" s="57"/>
      <c r="H83" s="57"/>
      <c r="I83" s="57"/>
      <c r="J83" s="58"/>
    </row>
    <row r="84" spans="2:10" ht="14.5" hidden="1" customHeight="1" x14ac:dyDescent="0.35">
      <c r="B84" s="22"/>
      <c r="C84" s="36"/>
      <c r="D84" s="36"/>
      <c r="E84" s="36"/>
      <c r="F84" s="36"/>
      <c r="G84" s="36"/>
      <c r="H84" s="36"/>
      <c r="I84" s="36"/>
      <c r="J84" s="62"/>
    </row>
    <row r="85" spans="2:10" ht="14.5" hidden="1" customHeight="1" x14ac:dyDescent="0.35">
      <c r="B85" s="22" t="s">
        <v>176</v>
      </c>
      <c r="C85" s="36"/>
      <c r="D85" s="90">
        <f>D71</f>
        <v>0</v>
      </c>
      <c r="E85" s="36"/>
      <c r="F85" s="36"/>
      <c r="G85" s="36"/>
      <c r="H85" s="36"/>
      <c r="I85" s="36"/>
      <c r="J85" s="62"/>
    </row>
    <row r="86" spans="2:10" ht="14.5" hidden="1" customHeight="1" x14ac:dyDescent="0.35">
      <c r="B86" s="22" t="s">
        <v>177</v>
      </c>
      <c r="C86" s="36"/>
      <c r="D86" s="90">
        <f>O64</f>
        <v>0</v>
      </c>
      <c r="E86" s="36"/>
      <c r="F86" s="36"/>
      <c r="G86" s="36"/>
      <c r="H86" s="36"/>
      <c r="I86" s="36"/>
      <c r="J86" s="62"/>
    </row>
    <row r="87" spans="2:10" ht="14.5" hidden="1" customHeight="1" x14ac:dyDescent="0.35">
      <c r="B87" s="22" t="s">
        <v>178</v>
      </c>
      <c r="C87" s="36"/>
      <c r="D87" s="90">
        <f>D75</f>
        <v>0</v>
      </c>
      <c r="E87" s="36"/>
      <c r="F87" s="36"/>
      <c r="G87" s="36"/>
      <c r="H87" s="36"/>
      <c r="I87" s="36"/>
      <c r="J87" s="62"/>
    </row>
    <row r="88" spans="2:10" ht="14.5" hidden="1" customHeight="1" x14ac:dyDescent="0.35">
      <c r="B88" s="22" t="s">
        <v>179</v>
      </c>
      <c r="C88" s="36"/>
      <c r="D88" s="90">
        <f>O75</f>
        <v>0</v>
      </c>
      <c r="E88" s="36"/>
      <c r="F88" s="36"/>
      <c r="G88" s="36"/>
      <c r="H88" s="36"/>
      <c r="I88" s="36"/>
      <c r="J88" s="62"/>
    </row>
    <row r="89" spans="2:10" ht="14.5" hidden="1" customHeight="1" x14ac:dyDescent="0.35">
      <c r="B89" s="80" t="s">
        <v>172</v>
      </c>
      <c r="C89" s="36"/>
      <c r="D89" s="90">
        <f>D76</f>
        <v>0</v>
      </c>
      <c r="E89" s="36"/>
      <c r="F89" s="36"/>
      <c r="G89" s="36"/>
      <c r="H89" s="36"/>
      <c r="I89" s="36"/>
      <c r="J89" s="62"/>
    </row>
    <row r="90" spans="2:10" ht="14.5" hidden="1" customHeight="1" x14ac:dyDescent="0.35">
      <c r="B90" s="22" t="s">
        <v>180</v>
      </c>
      <c r="C90" s="36"/>
      <c r="D90" s="90">
        <f>SUM(D85:D89)*D36</f>
        <v>0</v>
      </c>
      <c r="E90" s="36"/>
      <c r="F90" s="36"/>
      <c r="G90" s="36"/>
      <c r="H90" s="36"/>
      <c r="I90" s="36"/>
      <c r="J90" s="62"/>
    </row>
    <row r="91" spans="2:10" ht="14.5" hidden="1" customHeight="1" x14ac:dyDescent="0.35">
      <c r="B91" s="22" t="s">
        <v>181</v>
      </c>
      <c r="C91" s="36"/>
      <c r="D91" s="90">
        <f>SUM(D85:D90)*D37</f>
        <v>0</v>
      </c>
      <c r="E91" s="36"/>
      <c r="F91" s="36"/>
      <c r="G91" s="36"/>
      <c r="H91" s="36"/>
      <c r="I91" s="36"/>
      <c r="J91" s="62"/>
    </row>
    <row r="92" spans="2:10" ht="14.5" hidden="1" customHeight="1" x14ac:dyDescent="0.35">
      <c r="B92" s="22" t="s">
        <v>182</v>
      </c>
      <c r="C92" s="36"/>
      <c r="D92" s="90">
        <f>SUM(D85:D91)*D38</f>
        <v>0</v>
      </c>
      <c r="E92" s="36"/>
      <c r="F92" s="36"/>
      <c r="G92" s="36"/>
      <c r="H92" s="36"/>
      <c r="I92" s="36"/>
      <c r="J92" s="62"/>
    </row>
    <row r="93" spans="2:10" ht="14.5" hidden="1" customHeight="1" x14ac:dyDescent="0.35">
      <c r="B93" s="22" t="s">
        <v>183</v>
      </c>
      <c r="C93" s="36"/>
      <c r="D93" s="90">
        <f>(D54-D62-I63)*D35</f>
        <v>0</v>
      </c>
      <c r="E93" s="36"/>
      <c r="F93" s="36"/>
      <c r="G93" s="36"/>
      <c r="H93" s="36"/>
      <c r="I93" s="36"/>
      <c r="J93" s="62"/>
    </row>
    <row r="94" spans="2:10" ht="14.5" hidden="1" customHeight="1" x14ac:dyDescent="0.35">
      <c r="B94" s="22"/>
      <c r="C94" s="36"/>
      <c r="D94" s="90"/>
      <c r="E94" s="36"/>
      <c r="F94" s="36"/>
      <c r="G94" s="36"/>
      <c r="H94" s="36"/>
      <c r="I94" s="36"/>
      <c r="J94" s="62"/>
    </row>
    <row r="95" spans="2:10" ht="18.649999999999999" hidden="1" customHeight="1" x14ac:dyDescent="0.35">
      <c r="B95" s="91" t="s">
        <v>184</v>
      </c>
      <c r="C95" s="92"/>
      <c r="D95" s="93">
        <f>SUM(D85:D93)</f>
        <v>0</v>
      </c>
      <c r="E95" s="92"/>
      <c r="F95" s="92"/>
      <c r="G95" s="92"/>
      <c r="H95" s="92"/>
      <c r="I95" s="92"/>
      <c r="J95" s="94"/>
    </row>
    <row r="96" spans="2:10" ht="19" hidden="1" customHeight="1" x14ac:dyDescent="0.35">
      <c r="B96" s="95" t="s">
        <v>185</v>
      </c>
      <c r="C96" s="96"/>
      <c r="D96" s="97">
        <f>SUM(D85:D92)</f>
        <v>0</v>
      </c>
      <c r="E96" s="96"/>
      <c r="F96" s="96"/>
      <c r="G96" s="96"/>
      <c r="H96" s="96"/>
      <c r="I96" s="96"/>
      <c r="J96" s="98"/>
    </row>
    <row r="97" spans="2:10" x14ac:dyDescent="0.35">
      <c r="B97" s="87"/>
      <c r="D97" s="99" t="s">
        <v>248</v>
      </c>
      <c r="E97" s="99" t="s">
        <v>186</v>
      </c>
      <c r="J97" s="88"/>
    </row>
    <row r="98" spans="2:10" x14ac:dyDescent="0.35">
      <c r="B98" s="22"/>
      <c r="C98" s="36" t="s">
        <v>249</v>
      </c>
      <c r="D98" s="100">
        <f>D32</f>
        <v>11.774999999999999</v>
      </c>
      <c r="E98" s="100">
        <f>'[1]Old Ladder type '!K9</f>
        <v>11.775</v>
      </c>
      <c r="F98" s="36"/>
      <c r="G98" s="36"/>
      <c r="H98" s="36"/>
      <c r="I98" s="36"/>
      <c r="J98" s="62"/>
    </row>
    <row r="99" spans="2:10" x14ac:dyDescent="0.35">
      <c r="B99" s="22"/>
      <c r="C99" s="36" t="s">
        <v>250</v>
      </c>
      <c r="D99" s="101">
        <f>D41</f>
        <v>4.9298000000000008E-2</v>
      </c>
      <c r="E99" s="101">
        <v>0</v>
      </c>
      <c r="F99" s="36"/>
      <c r="G99" s="36"/>
      <c r="H99" s="36"/>
      <c r="I99" s="36"/>
      <c r="J99" s="62"/>
    </row>
    <row r="100" spans="2:10" x14ac:dyDescent="0.35">
      <c r="B100" s="22"/>
      <c r="C100" s="36" t="s">
        <v>251</v>
      </c>
      <c r="D100" s="100">
        <f>J30*J23</f>
        <v>4.2389999999999999</v>
      </c>
      <c r="E100" s="100">
        <f>'[1]Old Ladder type '!L9</f>
        <v>8.4779999999999998</v>
      </c>
      <c r="F100" s="36"/>
      <c r="G100" s="36"/>
      <c r="H100" s="36"/>
      <c r="I100" s="36"/>
      <c r="J100" s="62"/>
    </row>
    <row r="101" spans="2:10" x14ac:dyDescent="0.35">
      <c r="B101" s="22"/>
      <c r="C101" s="36" t="s">
        <v>252</v>
      </c>
      <c r="D101" s="101">
        <f>J43</f>
        <v>0.294375</v>
      </c>
      <c r="E101" s="101">
        <v>0</v>
      </c>
      <c r="F101" s="125"/>
      <c r="G101" s="36"/>
      <c r="H101" s="36"/>
      <c r="I101" s="36"/>
      <c r="J101" s="62"/>
    </row>
    <row r="102" spans="2:10" x14ac:dyDescent="0.35">
      <c r="B102" s="22"/>
      <c r="C102" s="36" t="s">
        <v>253</v>
      </c>
      <c r="D102" s="101">
        <f>'[1]Final Coupler Plate'!D37*2</f>
        <v>0.44697900000000002</v>
      </c>
      <c r="E102" s="101">
        <f>'[1]Old Ladder type '!M9</f>
        <v>0.46157999999999999</v>
      </c>
      <c r="F102" s="103"/>
      <c r="G102" s="36"/>
      <c r="H102" s="36"/>
      <c r="I102" s="36"/>
      <c r="J102" s="62"/>
    </row>
    <row r="103" spans="2:10" x14ac:dyDescent="0.35">
      <c r="B103" s="22"/>
      <c r="C103" s="36" t="s">
        <v>190</v>
      </c>
      <c r="D103" s="100">
        <v>0.32</v>
      </c>
      <c r="E103" s="100">
        <v>0.32</v>
      </c>
      <c r="F103" s="104"/>
      <c r="G103" s="105" t="s">
        <v>191</v>
      </c>
      <c r="H103" s="36"/>
      <c r="I103" s="36"/>
      <c r="J103" s="62"/>
    </row>
    <row r="104" spans="2:10" x14ac:dyDescent="0.35">
      <c r="B104" s="22"/>
      <c r="C104" s="36" t="s">
        <v>192</v>
      </c>
      <c r="D104" s="100">
        <f>D98-D99+D100-D101+D102+D103</f>
        <v>16.437306</v>
      </c>
      <c r="E104" s="100">
        <f>E98-E99+E100-E101+E102+E103</f>
        <v>21.034580000000002</v>
      </c>
      <c r="F104" s="103">
        <f>(E104-D104)/D104</f>
        <v>0.2796853693664888</v>
      </c>
      <c r="G104" s="67"/>
      <c r="H104" s="36"/>
      <c r="I104" s="36"/>
      <c r="J104" s="62"/>
    </row>
    <row r="105" spans="2:10" x14ac:dyDescent="0.35">
      <c r="B105" s="22"/>
      <c r="C105" s="69" t="s">
        <v>193</v>
      </c>
      <c r="D105" s="126">
        <f>(D98*D6-D11*D99*D6)+(D100*D6-D11*D101*D6)+('[1]Final Coupler Plate'!D24-'Ladder 300x100x2'!D43*'[1]Final Coupler Plate'!D34)*'Ladder 300x100x2'!D6*2+'Ladder 300x100x2'!D103*'Ladder 300x100x2'!D6</f>
        <v>1214.2037439999997</v>
      </c>
      <c r="E105" s="126">
        <f>E104*D6</f>
        <v>1535.5243400000002</v>
      </c>
      <c r="F105" s="36"/>
      <c r="G105" s="67"/>
      <c r="H105" s="36"/>
      <c r="I105" s="36"/>
      <c r="J105" s="62"/>
    </row>
    <row r="106" spans="2:10" x14ac:dyDescent="0.35">
      <c r="B106" s="22"/>
      <c r="C106" s="36"/>
      <c r="D106" s="100"/>
      <c r="E106" s="100"/>
      <c r="F106" s="36"/>
      <c r="G106" s="36"/>
      <c r="H106" s="36"/>
      <c r="I106" s="36"/>
      <c r="J106" s="62"/>
    </row>
    <row r="107" spans="2:10" x14ac:dyDescent="0.35">
      <c r="B107" s="22"/>
      <c r="C107" s="36" t="s">
        <v>144</v>
      </c>
      <c r="D107" s="100">
        <f>5%*D104</f>
        <v>0.82186530000000002</v>
      </c>
      <c r="E107" s="100">
        <f>5%*E104</f>
        <v>1.0517290000000001</v>
      </c>
      <c r="F107" s="36"/>
      <c r="G107" s="105" t="s">
        <v>254</v>
      </c>
      <c r="H107" s="36"/>
      <c r="I107" s="36"/>
      <c r="J107" s="62"/>
    </row>
    <row r="108" spans="2:10" x14ac:dyDescent="0.35">
      <c r="B108" s="22"/>
      <c r="C108" s="36" t="s">
        <v>195</v>
      </c>
      <c r="D108" s="100">
        <f>D107*$H$8</f>
        <v>349.78587168000001</v>
      </c>
      <c r="E108" s="100">
        <f>E107*$H$8</f>
        <v>447.61586240000008</v>
      </c>
      <c r="F108" s="36"/>
      <c r="G108" s="36"/>
      <c r="H108" s="36"/>
      <c r="I108" s="36"/>
      <c r="J108" s="62"/>
    </row>
    <row r="109" spans="2:10" x14ac:dyDescent="0.35">
      <c r="B109" s="22"/>
      <c r="C109" s="36"/>
      <c r="D109" s="100"/>
      <c r="E109" s="100"/>
      <c r="F109" s="36"/>
      <c r="G109" s="36"/>
      <c r="H109" s="36"/>
      <c r="I109" s="36"/>
      <c r="J109" s="62"/>
    </row>
    <row r="110" spans="2:10" x14ac:dyDescent="0.35">
      <c r="B110" s="22"/>
      <c r="C110" s="36" t="s">
        <v>196</v>
      </c>
      <c r="D110" s="100">
        <f>(D104+D107)*$D$17</f>
        <v>134.62153613999999</v>
      </c>
      <c r="E110" s="100">
        <f>(E104+E107)*$D$17</f>
        <v>172.27321020000002</v>
      </c>
      <c r="F110" s="36"/>
      <c r="G110" s="36"/>
      <c r="H110" s="36"/>
      <c r="I110" s="36"/>
      <c r="J110" s="62"/>
    </row>
    <row r="111" spans="2:10" x14ac:dyDescent="0.35">
      <c r="B111" s="22"/>
      <c r="C111" s="36"/>
      <c r="D111" s="100"/>
      <c r="E111" s="100"/>
      <c r="F111" s="36"/>
      <c r="G111" s="36"/>
      <c r="H111" s="36"/>
      <c r="I111" s="36"/>
      <c r="J111" s="62"/>
    </row>
    <row r="112" spans="2:10" x14ac:dyDescent="0.35">
      <c r="B112" s="22"/>
      <c r="C112" s="69" t="s">
        <v>255</v>
      </c>
      <c r="D112" s="126">
        <f>D110+D105+D108</f>
        <v>1698.6111518199996</v>
      </c>
      <c r="E112" s="126">
        <f>E110+E105+E108</f>
        <v>2155.4134126000004</v>
      </c>
      <c r="F112" s="36"/>
      <c r="G112" s="36"/>
      <c r="H112" s="36"/>
      <c r="I112" s="36"/>
      <c r="J112" s="62"/>
    </row>
    <row r="113" spans="2:12" x14ac:dyDescent="0.35">
      <c r="B113" s="22"/>
      <c r="C113" s="69" t="s">
        <v>199</v>
      </c>
      <c r="D113" s="115">
        <f>D112/(O12/1000)</f>
        <v>679.44446072799985</v>
      </c>
      <c r="E113" s="115">
        <f>E112/(O12/1000)</f>
        <v>862.1653650400001</v>
      </c>
      <c r="F113" s="36"/>
      <c r="G113" s="36"/>
      <c r="H113" s="36"/>
      <c r="I113" s="36"/>
      <c r="J113" s="62"/>
    </row>
    <row r="114" spans="2:12" x14ac:dyDescent="0.35">
      <c r="B114" s="22"/>
      <c r="C114" s="36" t="s">
        <v>198</v>
      </c>
      <c r="D114" s="108">
        <f>(E112-D112)/D112</f>
        <v>0.26892691731745311</v>
      </c>
      <c r="E114" s="100"/>
      <c r="F114" s="36"/>
      <c r="G114" s="36"/>
      <c r="H114" s="36"/>
      <c r="I114" s="36"/>
      <c r="J114" s="62"/>
    </row>
    <row r="115" spans="2:12" ht="15" thickBot="1" x14ac:dyDescent="0.4">
      <c r="B115" s="76"/>
      <c r="C115" s="109"/>
      <c r="D115" s="109"/>
      <c r="E115" s="109"/>
      <c r="F115" s="77"/>
      <c r="G115" s="77"/>
      <c r="H115" s="77"/>
      <c r="I115" s="77"/>
      <c r="J115" s="79"/>
    </row>
    <row r="117" spans="2:12" hidden="1" x14ac:dyDescent="0.35"/>
    <row r="118" spans="2:12" ht="15.5" hidden="1" x14ac:dyDescent="0.35">
      <c r="B118" s="127" t="s">
        <v>256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9"/>
    </row>
    <row r="119" spans="2:12" hidden="1" x14ac:dyDescent="0.35">
      <c r="B119" s="87"/>
      <c r="L119" s="88"/>
    </row>
    <row r="120" spans="2:12" ht="15.5" hidden="1" x14ac:dyDescent="0.35">
      <c r="B120" s="87"/>
      <c r="D120" s="130" t="s">
        <v>257</v>
      </c>
      <c r="E120" s="130"/>
      <c r="F120" s="130"/>
      <c r="H120" s="131" t="s">
        <v>258</v>
      </c>
      <c r="I120" s="131"/>
      <c r="J120" s="131"/>
      <c r="L120" s="88"/>
    </row>
    <row r="121" spans="2:12" ht="43.5" hidden="1" x14ac:dyDescent="0.35">
      <c r="B121" s="87"/>
      <c r="C121" s="132" t="s">
        <v>259</v>
      </c>
      <c r="D121" s="89"/>
      <c r="H121" s="89"/>
      <c r="L121" s="88"/>
    </row>
    <row r="122" spans="2:12" hidden="1" x14ac:dyDescent="0.35">
      <c r="B122" s="87"/>
      <c r="D122" s="89"/>
      <c r="H122" s="89"/>
      <c r="L122" s="88"/>
    </row>
    <row r="123" spans="2:12" ht="29" hidden="1" x14ac:dyDescent="0.35">
      <c r="B123" s="87"/>
      <c r="D123" s="133" t="s">
        <v>260</v>
      </c>
      <c r="E123" s="133" t="s">
        <v>261</v>
      </c>
      <c r="F123" s="134" t="s">
        <v>262</v>
      </c>
      <c r="H123" s="133" t="s">
        <v>260</v>
      </c>
      <c r="I123" s="133" t="s">
        <v>261</v>
      </c>
      <c r="J123" s="134" t="s">
        <v>262</v>
      </c>
      <c r="K123" s="135" t="s">
        <v>263</v>
      </c>
      <c r="L123" s="136"/>
    </row>
    <row r="124" spans="2:12" ht="15.5" hidden="1" x14ac:dyDescent="0.35">
      <c r="B124" s="87"/>
      <c r="C124" s="137" t="str">
        <f>'[1]Old Ladder type '!B9</f>
        <v>600mm(W)X100mm(H)</v>
      </c>
      <c r="D124" s="138">
        <f>'[1]Old Ladder type '!Q9</f>
        <v>21.034580000000002</v>
      </c>
      <c r="E124" s="138">
        <f>'[1]Old Ladder type '!U9</f>
        <v>1.0517290000000001</v>
      </c>
      <c r="F124" s="138">
        <f>'[1]Old Ladder type '!Z9</f>
        <v>1774.5718244100003</v>
      </c>
      <c r="H124" s="138">
        <v>20.348960999999999</v>
      </c>
      <c r="I124" s="138">
        <v>1.01744805</v>
      </c>
      <c r="J124" s="138">
        <v>1322.4675931345</v>
      </c>
      <c r="K124" s="139">
        <f>(F124-J124)/J124</f>
        <v>0.3418641285597987</v>
      </c>
      <c r="L124" s="136"/>
    </row>
    <row r="125" spans="2:12" ht="15.5" hidden="1" x14ac:dyDescent="0.35">
      <c r="B125" s="87"/>
      <c r="C125" s="137" t="str">
        <f>'[1]Old Ladder type '!B10</f>
        <v>450mm(W)X100mm(H)</v>
      </c>
      <c r="D125" s="138">
        <f>'[1]Old Ladder type '!Q10</f>
        <v>18.915080000000003</v>
      </c>
      <c r="E125" s="138">
        <f>'[1]Old Ladder type '!U10</f>
        <v>0.94575400000000021</v>
      </c>
      <c r="F125" s="138">
        <f>'[1]Old Ladder type '!Z10</f>
        <v>1214.6224046600005</v>
      </c>
      <c r="H125" s="138">
        <v>18.376648499999998</v>
      </c>
      <c r="I125" s="138">
        <v>0.91883242499999995</v>
      </c>
      <c r="J125" s="138">
        <v>1192.4312196032499</v>
      </c>
      <c r="K125" s="139">
        <v>2.4768732392250623E-2</v>
      </c>
      <c r="L125" s="136"/>
    </row>
    <row r="126" spans="2:12" ht="15.5" hidden="1" x14ac:dyDescent="0.35">
      <c r="B126" s="87"/>
      <c r="C126" s="137" t="str">
        <f>'[1]Old Ladder type '!B11</f>
        <v>300mm(W)X100mm(H)</v>
      </c>
      <c r="D126" s="138">
        <f>'[1]Old Ladder type '!Q11</f>
        <v>16.795580000000001</v>
      </c>
      <c r="E126" s="138">
        <f>'[1]Old Ladder type '!U11</f>
        <v>0.83977900000000005</v>
      </c>
      <c r="F126" s="138">
        <f>'[1]Old Ladder type '!Z11</f>
        <v>1078.5197719100001</v>
      </c>
      <c r="H126" s="138">
        <v>16.404336000000001</v>
      </c>
      <c r="I126" s="138">
        <v>0.82021680000000008</v>
      </c>
      <c r="J126" s="138">
        <v>1062.3948460720001</v>
      </c>
      <c r="K126" s="139">
        <f>(F126-J126)/J126</f>
        <v>1.5177902921516311E-2</v>
      </c>
      <c r="L126" s="136"/>
    </row>
    <row r="127" spans="2:12" ht="15.5" hidden="1" x14ac:dyDescent="0.35">
      <c r="B127" s="87"/>
      <c r="C127" s="137"/>
      <c r="D127" s="138"/>
      <c r="E127" s="138"/>
      <c r="F127" s="138"/>
      <c r="H127" s="138"/>
      <c r="I127" s="138"/>
      <c r="J127" s="138"/>
      <c r="K127" s="139"/>
      <c r="L127" s="136"/>
    </row>
    <row r="128" spans="2:12" ht="15.5" hidden="1" x14ac:dyDescent="0.35">
      <c r="B128" s="87"/>
      <c r="C128" s="137"/>
      <c r="D128" s="138"/>
      <c r="E128" s="138"/>
      <c r="F128" s="138"/>
      <c r="H128" s="138"/>
      <c r="I128" s="138"/>
      <c r="J128" s="138"/>
      <c r="K128" s="139"/>
      <c r="L128" s="136"/>
    </row>
    <row r="129" spans="2:12" ht="15.5" hidden="1" x14ac:dyDescent="0.35">
      <c r="B129" s="87"/>
      <c r="C129" s="137"/>
      <c r="D129" s="138"/>
      <c r="E129" s="138"/>
      <c r="F129" s="138"/>
      <c r="H129" s="138"/>
      <c r="I129" s="138"/>
      <c r="J129" s="138"/>
      <c r="K129" s="139"/>
      <c r="L129" s="136"/>
    </row>
    <row r="130" spans="2:12" hidden="1" x14ac:dyDescent="0.35">
      <c r="B130" s="87"/>
      <c r="L130" s="88"/>
    </row>
    <row r="131" spans="2:12" hidden="1" x14ac:dyDescent="0.35">
      <c r="B131" s="87"/>
      <c r="L131" s="88"/>
    </row>
    <row r="132" spans="2:12" ht="15" hidden="1" thickBot="1" x14ac:dyDescent="0.4">
      <c r="B132" s="140"/>
      <c r="C132" s="109"/>
      <c r="D132" s="109"/>
      <c r="E132" s="109"/>
      <c r="F132" s="109"/>
      <c r="G132" s="109"/>
      <c r="H132" s="109"/>
      <c r="I132" s="109"/>
      <c r="J132" s="109"/>
      <c r="K132" s="109"/>
      <c r="L132" s="141"/>
    </row>
  </sheetData>
  <mergeCells count="14">
    <mergeCell ref="B54:J54"/>
    <mergeCell ref="M54:U54"/>
    <mergeCell ref="B61:J61"/>
    <mergeCell ref="B79:J79"/>
    <mergeCell ref="B83:J83"/>
    <mergeCell ref="D120:F120"/>
    <mergeCell ref="H120:J120"/>
    <mergeCell ref="A1:U2"/>
    <mergeCell ref="B5:J5"/>
    <mergeCell ref="M5:U5"/>
    <mergeCell ref="B7:C7"/>
    <mergeCell ref="B13:C13"/>
    <mergeCell ref="B21:J21"/>
    <mergeCell ref="M21:U2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00F3-E541-4759-BF7E-8617549270EF}">
  <dimension ref="A1:W132"/>
  <sheetViews>
    <sheetView showGridLines="0" topLeftCell="C1" zoomScale="70" zoomScaleNormal="70" workbookViewId="0">
      <selection activeCell="O9" sqref="O9"/>
    </sheetView>
  </sheetViews>
  <sheetFormatPr defaultColWidth="9.1796875" defaultRowHeight="14.5" outlineLevelRow="1" x14ac:dyDescent="0.35"/>
  <cols>
    <col min="1" max="1" width="2.54296875" style="17" customWidth="1"/>
    <col min="2" max="2" width="9.1796875" style="17"/>
    <col min="3" max="3" width="44.7265625" style="17" customWidth="1"/>
    <col min="4" max="4" width="12" style="17" bestFit="1" customWidth="1"/>
    <col min="5" max="5" width="13.54296875" style="17" customWidth="1"/>
    <col min="6" max="6" width="28.1796875" style="17" customWidth="1"/>
    <col min="7" max="7" width="17.81640625" style="17" customWidth="1"/>
    <col min="8" max="9" width="9.1796875" style="17"/>
    <col min="10" max="10" width="22" style="17" customWidth="1"/>
    <col min="11" max="12" width="9.1796875" style="17"/>
    <col min="13" max="13" width="30.1796875" style="17" customWidth="1"/>
    <col min="14" max="14" width="17.81640625" style="17" customWidth="1"/>
    <col min="15" max="15" width="12.1796875" style="17" customWidth="1"/>
    <col min="16" max="16" width="9.1796875" style="17"/>
    <col min="17" max="17" width="27.1796875" style="17" customWidth="1"/>
    <col min="18" max="18" width="14.1796875" style="17" customWidth="1"/>
    <col min="19" max="16384" width="9.1796875" style="17"/>
  </cols>
  <sheetData>
    <row r="1" spans="1:21" ht="15" customHeight="1" x14ac:dyDescent="0.35">
      <c r="A1" s="16" t="s">
        <v>200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1:21" ht="15" thickBot="1" x14ac:dyDescent="0.4">
      <c r="B4" s="18"/>
    </row>
    <row r="5" spans="1:21" ht="15.5" x14ac:dyDescent="0.35">
      <c r="B5" s="56" t="s">
        <v>89</v>
      </c>
      <c r="C5" s="57"/>
      <c r="D5" s="57"/>
      <c r="E5" s="57"/>
      <c r="F5" s="57"/>
      <c r="G5" s="57"/>
      <c r="H5" s="57"/>
      <c r="I5" s="57"/>
      <c r="J5" s="58"/>
      <c r="M5" s="19" t="s">
        <v>90</v>
      </c>
      <c r="N5" s="20"/>
      <c r="O5" s="20"/>
      <c r="P5" s="20"/>
      <c r="Q5" s="20"/>
      <c r="R5" s="20"/>
      <c r="S5" s="20"/>
      <c r="T5" s="20"/>
      <c r="U5" s="21"/>
    </row>
    <row r="6" spans="1:21" x14ac:dyDescent="0.35">
      <c r="B6" s="22" t="s">
        <v>201</v>
      </c>
      <c r="C6" s="36"/>
      <c r="D6" s="24">
        <f>'[1]Final Perforated'!D6</f>
        <v>73</v>
      </c>
      <c r="E6" s="36"/>
      <c r="F6" s="36" t="s">
        <v>92</v>
      </c>
      <c r="G6" s="36"/>
      <c r="H6" s="24">
        <f>'[1]Final Perforated'!H6</f>
        <v>86</v>
      </c>
      <c r="I6" s="36"/>
      <c r="J6" s="62"/>
      <c r="M6" s="26" t="s">
        <v>202</v>
      </c>
      <c r="N6" s="23"/>
      <c r="O6" s="23"/>
      <c r="P6" s="23"/>
      <c r="Q6" s="27" t="s">
        <v>203</v>
      </c>
      <c r="R6" s="23"/>
      <c r="S6" s="23"/>
      <c r="T6" s="23"/>
      <c r="U6" s="25"/>
    </row>
    <row r="7" spans="1:21" ht="31.5" customHeight="1" x14ac:dyDescent="0.35">
      <c r="B7" s="28" t="s">
        <v>93</v>
      </c>
      <c r="C7" s="29"/>
      <c r="D7" s="30">
        <f>'[1]Final Perforated'!D7</f>
        <v>0</v>
      </c>
      <c r="E7" s="36"/>
      <c r="F7" s="36" t="s">
        <v>94</v>
      </c>
      <c r="G7" s="36"/>
      <c r="H7" s="24">
        <f>'[1]Final Perforated'!H7</f>
        <v>7135</v>
      </c>
      <c r="I7" s="36"/>
      <c r="J7" s="62"/>
      <c r="M7" s="31" t="s">
        <v>204</v>
      </c>
      <c r="N7" s="23"/>
      <c r="O7" s="116">
        <v>2</v>
      </c>
      <c r="P7" s="23"/>
      <c r="Q7" s="23" t="s">
        <v>205</v>
      </c>
      <c r="R7" s="23"/>
      <c r="S7" s="23"/>
      <c r="T7" s="23"/>
      <c r="U7" s="33">
        <v>10</v>
      </c>
    </row>
    <row r="8" spans="1:21" x14ac:dyDescent="0.35">
      <c r="B8" s="22" t="s">
        <v>96</v>
      </c>
      <c r="C8" s="36"/>
      <c r="D8" s="24">
        <v>7850</v>
      </c>
      <c r="E8" s="36"/>
      <c r="F8" s="36" t="s">
        <v>97</v>
      </c>
      <c r="G8" s="36"/>
      <c r="H8" s="24">
        <f>'[1]Final Perforated'!H8</f>
        <v>425.6</v>
      </c>
      <c r="I8" s="36"/>
      <c r="J8" s="117"/>
      <c r="M8" s="31" t="s">
        <v>95</v>
      </c>
      <c r="N8" s="23"/>
      <c r="O8" s="32">
        <v>150</v>
      </c>
      <c r="P8" s="23"/>
      <c r="Q8" s="23" t="s">
        <v>206</v>
      </c>
      <c r="R8" s="23"/>
      <c r="S8" s="23"/>
      <c r="T8" s="23"/>
      <c r="U8" s="33">
        <f>O8</f>
        <v>150</v>
      </c>
    </row>
    <row r="9" spans="1:21" x14ac:dyDescent="0.35">
      <c r="B9" s="22" t="s">
        <v>99</v>
      </c>
      <c r="C9" s="36"/>
      <c r="D9" s="35">
        <f>'[1]Final Perforated'!D9</f>
        <v>0</v>
      </c>
      <c r="E9" s="36"/>
      <c r="F9" s="36" t="s">
        <v>100</v>
      </c>
      <c r="G9" s="36"/>
      <c r="H9" s="35">
        <f>'[1]Final Perforated'!H9</f>
        <v>0</v>
      </c>
      <c r="I9" s="36"/>
      <c r="J9" s="62"/>
      <c r="M9" s="31" t="s">
        <v>98</v>
      </c>
      <c r="N9" s="23"/>
      <c r="O9" s="32">
        <v>100</v>
      </c>
      <c r="P9" s="23"/>
      <c r="Q9" s="23" t="s">
        <v>207</v>
      </c>
      <c r="R9" s="23"/>
      <c r="S9" s="23"/>
      <c r="T9" s="23"/>
      <c r="U9" s="33">
        <v>50</v>
      </c>
    </row>
    <row r="10" spans="1:21" x14ac:dyDescent="0.35">
      <c r="B10" s="22" t="s">
        <v>102</v>
      </c>
      <c r="C10" s="36"/>
      <c r="D10" s="37">
        <f>'[1]Final Perforated'!D10</f>
        <v>0</v>
      </c>
      <c r="E10" s="36"/>
      <c r="F10" s="36" t="s">
        <v>103</v>
      </c>
      <c r="G10" s="36"/>
      <c r="H10" s="38">
        <f>'[1]Final Perforated'!H10</f>
        <v>0.12</v>
      </c>
      <c r="I10" s="36"/>
      <c r="J10" s="62"/>
      <c r="M10" s="31" t="s">
        <v>101</v>
      </c>
      <c r="N10" s="23"/>
      <c r="O10" s="32">
        <v>2</v>
      </c>
      <c r="P10" s="23"/>
      <c r="Q10" s="23" t="s">
        <v>208</v>
      </c>
      <c r="R10" s="23"/>
      <c r="S10" s="23"/>
      <c r="T10" s="23"/>
      <c r="U10" s="33">
        <v>20</v>
      </c>
    </row>
    <row r="11" spans="1:21" x14ac:dyDescent="0.35">
      <c r="B11" s="22" t="s">
        <v>105</v>
      </c>
      <c r="C11" s="36"/>
      <c r="D11" s="38">
        <v>0.5</v>
      </c>
      <c r="E11" s="36"/>
      <c r="F11" s="36" t="s">
        <v>106</v>
      </c>
      <c r="G11" s="36"/>
      <c r="H11" s="38">
        <f>'[1]Final Perforated'!H11</f>
        <v>0.08</v>
      </c>
      <c r="I11" s="36"/>
      <c r="J11" s="117"/>
      <c r="M11" s="31" t="s">
        <v>104</v>
      </c>
      <c r="N11" s="23"/>
      <c r="O11" s="39">
        <v>25</v>
      </c>
      <c r="P11" s="23"/>
      <c r="Q11" s="23" t="s">
        <v>209</v>
      </c>
      <c r="R11" s="23"/>
      <c r="S11" s="23"/>
      <c r="T11" s="23"/>
      <c r="U11" s="33">
        <v>2</v>
      </c>
    </row>
    <row r="12" spans="1:21" x14ac:dyDescent="0.35">
      <c r="B12" s="22" t="s">
        <v>108</v>
      </c>
      <c r="C12" s="36"/>
      <c r="D12" s="30">
        <f>'[1]Final Perforated'!D12</f>
        <v>0</v>
      </c>
      <c r="E12" s="36"/>
      <c r="F12" s="36" t="s">
        <v>109</v>
      </c>
      <c r="G12" s="36"/>
      <c r="H12" s="38">
        <f>'[1]Final Perforated'!H12</f>
        <v>0.26</v>
      </c>
      <c r="I12" s="36"/>
      <c r="J12" s="62"/>
      <c r="M12" s="31" t="s">
        <v>107</v>
      </c>
      <c r="N12" s="23"/>
      <c r="O12" s="32">
        <v>2500</v>
      </c>
      <c r="P12" s="23"/>
      <c r="Q12" s="23" t="s">
        <v>210</v>
      </c>
      <c r="R12" s="23"/>
      <c r="S12" s="23"/>
      <c r="T12" s="23"/>
      <c r="U12" s="33">
        <v>1</v>
      </c>
    </row>
    <row r="13" spans="1:21" ht="32.25" customHeight="1" x14ac:dyDescent="0.35">
      <c r="B13" s="28" t="s">
        <v>111</v>
      </c>
      <c r="C13" s="29"/>
      <c r="D13" s="41">
        <f>'[1]Final Perforated'!D13</f>
        <v>0</v>
      </c>
      <c r="E13" s="36"/>
      <c r="F13" s="36" t="s">
        <v>112</v>
      </c>
      <c r="G13" s="36"/>
      <c r="H13" s="38">
        <f>'[1]Final Perforated'!H13</f>
        <v>0.52</v>
      </c>
      <c r="I13" s="36"/>
      <c r="J13" s="62"/>
      <c r="M13" s="31" t="s">
        <v>211</v>
      </c>
      <c r="N13" s="23"/>
      <c r="O13" s="39">
        <v>20</v>
      </c>
      <c r="P13" s="23"/>
      <c r="Q13" s="23" t="s">
        <v>212</v>
      </c>
      <c r="R13" s="23"/>
      <c r="S13" s="23"/>
      <c r="T13" s="23"/>
      <c r="U13" s="33">
        <v>25</v>
      </c>
    </row>
    <row r="14" spans="1:21" x14ac:dyDescent="0.35">
      <c r="B14" s="22" t="s">
        <v>114</v>
      </c>
      <c r="C14" s="36"/>
      <c r="D14" s="42">
        <f>'[1]Final Perforated'!D14</f>
        <v>0</v>
      </c>
      <c r="E14" s="36"/>
      <c r="F14" s="36" t="s">
        <v>115</v>
      </c>
      <c r="G14" s="36"/>
      <c r="H14" s="118">
        <f>'[1]Final Perforated'!H14</f>
        <v>0</v>
      </c>
      <c r="I14" s="36"/>
      <c r="J14" s="62"/>
      <c r="M14" s="31" t="s">
        <v>123</v>
      </c>
      <c r="N14" s="23"/>
      <c r="O14" s="39">
        <v>10</v>
      </c>
      <c r="P14" s="23"/>
      <c r="Q14" s="23" t="s">
        <v>213</v>
      </c>
      <c r="R14" s="23"/>
      <c r="S14" s="23"/>
      <c r="T14" s="23"/>
      <c r="U14" s="33">
        <v>10</v>
      </c>
    </row>
    <row r="15" spans="1:21" x14ac:dyDescent="0.35">
      <c r="B15" s="22" t="s">
        <v>214</v>
      </c>
      <c r="C15" s="36"/>
      <c r="D15" s="43">
        <f>'[1]Final Perforated'!D15</f>
        <v>2.5</v>
      </c>
      <c r="E15" s="36"/>
      <c r="F15" s="36"/>
      <c r="G15" s="36"/>
      <c r="H15" s="118"/>
      <c r="I15" s="36"/>
      <c r="J15" s="62"/>
      <c r="M15" s="48"/>
      <c r="N15" s="44"/>
      <c r="O15" s="119"/>
      <c r="P15" s="44"/>
      <c r="Q15" s="44"/>
      <c r="R15" s="44"/>
      <c r="S15" s="44"/>
      <c r="T15" s="44"/>
      <c r="U15" s="47"/>
    </row>
    <row r="16" spans="1:21" x14ac:dyDescent="0.35">
      <c r="B16" s="22" t="s">
        <v>119</v>
      </c>
      <c r="C16" s="36"/>
      <c r="D16" s="37">
        <f>'[1]Final Perforated'!D16</f>
        <v>0</v>
      </c>
      <c r="E16" s="36"/>
      <c r="F16" s="36"/>
      <c r="G16" s="36"/>
      <c r="H16" s="118"/>
      <c r="I16" s="36"/>
      <c r="J16" s="62"/>
      <c r="M16" s="48"/>
      <c r="N16" s="44"/>
      <c r="O16" s="119"/>
      <c r="P16" s="44"/>
      <c r="Q16" s="44"/>
      <c r="R16" s="44"/>
      <c r="S16" s="44"/>
      <c r="T16" s="44"/>
      <c r="U16" s="47"/>
    </row>
    <row r="17" spans="2:23" x14ac:dyDescent="0.35">
      <c r="B17" s="48" t="s">
        <v>215</v>
      </c>
      <c r="C17" s="36"/>
      <c r="D17" s="43">
        <f>'[1]Final Perforated'!D17</f>
        <v>7.8</v>
      </c>
      <c r="E17" s="36"/>
      <c r="F17" s="36"/>
      <c r="G17" s="36"/>
      <c r="H17" s="118"/>
      <c r="I17" s="36"/>
      <c r="J17" s="62"/>
      <c r="M17" s="48"/>
      <c r="N17" s="44"/>
      <c r="O17" s="119"/>
      <c r="P17" s="44"/>
      <c r="Q17" s="44"/>
      <c r="R17" s="44"/>
      <c r="S17" s="44"/>
      <c r="T17" s="44"/>
      <c r="U17" s="47"/>
    </row>
    <row r="18" spans="2:23" ht="15" thickBot="1" x14ac:dyDescent="0.4">
      <c r="B18" s="76"/>
      <c r="C18" s="77"/>
      <c r="D18" s="77"/>
      <c r="E18" s="77"/>
      <c r="F18" s="77"/>
      <c r="G18" s="77"/>
      <c r="H18" s="77"/>
      <c r="I18" s="77"/>
      <c r="J18" s="79"/>
      <c r="M18" s="51"/>
      <c r="N18" s="52"/>
      <c r="O18" s="52"/>
      <c r="P18" s="52"/>
      <c r="Q18" s="52"/>
      <c r="R18" s="52"/>
      <c r="S18" s="52"/>
      <c r="T18" s="52"/>
      <c r="U18" s="53"/>
    </row>
    <row r="20" spans="2:23" ht="16" thickBot="1" x14ac:dyDescent="0.4">
      <c r="B20" s="55" t="s">
        <v>128</v>
      </c>
    </row>
    <row r="21" spans="2:23" ht="15.5" outlineLevel="1" x14ac:dyDescent="0.35">
      <c r="B21" s="56" t="s">
        <v>129</v>
      </c>
      <c r="C21" s="57"/>
      <c r="D21" s="57"/>
      <c r="E21" s="57"/>
      <c r="F21" s="57"/>
      <c r="G21" s="57"/>
      <c r="H21" s="57"/>
      <c r="I21" s="57"/>
      <c r="J21" s="58"/>
      <c r="M21" s="56" t="s">
        <v>130</v>
      </c>
      <c r="N21" s="57"/>
      <c r="O21" s="57"/>
      <c r="P21" s="57"/>
      <c r="Q21" s="57"/>
      <c r="R21" s="57"/>
      <c r="S21" s="57"/>
      <c r="T21" s="57"/>
      <c r="U21" s="58"/>
    </row>
    <row r="22" spans="2:23" ht="15.5" outlineLevel="1" x14ac:dyDescent="0.35">
      <c r="B22" s="59" t="s">
        <v>216</v>
      </c>
      <c r="C22" s="60"/>
      <c r="D22" s="60"/>
      <c r="E22" s="60"/>
      <c r="F22" s="60" t="s">
        <v>217</v>
      </c>
      <c r="G22" s="60"/>
      <c r="H22" s="60"/>
      <c r="I22" s="60"/>
      <c r="J22" s="61"/>
      <c r="M22" s="22" t="s">
        <v>131</v>
      </c>
      <c r="N22" s="36"/>
      <c r="O22" s="36"/>
      <c r="P22" s="36"/>
      <c r="Q22" s="36"/>
      <c r="R22" s="36"/>
      <c r="S22" s="36"/>
      <c r="T22" s="36"/>
      <c r="U22" s="62"/>
    </row>
    <row r="23" spans="2:23" ht="15.5" outlineLevel="1" x14ac:dyDescent="0.35">
      <c r="B23" s="22" t="s">
        <v>218</v>
      </c>
      <c r="C23" s="36"/>
      <c r="D23" s="36">
        <f>O7</f>
        <v>2</v>
      </c>
      <c r="E23" s="36"/>
      <c r="F23" s="36" t="s">
        <v>219</v>
      </c>
      <c r="G23" s="36"/>
      <c r="H23" s="36"/>
      <c r="I23" s="36"/>
      <c r="J23" s="62">
        <f>U7</f>
        <v>10</v>
      </c>
      <c r="M23" s="59" t="s">
        <v>216</v>
      </c>
      <c r="N23" s="36"/>
      <c r="O23" s="36"/>
      <c r="P23" s="36"/>
      <c r="Q23" s="60" t="s">
        <v>217</v>
      </c>
      <c r="R23" s="36"/>
      <c r="S23" s="36"/>
      <c r="T23" s="36"/>
      <c r="U23" s="62"/>
    </row>
    <row r="24" spans="2:23" outlineLevel="1" x14ac:dyDescent="0.35">
      <c r="B24" s="22" t="s">
        <v>95</v>
      </c>
      <c r="C24" s="36"/>
      <c r="D24" s="36">
        <f t="shared" ref="D24:D28" si="0">O8</f>
        <v>150</v>
      </c>
      <c r="E24" s="36"/>
      <c r="F24" s="36" t="s">
        <v>206</v>
      </c>
      <c r="G24" s="36"/>
      <c r="H24" s="36"/>
      <c r="I24" s="36"/>
      <c r="J24" s="62">
        <f>U8</f>
        <v>150</v>
      </c>
      <c r="M24" s="22" t="s">
        <v>220</v>
      </c>
      <c r="N24" s="36"/>
      <c r="O24" s="36">
        <f>2*(2*(2*D27+D25)/1000*D28/1000)</f>
        <v>1.5</v>
      </c>
      <c r="P24" s="36"/>
      <c r="Q24" s="36" t="s">
        <v>221</v>
      </c>
      <c r="R24" s="36"/>
      <c r="S24" s="36"/>
      <c r="T24" s="66">
        <f>2*J24/1000*(J25+2*J26)/1000</f>
        <v>2.7E-2</v>
      </c>
      <c r="U24" s="62"/>
    </row>
    <row r="25" spans="2:23" outlineLevel="1" x14ac:dyDescent="0.35">
      <c r="B25" s="22" t="s">
        <v>98</v>
      </c>
      <c r="C25" s="36"/>
      <c r="D25" s="36">
        <f t="shared" si="0"/>
        <v>100</v>
      </c>
      <c r="E25" s="36"/>
      <c r="F25" s="36" t="s">
        <v>207</v>
      </c>
      <c r="G25" s="36"/>
      <c r="H25" s="36"/>
      <c r="I25" s="36"/>
      <c r="J25" s="62">
        <f t="shared" ref="J25:J27" si="1">U9</f>
        <v>50</v>
      </c>
      <c r="M25" s="22" t="s">
        <v>222</v>
      </c>
      <c r="N25" s="36"/>
      <c r="O25" s="64">
        <f>D37*3.14*D38/1000*D26/1000*D28/125</f>
        <v>2.5119999999999996E-2</v>
      </c>
      <c r="P25" s="36"/>
      <c r="Q25" s="36" t="s">
        <v>223</v>
      </c>
      <c r="R25" s="36"/>
      <c r="S25" s="36"/>
      <c r="T25" s="36">
        <f>(2*(J38+J39)/1000*D26/1000)*D24/40</f>
        <v>5.2500000000000008E-4</v>
      </c>
      <c r="U25" s="62"/>
    </row>
    <row r="26" spans="2:23" outlineLevel="1" x14ac:dyDescent="0.35">
      <c r="B26" s="22" t="s">
        <v>101</v>
      </c>
      <c r="C26" s="36"/>
      <c r="D26" s="36">
        <f t="shared" si="0"/>
        <v>2</v>
      </c>
      <c r="E26" s="36"/>
      <c r="F26" s="36" t="s">
        <v>208</v>
      </c>
      <c r="G26" s="36"/>
      <c r="H26" s="36"/>
      <c r="I26" s="36"/>
      <c r="J26" s="62">
        <f t="shared" si="1"/>
        <v>20</v>
      </c>
      <c r="M26" s="22" t="s">
        <v>138</v>
      </c>
      <c r="N26" s="36"/>
      <c r="O26" s="64">
        <f>D37*3.14*(D38/2/1000)^2*D28/125</f>
        <v>3.1400000000000004E-2</v>
      </c>
      <c r="P26" s="36"/>
      <c r="Q26" s="36" t="s">
        <v>224</v>
      </c>
      <c r="R26" s="36"/>
      <c r="S26" s="36"/>
      <c r="T26" s="65">
        <f>J38/1000*J39/1000*D24/40</f>
        <v>9.3749999999999997E-4</v>
      </c>
      <c r="U26" s="62"/>
      <c r="W26" s="120"/>
    </row>
    <row r="27" spans="2:23" outlineLevel="1" x14ac:dyDescent="0.35">
      <c r="B27" s="22" t="s">
        <v>104</v>
      </c>
      <c r="C27" s="36"/>
      <c r="D27" s="36">
        <f t="shared" si="0"/>
        <v>25</v>
      </c>
      <c r="E27" s="36"/>
      <c r="F27" s="36" t="s">
        <v>209</v>
      </c>
      <c r="G27" s="36"/>
      <c r="H27" s="36"/>
      <c r="I27" s="36"/>
      <c r="J27" s="62">
        <f t="shared" si="1"/>
        <v>2</v>
      </c>
      <c r="M27" s="22"/>
      <c r="N27" s="36"/>
      <c r="O27" s="36"/>
      <c r="P27" s="36"/>
      <c r="Q27" s="36"/>
      <c r="R27" s="36"/>
      <c r="S27" s="36"/>
      <c r="T27" s="36"/>
      <c r="U27" s="62"/>
    </row>
    <row r="28" spans="2:23" outlineLevel="1" x14ac:dyDescent="0.35">
      <c r="B28" s="22" t="s">
        <v>107</v>
      </c>
      <c r="C28" s="36"/>
      <c r="D28" s="36">
        <f t="shared" si="0"/>
        <v>2500</v>
      </c>
      <c r="E28" s="36"/>
      <c r="F28" s="36"/>
      <c r="G28" s="36"/>
      <c r="H28" s="36"/>
      <c r="I28" s="36"/>
      <c r="J28" s="62"/>
      <c r="M28" s="22" t="s">
        <v>139</v>
      </c>
      <c r="N28" s="36"/>
      <c r="O28" s="64">
        <f>O24+O25-O26</f>
        <v>1.4937199999999999</v>
      </c>
      <c r="P28" s="36"/>
      <c r="Q28" s="36" t="s">
        <v>225</v>
      </c>
      <c r="R28" s="36"/>
      <c r="S28" s="36"/>
      <c r="T28" s="36">
        <f>(T24+T25-T26)*J23</f>
        <v>0.26587499999999997</v>
      </c>
      <c r="U28" s="62"/>
    </row>
    <row r="29" spans="2:23" outlineLevel="1" x14ac:dyDescent="0.35">
      <c r="B29" s="22"/>
      <c r="C29" s="36"/>
      <c r="D29" s="36"/>
      <c r="E29" s="36"/>
      <c r="F29" s="36" t="s">
        <v>226</v>
      </c>
      <c r="G29" s="36"/>
      <c r="H29" s="36"/>
      <c r="I29" s="36"/>
      <c r="J29" s="121">
        <f>(2*J26+J25)/1000*J24/1000*J27/1000</f>
        <v>2.6999999999999999E-5</v>
      </c>
      <c r="M29" s="22"/>
      <c r="N29" s="36"/>
      <c r="O29" s="36"/>
      <c r="P29" s="36"/>
      <c r="Q29" s="36"/>
      <c r="R29" s="36"/>
      <c r="S29" s="36"/>
      <c r="T29" s="36"/>
      <c r="U29" s="62"/>
    </row>
    <row r="30" spans="2:23" outlineLevel="1" x14ac:dyDescent="0.35">
      <c r="B30" s="22"/>
      <c r="C30" s="36"/>
      <c r="D30" s="36"/>
      <c r="E30" s="36"/>
      <c r="F30" s="36" t="s">
        <v>227</v>
      </c>
      <c r="G30" s="36"/>
      <c r="H30" s="36"/>
      <c r="I30" s="36"/>
      <c r="J30" s="74">
        <f>J29*D8</f>
        <v>0.21195</v>
      </c>
      <c r="M30" s="22" t="s">
        <v>141</v>
      </c>
      <c r="N30" s="36"/>
      <c r="O30" s="64">
        <f>O28+T28</f>
        <v>1.759595</v>
      </c>
      <c r="P30" s="36"/>
      <c r="Q30" s="36"/>
      <c r="R30" s="36"/>
      <c r="S30" s="36"/>
      <c r="T30" s="36"/>
      <c r="U30" s="62"/>
    </row>
    <row r="31" spans="2:23" outlineLevel="1" x14ac:dyDescent="0.35">
      <c r="B31" s="22" t="s">
        <v>228</v>
      </c>
      <c r="C31" s="36"/>
      <c r="D31" s="36">
        <f>2*(D25+D27*2)/1000*D26/1000*D28/1000</f>
        <v>1.4999999999999998E-3</v>
      </c>
      <c r="E31" s="36"/>
      <c r="F31" s="36" t="s">
        <v>229</v>
      </c>
      <c r="G31" s="36"/>
      <c r="H31" s="36"/>
      <c r="I31" s="36"/>
      <c r="J31" s="74">
        <f>J30*(D6*(1+D7))</f>
        <v>15.47235</v>
      </c>
      <c r="M31" s="22"/>
      <c r="N31" s="36"/>
      <c r="O31" s="36"/>
      <c r="P31" s="36"/>
      <c r="Q31" s="36"/>
      <c r="R31" s="36"/>
      <c r="S31" s="36"/>
      <c r="T31" s="36"/>
      <c r="U31" s="62"/>
    </row>
    <row r="32" spans="2:23" outlineLevel="1" x14ac:dyDescent="0.35">
      <c r="B32" s="22" t="s">
        <v>230</v>
      </c>
      <c r="C32" s="36"/>
      <c r="D32" s="36">
        <f>D31*D8</f>
        <v>11.774999999999999</v>
      </c>
      <c r="E32" s="36"/>
      <c r="F32" s="36" t="s">
        <v>231</v>
      </c>
      <c r="G32" s="36"/>
      <c r="H32" s="36"/>
      <c r="I32" s="36"/>
      <c r="J32" s="74">
        <f>J31*J23</f>
        <v>154.7235</v>
      </c>
      <c r="M32" s="22" t="s">
        <v>144</v>
      </c>
      <c r="N32" s="36"/>
      <c r="O32" s="66">
        <f>O30*H6*10^-6*H7</f>
        <v>1.0797050879500001</v>
      </c>
      <c r="P32" s="36"/>
      <c r="Q32" s="36"/>
      <c r="R32" s="36"/>
      <c r="S32" s="36"/>
      <c r="T32" s="36"/>
      <c r="U32" s="62"/>
    </row>
    <row r="33" spans="2:21" outlineLevel="1" x14ac:dyDescent="0.35">
      <c r="B33" s="22" t="s">
        <v>232</v>
      </c>
      <c r="C33" s="36"/>
      <c r="D33" s="66">
        <f>D32*(D6*(1+D7))</f>
        <v>859.57499999999993</v>
      </c>
      <c r="E33" s="36"/>
      <c r="F33" s="36"/>
      <c r="G33" s="36"/>
      <c r="H33" s="36"/>
      <c r="I33" s="36"/>
      <c r="J33" s="62"/>
      <c r="M33" s="22" t="s">
        <v>100</v>
      </c>
      <c r="N33" s="36"/>
      <c r="O33" s="67">
        <f>H9</f>
        <v>0</v>
      </c>
      <c r="P33" s="36"/>
      <c r="Q33" s="36"/>
      <c r="R33" s="36"/>
      <c r="S33" s="36"/>
      <c r="T33" s="36"/>
      <c r="U33" s="62"/>
    </row>
    <row r="34" spans="2:21" outlineLevel="1" x14ac:dyDescent="0.35">
      <c r="B34" s="22"/>
      <c r="C34" s="36"/>
      <c r="D34" s="36"/>
      <c r="E34" s="36"/>
      <c r="F34" s="36"/>
      <c r="G34" s="36"/>
      <c r="H34" s="36"/>
      <c r="I34" s="36"/>
      <c r="J34" s="62"/>
      <c r="M34" s="22" t="s">
        <v>147</v>
      </c>
      <c r="N34" s="36"/>
      <c r="O34" s="66">
        <f>(1+O33)*O32</f>
        <v>1.0797050879500001</v>
      </c>
      <c r="P34" s="36"/>
      <c r="Q34" s="36"/>
      <c r="R34" s="36"/>
      <c r="S34" s="36"/>
      <c r="T34" s="36"/>
      <c r="U34" s="62"/>
    </row>
    <row r="35" spans="2:21" outlineLevel="1" x14ac:dyDescent="0.35">
      <c r="B35" s="68" t="s">
        <v>233</v>
      </c>
      <c r="C35" s="36"/>
      <c r="D35" s="36"/>
      <c r="E35" s="36"/>
      <c r="F35" s="36"/>
      <c r="G35" s="36"/>
      <c r="H35" s="36"/>
      <c r="I35" s="36"/>
      <c r="J35" s="62"/>
      <c r="M35" s="22" t="s">
        <v>148</v>
      </c>
      <c r="N35" s="36"/>
      <c r="O35" s="70">
        <f>O34*H8</f>
        <v>459.52248543152007</v>
      </c>
      <c r="P35" s="36"/>
      <c r="Q35" s="36"/>
      <c r="R35" s="36"/>
      <c r="S35" s="36"/>
      <c r="T35" s="36"/>
      <c r="U35" s="62"/>
    </row>
    <row r="36" spans="2:21" ht="15.5" outlineLevel="1" x14ac:dyDescent="0.35">
      <c r="B36" s="59" t="s">
        <v>216</v>
      </c>
      <c r="C36" s="36"/>
      <c r="D36" s="36"/>
      <c r="E36" s="36"/>
      <c r="F36" s="60" t="s">
        <v>217</v>
      </c>
      <c r="G36" s="36"/>
      <c r="H36" s="36"/>
      <c r="I36" s="36"/>
      <c r="J36" s="62"/>
      <c r="M36" s="22"/>
      <c r="N36" s="36"/>
      <c r="O36" s="36"/>
      <c r="P36" s="36"/>
      <c r="Q36" s="36"/>
      <c r="R36" s="36"/>
      <c r="S36" s="36"/>
      <c r="T36" s="36"/>
      <c r="U36" s="62"/>
    </row>
    <row r="37" spans="2:21" outlineLevel="1" x14ac:dyDescent="0.35">
      <c r="B37" s="22" t="s">
        <v>211</v>
      </c>
      <c r="C37" s="36"/>
      <c r="D37" s="36">
        <f>O13</f>
        <v>20</v>
      </c>
      <c r="E37" s="36"/>
      <c r="F37" s="36" t="s">
        <v>210</v>
      </c>
      <c r="G37" s="36"/>
      <c r="H37" s="36"/>
      <c r="I37" s="36"/>
      <c r="J37" s="62">
        <f>U12</f>
        <v>1</v>
      </c>
      <c r="M37" s="22" t="s">
        <v>152</v>
      </c>
      <c r="N37" s="36"/>
      <c r="O37" s="66">
        <f>H10*O32</f>
        <v>0.12956461055400001</v>
      </c>
      <c r="P37" s="36"/>
      <c r="Q37" s="36" t="s">
        <v>153</v>
      </c>
      <c r="R37" s="36"/>
      <c r="S37" s="36"/>
      <c r="T37" s="36">
        <f>H12*$H$8</f>
        <v>110.65600000000001</v>
      </c>
      <c r="U37" s="62"/>
    </row>
    <row r="38" spans="2:21" outlineLevel="1" x14ac:dyDescent="0.35">
      <c r="B38" s="22" t="s">
        <v>123</v>
      </c>
      <c r="C38" s="36"/>
      <c r="D38" s="36">
        <f>O14</f>
        <v>10</v>
      </c>
      <c r="E38" s="36"/>
      <c r="F38" s="36" t="s">
        <v>212</v>
      </c>
      <c r="G38" s="36"/>
      <c r="H38" s="36"/>
      <c r="I38" s="36"/>
      <c r="J38" s="62">
        <f>U13</f>
        <v>25</v>
      </c>
      <c r="M38" s="22" t="s">
        <v>156</v>
      </c>
      <c r="N38" s="36"/>
      <c r="O38" s="66">
        <f>H11*O32</f>
        <v>8.6376407036000011E-2</v>
      </c>
      <c r="P38" s="36"/>
      <c r="Q38" s="36" t="s">
        <v>157</v>
      </c>
      <c r="R38" s="36"/>
      <c r="S38" s="36"/>
      <c r="T38" s="36">
        <f>H13*$H$8</f>
        <v>221.31200000000001</v>
      </c>
      <c r="U38" s="62"/>
    </row>
    <row r="39" spans="2:21" outlineLevel="1" x14ac:dyDescent="0.35">
      <c r="B39" s="22" t="s">
        <v>155</v>
      </c>
      <c r="C39" s="36"/>
      <c r="D39" s="71">
        <f>2*D37*3.14*(D38/2/1000)^2*D26/1000</f>
        <v>6.2800000000000009E-6</v>
      </c>
      <c r="E39" s="36"/>
      <c r="F39" s="36" t="s">
        <v>213</v>
      </c>
      <c r="G39" s="36"/>
      <c r="H39" s="36"/>
      <c r="I39" s="36"/>
      <c r="J39" s="62">
        <f>U14</f>
        <v>10</v>
      </c>
      <c r="M39" s="22" t="s">
        <v>160</v>
      </c>
      <c r="N39" s="36"/>
      <c r="O39" s="66">
        <f>O37*T37+O38*T38</f>
        <v>33.453236939414666</v>
      </c>
      <c r="P39" s="36"/>
      <c r="Q39" s="36"/>
      <c r="R39" s="36"/>
      <c r="S39" s="36"/>
      <c r="T39" s="36"/>
      <c r="U39" s="62"/>
    </row>
    <row r="40" spans="2:21" outlineLevel="1" x14ac:dyDescent="0.35">
      <c r="B40" s="22"/>
      <c r="C40" s="36"/>
      <c r="D40" s="71"/>
      <c r="E40" s="36"/>
      <c r="F40" s="36" t="s">
        <v>234</v>
      </c>
      <c r="G40" s="36"/>
      <c r="H40" s="36"/>
      <c r="I40" s="36"/>
      <c r="J40" s="62">
        <f>J38/1000*J39/1000*J27/1000</f>
        <v>4.9999999999999998E-7</v>
      </c>
      <c r="M40" s="22"/>
      <c r="N40" s="36"/>
      <c r="O40" s="36"/>
      <c r="P40" s="36"/>
      <c r="Q40" s="36"/>
      <c r="R40" s="36"/>
      <c r="S40" s="36"/>
      <c r="T40" s="36"/>
      <c r="U40" s="62"/>
    </row>
    <row r="41" spans="2:21" outlineLevel="1" x14ac:dyDescent="0.35">
      <c r="B41" s="22" t="s">
        <v>235</v>
      </c>
      <c r="C41" s="36"/>
      <c r="D41" s="66">
        <f>D39*D8</f>
        <v>4.9298000000000008E-2</v>
      </c>
      <c r="E41" s="36"/>
      <c r="F41" s="36" t="s">
        <v>236</v>
      </c>
      <c r="G41" s="36"/>
      <c r="H41" s="36"/>
      <c r="I41" s="36"/>
      <c r="J41" s="62">
        <f>D24/40*J40</f>
        <v>1.8749999999999998E-6</v>
      </c>
      <c r="M41" s="22" t="s">
        <v>164</v>
      </c>
      <c r="N41" s="36"/>
      <c r="O41" s="66">
        <f>O35-O39</f>
        <v>426.06924849210543</v>
      </c>
      <c r="P41" s="36"/>
      <c r="Q41" s="36"/>
      <c r="R41" s="36"/>
      <c r="S41" s="36"/>
      <c r="T41" s="36"/>
      <c r="U41" s="62"/>
    </row>
    <row r="42" spans="2:21" outlineLevel="1" x14ac:dyDescent="0.35">
      <c r="B42" s="22" t="s">
        <v>161</v>
      </c>
      <c r="C42" s="36"/>
      <c r="D42" s="66">
        <f>D41*D6</f>
        <v>3.5987540000000005</v>
      </c>
      <c r="E42" s="36"/>
      <c r="F42" s="36" t="s">
        <v>237</v>
      </c>
      <c r="G42" s="36"/>
      <c r="H42" s="36"/>
      <c r="I42" s="36"/>
      <c r="J42" s="62">
        <f>J41*D8</f>
        <v>1.4718749999999999E-2</v>
      </c>
      <c r="M42" s="22"/>
      <c r="N42" s="36"/>
      <c r="O42" s="36"/>
      <c r="P42" s="36"/>
      <c r="Q42" s="36"/>
      <c r="R42" s="36"/>
      <c r="S42" s="36"/>
      <c r="T42" s="36"/>
      <c r="U42" s="62"/>
    </row>
    <row r="43" spans="2:21" outlineLevel="1" x14ac:dyDescent="0.35">
      <c r="B43" s="22" t="s">
        <v>163</v>
      </c>
      <c r="C43" s="36"/>
      <c r="D43" s="67">
        <f>D11</f>
        <v>0.5</v>
      </c>
      <c r="E43" s="36"/>
      <c r="F43" s="36" t="s">
        <v>238</v>
      </c>
      <c r="G43" s="36"/>
      <c r="H43" s="36"/>
      <c r="I43" s="36"/>
      <c r="J43" s="62">
        <f>J42*J23</f>
        <v>0.1471875</v>
      </c>
      <c r="M43" s="22"/>
      <c r="N43" s="36"/>
      <c r="O43" s="36"/>
      <c r="P43" s="36"/>
      <c r="Q43" s="36"/>
      <c r="R43" s="36"/>
      <c r="S43" s="36"/>
      <c r="T43" s="36"/>
      <c r="U43" s="62"/>
    </row>
    <row r="44" spans="2:21" outlineLevel="1" x14ac:dyDescent="0.35">
      <c r="B44" s="22" t="s">
        <v>166</v>
      </c>
      <c r="C44" s="36"/>
      <c r="D44" s="66">
        <f>D42*D43</f>
        <v>1.7993770000000002</v>
      </c>
      <c r="E44" s="36"/>
      <c r="F44" s="36" t="s">
        <v>161</v>
      </c>
      <c r="G44" s="36"/>
      <c r="H44" s="36"/>
      <c r="I44" s="36"/>
      <c r="J44" s="74">
        <f>J43*D6</f>
        <v>10.7446875</v>
      </c>
      <c r="M44" s="22"/>
      <c r="N44" s="36"/>
      <c r="O44" s="36"/>
      <c r="P44" s="36"/>
      <c r="Q44" s="36"/>
      <c r="R44" s="36"/>
      <c r="S44" s="36"/>
      <c r="T44" s="36"/>
      <c r="U44" s="62"/>
    </row>
    <row r="45" spans="2:21" outlineLevel="1" x14ac:dyDescent="0.35">
      <c r="B45" s="22"/>
      <c r="C45" s="36"/>
      <c r="D45" s="36"/>
      <c r="E45" s="36"/>
      <c r="F45" s="36" t="s">
        <v>166</v>
      </c>
      <c r="G45" s="36"/>
      <c r="H45" s="36"/>
      <c r="I45" s="36"/>
      <c r="J45" s="74">
        <f>J44*D43</f>
        <v>5.3723437499999998</v>
      </c>
      <c r="M45" s="22"/>
      <c r="N45" s="36"/>
      <c r="O45" s="36"/>
      <c r="P45" s="36"/>
      <c r="Q45" s="36"/>
      <c r="R45" s="36"/>
      <c r="S45" s="36"/>
      <c r="T45" s="36"/>
      <c r="U45" s="62"/>
    </row>
    <row r="46" spans="2:21" outlineLevel="1" x14ac:dyDescent="0.35">
      <c r="B46" s="22"/>
      <c r="C46" s="36"/>
      <c r="D46" s="36"/>
      <c r="E46" s="36"/>
      <c r="F46" s="36"/>
      <c r="G46" s="36"/>
      <c r="H46" s="36"/>
      <c r="I46" s="36"/>
      <c r="J46" s="62"/>
      <c r="M46" s="22"/>
      <c r="N46" s="36"/>
      <c r="O46" s="36"/>
      <c r="P46" s="36"/>
      <c r="Q46" s="36"/>
      <c r="R46" s="36"/>
      <c r="S46" s="36"/>
      <c r="T46" s="36"/>
      <c r="U46" s="62"/>
    </row>
    <row r="47" spans="2:21" outlineLevel="1" x14ac:dyDescent="0.35">
      <c r="B47" s="22" t="s">
        <v>239</v>
      </c>
      <c r="C47" s="36"/>
      <c r="D47" s="66">
        <f>D33-D44</f>
        <v>857.77562299999988</v>
      </c>
      <c r="E47" s="36"/>
      <c r="F47" s="36" t="s">
        <v>240</v>
      </c>
      <c r="G47" s="36"/>
      <c r="H47" s="36"/>
      <c r="I47" s="36"/>
      <c r="J47" s="74">
        <f>J32-J45</f>
        <v>149.35115625</v>
      </c>
      <c r="M47" s="22"/>
      <c r="N47" s="36"/>
      <c r="O47" s="36"/>
      <c r="P47" s="36"/>
      <c r="Q47" s="36"/>
      <c r="R47" s="36"/>
      <c r="S47" s="36"/>
      <c r="T47" s="36"/>
      <c r="U47" s="62"/>
    </row>
    <row r="48" spans="2:21" outlineLevel="1" x14ac:dyDescent="0.35">
      <c r="B48" s="22"/>
      <c r="C48" s="36"/>
      <c r="D48" s="36"/>
      <c r="E48" s="36"/>
      <c r="F48" s="36"/>
      <c r="G48" s="36"/>
      <c r="H48" s="36"/>
      <c r="I48" s="36"/>
      <c r="J48" s="62"/>
      <c r="M48" s="22"/>
      <c r="N48" s="36"/>
      <c r="O48" s="36"/>
      <c r="P48" s="36"/>
      <c r="Q48" s="36"/>
      <c r="R48" s="36"/>
      <c r="S48" s="36"/>
      <c r="T48" s="36"/>
      <c r="U48" s="62"/>
    </row>
    <row r="49" spans="2:21" outlineLevel="1" x14ac:dyDescent="0.35">
      <c r="B49" s="22" t="s">
        <v>168</v>
      </c>
      <c r="C49" s="36"/>
      <c r="D49" s="66">
        <f>D47+J47</f>
        <v>1007.1267792499999</v>
      </c>
      <c r="E49" s="36"/>
      <c r="F49" s="36"/>
      <c r="G49" s="36"/>
      <c r="H49" s="36"/>
      <c r="I49" s="36"/>
      <c r="J49" s="62"/>
      <c r="M49" s="22"/>
      <c r="N49" s="36"/>
      <c r="O49" s="36"/>
      <c r="P49" s="36"/>
      <c r="Q49" s="36"/>
      <c r="R49" s="36"/>
      <c r="S49" s="36"/>
      <c r="T49" s="36"/>
      <c r="U49" s="62"/>
    </row>
    <row r="50" spans="2:21" outlineLevel="1" x14ac:dyDescent="0.35">
      <c r="B50" s="22" t="s">
        <v>108</v>
      </c>
      <c r="C50" s="36"/>
      <c r="D50" s="122">
        <f>D12</f>
        <v>0</v>
      </c>
      <c r="E50" s="36"/>
      <c r="F50" s="36"/>
      <c r="G50" s="36"/>
      <c r="H50" s="36"/>
      <c r="I50" s="36"/>
      <c r="J50" s="62"/>
      <c r="M50" s="22"/>
      <c r="N50" s="36"/>
      <c r="O50" s="36"/>
      <c r="P50" s="36"/>
      <c r="Q50" s="36"/>
      <c r="R50" s="36"/>
      <c r="S50" s="36"/>
      <c r="T50" s="36"/>
      <c r="U50" s="62"/>
    </row>
    <row r="51" spans="2:21" outlineLevel="1" x14ac:dyDescent="0.35">
      <c r="B51" s="22" t="s">
        <v>169</v>
      </c>
      <c r="C51" s="36"/>
      <c r="D51" s="70">
        <f>(1+D50)*D49</f>
        <v>1007.1267792499999</v>
      </c>
      <c r="E51" s="36"/>
      <c r="F51" s="36"/>
      <c r="G51" s="36"/>
      <c r="H51" s="36"/>
      <c r="I51" s="36"/>
      <c r="J51" s="62"/>
      <c r="M51" s="22"/>
      <c r="N51" s="36"/>
      <c r="O51" s="36"/>
      <c r="P51" s="36"/>
      <c r="Q51" s="36"/>
      <c r="R51" s="36"/>
      <c r="S51" s="36"/>
      <c r="T51" s="36"/>
      <c r="U51" s="62"/>
    </row>
    <row r="52" spans="2:21" ht="15" outlineLevel="1" thickBot="1" x14ac:dyDescent="0.4">
      <c r="B52" s="76"/>
      <c r="C52" s="77"/>
      <c r="D52" s="78"/>
      <c r="E52" s="77"/>
      <c r="F52" s="77"/>
      <c r="G52" s="77"/>
      <c r="H52" s="77"/>
      <c r="I52" s="77"/>
      <c r="J52" s="79"/>
      <c r="M52" s="76"/>
      <c r="N52" s="77"/>
      <c r="O52" s="77"/>
      <c r="P52" s="77"/>
      <c r="Q52" s="77"/>
      <c r="R52" s="77"/>
      <c r="S52" s="77"/>
      <c r="T52" s="77"/>
      <c r="U52" s="79"/>
    </row>
    <row r="54" spans="2:21" ht="15.5" hidden="1" x14ac:dyDescent="0.35">
      <c r="B54" s="56" t="s">
        <v>170</v>
      </c>
      <c r="C54" s="57"/>
      <c r="D54" s="57"/>
      <c r="E54" s="57"/>
      <c r="F54" s="57"/>
      <c r="G54" s="57"/>
      <c r="H54" s="57"/>
      <c r="I54" s="57"/>
      <c r="J54" s="58"/>
      <c r="M54" s="56" t="s">
        <v>241</v>
      </c>
      <c r="N54" s="57"/>
      <c r="O54" s="57"/>
      <c r="P54" s="57"/>
      <c r="Q54" s="57"/>
      <c r="R54" s="57"/>
      <c r="S54" s="57"/>
      <c r="T54" s="57"/>
      <c r="U54" s="58"/>
    </row>
    <row r="55" spans="2:21" hidden="1" x14ac:dyDescent="0.35">
      <c r="B55" s="22" t="s">
        <v>171</v>
      </c>
      <c r="C55" s="36"/>
      <c r="D55" s="66">
        <f>(D33+J32)*D9</f>
        <v>0</v>
      </c>
      <c r="E55" s="36"/>
      <c r="F55" s="36"/>
      <c r="G55" s="36"/>
      <c r="H55" s="36"/>
      <c r="I55" s="36"/>
      <c r="J55" s="62"/>
      <c r="M55" s="22" t="s">
        <v>242</v>
      </c>
      <c r="N55" s="66">
        <f>O35*H14</f>
        <v>0</v>
      </c>
      <c r="O55" s="36"/>
      <c r="P55" s="36"/>
      <c r="Q55" s="36"/>
      <c r="R55" s="36"/>
      <c r="S55" s="36"/>
      <c r="T55" s="36"/>
      <c r="U55" s="62"/>
    </row>
    <row r="56" spans="2:21" hidden="1" x14ac:dyDescent="0.35">
      <c r="B56" s="80" t="s">
        <v>172</v>
      </c>
      <c r="C56" s="81"/>
      <c r="D56" s="82">
        <f>(D33+J32)*D10</f>
        <v>0</v>
      </c>
      <c r="E56" s="81"/>
      <c r="F56" s="81"/>
      <c r="G56" s="81"/>
      <c r="H56" s="81"/>
      <c r="I56" s="81"/>
      <c r="J56" s="83"/>
      <c r="M56" s="80"/>
      <c r="N56" s="82"/>
      <c r="O56" s="81"/>
      <c r="P56" s="81"/>
      <c r="Q56" s="81"/>
      <c r="R56" s="81"/>
      <c r="S56" s="81"/>
      <c r="T56" s="81"/>
      <c r="U56" s="83"/>
    </row>
    <row r="57" spans="2:21" hidden="1" x14ac:dyDescent="0.35">
      <c r="B57" s="80"/>
      <c r="C57" s="81"/>
      <c r="D57" s="82"/>
      <c r="E57" s="81"/>
      <c r="F57" s="81"/>
      <c r="G57" s="81"/>
      <c r="H57" s="81"/>
      <c r="I57" s="81"/>
      <c r="J57" s="83"/>
      <c r="M57" s="80"/>
      <c r="N57" s="82"/>
      <c r="O57" s="81"/>
      <c r="P57" s="81"/>
      <c r="Q57" s="81"/>
      <c r="R57" s="81"/>
      <c r="S57" s="81"/>
      <c r="T57" s="81"/>
      <c r="U57" s="83"/>
    </row>
    <row r="58" spans="2:21" ht="15" hidden="1" thickBot="1" x14ac:dyDescent="0.4">
      <c r="B58" s="76"/>
      <c r="C58" s="77"/>
      <c r="D58" s="77"/>
      <c r="E58" s="77"/>
      <c r="F58" s="77"/>
      <c r="G58" s="77"/>
      <c r="H58" s="77"/>
      <c r="I58" s="77"/>
      <c r="J58" s="79"/>
      <c r="M58" s="76"/>
      <c r="N58" s="77"/>
      <c r="O58" s="77"/>
      <c r="P58" s="77"/>
      <c r="Q58" s="77"/>
      <c r="R58" s="77"/>
      <c r="S58" s="77"/>
      <c r="T58" s="77"/>
      <c r="U58" s="79"/>
    </row>
    <row r="59" spans="2:21" hidden="1" x14ac:dyDescent="0.35"/>
    <row r="60" spans="2:21" hidden="1" x14ac:dyDescent="0.35"/>
    <row r="61" spans="2:21" ht="15.5" hidden="1" x14ac:dyDescent="0.35">
      <c r="B61" s="56" t="s">
        <v>243</v>
      </c>
      <c r="C61" s="57"/>
      <c r="D61" s="57"/>
      <c r="E61" s="57"/>
      <c r="F61" s="57"/>
      <c r="G61" s="57"/>
      <c r="H61" s="57"/>
      <c r="I61" s="57"/>
      <c r="J61" s="58"/>
    </row>
    <row r="62" spans="2:21" hidden="1" x14ac:dyDescent="0.35">
      <c r="B62" s="22"/>
      <c r="C62" s="36"/>
      <c r="D62" s="36"/>
      <c r="E62" s="36"/>
      <c r="F62" s="36"/>
      <c r="G62" s="36"/>
      <c r="H62" s="36"/>
      <c r="I62" s="36"/>
      <c r="J62" s="62"/>
    </row>
    <row r="63" spans="2:21" hidden="1" x14ac:dyDescent="0.35">
      <c r="B63" s="22" t="s">
        <v>176</v>
      </c>
      <c r="C63" s="36"/>
      <c r="D63" s="90">
        <f>D51</f>
        <v>1007.1267792499999</v>
      </c>
      <c r="E63" s="36"/>
      <c r="F63" s="36"/>
      <c r="G63" s="36"/>
      <c r="H63" s="36"/>
      <c r="I63" s="36"/>
      <c r="J63" s="62"/>
    </row>
    <row r="64" spans="2:21" hidden="1" x14ac:dyDescent="0.35">
      <c r="B64" s="22" t="s">
        <v>177</v>
      </c>
      <c r="C64" s="36"/>
      <c r="D64" s="90">
        <f>O41</f>
        <v>426.06924849210543</v>
      </c>
      <c r="E64" s="36"/>
      <c r="F64" s="36"/>
      <c r="G64" s="36"/>
      <c r="H64" s="36"/>
      <c r="I64" s="36"/>
      <c r="J64" s="62"/>
    </row>
    <row r="65" spans="2:11" hidden="1" x14ac:dyDescent="0.35">
      <c r="B65" s="22" t="s">
        <v>178</v>
      </c>
      <c r="C65" s="36"/>
      <c r="D65" s="90">
        <f>D55</f>
        <v>0</v>
      </c>
      <c r="E65" s="36"/>
      <c r="F65" s="36"/>
      <c r="G65" s="36"/>
      <c r="H65" s="36"/>
      <c r="I65" s="36"/>
      <c r="J65" s="62"/>
    </row>
    <row r="66" spans="2:11" hidden="1" x14ac:dyDescent="0.35">
      <c r="B66" s="22" t="s">
        <v>179</v>
      </c>
      <c r="C66" s="36"/>
      <c r="D66" s="90">
        <f>N55</f>
        <v>0</v>
      </c>
      <c r="E66" s="36"/>
      <c r="F66" s="36"/>
      <c r="G66" s="36"/>
      <c r="H66" s="36"/>
      <c r="I66" s="36"/>
      <c r="J66" s="62"/>
    </row>
    <row r="67" spans="2:11" hidden="1" x14ac:dyDescent="0.35">
      <c r="B67" s="80" t="s">
        <v>172</v>
      </c>
      <c r="C67" s="36"/>
      <c r="D67" s="90">
        <f>D56</f>
        <v>0</v>
      </c>
      <c r="E67" s="36"/>
      <c r="F67" s="36"/>
      <c r="G67" s="36"/>
      <c r="H67" s="36"/>
      <c r="I67" s="36"/>
      <c r="J67" s="62"/>
    </row>
    <row r="68" spans="2:11" hidden="1" x14ac:dyDescent="0.35">
      <c r="B68" s="22" t="s">
        <v>180</v>
      </c>
      <c r="C68" s="36"/>
      <c r="D68" s="90">
        <f>SUM(D63:D67)*D14</f>
        <v>0</v>
      </c>
      <c r="E68" s="36"/>
      <c r="F68" s="36"/>
      <c r="G68" s="36"/>
      <c r="H68" s="36"/>
      <c r="I68" s="36"/>
      <c r="J68" s="62"/>
    </row>
    <row r="69" spans="2:11" hidden="1" x14ac:dyDescent="0.35">
      <c r="B69" s="22" t="s">
        <v>244</v>
      </c>
      <c r="C69" s="36"/>
      <c r="D69" s="90">
        <f>SUM(D63:D68)*D15</f>
        <v>3582.9900693552636</v>
      </c>
      <c r="E69" s="36"/>
      <c r="F69" s="36"/>
      <c r="G69" s="36"/>
      <c r="H69" s="36"/>
      <c r="I69" s="36"/>
      <c r="J69" s="62"/>
    </row>
    <row r="70" spans="2:11" hidden="1" x14ac:dyDescent="0.35">
      <c r="B70" s="22" t="s">
        <v>182</v>
      </c>
      <c r="C70" s="36"/>
      <c r="D70" s="90">
        <f>SUM(D63:D69)*D16</f>
        <v>0</v>
      </c>
      <c r="E70" s="36"/>
      <c r="F70" s="36"/>
      <c r="G70" s="36"/>
      <c r="H70" s="36"/>
      <c r="I70" s="36"/>
      <c r="J70" s="62"/>
    </row>
    <row r="71" spans="2:11" hidden="1" x14ac:dyDescent="0.35">
      <c r="B71" s="22" t="s">
        <v>183</v>
      </c>
      <c r="C71" s="36"/>
      <c r="D71" s="90">
        <f>(D32+J30*J23-D41-J43)*D13</f>
        <v>0</v>
      </c>
      <c r="E71" s="36"/>
      <c r="F71" s="36"/>
      <c r="G71" s="36"/>
      <c r="H71" s="36"/>
      <c r="I71" s="36"/>
      <c r="J71" s="62"/>
      <c r="K71" s="123"/>
    </row>
    <row r="72" spans="2:11" ht="18.5" hidden="1" x14ac:dyDescent="0.35">
      <c r="B72" s="91" t="s">
        <v>245</v>
      </c>
      <c r="C72" s="92"/>
      <c r="D72" s="93">
        <f>SUM(D63:D71)</f>
        <v>5016.1860970973685</v>
      </c>
      <c r="E72" s="92"/>
      <c r="F72" s="92"/>
      <c r="G72" s="92"/>
      <c r="H72" s="92"/>
      <c r="I72" s="92"/>
      <c r="J72" s="94"/>
      <c r="K72" s="120"/>
    </row>
    <row r="73" spans="2:11" ht="19" hidden="1" thickBot="1" x14ac:dyDescent="0.4">
      <c r="B73" s="95" t="s">
        <v>246</v>
      </c>
      <c r="C73" s="96"/>
      <c r="D73" s="97">
        <f>SUM(D63:D70)</f>
        <v>5016.1860970973685</v>
      </c>
      <c r="E73" s="96"/>
      <c r="F73" s="96"/>
      <c r="G73" s="96"/>
      <c r="H73" s="96"/>
      <c r="I73" s="96"/>
      <c r="J73" s="98"/>
    </row>
    <row r="74" spans="2:11" hidden="1" x14ac:dyDescent="0.35"/>
    <row r="75" spans="2:11" hidden="1" x14ac:dyDescent="0.35"/>
    <row r="76" spans="2:11" hidden="1" x14ac:dyDescent="0.35">
      <c r="D76" s="124"/>
    </row>
    <row r="77" spans="2:11" hidden="1" x14ac:dyDescent="0.35"/>
    <row r="78" spans="2:11" ht="15" thickBot="1" x14ac:dyDescent="0.4"/>
    <row r="79" spans="2:11" ht="15.5" x14ac:dyDescent="0.35">
      <c r="B79" s="84" t="s">
        <v>173</v>
      </c>
      <c r="C79" s="85" t="s">
        <v>174</v>
      </c>
      <c r="D79" s="85"/>
      <c r="E79" s="85"/>
      <c r="F79" s="85"/>
      <c r="G79" s="85"/>
      <c r="H79" s="85"/>
      <c r="I79" s="85"/>
      <c r="J79" s="86"/>
    </row>
    <row r="80" spans="2:11" x14ac:dyDescent="0.35">
      <c r="B80" s="87"/>
      <c r="J80" s="88"/>
    </row>
    <row r="81" spans="2:10" x14ac:dyDescent="0.35">
      <c r="B81" s="87"/>
      <c r="C81" s="89" t="s">
        <v>247</v>
      </c>
      <c r="J81" s="88"/>
    </row>
    <row r="82" spans="2:10" x14ac:dyDescent="0.35">
      <c r="B82" s="87"/>
      <c r="J82" s="88"/>
    </row>
    <row r="83" spans="2:10" ht="15.65" hidden="1" customHeight="1" x14ac:dyDescent="0.35">
      <c r="B83" s="56" t="s">
        <v>175</v>
      </c>
      <c r="C83" s="57"/>
      <c r="D83" s="57"/>
      <c r="E83" s="57"/>
      <c r="F83" s="57"/>
      <c r="G83" s="57"/>
      <c r="H83" s="57"/>
      <c r="I83" s="57"/>
      <c r="J83" s="58"/>
    </row>
    <row r="84" spans="2:10" ht="14.5" hidden="1" customHeight="1" x14ac:dyDescent="0.35">
      <c r="B84" s="22"/>
      <c r="C84" s="36"/>
      <c r="D84" s="36"/>
      <c r="E84" s="36"/>
      <c r="F84" s="36"/>
      <c r="G84" s="36"/>
      <c r="H84" s="36"/>
      <c r="I84" s="36"/>
      <c r="J84" s="62"/>
    </row>
    <row r="85" spans="2:10" ht="14.5" hidden="1" customHeight="1" x14ac:dyDescent="0.35">
      <c r="B85" s="22" t="s">
        <v>176</v>
      </c>
      <c r="C85" s="36"/>
      <c r="D85" s="90">
        <f>D71</f>
        <v>0</v>
      </c>
      <c r="E85" s="36"/>
      <c r="F85" s="36"/>
      <c r="G85" s="36"/>
      <c r="H85" s="36"/>
      <c r="I85" s="36"/>
      <c r="J85" s="62"/>
    </row>
    <row r="86" spans="2:10" ht="14.5" hidden="1" customHeight="1" x14ac:dyDescent="0.35">
      <c r="B86" s="22" t="s">
        <v>177</v>
      </c>
      <c r="C86" s="36"/>
      <c r="D86" s="90">
        <f>O64</f>
        <v>0</v>
      </c>
      <c r="E86" s="36"/>
      <c r="F86" s="36"/>
      <c r="G86" s="36"/>
      <c r="H86" s="36"/>
      <c r="I86" s="36"/>
      <c r="J86" s="62"/>
    </row>
    <row r="87" spans="2:10" ht="14.5" hidden="1" customHeight="1" x14ac:dyDescent="0.35">
      <c r="B87" s="22" t="s">
        <v>178</v>
      </c>
      <c r="C87" s="36"/>
      <c r="D87" s="90">
        <f>D75</f>
        <v>0</v>
      </c>
      <c r="E87" s="36"/>
      <c r="F87" s="36"/>
      <c r="G87" s="36"/>
      <c r="H87" s="36"/>
      <c r="I87" s="36"/>
      <c r="J87" s="62"/>
    </row>
    <row r="88" spans="2:10" ht="14.5" hidden="1" customHeight="1" x14ac:dyDescent="0.35">
      <c r="B88" s="22" t="s">
        <v>179</v>
      </c>
      <c r="C88" s="36"/>
      <c r="D88" s="90">
        <f>O75</f>
        <v>0</v>
      </c>
      <c r="E88" s="36"/>
      <c r="F88" s="36"/>
      <c r="G88" s="36"/>
      <c r="H88" s="36"/>
      <c r="I88" s="36"/>
      <c r="J88" s="62"/>
    </row>
    <row r="89" spans="2:10" ht="14.5" hidden="1" customHeight="1" x14ac:dyDescent="0.35">
      <c r="B89" s="80" t="s">
        <v>172</v>
      </c>
      <c r="C89" s="36"/>
      <c r="D89" s="90">
        <f>D76</f>
        <v>0</v>
      </c>
      <c r="E89" s="36"/>
      <c r="F89" s="36"/>
      <c r="G89" s="36"/>
      <c r="H89" s="36"/>
      <c r="I89" s="36"/>
      <c r="J89" s="62"/>
    </row>
    <row r="90" spans="2:10" ht="14.5" hidden="1" customHeight="1" x14ac:dyDescent="0.35">
      <c r="B90" s="22" t="s">
        <v>180</v>
      </c>
      <c r="C90" s="36"/>
      <c r="D90" s="90">
        <f>SUM(D85:D89)*D36</f>
        <v>0</v>
      </c>
      <c r="E90" s="36"/>
      <c r="F90" s="36"/>
      <c r="G90" s="36"/>
      <c r="H90" s="36"/>
      <c r="I90" s="36"/>
      <c r="J90" s="62"/>
    </row>
    <row r="91" spans="2:10" ht="14.5" hidden="1" customHeight="1" x14ac:dyDescent="0.35">
      <c r="B91" s="22" t="s">
        <v>181</v>
      </c>
      <c r="C91" s="36"/>
      <c r="D91" s="90">
        <f>SUM(D85:D90)*D37</f>
        <v>0</v>
      </c>
      <c r="E91" s="36"/>
      <c r="F91" s="36"/>
      <c r="G91" s="36"/>
      <c r="H91" s="36"/>
      <c r="I91" s="36"/>
      <c r="J91" s="62"/>
    </row>
    <row r="92" spans="2:10" ht="14.5" hidden="1" customHeight="1" x14ac:dyDescent="0.35">
      <c r="B92" s="22" t="s">
        <v>182</v>
      </c>
      <c r="C92" s="36"/>
      <c r="D92" s="90">
        <f>SUM(D85:D91)*D38</f>
        <v>0</v>
      </c>
      <c r="E92" s="36"/>
      <c r="F92" s="36"/>
      <c r="G92" s="36"/>
      <c r="H92" s="36"/>
      <c r="I92" s="36"/>
      <c r="J92" s="62"/>
    </row>
    <row r="93" spans="2:10" ht="14.5" hidden="1" customHeight="1" x14ac:dyDescent="0.35">
      <c r="B93" s="22" t="s">
        <v>183</v>
      </c>
      <c r="C93" s="36"/>
      <c r="D93" s="90">
        <f>(D54-D62-I63)*D35</f>
        <v>0</v>
      </c>
      <c r="E93" s="36"/>
      <c r="F93" s="36"/>
      <c r="G93" s="36"/>
      <c r="H93" s="36"/>
      <c r="I93" s="36"/>
      <c r="J93" s="62"/>
    </row>
    <row r="94" spans="2:10" ht="14.5" hidden="1" customHeight="1" x14ac:dyDescent="0.35">
      <c r="B94" s="22"/>
      <c r="C94" s="36"/>
      <c r="D94" s="90"/>
      <c r="E94" s="36"/>
      <c r="F94" s="36"/>
      <c r="G94" s="36"/>
      <c r="H94" s="36"/>
      <c r="I94" s="36"/>
      <c r="J94" s="62"/>
    </row>
    <row r="95" spans="2:10" ht="18.649999999999999" hidden="1" customHeight="1" x14ac:dyDescent="0.35">
      <c r="B95" s="91" t="s">
        <v>184</v>
      </c>
      <c r="C95" s="92"/>
      <c r="D95" s="93">
        <f>SUM(D85:D93)</f>
        <v>0</v>
      </c>
      <c r="E95" s="92"/>
      <c r="F95" s="92"/>
      <c r="G95" s="92"/>
      <c r="H95" s="92"/>
      <c r="I95" s="92"/>
      <c r="J95" s="94"/>
    </row>
    <row r="96" spans="2:10" ht="19" hidden="1" customHeight="1" x14ac:dyDescent="0.35">
      <c r="B96" s="95" t="s">
        <v>185</v>
      </c>
      <c r="C96" s="96"/>
      <c r="D96" s="97">
        <f>SUM(D85:D92)</f>
        <v>0</v>
      </c>
      <c r="E96" s="96"/>
      <c r="F96" s="96"/>
      <c r="G96" s="96"/>
      <c r="H96" s="96"/>
      <c r="I96" s="96"/>
      <c r="J96" s="98"/>
    </row>
    <row r="97" spans="2:10" x14ac:dyDescent="0.35">
      <c r="B97" s="87"/>
      <c r="D97" s="99" t="s">
        <v>248</v>
      </c>
      <c r="E97" s="99" t="s">
        <v>186</v>
      </c>
      <c r="J97" s="88"/>
    </row>
    <row r="98" spans="2:10" x14ac:dyDescent="0.35">
      <c r="B98" s="22"/>
      <c r="C98" s="36" t="s">
        <v>249</v>
      </c>
      <c r="D98" s="100">
        <f>D32</f>
        <v>11.774999999999999</v>
      </c>
      <c r="E98" s="100">
        <f>'[1]Old Ladder type '!K9</f>
        <v>11.775</v>
      </c>
      <c r="F98" s="36"/>
      <c r="G98" s="36"/>
      <c r="H98" s="36"/>
      <c r="I98" s="36"/>
      <c r="J98" s="62"/>
    </row>
    <row r="99" spans="2:10" x14ac:dyDescent="0.35">
      <c r="B99" s="22"/>
      <c r="C99" s="36" t="s">
        <v>250</v>
      </c>
      <c r="D99" s="101">
        <f>D41</f>
        <v>4.9298000000000008E-2</v>
      </c>
      <c r="E99" s="101">
        <v>0</v>
      </c>
      <c r="F99" s="36"/>
      <c r="G99" s="36"/>
      <c r="H99" s="36"/>
      <c r="I99" s="36"/>
      <c r="J99" s="62"/>
    </row>
    <row r="100" spans="2:10" x14ac:dyDescent="0.35">
      <c r="B100" s="22"/>
      <c r="C100" s="36" t="s">
        <v>251</v>
      </c>
      <c r="D100" s="100">
        <f>J30*J23</f>
        <v>2.1194999999999999</v>
      </c>
      <c r="E100" s="100">
        <f>'[1]Old Ladder type '!L9</f>
        <v>8.4779999999999998</v>
      </c>
      <c r="F100" s="36"/>
      <c r="G100" s="36"/>
      <c r="H100" s="36"/>
      <c r="I100" s="36"/>
      <c r="J100" s="62"/>
    </row>
    <row r="101" spans="2:10" x14ac:dyDescent="0.35">
      <c r="B101" s="22"/>
      <c r="C101" s="36" t="s">
        <v>252</v>
      </c>
      <c r="D101" s="101">
        <f>J43</f>
        <v>0.1471875</v>
      </c>
      <c r="E101" s="101">
        <v>0</v>
      </c>
      <c r="F101" s="125"/>
      <c r="G101" s="36"/>
      <c r="H101" s="36"/>
      <c r="I101" s="36"/>
      <c r="J101" s="62"/>
    </row>
    <row r="102" spans="2:10" x14ac:dyDescent="0.35">
      <c r="B102" s="22"/>
      <c r="C102" s="36" t="s">
        <v>253</v>
      </c>
      <c r="D102" s="101">
        <f>'[1]Final Coupler Plate'!D37*2</f>
        <v>0.44697900000000002</v>
      </c>
      <c r="E102" s="101">
        <f>'[1]Old Ladder type '!M9</f>
        <v>0.46157999999999999</v>
      </c>
      <c r="F102" s="103"/>
      <c r="G102" s="36"/>
      <c r="H102" s="36"/>
      <c r="I102" s="36"/>
      <c r="J102" s="62"/>
    </row>
    <row r="103" spans="2:10" x14ac:dyDescent="0.35">
      <c r="B103" s="22"/>
      <c r="C103" s="36" t="s">
        <v>190</v>
      </c>
      <c r="D103" s="100">
        <v>0.32</v>
      </c>
      <c r="E103" s="100">
        <v>0.32</v>
      </c>
      <c r="F103" s="104"/>
      <c r="G103" s="105" t="s">
        <v>191</v>
      </c>
      <c r="H103" s="36"/>
      <c r="I103" s="36"/>
      <c r="J103" s="62"/>
    </row>
    <row r="104" spans="2:10" x14ac:dyDescent="0.35">
      <c r="B104" s="22"/>
      <c r="C104" s="36" t="s">
        <v>192</v>
      </c>
      <c r="D104" s="100">
        <f>D98-D99+D100-D101+D102+D103</f>
        <v>14.4649935</v>
      </c>
      <c r="E104" s="100">
        <f>E98-E99+E100-E101+E102+E103</f>
        <v>21.034580000000002</v>
      </c>
      <c r="F104" s="103">
        <f>(E104-D104)/D104</f>
        <v>0.45417141044688347</v>
      </c>
      <c r="G104" s="67"/>
      <c r="H104" s="36"/>
      <c r="I104" s="36"/>
      <c r="J104" s="62"/>
    </row>
    <row r="105" spans="2:10" x14ac:dyDescent="0.35">
      <c r="B105" s="22"/>
      <c r="C105" s="69" t="s">
        <v>193</v>
      </c>
      <c r="D105" s="126">
        <f>(D98*D6-D11*D99*D6)+(D100*D6-D11*D101*D6)+('[1]Final Coupler Plate'!D24-'Ladder 150x100x2'!D43*'[1]Final Coupler Plate'!D34)*'Ladder 150x100x2'!D6*2+'Ladder 150x100x2'!D103*'Ladder 150x100x2'!D6</f>
        <v>1064.8525877499999</v>
      </c>
      <c r="E105" s="126">
        <f>E104*D6</f>
        <v>1535.5243400000002</v>
      </c>
      <c r="F105" s="36"/>
      <c r="G105" s="67"/>
      <c r="H105" s="36"/>
      <c r="I105" s="36"/>
      <c r="J105" s="62"/>
    </row>
    <row r="106" spans="2:10" x14ac:dyDescent="0.35">
      <c r="B106" s="22"/>
      <c r="C106" s="36"/>
      <c r="D106" s="100"/>
      <c r="E106" s="100"/>
      <c r="F106" s="36"/>
      <c r="G106" s="36"/>
      <c r="H106" s="36"/>
      <c r="I106" s="36"/>
      <c r="J106" s="62"/>
    </row>
    <row r="107" spans="2:10" x14ac:dyDescent="0.35">
      <c r="B107" s="22"/>
      <c r="C107" s="36" t="s">
        <v>144</v>
      </c>
      <c r="D107" s="100">
        <f>5%*D104</f>
        <v>0.72324967500000004</v>
      </c>
      <c r="E107" s="100">
        <f>5%*E104</f>
        <v>1.0517290000000001</v>
      </c>
      <c r="F107" s="36"/>
      <c r="G107" s="105" t="s">
        <v>254</v>
      </c>
      <c r="H107" s="36"/>
      <c r="I107" s="36"/>
      <c r="J107" s="62"/>
    </row>
    <row r="108" spans="2:10" x14ac:dyDescent="0.35">
      <c r="B108" s="22"/>
      <c r="C108" s="36" t="s">
        <v>195</v>
      </c>
      <c r="D108" s="100">
        <f>D107*$H$8</f>
        <v>307.81506168000004</v>
      </c>
      <c r="E108" s="100">
        <f>E107*$H$8</f>
        <v>447.61586240000008</v>
      </c>
      <c r="F108" s="36"/>
      <c r="G108" s="36"/>
      <c r="H108" s="36"/>
      <c r="I108" s="36"/>
      <c r="J108" s="62"/>
    </row>
    <row r="109" spans="2:10" x14ac:dyDescent="0.35">
      <c r="B109" s="22"/>
      <c r="C109" s="36"/>
      <c r="D109" s="100"/>
      <c r="E109" s="100"/>
      <c r="F109" s="36"/>
      <c r="G109" s="36"/>
      <c r="H109" s="36"/>
      <c r="I109" s="36"/>
      <c r="J109" s="62"/>
    </row>
    <row r="110" spans="2:10" x14ac:dyDescent="0.35">
      <c r="B110" s="22"/>
      <c r="C110" s="36" t="s">
        <v>196</v>
      </c>
      <c r="D110" s="100">
        <f>(D104+D107)*$D$17</f>
        <v>118.46829676500001</v>
      </c>
      <c r="E110" s="100">
        <f>(E104+E107)*$D$17</f>
        <v>172.27321020000002</v>
      </c>
      <c r="F110" s="36"/>
      <c r="G110" s="36"/>
      <c r="H110" s="36"/>
      <c r="I110" s="36"/>
      <c r="J110" s="62"/>
    </row>
    <row r="111" spans="2:10" x14ac:dyDescent="0.35">
      <c r="B111" s="22"/>
      <c r="C111" s="36"/>
      <c r="D111" s="100"/>
      <c r="E111" s="100"/>
      <c r="F111" s="36"/>
      <c r="G111" s="36"/>
      <c r="H111" s="36"/>
      <c r="I111" s="36"/>
      <c r="J111" s="62"/>
    </row>
    <row r="112" spans="2:10" x14ac:dyDescent="0.35">
      <c r="B112" s="22"/>
      <c r="C112" s="69" t="s">
        <v>255</v>
      </c>
      <c r="D112" s="126">
        <f>D110+D105+D108</f>
        <v>1491.1359461950001</v>
      </c>
      <c r="E112" s="126">
        <f>E110+E105+E108</f>
        <v>2155.4134126000004</v>
      </c>
      <c r="F112" s="36"/>
      <c r="G112" s="36"/>
      <c r="H112" s="36"/>
      <c r="I112" s="36"/>
      <c r="J112" s="62"/>
    </row>
    <row r="113" spans="2:12" x14ac:dyDescent="0.35">
      <c r="B113" s="22"/>
      <c r="C113" s="69" t="s">
        <v>199</v>
      </c>
      <c r="D113" s="115">
        <f>D112/(O12/1000)</f>
        <v>596.45437847800008</v>
      </c>
      <c r="E113" s="115">
        <f>E112/(O12/1000)</f>
        <v>862.1653650400001</v>
      </c>
      <c r="F113" s="36"/>
      <c r="G113" s="36"/>
      <c r="H113" s="36"/>
      <c r="I113" s="36"/>
      <c r="J113" s="62"/>
    </row>
    <row r="114" spans="2:12" x14ac:dyDescent="0.35">
      <c r="B114" s="22"/>
      <c r="C114" s="36" t="s">
        <v>198</v>
      </c>
      <c r="D114" s="108">
        <f>(E112-D112)/D112</f>
        <v>0.44548417473273816</v>
      </c>
      <c r="E114" s="100"/>
      <c r="F114" s="36"/>
      <c r="G114" s="36"/>
      <c r="H114" s="36"/>
      <c r="I114" s="36"/>
      <c r="J114" s="62"/>
    </row>
    <row r="115" spans="2:12" ht="15" thickBot="1" x14ac:dyDescent="0.4">
      <c r="B115" s="76"/>
      <c r="C115" s="109"/>
      <c r="D115" s="109"/>
      <c r="E115" s="109"/>
      <c r="F115" s="77"/>
      <c r="G115" s="77"/>
      <c r="H115" s="77"/>
      <c r="I115" s="77"/>
      <c r="J115" s="79"/>
    </row>
    <row r="117" spans="2:12" hidden="1" x14ac:dyDescent="0.35"/>
    <row r="118" spans="2:12" ht="15.5" hidden="1" x14ac:dyDescent="0.35">
      <c r="B118" s="127" t="s">
        <v>256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9"/>
    </row>
    <row r="119" spans="2:12" hidden="1" x14ac:dyDescent="0.35">
      <c r="B119" s="87"/>
      <c r="L119" s="88"/>
    </row>
    <row r="120" spans="2:12" ht="15.5" hidden="1" x14ac:dyDescent="0.35">
      <c r="B120" s="87"/>
      <c r="D120" s="130" t="s">
        <v>257</v>
      </c>
      <c r="E120" s="130"/>
      <c r="F120" s="130"/>
      <c r="H120" s="131" t="s">
        <v>258</v>
      </c>
      <c r="I120" s="131"/>
      <c r="J120" s="131"/>
      <c r="L120" s="88"/>
    </row>
    <row r="121" spans="2:12" ht="43.5" hidden="1" x14ac:dyDescent="0.35">
      <c r="B121" s="87"/>
      <c r="C121" s="132" t="s">
        <v>259</v>
      </c>
      <c r="D121" s="89"/>
      <c r="H121" s="89"/>
      <c r="L121" s="88"/>
    </row>
    <row r="122" spans="2:12" hidden="1" x14ac:dyDescent="0.35">
      <c r="B122" s="87"/>
      <c r="D122" s="89"/>
      <c r="H122" s="89"/>
      <c r="L122" s="88"/>
    </row>
    <row r="123" spans="2:12" ht="29" hidden="1" x14ac:dyDescent="0.35">
      <c r="B123" s="87"/>
      <c r="D123" s="133" t="s">
        <v>260</v>
      </c>
      <c r="E123" s="133" t="s">
        <v>261</v>
      </c>
      <c r="F123" s="134" t="s">
        <v>262</v>
      </c>
      <c r="H123" s="133" t="s">
        <v>260</v>
      </c>
      <c r="I123" s="133" t="s">
        <v>261</v>
      </c>
      <c r="J123" s="134" t="s">
        <v>262</v>
      </c>
      <c r="K123" s="135" t="s">
        <v>263</v>
      </c>
      <c r="L123" s="136"/>
    </row>
    <row r="124" spans="2:12" ht="15.5" hidden="1" x14ac:dyDescent="0.35">
      <c r="B124" s="87"/>
      <c r="C124" s="137" t="str">
        <f>'[1]Old Ladder type '!B9</f>
        <v>600mm(W)X100mm(H)</v>
      </c>
      <c r="D124" s="138">
        <f>'[1]Old Ladder type '!Q9</f>
        <v>21.034580000000002</v>
      </c>
      <c r="E124" s="138">
        <f>'[1]Old Ladder type '!U9</f>
        <v>1.0517290000000001</v>
      </c>
      <c r="F124" s="138">
        <f>'[1]Old Ladder type '!Z9</f>
        <v>1774.5718244100003</v>
      </c>
      <c r="H124" s="138">
        <v>20.348960999999999</v>
      </c>
      <c r="I124" s="138">
        <v>1.01744805</v>
      </c>
      <c r="J124" s="138">
        <v>1322.4675931345</v>
      </c>
      <c r="K124" s="139">
        <f>(F124-J124)/J124</f>
        <v>0.3418641285597987</v>
      </c>
      <c r="L124" s="136"/>
    </row>
    <row r="125" spans="2:12" ht="15.5" hidden="1" x14ac:dyDescent="0.35">
      <c r="B125" s="87"/>
      <c r="C125" s="137" t="str">
        <f>'[1]Old Ladder type '!B10</f>
        <v>450mm(W)X100mm(H)</v>
      </c>
      <c r="D125" s="138">
        <f>'[1]Old Ladder type '!Q10</f>
        <v>18.915080000000003</v>
      </c>
      <c r="E125" s="138">
        <f>'[1]Old Ladder type '!U10</f>
        <v>0.94575400000000021</v>
      </c>
      <c r="F125" s="138">
        <f>'[1]Old Ladder type '!Z10</f>
        <v>1214.6224046600005</v>
      </c>
      <c r="H125" s="138">
        <v>18.376648499999998</v>
      </c>
      <c r="I125" s="138">
        <v>0.91883242499999995</v>
      </c>
      <c r="J125" s="138">
        <v>1192.4312196032499</v>
      </c>
      <c r="K125" s="139">
        <v>2.4768732392250623E-2</v>
      </c>
      <c r="L125" s="136"/>
    </row>
    <row r="126" spans="2:12" ht="15.5" hidden="1" x14ac:dyDescent="0.35">
      <c r="B126" s="87"/>
      <c r="C126" s="137" t="str">
        <f>'[1]Old Ladder type '!B11</f>
        <v>300mm(W)X100mm(H)</v>
      </c>
      <c r="D126" s="138">
        <f>'[1]Old Ladder type '!Q11</f>
        <v>16.795580000000001</v>
      </c>
      <c r="E126" s="138">
        <f>'[1]Old Ladder type '!U11</f>
        <v>0.83977900000000005</v>
      </c>
      <c r="F126" s="138">
        <f>'[1]Old Ladder type '!Z11</f>
        <v>1078.5197719100001</v>
      </c>
      <c r="H126" s="138">
        <v>16.404336000000001</v>
      </c>
      <c r="I126" s="138">
        <v>0.82021680000000008</v>
      </c>
      <c r="J126" s="138">
        <v>1062.3948460720001</v>
      </c>
      <c r="K126" s="139">
        <f>(F126-J126)/J126</f>
        <v>1.5177902921516311E-2</v>
      </c>
      <c r="L126" s="136"/>
    </row>
    <row r="127" spans="2:12" ht="15.5" hidden="1" x14ac:dyDescent="0.35">
      <c r="B127" s="87"/>
      <c r="C127" s="137"/>
      <c r="D127" s="138"/>
      <c r="E127" s="138"/>
      <c r="F127" s="138"/>
      <c r="H127" s="138"/>
      <c r="I127" s="138"/>
      <c r="J127" s="138"/>
      <c r="K127" s="139"/>
      <c r="L127" s="136"/>
    </row>
    <row r="128" spans="2:12" ht="15.5" hidden="1" x14ac:dyDescent="0.35">
      <c r="B128" s="87"/>
      <c r="C128" s="137"/>
      <c r="D128" s="138"/>
      <c r="E128" s="138"/>
      <c r="F128" s="138"/>
      <c r="H128" s="138"/>
      <c r="I128" s="138"/>
      <c r="J128" s="138"/>
      <c r="K128" s="139"/>
      <c r="L128" s="136"/>
    </row>
    <row r="129" spans="2:12" ht="15.5" hidden="1" x14ac:dyDescent="0.35">
      <c r="B129" s="87"/>
      <c r="C129" s="137"/>
      <c r="D129" s="138"/>
      <c r="E129" s="138"/>
      <c r="F129" s="138"/>
      <c r="H129" s="138"/>
      <c r="I129" s="138"/>
      <c r="J129" s="138"/>
      <c r="K129" s="139"/>
      <c r="L129" s="136"/>
    </row>
    <row r="130" spans="2:12" hidden="1" x14ac:dyDescent="0.35">
      <c r="B130" s="87"/>
      <c r="L130" s="88"/>
    </row>
    <row r="131" spans="2:12" hidden="1" x14ac:dyDescent="0.35">
      <c r="B131" s="87"/>
      <c r="L131" s="88"/>
    </row>
    <row r="132" spans="2:12" ht="15" hidden="1" thickBot="1" x14ac:dyDescent="0.4">
      <c r="B132" s="140"/>
      <c r="C132" s="109"/>
      <c r="D132" s="109"/>
      <c r="E132" s="109"/>
      <c r="F132" s="109"/>
      <c r="G132" s="109"/>
      <c r="H132" s="109"/>
      <c r="I132" s="109"/>
      <c r="J132" s="109"/>
      <c r="K132" s="109"/>
      <c r="L132" s="141"/>
    </row>
  </sheetData>
  <mergeCells count="14">
    <mergeCell ref="B54:J54"/>
    <mergeCell ref="M54:U54"/>
    <mergeCell ref="B61:J61"/>
    <mergeCell ref="B79:J79"/>
    <mergeCell ref="B83:J83"/>
    <mergeCell ref="D120:F120"/>
    <mergeCell ref="H120:J120"/>
    <mergeCell ref="A1:U2"/>
    <mergeCell ref="B5:J5"/>
    <mergeCell ref="M5:U5"/>
    <mergeCell ref="B7:C7"/>
    <mergeCell ref="B13:C13"/>
    <mergeCell ref="B21:J21"/>
    <mergeCell ref="M21:U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D537FC6EEFA3469C67318615635BCD" ma:contentTypeVersion="15" ma:contentTypeDescription="Create a new document." ma:contentTypeScope="" ma:versionID="477fc19a782d09aa75c3c7510055fafc">
  <xsd:schema xmlns:xsd="http://www.w3.org/2001/XMLSchema" xmlns:xs="http://www.w3.org/2001/XMLSchema" xmlns:p="http://schemas.microsoft.com/office/2006/metadata/properties" xmlns:ns2="937d96c5-689a-445c-b497-c26898801115" xmlns:ns3="66e154ca-c873-43d1-adfc-28c8beb208b8" targetNamespace="http://schemas.microsoft.com/office/2006/metadata/properties" ma:root="true" ma:fieldsID="aa484b9a09f85fc0eec517f46bbdb829" ns2:_="" ns3:_="">
    <xsd:import namespace="937d96c5-689a-445c-b497-c26898801115"/>
    <xsd:import namespace="66e154ca-c873-43d1-adfc-28c8beb208b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d96c5-689a-445c-b497-c2689880111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89be9f9-5296-4597-8f73-1ef66ab78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54ca-c873-43d1-adfc-28c8beb208b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b9c3baa-e231-45e7-b610-86feff5dadb7}" ma:internalName="TaxCatchAll" ma:showField="CatchAllData" ma:web="66e154ca-c873-43d1-adfc-28c8beb20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154ca-c873-43d1-adfc-28c8beb208b8" xsi:nil="true"/>
    <lcf76f155ced4ddcb4097134ff3c332f xmlns="937d96c5-689a-445c-b497-c268988011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0444F3-AFEB-4C06-8B64-4CFD96F62F34}"/>
</file>

<file path=customXml/itemProps2.xml><?xml version="1.0" encoding="utf-8"?>
<ds:datastoreItem xmlns:ds="http://schemas.openxmlformats.org/officeDocument/2006/customXml" ds:itemID="{CA4EA500-DB55-40DA-B938-0A259F1D0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D72610-CEC7-49A4-9764-8642A4CB82B7}">
  <ds:schemaRefs>
    <ds:schemaRef ds:uri="http://schemas.microsoft.com/office/2006/metadata/properties"/>
    <ds:schemaRef ds:uri="http://schemas.microsoft.com/office/infopath/2007/PartnerControls"/>
    <ds:schemaRef ds:uri="53c169c3-18f4-4797-bbc1-02b09fb21796"/>
    <ds:schemaRef ds:uri="12f3daf1-5ea5-4ed0-808e-0bbd911669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Cable Tray &amp; Accessories</vt:lpstr>
      <vt:lpstr>Backup&gt;</vt:lpstr>
      <vt:lpstr>Horizontal Cross 300x100x2</vt:lpstr>
      <vt:lpstr>Horizontal Cross 600x100x2</vt:lpstr>
      <vt:lpstr>Channel 41x41x2.5</vt:lpstr>
      <vt:lpstr>Channel 41x82x2.5</vt:lpstr>
      <vt:lpstr>Cantilever Arm 750</vt:lpstr>
      <vt:lpstr>Cantilever Arm 620</vt:lpstr>
      <vt:lpstr>Cantilever Arm 320</vt:lpstr>
      <vt:lpstr>Horizontal Tee 600x100x2</vt:lpstr>
      <vt:lpstr>Horizontal Tee 300x100x2</vt:lpstr>
      <vt:lpstr>Horizontal Tee 150x100x2</vt:lpstr>
      <vt:lpstr>Vertical bend down 600x100x2</vt:lpstr>
      <vt:lpstr>Vertical bend down 300x100x2</vt:lpstr>
      <vt:lpstr>Vertical bend down 150x100x2</vt:lpstr>
      <vt:lpstr>Vertical bend up 600x100x2</vt:lpstr>
      <vt:lpstr>Vertical bend up 300x100x2</vt:lpstr>
      <vt:lpstr>Vertical bend up 150x100x2</vt:lpstr>
      <vt:lpstr>U Trough 75x25x2</vt:lpstr>
      <vt:lpstr>U Trough 50x25x2</vt:lpstr>
      <vt:lpstr>H Bend 600x100x2</vt:lpstr>
      <vt:lpstr>H Bend 300x100x2</vt:lpstr>
      <vt:lpstr>H Bend 150x100x2</vt:lpstr>
      <vt:lpstr>Perforated 600x100x2</vt:lpstr>
      <vt:lpstr>Perforated 300x100x2</vt:lpstr>
      <vt:lpstr>Perforated 150x100x2</vt:lpstr>
      <vt:lpstr>Ladder 600x100x2</vt:lpstr>
      <vt:lpstr>Ladder 300x100x2</vt:lpstr>
      <vt:lpstr>Ladder 150x100x2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 Hari Narayana Alapati</dc:creator>
  <cp:lastModifiedBy>Anushree Ghurka</cp:lastModifiedBy>
  <dcterms:created xsi:type="dcterms:W3CDTF">2015-06-05T18:17:20Z</dcterms:created>
  <dcterms:modified xsi:type="dcterms:W3CDTF">2026-09-30T11:21:08Z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f3facb-632c-4e2e-8491-cb8140b0c38b_Enabled">
    <vt:lpwstr>true</vt:lpwstr>
  </property>
  <property fmtid="{D5CDD505-2E9C-101B-9397-08002B2CF9AE}" pid="3" name="MSIP_Label_37f3facb-632c-4e2e-8491-cb8140b0c38b_SetDate">
    <vt:lpwstr>2025-11-17T06:59:29Z</vt:lpwstr>
  </property>
  <property fmtid="{D5CDD505-2E9C-101B-9397-08002B2CF9AE}" pid="4" name="MSIP_Label_37f3facb-632c-4e2e-8491-cb8140b0c38b_Method">
    <vt:lpwstr>Standard</vt:lpwstr>
  </property>
  <property fmtid="{D5CDD505-2E9C-101B-9397-08002B2CF9AE}" pid="5" name="MSIP_Label_37f3facb-632c-4e2e-8491-cb8140b0c38b_Name">
    <vt:lpwstr>Internal</vt:lpwstr>
  </property>
  <property fmtid="{D5CDD505-2E9C-101B-9397-08002B2CF9AE}" pid="6" name="MSIP_Label_37f3facb-632c-4e2e-8491-cb8140b0c38b_SiteId">
    <vt:lpwstr>c94c51d1-3250-471a-9bf9-71e5e167a223</vt:lpwstr>
  </property>
  <property fmtid="{D5CDD505-2E9C-101B-9397-08002B2CF9AE}" pid="7" name="MSIP_Label_37f3facb-632c-4e2e-8491-cb8140b0c38b_ActionId">
    <vt:lpwstr>78ed0a12-770c-4115-8d2b-ab752c53ea5d</vt:lpwstr>
  </property>
  <property fmtid="{D5CDD505-2E9C-101B-9397-08002B2CF9AE}" pid="8" name="MSIP_Label_37f3facb-632c-4e2e-8491-cb8140b0c38b_ContentBits">
    <vt:lpwstr>3</vt:lpwstr>
  </property>
  <property fmtid="{D5CDD505-2E9C-101B-9397-08002B2CF9AE}" pid="9" name="MSIP_Label_37f3facb-632c-4e2e-8491-cb8140b0c38b_Tag">
    <vt:lpwstr>10, 3, 0, 1</vt:lpwstr>
  </property>
  <property fmtid="{D5CDD505-2E9C-101B-9397-08002B2CF9AE}" pid="10" name="ContentTypeId">
    <vt:lpwstr>0x010100DAD537FC6EEFA3469C67318615635BCD</vt:lpwstr>
  </property>
  <property fmtid="{D5CDD505-2E9C-101B-9397-08002B2CF9AE}" pid="11" name="MediaServiceImageTags">
    <vt:lpwstr/>
  </property>
  <property fmtid="{D5CDD505-2E9C-101B-9397-08002B2CF9AE}" pid="12" name="MSIP_Label_950a0aea-e2df-4107-a6d1-9debf081f9fd_Enabled">
    <vt:lpwstr>true</vt:lpwstr>
  </property>
  <property fmtid="{D5CDD505-2E9C-101B-9397-08002B2CF9AE}" pid="13" name="MSIP_Label_950a0aea-e2df-4107-a6d1-9debf081f9fd_SetDate">
    <vt:lpwstr>2026-09-30T05:47:29Z</vt:lpwstr>
  </property>
  <property fmtid="{D5CDD505-2E9C-101B-9397-08002B2CF9AE}" pid="14" name="MSIP_Label_950a0aea-e2df-4107-a6d1-9debf081f9fd_Method">
    <vt:lpwstr>Standard</vt:lpwstr>
  </property>
  <property fmtid="{D5CDD505-2E9C-101B-9397-08002B2CF9AE}" pid="15" name="MSIP_Label_950a0aea-e2df-4107-a6d1-9debf081f9fd_Name">
    <vt:lpwstr>Confidential</vt:lpwstr>
  </property>
  <property fmtid="{D5CDD505-2E9C-101B-9397-08002B2CF9AE}" pid="16" name="MSIP_Label_950a0aea-e2df-4107-a6d1-9debf081f9fd_SiteId">
    <vt:lpwstr>133a87f2-d3d7-47b2-af96-67b2b21bd714</vt:lpwstr>
  </property>
  <property fmtid="{D5CDD505-2E9C-101B-9397-08002B2CF9AE}" pid="17" name="MSIP_Label_950a0aea-e2df-4107-a6d1-9debf081f9fd_ActionId">
    <vt:lpwstr>84573a34-06e7-4fde-815a-b84aab46a9a0</vt:lpwstr>
  </property>
  <property fmtid="{D5CDD505-2E9C-101B-9397-08002B2CF9AE}" pid="18" name="MSIP_Label_950a0aea-e2df-4107-a6d1-9debf081f9fd_ContentBits">
    <vt:lpwstr>0</vt:lpwstr>
  </property>
  <property fmtid="{D5CDD505-2E9C-101B-9397-08002B2CF9AE}" pid="19" name="MSIP_Label_950a0aea-e2df-4107-a6d1-9debf081f9fd_Tag">
    <vt:lpwstr>10, 3, 0, 1</vt:lpwstr>
  </property>
</Properties>
</file>