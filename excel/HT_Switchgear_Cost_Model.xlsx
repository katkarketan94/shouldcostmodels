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Inputs" sheetId="2" state="visible" r:id="rId4"/>
    <sheet name="Summary" sheetId="3" state="visible" r:id="rId5"/>
    <sheet name="Bay Costing" sheetId="4" state="visible" r:id="rId6"/>
    <sheet name="Rates" sheetId="5" state="visible" r:id="rId7"/>
    <sheet name="Presets" sheetId="6" state="visible" r:id="rId8"/>
  </sheets>
  <definedNames>
    <definedName function="false" hidden="false" name="c_mult" vbProcedure="false">'Bay Costing'!$E$3</definedName>
    <definedName function="false" hidden="false" name="i_arc" vbProcedure="false">Inputs!$B$9</definedName>
    <definedName function="false" hidden="false" name="i_busA" vbProcedure="false">Inputs!$B$6</definedName>
    <definedName function="false" hidden="false" name="i_first" vbProcedure="false">Inputs!$B$15</definedName>
    <definedName function="false" hidden="false" name="i_ip" vbProcedure="false">Inputs!$B$8</definedName>
    <definedName function="false" hidden="false" name="i_kA" vbProcedure="false">Inputs!$B$7</definedName>
    <definedName function="false" hidden="false" name="i_kv" vbProcedure="false">Inputs!$B$5</definedName>
    <definedName function="false" hidden="false" name="i_relay" vbProcedure="false">Inputs!$B$10</definedName>
    <definedName function="false" hidden="false" name="o_total" vbProcedure="false">Summary!$B$15</definedName>
    <definedName function="false" hidden="false" name="r_arcBay" vbProcedure="false">Rates!$B$43</definedName>
    <definedName function="false" hidden="false" name="r_arcBoard" vbProcedure="false">Rates!$B$42</definedName>
    <definedName function="false" hidden="false" name="r_arcMult" vbProcedure="false">Rates!$B$53</definedName>
    <definedName function="false" hidden="false" name="r_assembly" vbProcedure="false">Rates!$B$59</definedName>
    <definedName function="false" hidden="false" name="r_assemblyF" vbProcedure="false">Rates!$B$46</definedName>
    <definedName function="false" hidden="false" name="r_bayW" vbProcedure="false">Rates!$B$36</definedName>
    <definedName function="false" hidden="false" name="r_busFab" vbProcedure="false">Rates!$B$37</definedName>
    <definedName function="false" hidden="false" name="r_ccMult" vbProcedure="false">Rates!$B$25</definedName>
    <definedName function="false" hidden="false" name="r_copper" vbProcedure="false">Rates!$B$6</definedName>
    <definedName function="false" hidden="false" name="r_crca" vbProcedure="false">Rates!$B$7</definedName>
    <definedName function="false" hidden="false" name="r_ctKaGrow" vbProcedure="false">Rates!$B$21</definedName>
    <definedName function="false" hidden="false" name="r_ctSet" vbProcedure="false">Rates!$D$11:$D$15</definedName>
    <definedName function="false" hidden="false" name="r_dcPerBay" vbProcedure="false">Rates!$B$41</definedName>
    <definedName function="false" hidden="false" name="r_dcSystem" vbProcedure="false">Rates!$B$40</definedName>
    <definedName function="false" hidden="false" name="r_gasket" vbProcedure="false">Rates!$B$57</definedName>
    <definedName function="false" hidden="false" name="r_hdwr" vbProcedure="false">Rates!$B$58</definedName>
    <definedName function="false" hidden="false" name="r_htAux" vbProcedure="false">Rates!$B$23</definedName>
    <definedName function="false" hidden="false" name="r_htAux22" vbProcedure="false">Rates!$B$24</definedName>
    <definedName function="false" hidden="false" name="r_htJ" vbProcedure="false">Rates!$B$35</definedName>
    <definedName function="false" hidden="false" name="r_ipList" vbProcedure="false">Rates!$A$50:$A$52</definedName>
    <definedName function="false" hidden="false" name="r_ipMult" vbProcedure="false">Rates!$B$50:$B$52</definedName>
    <definedName function="false" hidden="false" name="r_kvList" vbProcedure="false">Rates!$A$11:$A$15</definedName>
    <definedName function="false" hidden="false" name="r_labelEarth" vbProcedure="false">Rates!$B$62</definedName>
    <definedName function="false" hidden="false" name="r_laSet" vbProcedure="false">Rates!$F$11:$F$15</definedName>
    <definedName function="false" hidden="false" name="r_margin" vbProcedure="false">Rates!$B$66</definedName>
    <definedName function="false" hidden="false" name="r_meterHt" vbProcedure="false">Rates!$B$22</definedName>
    <definedName function="false" hidden="false" name="r_mtrDisc" vbProcedure="false">Rates!$B$20</definedName>
    <definedName function="false" hidden="false" name="r_overheads" vbProcedure="false">Rates!$B$65</definedName>
    <definedName function="false" hidden="false" name="r_packing" vbProcedure="false">Rates!$B$63</definedName>
    <definedName function="false" hidden="false" name="r_panelKg" vbProcedure="false">Rates!$C$11:$C$15</definedName>
    <definedName function="false" hidden="false" name="r_powder" vbProcedure="false">Rates!$B$56</definedName>
    <definedName function="false" hidden="false" name="r_ptRelayF" vbProcedure="false">Rates!$B$26</definedName>
    <definedName function="false" hidden="false" name="r_relayList" vbProcedure="false">Rates!$A$30:$A$32</definedName>
    <definedName function="false" hidden="false" name="r_relayRate" vbProcedure="false">Rates!$B$30:$B$32</definedName>
    <definedName function="false" hidden="false" name="r_sleeve" vbProcedure="false">Rates!$B$38</definedName>
    <definedName function="false" hidden="false" name="r_sleeveHt" vbProcedure="false">Rates!$B$39</definedName>
    <definedName function="false" hidden="false" name="r_testBay" vbProcedure="false">Rates!$B$60</definedName>
    <definedName function="false" hidden="false" name="r_testF" vbProcedure="false">Rates!$B$47</definedName>
    <definedName function="false" hidden="false" name="r_transport" vbProcedure="false">Rates!$B$64</definedName>
    <definedName function="false" hidden="false" name="r_typeTest" vbProcedure="false">Rates!$B$61</definedName>
    <definedName function="false" hidden="false" name="r_vcbAmpExp" vbProcedure="false">Rates!$B$18</definedName>
    <definedName function="false" hidden="false" name="r_vcbBase" vbProcedure="false">Rates!$B$11:$B$15</definedName>
    <definedName function="false" hidden="false" name="r_vcbKaExp" vbProcedure="false">Rates!$B$19</definedName>
    <definedName function="false" hidden="false" name="r_vtIncF" vbProcedure="false">Rates!$B$27</definedName>
    <definedName function="false" hidden="false" name="r_vtSet" vbProcedure="false">Rates!$E$11:$E$15</definedName>
    <definedName function="false" hidden="false" name="r_wiring" vbProcedure="false">Rates!$B$45</definedName>
    <definedName function="false" hidden="false" name="r_wiringF" vbProcedure="false">Rates!$B$44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<sst xmlns="http://schemas.openxmlformats.org/spreadsheetml/2006/main" count="252" uniqueCount="189">
  <si>
    <t xml:space="preserve">HT switchgear board: should-cost model</t>
  </si>
  <si>
    <t xml:space="preserve">Bottom-up cost of a switchboard from its bay schedule. Not a vendor price list: every rate is an editable assumption.</t>
  </si>
  <si>
    <t xml:space="preserve">Purpose</t>
  </si>
  <si>
    <t xml:space="preserve">Estimate the ex-works price of a 3.3-33 kV metal-clad VCB board from the schedule of bays. Each bay is costed from its sheet steel, switching device, instrument transformers, protection, wiring and test; the board adds the main busbar, DC system, labour, test, packing, overheads and margin.</t>
  </si>
  <si>
    <t xml:space="preserve">How to use</t>
  </si>
  <si>
    <t xml:space="preserve">Edit the yellow cells on Inputs (board rating and the bay schedule) and, if you have quotes, on Rates. Everything else is a live formula. Results are on Summary; the per-bay build-up is on Bay Costing.</t>
  </si>
  <si>
    <t xml:space="preserve">Sheets</t>
  </si>
  <si>
    <t xml:space="preserve">Inputs: board specification and bay schedule.  Rates: every price, constant and multiplier (named cells, prefix r_).  Bay Costing: cost per bay type and board-level items.  Summary: cost stack, per-bay and per-ampere figures.  Presets: three sample boards to copy into Inputs.</t>
  </si>
  <si>
    <t xml:space="preserve">Conventions</t>
  </si>
  <si>
    <t xml:space="preserve">Yellow fill = input.  Blue font = a typed assumption you may change.  Black = formula.  Green fill = key output.  All amounts are Indian rupees, ex-GST, ex-works.</t>
  </si>
  <si>
    <t xml:space="preserve">Basis of the numbers</t>
  </si>
  <si>
    <t xml:space="preserve">Device prices scale with rating from an assumed base price: VCB = base(kV) x (A/1250)^0.45 x (kA/25)^0.5. Panel steel, CT, VT and surge-arrester prices are tabulated by voltage class. Steel, copper and aluminium follow commodity prices you type into Rates.</t>
  </si>
  <si>
    <t xml:space="preserve">Reasonableness</t>
  </si>
  <si>
    <t xml:space="preserve">About Rs 8-10 lakh per 11 kV panel and Rs 20-25 lakh per 33 kV panel at the default rates. These are market ranges, not quotations. Calibrate Rates with two or three recent offers before relying on a figure.</t>
  </si>
  <si>
    <t xml:space="preserve">Limits</t>
  </si>
  <si>
    <t xml:space="preserve">Single board per workbook (copy the file for another). Busbar sized by current density only (no short-circuit or temperature-rise check). No GST, freight to site, erection or civil work. Fault levels above 40 kA need manufacturer confirmation.</t>
  </si>
  <si>
    <t xml:space="preserve">Companion</t>
  </si>
  <si>
    <t xml:space="preserve">The same model runs interactively in the Should-Cost dashboards (switchgear.html), with a 3D view and a month selector for the commodity prices.</t>
  </si>
  <si>
    <t xml:space="preserve">HT board: specification and bay schedule</t>
  </si>
  <si>
    <t xml:space="preserve">Tag / board name</t>
  </si>
  <si>
    <t xml:space="preserve">HT-01 11 kV plant board, 13 panels</t>
  </si>
  <si>
    <t xml:space="preserve">System voltage</t>
  </si>
  <si>
    <t xml:space="preserve">kV</t>
  </si>
  <si>
    <t xml:space="preserve">Busbar rating</t>
  </si>
  <si>
    <t xml:space="preserve">A</t>
  </si>
  <si>
    <t xml:space="preserve">Fault level (3 s)</t>
  </si>
  <si>
    <t xml:space="preserve">kA</t>
  </si>
  <si>
    <t xml:space="preserve">Degree of protection</t>
  </si>
  <si>
    <t xml:space="preserve">IP42</t>
  </si>
  <si>
    <t xml:space="preserve">Arc-fault protection (IAC)</t>
  </si>
  <si>
    <t xml:space="preserve">No</t>
  </si>
  <si>
    <t xml:space="preserve">Protection relay</t>
  </si>
  <si>
    <t xml:space="preserve">Numeric O/C + E/F</t>
  </si>
  <si>
    <t xml:space="preserve">pick from list</t>
  </si>
  <si>
    <t xml:space="preserve">Bay schedule</t>
  </si>
  <si>
    <t xml:space="preserve">Bay type</t>
  </si>
  <si>
    <t xml:space="preserve">Quantity</t>
  </si>
  <si>
    <t xml:space="preserve">Size</t>
  </si>
  <si>
    <t xml:space="preserve">Unit</t>
  </si>
  <si>
    <t xml:space="preserve">Incomer VCB panel</t>
  </si>
  <si>
    <t xml:space="preserve">Outgoing feeder VCB panel</t>
  </si>
  <si>
    <t xml:space="preserve">Bus coupler VCB panel</t>
  </si>
  <si>
    <t xml:space="preserve">Motor feeder VCB panel</t>
  </si>
  <si>
    <t xml:space="preserve">Bus PT, metering and surge-arrester panel</t>
  </si>
  <si>
    <t xml:space="preserve">Size: rated current (A) for breakers and feeders, motor kW for starters, kVAr for APFC banks. Quantity 0 removes a bay type.</t>
  </si>
  <si>
    <t xml:space="preserve">HT board: should-cost summary</t>
  </si>
  <si>
    <t xml:space="preserve">Cost group</t>
  </si>
  <si>
    <t xml:space="preserve">Rs</t>
  </si>
  <si>
    <t xml:space="preserve">Share</t>
  </si>
  <si>
    <t xml:space="preserve">Note</t>
  </si>
  <si>
    <t xml:space="preserve">Enclosure &amp; structure</t>
  </si>
  <si>
    <t xml:space="preserve">Sheet steel, pre-treatment, powder coat, doors</t>
  </si>
  <si>
    <t xml:space="preserve">Busbars &amp; insulation</t>
  </si>
  <si>
    <t xml:space="preserve">Main (and vertical) busbar, sleeving</t>
  </si>
  <si>
    <t xml:space="preserve">Switching devices</t>
  </si>
  <si>
    <t xml:space="preserve">VCBs</t>
  </si>
  <si>
    <t xml:space="preserve">Protection &amp; metering</t>
  </si>
  <si>
    <t xml:space="preserve">CTs, VTs, relays, meters, arresters</t>
  </si>
  <si>
    <t xml:space="preserve">Wiring &amp; auxiliaries</t>
  </si>
  <si>
    <t xml:space="preserve">Control wiring, interlocks, DC system, arc detection</t>
  </si>
  <si>
    <t xml:space="preserve">Assembly, test, packing &amp; transport</t>
  </si>
  <si>
    <t xml:space="preserve">Labour, routine and type tests, packing</t>
  </si>
  <si>
    <t xml:space="preserve">Direct cost</t>
  </si>
  <si>
    <t xml:space="preserve">Overheads</t>
  </si>
  <si>
    <t xml:space="preserve">Margin</t>
  </si>
  <si>
    <t xml:space="preserve">SHOULD-COST, ex-works (Rs)</t>
  </si>
  <si>
    <t xml:space="preserve">Should-cost (Rs crore)</t>
  </si>
  <si>
    <t xml:space="preserve">Number of bays (units)</t>
  </si>
  <si>
    <t xml:space="preserve">Cost per bay (Rs)</t>
  </si>
  <si>
    <t xml:space="preserve">Cost per ampere of busbar (Rs/A)</t>
  </si>
  <si>
    <t xml:space="preserve">Sheet steel (kg)</t>
  </si>
  <si>
    <t xml:space="preserve">Busbar mass (kg)</t>
  </si>
  <si>
    <t xml:space="preserve">Checks</t>
  </si>
  <si>
    <t xml:space="preserve">Largest bay rating within the busbar rating?</t>
  </si>
  <si>
    <t xml:space="preserve">Fault level within the usual range?</t>
  </si>
  <si>
    <t xml:space="preserve">Cost per bay and board-level items</t>
  </si>
  <si>
    <t xml:space="preserve">Rows follow the bay schedule on Inputs. Rs per bay unless stated.</t>
  </si>
  <si>
    <t xml:space="preserve">Enclosure multiplier (IP x form x arc)</t>
  </si>
  <si>
    <t xml:space="preserve">Qty</t>
  </si>
  <si>
    <t xml:space="preserve">Size A</t>
  </si>
  <si>
    <t xml:space="preserve">Steel kg / bay</t>
  </si>
  <si>
    <t xml:space="preserve">Sheet steel</t>
  </si>
  <si>
    <t xml:space="preserve">Powder coat</t>
  </si>
  <si>
    <t xml:space="preserve">Gaskets, doors</t>
  </si>
  <si>
    <t xml:space="preserve">VCB</t>
  </si>
  <si>
    <t xml:space="preserve">CT set</t>
  </si>
  <si>
    <t xml:space="preserve">Relay and meter</t>
  </si>
  <si>
    <t xml:space="preserve">VT / arrester</t>
  </si>
  <si>
    <t xml:space="preserve">Aux + wiring</t>
  </si>
  <si>
    <t xml:space="preserve">Total per bay</t>
  </si>
  <si>
    <t xml:space="preserve">Total (qty x)</t>
  </si>
  <si>
    <t xml:space="preserve">Board-level items</t>
  </si>
  <si>
    <t xml:space="preserve">Item</t>
  </si>
  <si>
    <t xml:space="preserve">Rate Rs</t>
  </si>
  <si>
    <t xml:space="preserve">Amount Rs</t>
  </si>
  <si>
    <t xml:space="preserve">Group</t>
  </si>
  <si>
    <t xml:space="preserve">Main busbar (copper)</t>
  </si>
  <si>
    <t xml:space="preserve">kg</t>
  </si>
  <si>
    <t xml:space="preserve">Busbar sleeving, supports and barriers</t>
  </si>
  <si>
    <t xml:space="preserve">m</t>
  </si>
  <si>
    <t xml:space="preserve">110 V DC system</t>
  </si>
  <si>
    <t xml:space="preserve">set</t>
  </si>
  <si>
    <t xml:space="preserve">Arc-flash detection and fast tripping</t>
  </si>
  <si>
    <t xml:space="preserve">Earth bar, nameplates, end covers</t>
  </si>
  <si>
    <t xml:space="preserve">column</t>
  </si>
  <si>
    <t xml:space="preserve">Assembly, fabrication and wiring labour</t>
  </si>
  <si>
    <t xml:space="preserve">Assembly &amp; test</t>
  </si>
  <si>
    <t xml:space="preserve">Routine tests, FAT and inspection</t>
  </si>
  <si>
    <t xml:space="preserve">bay</t>
  </si>
  <si>
    <t xml:space="preserve">Type-test and certification allowance</t>
  </si>
  <si>
    <t xml:space="preserve">lot</t>
  </si>
  <si>
    <t xml:space="preserve">Packing and transport</t>
  </si>
  <si>
    <t xml:space="preserve">Helper figures</t>
  </si>
  <si>
    <t xml:space="preserve">Columns / panels</t>
  </si>
  <si>
    <t xml:space="preserve">Board length m (columns x width)</t>
  </si>
  <si>
    <t xml:space="preserve">Busbar run length m (board + 1.2 m risers per column)</t>
  </si>
  <si>
    <t xml:space="preserve">Busbar section mm2 per phase</t>
  </si>
  <si>
    <t xml:space="preserve">Sheet steel total kg</t>
  </si>
  <si>
    <t xml:space="preserve">Rates and constants</t>
  </si>
  <si>
    <t xml:space="preserve">Blue = assumption. Replace with quotes. Each value is a named cell (r_...), so formulas stay readable.</t>
  </si>
  <si>
    <t xml:space="preserve">Commodity rates</t>
  </si>
  <si>
    <t xml:space="preserve">Copper (busbar)</t>
  </si>
  <si>
    <t xml:space="preserve">Rs/kg</t>
  </si>
  <si>
    <t xml:space="preserve">Commodity file / LME x USDINR</t>
  </si>
  <si>
    <t xml:space="preserve">CRCA sheet</t>
  </si>
  <si>
    <t xml:space="preserve">Voltage-class tables</t>
  </si>
  <si>
    <t xml:space="preserve">VCB base Rs (1250 A, 25 kA)</t>
  </si>
  <si>
    <t xml:space="preserve">Panel steel kg</t>
  </si>
  <si>
    <t xml:space="preserve">CT set Rs</t>
  </si>
  <si>
    <t xml:space="preserve">VT set Rs</t>
  </si>
  <si>
    <t xml:space="preserve">Surge arrester Rs</t>
  </si>
  <si>
    <t xml:space="preserve">Switching devices and protection</t>
  </si>
  <si>
    <t xml:space="preserve">VCB rating exponent (A/1250)</t>
  </si>
  <si>
    <t xml:space="preserve">VCB fault-level exponent (kA/25)</t>
  </si>
  <si>
    <t xml:space="preserve">Motor-feeder VCB factor</t>
  </si>
  <si>
    <t xml:space="preserve">x</t>
  </si>
  <si>
    <t xml:space="preserve">CT price growth per unit of (kA/25 - 1)</t>
  </si>
  <si>
    <t xml:space="preserve">Multi-function meter</t>
  </si>
  <si>
    <t xml:space="preserve">Earth switch, interlocks, trip-circuit supervision, heaters, lamps</t>
  </si>
  <si>
    <t xml:space="preserve">Rs/bay</t>
  </si>
  <si>
    <t xml:space="preserve">Factor for 22 kV and above</t>
  </si>
  <si>
    <t xml:space="preserve">Incomer / coupler relay factor</t>
  </si>
  <si>
    <t xml:space="preserve">PT-panel relay factor</t>
  </si>
  <si>
    <t xml:space="preserve">Incomer VT factor (of VT set)</t>
  </si>
  <si>
    <t xml:space="preserve">Protection relay prices</t>
  </si>
  <si>
    <t xml:space="preserve">Electromechanical</t>
  </si>
  <si>
    <t xml:space="preserve">IED, IEC 61850 + disturbance record</t>
  </si>
  <si>
    <t xml:space="preserve">Busbar and DC system</t>
  </si>
  <si>
    <t xml:space="preserve">Busbar current density (copper)</t>
  </si>
  <si>
    <t xml:space="preserve">A/mm2</t>
  </si>
  <si>
    <t xml:space="preserve">Panel width</t>
  </si>
  <si>
    <t xml:space="preserve">Busbar fabrication, plating</t>
  </si>
  <si>
    <t xml:space="preserve">Sleeving, supports, barriers</t>
  </si>
  <si>
    <t xml:space="preserve">Rs/m per phase</t>
  </si>
  <si>
    <t xml:space="preserve">HT sleeving factor</t>
  </si>
  <si>
    <t xml:space="preserve">110 V DC system (battery, charger), base</t>
  </si>
  <si>
    <t xml:space="preserve">DC distribution per bay</t>
  </si>
  <si>
    <t xml:space="preserve">Arc-flash detection, base</t>
  </si>
  <si>
    <t xml:space="preserve">Arc-flash detection per bay</t>
  </si>
  <si>
    <t xml:space="preserve">HT wiring factor</t>
  </si>
  <si>
    <t xml:space="preserve">Control wiring and terminals</t>
  </si>
  <si>
    <t xml:space="preserve">HT assembly labour factor</t>
  </si>
  <si>
    <t xml:space="preserve">HT routine-test factor</t>
  </si>
  <si>
    <t xml:space="preserve">Enclosure multipliers</t>
  </si>
  <si>
    <t xml:space="preserve">IP54</t>
  </si>
  <si>
    <t xml:space="preserve">IP55</t>
  </si>
  <si>
    <t xml:space="preserve">Arc-proof (internal arc classified) enclosure</t>
  </si>
  <si>
    <t xml:space="preserve">Shop floor, test and cost stack</t>
  </si>
  <si>
    <t xml:space="preserve">Pre-treatment and powder coating</t>
  </si>
  <si>
    <t xml:space="preserve">Rs/kg steel</t>
  </si>
  <si>
    <t xml:space="preserve">Gaskets, doors, hardware</t>
  </si>
  <si>
    <t xml:space="preserve">Hardware as share of sheet price</t>
  </si>
  <si>
    <t xml:space="preserve">of material</t>
  </si>
  <si>
    <t xml:space="preserve">Rs/column</t>
  </si>
  <si>
    <t xml:space="preserve">Packing</t>
  </si>
  <si>
    <t xml:space="preserve">of ex-works</t>
  </si>
  <si>
    <t xml:space="preserve">Transport to site</t>
  </si>
  <si>
    <t xml:space="preserve">of direct</t>
  </si>
  <si>
    <t xml:space="preserve">of direct + overheads</t>
  </si>
  <si>
    <t xml:space="preserve">Sample boards (copy the values into Inputs)</t>
  </si>
  <si>
    <t xml:space="preserve">Board</t>
  </si>
  <si>
    <t xml:space="preserve">Busbar A</t>
  </si>
  <si>
    <t xml:space="preserve">inc=2@1250; fdr=6@630; cpl=1@1250; mtr=2@400; pt=2</t>
  </si>
  <si>
    <t xml:space="preserve">IP42, arc No, Numeric O/C + E/F</t>
  </si>
  <si>
    <t xml:space="preserve">HT-02 33 kV main board, 8 panels</t>
  </si>
  <si>
    <t xml:space="preserve">inc=2@2000; fdr=4@1250; cpl=1@2000; mtr=0; pt=1</t>
  </si>
  <si>
    <t xml:space="preserve">IP42, arc Yes, IED, IEC 61850 + disturbance record</t>
  </si>
  <si>
    <t xml:space="preserve">HT-03 6.6 kV motor board, 10 panels</t>
  </si>
  <si>
    <t xml:space="preserve">inc=1@1250; fdr=1@630; cpl=0; mtr=7@400; pt=1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</si>
</sst>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.000"/>
    <numFmt numFmtId="168" formatCode="#,##0.00"/>
    <numFmt numFmtId="169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Cambria"/>
      <family val="0"/>
      <charset val="1"/>
    </font>
    <font>
      <i val="true"/>
      <sz val="11"/>
      <color rgb="FF6B748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1F4FB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9"/>
      <color rgb="FF6B7482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7D6"/>
        <bgColor rgb="FFEEF1F5"/>
      </patternFill>
    </fill>
    <fill>
      <patternFill patternType="solid">
        <fgColor rgb="FF1F3A5F"/>
        <bgColor rgb="FF333333"/>
      </patternFill>
    </fill>
    <fill>
      <patternFill patternType="solid">
        <fgColor rgb="FFE3F1E7"/>
        <bgColor rgb="FFEEF1F5"/>
      </patternFill>
    </fill>
    <fill>
      <patternFill patternType="solid">
        <fgColor rgb="FFEEF1F5"/>
        <bgColor rgb="FFE3F1E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E3F1E7"/>
      <rgbColor rgb="FF660066"/>
      <rgbColor rgb="FFFF8080"/>
      <rgbColor rgb="FF1F4FB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482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61.5" hidden="false" customHeight="true" outlineLevel="0" collapsed="false">
      <c r="A4" s="3" t="s">
        <v>2</v>
      </c>
      <c r="B4" s="4" t="s">
        <v>3</v>
      </c>
    </row>
    <row r="5" customFormat="false" ht="61.5" hidden="false" customHeight="true" outlineLevel="0" collapsed="false">
      <c r="A5" s="3" t="s">
        <v>4</v>
      </c>
      <c r="B5" s="4" t="s">
        <v>5</v>
      </c>
    </row>
    <row r="6" customFormat="false" ht="61.5" hidden="false" customHeight="true" outlineLevel="0" collapsed="false">
      <c r="A6" s="3" t="s">
        <v>6</v>
      </c>
      <c r="B6" s="4" t="s">
        <v>7</v>
      </c>
    </row>
    <row r="7" customFormat="false" ht="61.5" hidden="false" customHeight="true" outlineLevel="0" collapsed="false">
      <c r="A7" s="3" t="s">
        <v>8</v>
      </c>
      <c r="B7" s="4" t="s">
        <v>9</v>
      </c>
    </row>
    <row r="8" customFormat="false" ht="61.5" hidden="false" customHeight="true" outlineLevel="0" collapsed="false">
      <c r="A8" s="3" t="s">
        <v>10</v>
      </c>
      <c r="B8" s="4" t="s">
        <v>11</v>
      </c>
    </row>
    <row r="9" customFormat="false" ht="61.5" hidden="false" customHeight="true" outlineLevel="0" collapsed="false">
      <c r="A9" s="3" t="s">
        <v>12</v>
      </c>
      <c r="B9" s="4" t="s">
        <v>13</v>
      </c>
    </row>
    <row r="10" customFormat="false" ht="61.5" hidden="false" customHeight="true" outlineLevel="0" collapsed="false">
      <c r="A10" s="3" t="s">
        <v>14</v>
      </c>
      <c r="B10" s="4" t="s">
        <v>15</v>
      </c>
    </row>
    <row r="11" customFormat="false" ht="61.5" hidden="false" customHeight="true" outlineLevel="0" collapsed="false">
      <c r="A11" s="3" t="s">
        <v>16</v>
      </c>
      <c r="B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40"/>
  </cols>
  <sheetData>
    <row r="1" customFormat="false" ht="18.55" hidden="false" customHeight="false" outlineLevel="0" collapsed="false">
      <c r="A1" s="1" t="s">
        <v>18</v>
      </c>
    </row>
    <row r="4" customFormat="false" ht="15" hidden="false" customHeight="false" outlineLevel="0" collapsed="false">
      <c r="A4" s="0" t="s">
        <v>19</v>
      </c>
      <c r="B4" s="5" t="s">
        <v>20</v>
      </c>
    </row>
    <row r="5" customFormat="false" ht="15" hidden="false" customHeight="false" outlineLevel="0" collapsed="false">
      <c r="A5" s="0" t="s">
        <v>21</v>
      </c>
      <c r="B5" s="5" t="n">
        <v>11</v>
      </c>
      <c r="C5" s="6" t="s">
        <v>22</v>
      </c>
    </row>
    <row r="6" customFormat="false" ht="15" hidden="false" customHeight="false" outlineLevel="0" collapsed="false">
      <c r="A6" s="0" t="s">
        <v>23</v>
      </c>
      <c r="B6" s="5" t="n">
        <v>1250</v>
      </c>
      <c r="C6" s="6" t="s">
        <v>24</v>
      </c>
    </row>
    <row r="7" customFormat="false" ht="15" hidden="false" customHeight="false" outlineLevel="0" collapsed="false">
      <c r="A7" s="0" t="s">
        <v>25</v>
      </c>
      <c r="B7" s="5" t="n">
        <v>25</v>
      </c>
      <c r="C7" s="6" t="s">
        <v>26</v>
      </c>
    </row>
    <row r="8" customFormat="false" ht="15" hidden="false" customHeight="false" outlineLevel="0" collapsed="false">
      <c r="A8" s="0" t="s">
        <v>27</v>
      </c>
      <c r="B8" s="5" t="s">
        <v>28</v>
      </c>
    </row>
    <row r="9" customFormat="false" ht="15" hidden="false" customHeight="false" outlineLevel="0" collapsed="false">
      <c r="A9" s="0" t="s">
        <v>29</v>
      </c>
      <c r="B9" s="5" t="s">
        <v>30</v>
      </c>
    </row>
    <row r="10" customFormat="false" ht="15" hidden="false" customHeight="false" outlineLevel="0" collapsed="false">
      <c r="A10" s="0" t="s">
        <v>31</v>
      </c>
      <c r="B10" s="5" t="s">
        <v>32</v>
      </c>
      <c r="D10" s="6" t="s">
        <v>33</v>
      </c>
    </row>
    <row r="13" customFormat="false" ht="15" hidden="false" customHeight="false" outlineLevel="0" collapsed="false">
      <c r="A13" s="3" t="s">
        <v>34</v>
      </c>
    </row>
    <row r="14" customFormat="false" ht="31.5" hidden="false" customHeight="true" outlineLevel="0" collapsed="false">
      <c r="A14" s="7" t="s">
        <v>35</v>
      </c>
      <c r="B14" s="8" t="s">
        <v>36</v>
      </c>
      <c r="C14" s="8" t="s">
        <v>37</v>
      </c>
      <c r="D14" s="8" t="s">
        <v>38</v>
      </c>
    </row>
    <row r="15" customFormat="false" ht="15" hidden="false" customHeight="false" outlineLevel="0" collapsed="false">
      <c r="A15" s="0" t="s">
        <v>39</v>
      </c>
      <c r="B15" s="5" t="n">
        <v>2</v>
      </c>
      <c r="C15" s="5" t="n">
        <v>1250</v>
      </c>
      <c r="D15" s="6" t="s">
        <v>24</v>
      </c>
    </row>
    <row r="16" customFormat="false" ht="15" hidden="false" customHeight="false" outlineLevel="0" collapsed="false">
      <c r="A16" s="0" t="s">
        <v>40</v>
      </c>
      <c r="B16" s="5" t="n">
        <v>6</v>
      </c>
      <c r="C16" s="5" t="n">
        <v>630</v>
      </c>
      <c r="D16" s="6" t="s">
        <v>24</v>
      </c>
    </row>
    <row r="17" customFormat="false" ht="15" hidden="false" customHeight="false" outlineLevel="0" collapsed="false">
      <c r="A17" s="0" t="s">
        <v>41</v>
      </c>
      <c r="B17" s="5" t="n">
        <v>1</v>
      </c>
      <c r="C17" s="5" t="n">
        <v>1250</v>
      </c>
      <c r="D17" s="6" t="s">
        <v>24</v>
      </c>
    </row>
    <row r="18" customFormat="false" ht="15" hidden="false" customHeight="false" outlineLevel="0" collapsed="false">
      <c r="A18" s="0" t="s">
        <v>42</v>
      </c>
      <c r="B18" s="5" t="n">
        <v>2</v>
      </c>
      <c r="C18" s="5" t="n">
        <v>400</v>
      </c>
      <c r="D18" s="6" t="s">
        <v>24</v>
      </c>
    </row>
    <row r="19" customFormat="false" ht="15" hidden="false" customHeight="false" outlineLevel="0" collapsed="false">
      <c r="A19" s="0" t="s">
        <v>43</v>
      </c>
      <c r="B19" s="5" t="n">
        <v>2</v>
      </c>
    </row>
    <row r="21" customFormat="false" ht="15" hidden="false" customHeight="false" outlineLevel="0" collapsed="false">
      <c r="A21" s="2" t="s">
        <v>44</v>
      </c>
    </row>
  </sheetData>
  <dataValidations count="4">
    <dataValidation allowBlank="false" errorStyle="stop" operator="between" showDropDown="false" showErrorMessage="false" showInputMessage="false" sqref="B5" type="list">
      <formula1>"3.3,6.6,11,22,33"</formula1>
      <formula2>0</formula2>
    </dataValidation>
    <dataValidation allowBlank="false" errorStyle="stop" operator="between" showDropDown="false" showErrorMessage="false" showInputMessage="false" sqref="B8" type="list">
      <formula1>"IP42,IP54,IP55"</formula1>
      <formula2>0</formula2>
    </dataValidation>
    <dataValidation allowBlank="false" errorStyle="stop" operator="between" showDropDown="false" showErrorMessage="false" showInputMessage="false" sqref="B9" type="list">
      <formula1>"Yes,No"</formula1>
      <formula2>0</formula2>
    </dataValidation>
    <dataValidation allowBlank="false" errorStyle="stop" operator="between" showDropDown="false" showErrorMessage="false" showInputMessage="false" sqref="B10" type="list">
      <formula1>"Electromechanical,Numeric O/C + E/F,IED,IEC 61850 + disturbance record"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46"/>
  </cols>
  <sheetData>
    <row r="1" customFormat="false" ht="18.55" hidden="false" customHeight="false" outlineLevel="0" collapsed="false">
      <c r="A1" s="1" t="s">
        <v>45</v>
      </c>
    </row>
    <row r="3" customFormat="false" ht="15" hidden="false" customHeight="false" outlineLevel="0" collapsed="false">
      <c r="A3" s="3" t="str">
        <f aca="false">Inputs!B4</f>
        <v>HT-01 11 kV plant board, 13 panels</v>
      </c>
    </row>
    <row r="5" customFormat="false" ht="31.5" hidden="false" customHeight="true" outlineLevel="0" collapsed="false">
      <c r="A5" s="7" t="s">
        <v>46</v>
      </c>
      <c r="B5" s="8" t="s">
        <v>47</v>
      </c>
      <c r="C5" s="8" t="s">
        <v>48</v>
      </c>
      <c r="D5" s="8" t="s">
        <v>49</v>
      </c>
    </row>
    <row r="6" customFormat="false" ht="15" hidden="false" customHeight="false" outlineLevel="0" collapsed="false">
      <c r="A6" s="0" t="s">
        <v>50</v>
      </c>
      <c r="B6" s="9" t="n">
        <f aca="false">SUMPRODUCT('Bay Costing'!B5:B9,'Bay Costing'!E5:E9+'Bay Costing'!F5:F9+'Bay Costing'!G5:G9)</f>
        <v>886939.2</v>
      </c>
      <c r="C6" s="10" t="n">
        <f aca="false">B6/B$15</f>
        <v>0.0799029204745405</v>
      </c>
      <c r="D6" s="11" t="s">
        <v>51</v>
      </c>
    </row>
    <row r="7" customFormat="false" ht="15" hidden="false" customHeight="false" outlineLevel="0" collapsed="false">
      <c r="A7" s="0" t="s">
        <v>52</v>
      </c>
      <c r="B7" s="9" t="n">
        <f aca="false">SUMIF('Bay Costing'!J13:J21,"Busbars &amp; insulation",'Bay Costing'!I13:I21)</f>
        <v>841691.90625</v>
      </c>
      <c r="C7" s="10" t="n">
        <f aca="false">B7/B$15</f>
        <v>0.0758266648369563</v>
      </c>
      <c r="D7" s="11" t="s">
        <v>53</v>
      </c>
    </row>
    <row r="8" customFormat="false" ht="15" hidden="false" customHeight="false" outlineLevel="0" collapsed="false">
      <c r="A8" s="0" t="s">
        <v>54</v>
      </c>
      <c r="B8" s="9" t="n">
        <f aca="false">SUMPRODUCT('Bay Costing'!B5:B9,'Bay Costing'!H5:H9)</f>
        <v>3818683.42683585</v>
      </c>
      <c r="C8" s="10" t="n">
        <f aca="false">B8/B$15</f>
        <v>0.344019024271236</v>
      </c>
      <c r="D8" s="11" t="s">
        <v>55</v>
      </c>
    </row>
    <row r="9" customFormat="false" ht="15" hidden="false" customHeight="false" outlineLevel="0" collapsed="false">
      <c r="A9" s="0" t="s">
        <v>56</v>
      </c>
      <c r="B9" s="9" t="n">
        <f aca="false">SUMPRODUCT('Bay Costing'!B5:B9,'Bay Costing'!I5:I9+'Bay Costing'!J5:J9+'Bay Costing'!K5:K9)</f>
        <v>1482500</v>
      </c>
      <c r="C9" s="10" t="n">
        <f aca="false">B9/B$15</f>
        <v>0.133556031353115</v>
      </c>
      <c r="D9" s="11" t="s">
        <v>57</v>
      </c>
    </row>
    <row r="10" customFormat="false" ht="15" hidden="false" customHeight="false" outlineLevel="0" collapsed="false">
      <c r="A10" s="0" t="s">
        <v>58</v>
      </c>
      <c r="B10" s="9" t="n">
        <f aca="false">SUMPRODUCT('Bay Costing'!B5:B9,'Bay Costing'!L5:L9)+SUMIF('Bay Costing'!J13:J21,"Wiring &amp; auxiliaries",'Bay Costing'!I13:I21)</f>
        <v>1013700</v>
      </c>
      <c r="C10" s="10" t="n">
        <f aca="false">B10/B$15</f>
        <v>0.0913225962783489</v>
      </c>
      <c r="D10" s="11" t="s">
        <v>59</v>
      </c>
    </row>
    <row r="11" customFormat="false" ht="15" hidden="false" customHeight="false" outlineLevel="0" collapsed="false">
      <c r="A11" s="0" t="s">
        <v>60</v>
      </c>
      <c r="B11" s="9" t="n">
        <f aca="false">SUMIF('Bay Costing'!J13:J21,"Assembly &amp; test",'Bay Costing'!I13:I21)</f>
        <v>1214375.40773036</v>
      </c>
      <c r="C11" s="10" t="n">
        <f aca="false">B11/B$15</f>
        <v>0.109401119749941</v>
      </c>
      <c r="D11" s="11" t="s">
        <v>61</v>
      </c>
    </row>
    <row r="12" customFormat="false" ht="15" hidden="false" customHeight="false" outlineLevel="0" collapsed="false">
      <c r="A12" s="3" t="s">
        <v>62</v>
      </c>
      <c r="B12" s="12" t="n">
        <f aca="false">SUM(B6:B11)</f>
        <v>9257889.94081621</v>
      </c>
      <c r="C12" s="10" t="n">
        <f aca="false">B12/B$15</f>
        <v>0.834028356964137</v>
      </c>
    </row>
    <row r="13" customFormat="false" ht="15" hidden="false" customHeight="false" outlineLevel="0" collapsed="false">
      <c r="A13" s="0" t="s">
        <v>63</v>
      </c>
      <c r="B13" s="9" t="n">
        <f aca="false">B12*r_overheads</f>
        <v>833210.094673459</v>
      </c>
      <c r="C13" s="10" t="n">
        <f aca="false">B13/B$15</f>
        <v>0.0750625521267723</v>
      </c>
    </row>
    <row r="14" customFormat="false" ht="15" hidden="false" customHeight="false" outlineLevel="0" collapsed="false">
      <c r="A14" s="0" t="s">
        <v>64</v>
      </c>
      <c r="B14" s="9" t="n">
        <f aca="false">(B12+B13)*r_margin</f>
        <v>1009110.00354897</v>
      </c>
      <c r="C14" s="10" t="n">
        <f aca="false">B14/B$15</f>
        <v>0.0909090909090909</v>
      </c>
    </row>
    <row r="15" customFormat="false" ht="15" hidden="false" customHeight="false" outlineLevel="0" collapsed="false">
      <c r="A15" s="3" t="s">
        <v>65</v>
      </c>
      <c r="B15" s="13" t="n">
        <f aca="false">B12+B13+B14</f>
        <v>11100210.0390386</v>
      </c>
      <c r="C15" s="10" t="n">
        <f aca="false">B15/B$15</f>
        <v>1</v>
      </c>
    </row>
    <row r="16" customFormat="false" ht="15" hidden="false" customHeight="false" outlineLevel="0" collapsed="false">
      <c r="A16" s="0" t="s">
        <v>66</v>
      </c>
      <c r="B16" s="14" t="n">
        <f aca="false">B15/10000000</f>
        <v>1.11002100390386</v>
      </c>
    </row>
    <row r="17" customFormat="false" ht="15" hidden="false" customHeight="false" outlineLevel="0" collapsed="false">
      <c r="A17" s="0" t="s">
        <v>67</v>
      </c>
      <c r="B17" s="15" t="n">
        <f aca="false">'Bay Costing'!B27</f>
        <v>13</v>
      </c>
    </row>
    <row r="18" customFormat="false" ht="15" hidden="false" customHeight="false" outlineLevel="0" collapsed="false">
      <c r="A18" s="0" t="s">
        <v>68</v>
      </c>
      <c r="B18" s="9" t="n">
        <f aca="false">B15/B17</f>
        <v>853862.310695279</v>
      </c>
    </row>
    <row r="19" customFormat="false" ht="15" hidden="false" customHeight="false" outlineLevel="0" collapsed="false">
      <c r="A19" s="0" t="s">
        <v>69</v>
      </c>
      <c r="B19" s="9" t="n">
        <f aca="false">B15/Inputs!B6</f>
        <v>8880.16803123091</v>
      </c>
    </row>
    <row r="20" customFormat="false" ht="15" hidden="false" customHeight="false" outlineLevel="0" collapsed="false">
      <c r="A20" s="0" t="s">
        <v>70</v>
      </c>
      <c r="B20" s="9" t="n">
        <f aca="false">'Bay Costing'!B32</f>
        <v>8820</v>
      </c>
    </row>
    <row r="21" customFormat="false" ht="15" hidden="false" customHeight="false" outlineLevel="0" collapsed="false">
      <c r="A21" s="0" t="s">
        <v>71</v>
      </c>
      <c r="B21" s="9" t="n">
        <f aca="false">'Bay Costing'!B13</f>
        <v>542.34375</v>
      </c>
    </row>
    <row r="23" customFormat="false" ht="15" hidden="false" customHeight="false" outlineLevel="0" collapsed="false">
      <c r="A23" s="3" t="s">
        <v>72</v>
      </c>
    </row>
    <row r="24" customFormat="false" ht="15" hidden="false" customHeight="false" outlineLevel="0" collapsed="false">
      <c r="A24" s="0" t="s">
        <v>73</v>
      </c>
      <c r="B24" s="0" t="str">
        <f aca="false">IF(MAX(Inputs!C15*(Inputs!B15&gt;0),Inputs!C16*(Inputs!B16&gt;0),Inputs!C17*(Inputs!B17&gt;0),Inputs!C18*(Inputs!B18&gt;0))&lt;=Inputs!B6,"OK","CHECK: a bay exceeds the busbar")</f>
        <v>OK</v>
      </c>
    </row>
    <row r="25" customFormat="false" ht="15" hidden="false" customHeight="false" outlineLevel="0" collapsed="false">
      <c r="A25" s="0" t="s">
        <v>74</v>
      </c>
      <c r="B25" s="0" t="str">
        <f aca="false">IF(Inputs!B7&lt;=40,"OK","CHECK: confirm with manufacturer")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9"/>
    <col collapsed="false" customWidth="true" hidden="false" outlineLevel="0" max="4" min="4" style="0" width="10"/>
    <col collapsed="false" customWidth="true" hidden="false" outlineLevel="0" max="9" min="5" style="0" width="13"/>
    <col collapsed="false" customWidth="true" hidden="false" outlineLevel="0" max="11" min="10" style="0" width="14"/>
    <col collapsed="false" customWidth="true" hidden="false" outlineLevel="0" max="13" min="12" style="0" width="15"/>
    <col collapsed="false" customWidth="true" hidden="false" outlineLevel="0" max="14" min="14" style="0" width="16"/>
  </cols>
  <sheetData>
    <row r="1" customFormat="false" ht="18.5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3" customFormat="false" ht="15" hidden="false" customHeight="false" outlineLevel="0" collapsed="false">
      <c r="A3" s="0" t="s">
        <v>77</v>
      </c>
      <c r="E3" s="14" t="n">
        <f aca="false">INDEX(r_ipMult,MATCH(i_ip,r_ipList,0))*IF(i_arc="Yes",r_arcMult,1)</f>
        <v>1</v>
      </c>
    </row>
    <row r="4" customFormat="false" ht="31.5" hidden="false" customHeight="true" outlineLevel="0" collapsed="false">
      <c r="A4" s="7" t="s">
        <v>35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16" t="s">
        <v>89</v>
      </c>
      <c r="N4" s="16" t="s">
        <v>90</v>
      </c>
    </row>
    <row r="5" customFormat="false" ht="15" hidden="false" customHeight="false" outlineLevel="0" collapsed="false">
      <c r="A5" s="0" t="s">
        <v>39</v>
      </c>
      <c r="B5" s="9" t="n">
        <f aca="false">Inputs!B15</f>
        <v>2</v>
      </c>
      <c r="C5" s="9" t="n">
        <f aca="false">Inputs!C15</f>
        <v>1250</v>
      </c>
      <c r="D5" s="9" t="n">
        <f aca="false">INDEX(r_panelKg,MATCH(i_kv,r_kvList,0))*1*IF(C5&gt;1600,1.15,1)*c_mult</f>
        <v>700</v>
      </c>
      <c r="E5" s="9" t="n">
        <f aca="false">D5*r_crca</f>
        <v>53200</v>
      </c>
      <c r="F5" s="9" t="n">
        <f aca="false">D5*r_powder</f>
        <v>9800</v>
      </c>
      <c r="G5" s="9" t="n">
        <f aca="false">D5*(r_gasket+r_hdwr*r_crca)</f>
        <v>7392</v>
      </c>
      <c r="H5" s="9" t="n">
        <f aca="false">INDEX(r_vcbBase,MATCH(i_kv,r_kvList,0))*(C5/1250)^r_vcbAmpExp*(i_kA/25)^r_vcbKaExp</f>
        <v>450000</v>
      </c>
      <c r="I5" s="9" t="n">
        <f aca="false">INDEX(r_ctSet,MATCH(i_kv,r_kvList,0))*(1+r_ctKaGrow*(i_kA/25-1))</f>
        <v>34000</v>
      </c>
      <c r="J5" s="9" t="n">
        <f aca="false">INDEX(r_relayRate,MATCH(i_relay,r_relayList,0))*r_ccMult+r_meterHt</f>
        <v>69500</v>
      </c>
      <c r="K5" s="9" t="n">
        <f aca="false">INDEX(r_vtSet,MATCH(i_kv,r_kvList,0))*r_vtIncF</f>
        <v>62400</v>
      </c>
      <c r="L5" s="9" t="n">
        <f aca="false">r_htAux*IF(i_kv&gt;=22,r_htAux22,1)+r_wiring*r_wiringF</f>
        <v>48400</v>
      </c>
      <c r="M5" s="9" t="n">
        <f aca="false">SUM(E5:L5)</f>
        <v>734692</v>
      </c>
      <c r="N5" s="9" t="n">
        <f aca="false">B5*M5</f>
        <v>1469384</v>
      </c>
    </row>
    <row r="6" customFormat="false" ht="15" hidden="false" customHeight="false" outlineLevel="0" collapsed="false">
      <c r="A6" s="0" t="s">
        <v>40</v>
      </c>
      <c r="B6" s="9" t="n">
        <f aca="false">Inputs!B16</f>
        <v>6</v>
      </c>
      <c r="C6" s="9" t="n">
        <f aca="false">Inputs!C16</f>
        <v>630</v>
      </c>
      <c r="D6" s="9" t="n">
        <f aca="false">INDEX(r_panelKg,MATCH(i_kv,r_kvList,0))*1*IF(C6&gt;1600,1.15,1)*c_mult</f>
        <v>700</v>
      </c>
      <c r="E6" s="9" t="n">
        <f aca="false">D6*r_crca</f>
        <v>53200</v>
      </c>
      <c r="F6" s="9" t="n">
        <f aca="false">D6*r_powder</f>
        <v>9800</v>
      </c>
      <c r="G6" s="9" t="n">
        <f aca="false">D6*(r_gasket+r_hdwr*r_crca)</f>
        <v>7392</v>
      </c>
      <c r="H6" s="9" t="n">
        <f aca="false">INDEX(r_vcbBase,MATCH(i_kv,r_kvList,0))*(C6/1250)^r_vcbAmpExp*(i_kA/25)^r_vcbKaExp</f>
        <v>330602.592729954</v>
      </c>
      <c r="I6" s="9" t="n">
        <f aca="false">INDEX(r_ctSet,MATCH(i_kv,r_kvList,0))*(1+r_ctKaGrow*(i_kA/25-1))</f>
        <v>34000</v>
      </c>
      <c r="J6" s="9" t="n">
        <f aca="false">INDEX(r_relayRate,MATCH(i_relay,r_relayList,0))*1+r_meterHt</f>
        <v>60000</v>
      </c>
      <c r="K6" s="0" t="n">
        <v>0</v>
      </c>
      <c r="L6" s="9" t="n">
        <f aca="false">r_htAux*IF(i_kv&gt;=22,r_htAux22,1)+r_wiring*r_wiringF</f>
        <v>48400</v>
      </c>
      <c r="M6" s="9" t="n">
        <f aca="false">SUM(E6:L6)</f>
        <v>543394.592729954</v>
      </c>
      <c r="N6" s="9" t="n">
        <f aca="false">B6*M6</f>
        <v>3260367.55637972</v>
      </c>
    </row>
    <row r="7" customFormat="false" ht="15" hidden="false" customHeight="false" outlineLevel="0" collapsed="false">
      <c r="A7" s="0" t="s">
        <v>41</v>
      </c>
      <c r="B7" s="9" t="n">
        <f aca="false">Inputs!B17</f>
        <v>1</v>
      </c>
      <c r="C7" s="9" t="n">
        <f aca="false">Inputs!C17</f>
        <v>1250</v>
      </c>
      <c r="D7" s="9" t="n">
        <f aca="false">INDEX(r_panelKg,MATCH(i_kv,r_kvList,0))*1*IF(C7&gt;1600,1.15,1)*c_mult</f>
        <v>700</v>
      </c>
      <c r="E7" s="9" t="n">
        <f aca="false">D7*r_crca</f>
        <v>53200</v>
      </c>
      <c r="F7" s="9" t="n">
        <f aca="false">D7*r_powder</f>
        <v>9800</v>
      </c>
      <c r="G7" s="9" t="n">
        <f aca="false">D7*(r_gasket+r_hdwr*r_crca)</f>
        <v>7392</v>
      </c>
      <c r="H7" s="9" t="n">
        <f aca="false">INDEX(r_vcbBase,MATCH(i_kv,r_kvList,0))*(C7/1250)^r_vcbAmpExp*(i_kA/25)^r_vcbKaExp</f>
        <v>450000</v>
      </c>
      <c r="I7" s="9" t="n">
        <f aca="false">INDEX(r_ctSet,MATCH(i_kv,r_kvList,0))*(1+r_ctKaGrow*(i_kA/25-1))</f>
        <v>34000</v>
      </c>
      <c r="J7" s="9" t="n">
        <f aca="false">INDEX(r_relayRate,MATCH(i_relay,r_relayList,0))*r_ccMult+r_meterHt</f>
        <v>69500</v>
      </c>
      <c r="K7" s="0" t="n">
        <v>0</v>
      </c>
      <c r="L7" s="9" t="n">
        <f aca="false">r_htAux*IF(i_kv&gt;=22,r_htAux22,1)+r_wiring*r_wiringF</f>
        <v>48400</v>
      </c>
      <c r="M7" s="9" t="n">
        <f aca="false">SUM(E7:L7)</f>
        <v>672292</v>
      </c>
      <c r="N7" s="9" t="n">
        <f aca="false">B7*M7</f>
        <v>672292</v>
      </c>
    </row>
    <row r="8" customFormat="false" ht="15" hidden="false" customHeight="false" outlineLevel="0" collapsed="false">
      <c r="A8" s="0" t="s">
        <v>42</v>
      </c>
      <c r="B8" s="9" t="n">
        <f aca="false">Inputs!B18</f>
        <v>2</v>
      </c>
      <c r="C8" s="9" t="n">
        <f aca="false">Inputs!C18</f>
        <v>400</v>
      </c>
      <c r="D8" s="9" t="n">
        <f aca="false">INDEX(r_panelKg,MATCH(i_kv,r_kvList,0))*1*IF(C8&gt;1600,1.15,1)*c_mult</f>
        <v>700</v>
      </c>
      <c r="E8" s="9" t="n">
        <f aca="false">D8*r_crca</f>
        <v>53200</v>
      </c>
      <c r="F8" s="9" t="n">
        <f aca="false">D8*r_powder</f>
        <v>9800</v>
      </c>
      <c r="G8" s="9" t="n">
        <f aca="false">D8*(r_gasket+r_hdwr*r_crca)</f>
        <v>7392</v>
      </c>
      <c r="H8" s="9" t="n">
        <f aca="false">INDEX(r_vcbBase,MATCH(i_kv,r_kvList,0))*(C8/1250)^r_vcbAmpExp*(i_kA/25)^r_vcbKaExp*r_mtrDisc</f>
        <v>242533.935228063</v>
      </c>
      <c r="I8" s="9" t="n">
        <f aca="false">INDEX(r_ctSet,MATCH(i_kv,r_kvList,0))*(1+r_ctKaGrow*(i_kA/25-1))</f>
        <v>34000</v>
      </c>
      <c r="J8" s="9" t="n">
        <f aca="false">INDEX(r_relayRate,MATCH(i_relay,r_relayList,0))*1+r_meterHt</f>
        <v>60000</v>
      </c>
      <c r="K8" s="0" t="n">
        <v>0</v>
      </c>
      <c r="L8" s="9" t="n">
        <f aca="false">r_htAux*IF(i_kv&gt;=22,r_htAux22,1)+r_wiring*r_wiringF</f>
        <v>48400</v>
      </c>
      <c r="M8" s="9" t="n">
        <f aca="false">SUM(E8:L8)</f>
        <v>455325.935228063</v>
      </c>
      <c r="N8" s="9" t="n">
        <f aca="false">B8*M8</f>
        <v>910651.870456127</v>
      </c>
    </row>
    <row r="9" customFormat="false" ht="15" hidden="false" customHeight="false" outlineLevel="0" collapsed="false">
      <c r="A9" s="0" t="s">
        <v>43</v>
      </c>
      <c r="B9" s="9" t="n">
        <f aca="false">Inputs!B19</f>
        <v>2</v>
      </c>
      <c r="C9" s="0" t="n">
        <v>0</v>
      </c>
      <c r="D9" s="9" t="n">
        <f aca="false">INDEX(r_panelKg,MATCH(i_kv,r_kvList,0))*0.8*IF(C9&gt;1600,1.15,1)*c_mult</f>
        <v>560</v>
      </c>
      <c r="E9" s="9" t="n">
        <f aca="false">D9*r_crca</f>
        <v>42560</v>
      </c>
      <c r="F9" s="9" t="n">
        <f aca="false">D9*r_powder</f>
        <v>7840</v>
      </c>
      <c r="G9" s="9" t="n">
        <f aca="false">D9*(r_gasket+r_hdwr*r_crca)</f>
        <v>5913.6</v>
      </c>
      <c r="H9" s="0" t="n">
        <v>0</v>
      </c>
      <c r="I9" s="0" t="n">
        <v>0</v>
      </c>
      <c r="J9" s="9" t="n">
        <f aca="false">INDEX(r_relayRate,MATCH(i_relay,r_relayList,0))*r_ptRelayF+r_meterHt</f>
        <v>48600</v>
      </c>
      <c r="K9" s="9" t="n">
        <f aca="false">INDEX(r_vtSet,MATCH(i_kv,r_kvList,0))+INDEX(r_laSet,MATCH(i_kv,r_kvList,0))</f>
        <v>99000</v>
      </c>
      <c r="L9" s="9" t="n">
        <f aca="false">r_wiring*r_wiringF</f>
        <v>10400</v>
      </c>
      <c r="M9" s="9" t="n">
        <f aca="false">SUM(E9:L9)</f>
        <v>214313.6</v>
      </c>
      <c r="N9" s="9" t="n">
        <f aca="false">B9*M9</f>
        <v>428627.2</v>
      </c>
    </row>
    <row r="11" customFormat="false" ht="15" hidden="false" customHeight="false" outlineLevel="0" collapsed="false">
      <c r="A11" s="3" t="s">
        <v>91</v>
      </c>
    </row>
    <row r="12" customFormat="false" ht="31.5" hidden="false" customHeight="true" outlineLevel="0" collapsed="false">
      <c r="A12" s="7" t="s">
        <v>92</v>
      </c>
      <c r="B12" s="8" t="s">
        <v>78</v>
      </c>
      <c r="C12" s="8" t="s">
        <v>38</v>
      </c>
      <c r="D12" s="8"/>
      <c r="E12" s="8" t="s">
        <v>93</v>
      </c>
      <c r="F12" s="8"/>
      <c r="G12" s="8"/>
      <c r="H12" s="8"/>
      <c r="I12" s="8" t="s">
        <v>94</v>
      </c>
      <c r="J12" s="17" t="s">
        <v>95</v>
      </c>
    </row>
    <row r="13" customFormat="false" ht="15" hidden="false" customHeight="false" outlineLevel="0" collapsed="false">
      <c r="A13" s="0" t="s">
        <v>96</v>
      </c>
      <c r="B13" s="15" t="n">
        <f aca="false">3*B31*B30*8.9/1000</f>
        <v>542.34375</v>
      </c>
      <c r="C13" s="6" t="s">
        <v>97</v>
      </c>
      <c r="E13" s="9" t="n">
        <f aca="false">r_copper+r_busFab</f>
        <v>1495</v>
      </c>
      <c r="I13" s="9" t="n">
        <f aca="false">B13*E13</f>
        <v>810803.90625</v>
      </c>
      <c r="J13" s="11" t="s">
        <v>52</v>
      </c>
    </row>
    <row r="14" customFormat="false" ht="15" hidden="false" customHeight="false" outlineLevel="0" collapsed="false">
      <c r="A14" s="0" t="s">
        <v>98</v>
      </c>
      <c r="B14" s="15" t="n">
        <f aca="false">B30*3</f>
        <v>78</v>
      </c>
      <c r="C14" s="6" t="s">
        <v>99</v>
      </c>
      <c r="E14" s="9" t="n">
        <f aca="false">r_sleeve*r_sleeveHt</f>
        <v>396</v>
      </c>
      <c r="I14" s="9" t="n">
        <f aca="false">B14*E14</f>
        <v>30888</v>
      </c>
      <c r="J14" s="11" t="s">
        <v>52</v>
      </c>
    </row>
    <row r="15" customFormat="false" ht="15" hidden="false" customHeight="false" outlineLevel="0" collapsed="false">
      <c r="A15" s="0" t="s">
        <v>100</v>
      </c>
      <c r="B15" s="15" t="n">
        <f aca="false">1</f>
        <v>1</v>
      </c>
      <c r="C15" s="6" t="s">
        <v>101</v>
      </c>
      <c r="E15" s="9" t="n">
        <f aca="false">r_dcSystem+r_dcPerBay*B27</f>
        <v>402000</v>
      </c>
      <c r="I15" s="9" t="n">
        <f aca="false">B15*E15</f>
        <v>402000</v>
      </c>
      <c r="J15" s="11" t="s">
        <v>58</v>
      </c>
    </row>
    <row r="16" customFormat="false" ht="15" hidden="false" customHeight="false" outlineLevel="0" collapsed="false">
      <c r="A16" s="0" t="s">
        <v>102</v>
      </c>
      <c r="B16" s="15" t="n">
        <f aca="false">IF(i_arc="Yes",1,0)</f>
        <v>0</v>
      </c>
      <c r="C16" s="6" t="s">
        <v>101</v>
      </c>
      <c r="E16" s="9" t="n">
        <f aca="false">r_arcBoard+r_arcBay*B27</f>
        <v>202000</v>
      </c>
      <c r="I16" s="9" t="n">
        <f aca="false">B16*E16</f>
        <v>0</v>
      </c>
      <c r="J16" s="11" t="s">
        <v>58</v>
      </c>
    </row>
    <row r="17" customFormat="false" ht="15" hidden="false" customHeight="false" outlineLevel="0" collapsed="false">
      <c r="A17" s="0" t="s">
        <v>103</v>
      </c>
      <c r="B17" s="15" t="n">
        <f aca="false">ROUNDUP(B28,0)</f>
        <v>13</v>
      </c>
      <c r="C17" s="6" t="s">
        <v>104</v>
      </c>
      <c r="E17" s="9" t="n">
        <f aca="false">r_labelEarth</f>
        <v>4500</v>
      </c>
      <c r="I17" s="9" t="n">
        <f aca="false">B17*E17</f>
        <v>58500</v>
      </c>
      <c r="J17" s="11" t="s">
        <v>58</v>
      </c>
    </row>
    <row r="18" customFormat="false" ht="15" hidden="false" customHeight="false" outlineLevel="0" collapsed="false">
      <c r="A18" s="0" t="s">
        <v>105</v>
      </c>
      <c r="B18" s="15" t="n">
        <f aca="false">B32</f>
        <v>8820</v>
      </c>
      <c r="C18" s="6" t="s">
        <v>97</v>
      </c>
      <c r="E18" s="9" t="n">
        <f aca="false">r_assembly*r_assemblyF</f>
        <v>57</v>
      </c>
      <c r="I18" s="9" t="n">
        <f aca="false">B18*E18</f>
        <v>502740</v>
      </c>
      <c r="J18" s="11" t="s">
        <v>106</v>
      </c>
    </row>
    <row r="19" customFormat="false" ht="15" hidden="false" customHeight="false" outlineLevel="0" collapsed="false">
      <c r="A19" s="0" t="s">
        <v>107</v>
      </c>
      <c r="B19" s="15" t="n">
        <f aca="false">B27</f>
        <v>13</v>
      </c>
      <c r="C19" s="6" t="s">
        <v>108</v>
      </c>
      <c r="E19" s="9" t="n">
        <f aca="false">r_testBay*r_testF</f>
        <v>11700</v>
      </c>
      <c r="I19" s="9" t="n">
        <f aca="false">B19*E19</f>
        <v>152100</v>
      </c>
      <c r="J19" s="11" t="s">
        <v>106</v>
      </c>
    </row>
    <row r="20" customFormat="false" ht="15" hidden="false" customHeight="false" outlineLevel="0" collapsed="false">
      <c r="A20" s="0" t="s">
        <v>109</v>
      </c>
      <c r="B20" s="15" t="n">
        <f aca="false">1</f>
        <v>1</v>
      </c>
      <c r="C20" s="6" t="s">
        <v>110</v>
      </c>
      <c r="E20" s="9" t="n">
        <f aca="false">(SUM(N5:N9)+I13+I14+I15+I16+I17)*r_typeTest</f>
        <v>160870.290661717</v>
      </c>
      <c r="I20" s="9" t="n">
        <f aca="false">B20*E20</f>
        <v>160870.290661717</v>
      </c>
      <c r="J20" s="11" t="s">
        <v>106</v>
      </c>
    </row>
    <row r="21" customFormat="false" ht="15" hidden="false" customHeight="false" outlineLevel="0" collapsed="false">
      <c r="A21" s="0" t="s">
        <v>111</v>
      </c>
      <c r="B21" s="15" t="n">
        <f aca="false">1</f>
        <v>1</v>
      </c>
      <c r="C21" s="6" t="s">
        <v>110</v>
      </c>
      <c r="E21" s="9" t="n">
        <f aca="false">(SUM(N5:N9)+SUM(I13:I20))*(r_packing+r_transport)</f>
        <v>398665.117068641</v>
      </c>
      <c r="I21" s="9" t="n">
        <f aca="false">B21*E21</f>
        <v>398665.117068641</v>
      </c>
      <c r="J21" s="11" t="s">
        <v>106</v>
      </c>
    </row>
    <row r="26" customFormat="false" ht="15" hidden="false" customHeight="false" outlineLevel="0" collapsed="false">
      <c r="A26" s="3" t="s">
        <v>112</v>
      </c>
    </row>
    <row r="27" customFormat="false" ht="15" hidden="false" customHeight="false" outlineLevel="0" collapsed="false">
      <c r="A27" s="0" t="s">
        <v>67</v>
      </c>
      <c r="B27" s="15" t="n">
        <f aca="false">SUM(B5:B9)</f>
        <v>13</v>
      </c>
    </row>
    <row r="28" customFormat="false" ht="15" hidden="false" customHeight="false" outlineLevel="0" collapsed="false">
      <c r="A28" s="0" t="s">
        <v>113</v>
      </c>
      <c r="B28" s="15" t="n">
        <f aca="false">SUM(B5:B9)</f>
        <v>13</v>
      </c>
    </row>
    <row r="29" customFormat="false" ht="15" hidden="false" customHeight="false" outlineLevel="0" collapsed="false">
      <c r="A29" s="0" t="s">
        <v>114</v>
      </c>
      <c r="B29" s="15" t="n">
        <f aca="false">B28*r_bayW</f>
        <v>10.4</v>
      </c>
    </row>
    <row r="30" customFormat="false" ht="15" hidden="false" customHeight="false" outlineLevel="0" collapsed="false">
      <c r="A30" s="0" t="s">
        <v>115</v>
      </c>
      <c r="B30" s="15" t="n">
        <f aca="false">B29+1.2*ROUNDUP(B28,0)</f>
        <v>26</v>
      </c>
    </row>
    <row r="31" customFormat="false" ht="15" hidden="false" customHeight="false" outlineLevel="0" collapsed="false">
      <c r="A31" s="0" t="s">
        <v>116</v>
      </c>
      <c r="B31" s="15" t="n">
        <f aca="false">i_busA/r_htJ</f>
        <v>781.25</v>
      </c>
    </row>
    <row r="32" customFormat="false" ht="15" hidden="false" customHeight="false" outlineLevel="0" collapsed="false">
      <c r="A32" s="0" t="s">
        <v>117</v>
      </c>
      <c r="B32" s="15" t="n">
        <f aca="false">SUMPRODUCT(B5:B9,D5:D9)</f>
        <v>8820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6" min="5" style="0" width="14"/>
  </cols>
  <sheetData>
    <row r="1" customFormat="false" ht="18.5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5" customFormat="false" ht="15" hidden="false" customHeight="false" outlineLevel="0" collapsed="false">
      <c r="A5" s="18" t="s">
        <v>120</v>
      </c>
      <c r="B5" s="19"/>
      <c r="C5" s="19"/>
      <c r="D5" s="19"/>
    </row>
    <row r="6" customFormat="false" ht="15" hidden="false" customHeight="false" outlineLevel="0" collapsed="false">
      <c r="A6" s="0" t="s">
        <v>121</v>
      </c>
      <c r="B6" s="5" t="n">
        <v>1400</v>
      </c>
      <c r="C6" s="6" t="s">
        <v>122</v>
      </c>
      <c r="D6" s="11" t="s">
        <v>123</v>
      </c>
    </row>
    <row r="7" customFormat="false" ht="15" hidden="false" customHeight="false" outlineLevel="0" collapsed="false">
      <c r="A7" s="0" t="s">
        <v>124</v>
      </c>
      <c r="B7" s="5" t="n">
        <v>76</v>
      </c>
      <c r="C7" s="6" t="s">
        <v>122</v>
      </c>
      <c r="D7" s="11"/>
    </row>
    <row r="9" customFormat="false" ht="15" hidden="false" customHeight="false" outlineLevel="0" collapsed="false">
      <c r="A9" s="18" t="s">
        <v>125</v>
      </c>
      <c r="B9" s="19"/>
      <c r="C9" s="19"/>
      <c r="D9" s="19"/>
    </row>
    <row r="10" customFormat="false" ht="31.5" hidden="false" customHeight="true" outlineLevel="0" collapsed="false">
      <c r="A10" s="7" t="s">
        <v>22</v>
      </c>
      <c r="B10" s="8" t="s">
        <v>126</v>
      </c>
      <c r="C10" s="8" t="s">
        <v>127</v>
      </c>
      <c r="D10" s="8" t="s">
        <v>128</v>
      </c>
      <c r="E10" s="16" t="s">
        <v>129</v>
      </c>
      <c r="F10" s="16" t="s">
        <v>130</v>
      </c>
    </row>
    <row r="11" customFormat="false" ht="15" hidden="false" customHeight="false" outlineLevel="0" collapsed="false">
      <c r="A11" s="20" t="n">
        <v>3.3</v>
      </c>
      <c r="B11" s="21" t="n">
        <v>380000</v>
      </c>
      <c r="C11" s="21" t="n">
        <v>620</v>
      </c>
      <c r="D11" s="21" t="n">
        <v>26000</v>
      </c>
      <c r="E11" s="21" t="n">
        <v>60000</v>
      </c>
      <c r="F11" s="21" t="n">
        <v>14000</v>
      </c>
    </row>
    <row r="12" customFormat="false" ht="15" hidden="false" customHeight="false" outlineLevel="0" collapsed="false">
      <c r="A12" s="20" t="n">
        <v>6.6</v>
      </c>
      <c r="B12" s="21" t="n">
        <v>390000</v>
      </c>
      <c r="C12" s="21" t="n">
        <v>640</v>
      </c>
      <c r="D12" s="21" t="n">
        <v>28000</v>
      </c>
      <c r="E12" s="21" t="n">
        <v>66000</v>
      </c>
      <c r="F12" s="21" t="n">
        <v>16000</v>
      </c>
    </row>
    <row r="13" customFormat="false" ht="15" hidden="false" customHeight="false" outlineLevel="0" collapsed="false">
      <c r="A13" s="20" t="n">
        <v>11</v>
      </c>
      <c r="B13" s="21" t="n">
        <v>450000</v>
      </c>
      <c r="C13" s="21" t="n">
        <v>700</v>
      </c>
      <c r="D13" s="21" t="n">
        <v>34000</v>
      </c>
      <c r="E13" s="21" t="n">
        <v>78000</v>
      </c>
      <c r="F13" s="21" t="n">
        <v>21000</v>
      </c>
    </row>
    <row r="14" customFormat="false" ht="15" hidden="false" customHeight="false" outlineLevel="0" collapsed="false">
      <c r="A14" s="20" t="n">
        <v>22</v>
      </c>
      <c r="B14" s="21" t="n">
        <v>720000</v>
      </c>
      <c r="C14" s="21" t="n">
        <v>1050</v>
      </c>
      <c r="D14" s="21" t="n">
        <v>62000</v>
      </c>
      <c r="E14" s="21" t="n">
        <v>140000</v>
      </c>
      <c r="F14" s="21" t="n">
        <v>48000</v>
      </c>
    </row>
    <row r="15" customFormat="false" ht="15" hidden="false" customHeight="false" outlineLevel="0" collapsed="false">
      <c r="A15" s="20" t="n">
        <v>33</v>
      </c>
      <c r="B15" s="21" t="n">
        <v>950000</v>
      </c>
      <c r="C15" s="21" t="n">
        <v>1450</v>
      </c>
      <c r="D15" s="21" t="n">
        <v>88000</v>
      </c>
      <c r="E15" s="21" t="n">
        <v>210000</v>
      </c>
      <c r="F15" s="21" t="n">
        <v>70000</v>
      </c>
    </row>
    <row r="17" customFormat="false" ht="15" hidden="false" customHeight="false" outlineLevel="0" collapsed="false">
      <c r="A17" s="18" t="s">
        <v>131</v>
      </c>
      <c r="B17" s="19"/>
      <c r="C17" s="19"/>
      <c r="D17" s="19"/>
    </row>
    <row r="18" customFormat="false" ht="15" hidden="false" customHeight="false" outlineLevel="0" collapsed="false">
      <c r="A18" s="0" t="s">
        <v>132</v>
      </c>
      <c r="B18" s="5" t="n">
        <v>0.45</v>
      </c>
      <c r="D18" s="11"/>
    </row>
    <row r="19" customFormat="false" ht="15" hidden="false" customHeight="false" outlineLevel="0" collapsed="false">
      <c r="A19" s="0" t="s">
        <v>133</v>
      </c>
      <c r="B19" s="5" t="n">
        <v>0.5</v>
      </c>
      <c r="D19" s="11"/>
    </row>
    <row r="20" customFormat="false" ht="15" hidden="false" customHeight="false" outlineLevel="0" collapsed="false">
      <c r="A20" s="0" t="s">
        <v>134</v>
      </c>
      <c r="B20" s="5" t="n">
        <v>0.9</v>
      </c>
      <c r="C20" s="6" t="s">
        <v>135</v>
      </c>
      <c r="D20" s="11"/>
    </row>
    <row r="21" customFormat="false" ht="15" hidden="false" customHeight="false" outlineLevel="0" collapsed="false">
      <c r="A21" s="0" t="s">
        <v>136</v>
      </c>
      <c r="B21" s="5" t="n">
        <v>0.15</v>
      </c>
      <c r="D21" s="11"/>
    </row>
    <row r="22" customFormat="false" ht="15" hidden="false" customHeight="false" outlineLevel="0" collapsed="false">
      <c r="A22" s="0" t="s">
        <v>137</v>
      </c>
      <c r="B22" s="5" t="n">
        <v>22000</v>
      </c>
      <c r="C22" s="6" t="s">
        <v>47</v>
      </c>
      <c r="D22" s="11"/>
    </row>
    <row r="23" customFormat="false" ht="15" hidden="false" customHeight="false" outlineLevel="0" collapsed="false">
      <c r="A23" s="0" t="s">
        <v>138</v>
      </c>
      <c r="B23" s="5" t="n">
        <v>38000</v>
      </c>
      <c r="C23" s="6" t="s">
        <v>139</v>
      </c>
      <c r="D23" s="11"/>
    </row>
    <row r="24" customFormat="false" ht="15" hidden="false" customHeight="false" outlineLevel="0" collapsed="false">
      <c r="A24" s="0" t="s">
        <v>140</v>
      </c>
      <c r="B24" s="5" t="n">
        <v>1.6</v>
      </c>
      <c r="C24" s="6" t="s">
        <v>135</v>
      </c>
      <c r="D24" s="11"/>
    </row>
    <row r="25" customFormat="false" ht="15" hidden="false" customHeight="false" outlineLevel="0" collapsed="false">
      <c r="A25" s="0" t="s">
        <v>141</v>
      </c>
      <c r="B25" s="5" t="n">
        <v>1.25</v>
      </c>
      <c r="C25" s="6" t="s">
        <v>135</v>
      </c>
      <c r="D25" s="11"/>
    </row>
    <row r="26" customFormat="false" ht="15" hidden="false" customHeight="false" outlineLevel="0" collapsed="false">
      <c r="A26" s="0" t="s">
        <v>142</v>
      </c>
      <c r="B26" s="5" t="n">
        <v>0.7</v>
      </c>
      <c r="C26" s="6" t="s">
        <v>135</v>
      </c>
      <c r="D26" s="11"/>
    </row>
    <row r="27" customFormat="false" ht="15" hidden="false" customHeight="false" outlineLevel="0" collapsed="false">
      <c r="A27" s="0" t="s">
        <v>143</v>
      </c>
      <c r="B27" s="5" t="n">
        <v>0.8</v>
      </c>
      <c r="C27" s="6" t="s">
        <v>135</v>
      </c>
      <c r="D27" s="11"/>
    </row>
    <row r="29" customFormat="false" ht="15" hidden="false" customHeight="false" outlineLevel="0" collapsed="false">
      <c r="A29" s="18" t="s">
        <v>144</v>
      </c>
      <c r="B29" s="19"/>
      <c r="C29" s="19"/>
      <c r="D29" s="19"/>
    </row>
    <row r="30" customFormat="false" ht="15" hidden="false" customHeight="false" outlineLevel="0" collapsed="false">
      <c r="A30" s="0" t="s">
        <v>145</v>
      </c>
      <c r="B30" s="21" t="n">
        <v>14000</v>
      </c>
      <c r="C30" s="6" t="s">
        <v>47</v>
      </c>
    </row>
    <row r="31" customFormat="false" ht="15" hidden="false" customHeight="false" outlineLevel="0" collapsed="false">
      <c r="A31" s="0" t="s">
        <v>32</v>
      </c>
      <c r="B31" s="21" t="n">
        <v>38000</v>
      </c>
      <c r="C31" s="6" t="s">
        <v>47</v>
      </c>
    </row>
    <row r="32" customFormat="false" ht="15" hidden="false" customHeight="false" outlineLevel="0" collapsed="false">
      <c r="A32" s="0" t="s">
        <v>146</v>
      </c>
      <c r="B32" s="21" t="n">
        <v>98000</v>
      </c>
      <c r="C32" s="6" t="s">
        <v>47</v>
      </c>
    </row>
    <row r="34" customFormat="false" ht="15" hidden="false" customHeight="false" outlineLevel="0" collapsed="false">
      <c r="A34" s="18" t="s">
        <v>147</v>
      </c>
      <c r="B34" s="19"/>
      <c r="C34" s="19"/>
      <c r="D34" s="19"/>
    </row>
    <row r="35" customFormat="false" ht="15" hidden="false" customHeight="false" outlineLevel="0" collapsed="false">
      <c r="A35" s="0" t="s">
        <v>148</v>
      </c>
      <c r="B35" s="5" t="n">
        <v>1.6</v>
      </c>
      <c r="C35" s="6" t="s">
        <v>149</v>
      </c>
      <c r="D35" s="11"/>
    </row>
    <row r="36" customFormat="false" ht="15" hidden="false" customHeight="false" outlineLevel="0" collapsed="false">
      <c r="A36" s="0" t="s">
        <v>150</v>
      </c>
      <c r="B36" s="5" t="n">
        <v>0.8</v>
      </c>
      <c r="C36" s="6" t="s">
        <v>99</v>
      </c>
      <c r="D36" s="11"/>
    </row>
    <row r="37" customFormat="false" ht="15" hidden="false" customHeight="false" outlineLevel="0" collapsed="false">
      <c r="A37" s="0" t="s">
        <v>151</v>
      </c>
      <c r="B37" s="5" t="n">
        <v>95</v>
      </c>
      <c r="C37" s="6" t="s">
        <v>122</v>
      </c>
      <c r="D37" s="11"/>
    </row>
    <row r="38" customFormat="false" ht="15" hidden="false" customHeight="false" outlineLevel="0" collapsed="false">
      <c r="A38" s="0" t="s">
        <v>152</v>
      </c>
      <c r="B38" s="5" t="n">
        <v>220</v>
      </c>
      <c r="C38" s="6" t="s">
        <v>153</v>
      </c>
      <c r="D38" s="11"/>
    </row>
    <row r="39" customFormat="false" ht="15" hidden="false" customHeight="false" outlineLevel="0" collapsed="false">
      <c r="A39" s="0" t="s">
        <v>154</v>
      </c>
      <c r="B39" s="5" t="n">
        <v>1.8</v>
      </c>
      <c r="C39" s="6" t="s">
        <v>135</v>
      </c>
      <c r="D39" s="11"/>
    </row>
    <row r="40" customFormat="false" ht="15" hidden="false" customHeight="false" outlineLevel="0" collapsed="false">
      <c r="A40" s="0" t="s">
        <v>155</v>
      </c>
      <c r="B40" s="5" t="n">
        <v>220000</v>
      </c>
      <c r="C40" s="6" t="s">
        <v>47</v>
      </c>
      <c r="D40" s="11"/>
    </row>
    <row r="41" customFormat="false" ht="15" hidden="false" customHeight="false" outlineLevel="0" collapsed="false">
      <c r="A41" s="0" t="s">
        <v>156</v>
      </c>
      <c r="B41" s="5" t="n">
        <v>14000</v>
      </c>
      <c r="C41" s="6" t="s">
        <v>139</v>
      </c>
      <c r="D41" s="11"/>
    </row>
    <row r="42" customFormat="false" ht="15" hidden="false" customHeight="false" outlineLevel="0" collapsed="false">
      <c r="A42" s="0" t="s">
        <v>157</v>
      </c>
      <c r="B42" s="5" t="n">
        <v>85000</v>
      </c>
      <c r="C42" s="6" t="s">
        <v>47</v>
      </c>
      <c r="D42" s="11"/>
    </row>
    <row r="43" customFormat="false" ht="15" hidden="false" customHeight="false" outlineLevel="0" collapsed="false">
      <c r="A43" s="0" t="s">
        <v>158</v>
      </c>
      <c r="B43" s="5" t="n">
        <v>9000</v>
      </c>
      <c r="C43" s="6" t="s">
        <v>139</v>
      </c>
      <c r="D43" s="11"/>
    </row>
    <row r="44" customFormat="false" ht="15" hidden="false" customHeight="false" outlineLevel="0" collapsed="false">
      <c r="A44" s="0" t="s">
        <v>159</v>
      </c>
      <c r="B44" s="5" t="n">
        <v>1.6</v>
      </c>
      <c r="C44" s="6" t="s">
        <v>135</v>
      </c>
      <c r="D44" s="11"/>
    </row>
    <row r="45" customFormat="false" ht="15" hidden="false" customHeight="false" outlineLevel="0" collapsed="false">
      <c r="A45" s="0" t="s">
        <v>160</v>
      </c>
      <c r="B45" s="5" t="n">
        <v>6500</v>
      </c>
      <c r="C45" s="6" t="s">
        <v>139</v>
      </c>
      <c r="D45" s="11"/>
    </row>
    <row r="46" customFormat="false" ht="15" hidden="false" customHeight="false" outlineLevel="0" collapsed="false">
      <c r="A46" s="0" t="s">
        <v>161</v>
      </c>
      <c r="B46" s="5" t="n">
        <v>1.5</v>
      </c>
      <c r="C46" s="6" t="s">
        <v>135</v>
      </c>
      <c r="D46" s="11"/>
    </row>
    <row r="47" customFormat="false" ht="15" hidden="false" customHeight="false" outlineLevel="0" collapsed="false">
      <c r="A47" s="0" t="s">
        <v>162</v>
      </c>
      <c r="B47" s="5" t="n">
        <v>1.8</v>
      </c>
      <c r="C47" s="6" t="s">
        <v>135</v>
      </c>
      <c r="D47" s="11"/>
    </row>
    <row r="49" customFormat="false" ht="15" hidden="false" customHeight="false" outlineLevel="0" collapsed="false">
      <c r="A49" s="18" t="s">
        <v>163</v>
      </c>
      <c r="B49" s="19"/>
      <c r="C49" s="19"/>
      <c r="D49" s="19"/>
    </row>
    <row r="50" customFormat="false" ht="15" hidden="false" customHeight="false" outlineLevel="0" collapsed="false">
      <c r="A50" s="0" t="s">
        <v>28</v>
      </c>
      <c r="B50" s="5" t="n">
        <v>1</v>
      </c>
    </row>
    <row r="51" customFormat="false" ht="15" hidden="false" customHeight="false" outlineLevel="0" collapsed="false">
      <c r="A51" s="0" t="s">
        <v>164</v>
      </c>
      <c r="B51" s="5" t="n">
        <v>1.1</v>
      </c>
    </row>
    <row r="52" customFormat="false" ht="15" hidden="false" customHeight="false" outlineLevel="0" collapsed="false">
      <c r="A52" s="0" t="s">
        <v>165</v>
      </c>
      <c r="B52" s="5" t="n">
        <v>1.14</v>
      </c>
    </row>
    <row r="53" customFormat="false" ht="15" hidden="false" customHeight="false" outlineLevel="0" collapsed="false">
      <c r="A53" s="0" t="s">
        <v>166</v>
      </c>
      <c r="B53" s="5" t="n">
        <v>1.2</v>
      </c>
      <c r="C53" s="6" t="s">
        <v>135</v>
      </c>
      <c r="D53" s="11"/>
    </row>
    <row r="55" customFormat="false" ht="15" hidden="false" customHeight="false" outlineLevel="0" collapsed="false">
      <c r="A55" s="18" t="s">
        <v>167</v>
      </c>
      <c r="B55" s="19"/>
      <c r="C55" s="19"/>
      <c r="D55" s="19"/>
    </row>
    <row r="56" customFormat="false" ht="15" hidden="false" customHeight="false" outlineLevel="0" collapsed="false">
      <c r="A56" s="0" t="s">
        <v>168</v>
      </c>
      <c r="B56" s="5" t="n">
        <v>14</v>
      </c>
      <c r="C56" s="6" t="s">
        <v>169</v>
      </c>
      <c r="D56" s="11"/>
    </row>
    <row r="57" customFormat="false" ht="15" hidden="false" customHeight="false" outlineLevel="0" collapsed="false">
      <c r="A57" s="0" t="s">
        <v>170</v>
      </c>
      <c r="B57" s="5" t="n">
        <v>6</v>
      </c>
      <c r="C57" s="6" t="s">
        <v>169</v>
      </c>
      <c r="D57" s="11"/>
    </row>
    <row r="58" customFormat="false" ht="15" hidden="false" customHeight="false" outlineLevel="0" collapsed="false">
      <c r="A58" s="0" t="s">
        <v>171</v>
      </c>
      <c r="B58" s="5" t="n">
        <v>0.06</v>
      </c>
      <c r="C58" s="6" t="s">
        <v>135</v>
      </c>
      <c r="D58" s="11"/>
    </row>
    <row r="59" customFormat="false" ht="15" hidden="false" customHeight="false" outlineLevel="0" collapsed="false">
      <c r="A59" s="0" t="s">
        <v>105</v>
      </c>
      <c r="B59" s="5" t="n">
        <v>38</v>
      </c>
      <c r="C59" s="6" t="s">
        <v>169</v>
      </c>
      <c r="D59" s="11"/>
    </row>
    <row r="60" customFormat="false" ht="15" hidden="false" customHeight="false" outlineLevel="0" collapsed="false">
      <c r="A60" s="0" t="s">
        <v>107</v>
      </c>
      <c r="B60" s="5" t="n">
        <v>6500</v>
      </c>
      <c r="C60" s="6" t="s">
        <v>139</v>
      </c>
      <c r="D60" s="11"/>
    </row>
    <row r="61" customFormat="false" ht="15" hidden="false" customHeight="false" outlineLevel="0" collapsed="false">
      <c r="A61" s="0" t="s">
        <v>109</v>
      </c>
      <c r="B61" s="22" t="n">
        <v>0.02</v>
      </c>
      <c r="C61" s="6" t="s">
        <v>172</v>
      </c>
      <c r="D61" s="11"/>
    </row>
    <row r="62" customFormat="false" ht="15" hidden="false" customHeight="false" outlineLevel="0" collapsed="false">
      <c r="A62" s="0" t="s">
        <v>103</v>
      </c>
      <c r="B62" s="5" t="n">
        <v>4500</v>
      </c>
      <c r="C62" s="6" t="s">
        <v>173</v>
      </c>
      <c r="D62" s="11"/>
    </row>
    <row r="63" customFormat="false" ht="15" hidden="false" customHeight="false" outlineLevel="0" collapsed="false">
      <c r="A63" s="0" t="s">
        <v>174</v>
      </c>
      <c r="B63" s="22" t="n">
        <v>0.025</v>
      </c>
      <c r="C63" s="6" t="s">
        <v>175</v>
      </c>
      <c r="D63" s="11"/>
    </row>
    <row r="64" customFormat="false" ht="15" hidden="false" customHeight="false" outlineLevel="0" collapsed="false">
      <c r="A64" s="0" t="s">
        <v>176</v>
      </c>
      <c r="B64" s="22" t="n">
        <v>0.02</v>
      </c>
      <c r="C64" s="6" t="s">
        <v>175</v>
      </c>
      <c r="D64" s="11"/>
    </row>
    <row r="65" customFormat="false" ht="15" hidden="false" customHeight="false" outlineLevel="0" collapsed="false">
      <c r="A65" s="0" t="s">
        <v>63</v>
      </c>
      <c r="B65" s="22" t="n">
        <v>0.09</v>
      </c>
      <c r="C65" s="6" t="s">
        <v>177</v>
      </c>
      <c r="D65" s="11"/>
    </row>
    <row r="66" customFormat="false" ht="15" hidden="false" customHeight="false" outlineLevel="0" collapsed="false">
      <c r="A66" s="0" t="s">
        <v>64</v>
      </c>
      <c r="B66" s="22" t="n">
        <v>0.1</v>
      </c>
      <c r="C66" s="6" t="s">
        <v>178</v>
      </c>
      <c r="D66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40"/>
  </cols>
  <sheetData>
    <row r="1" customFormat="false" ht="18.55" hidden="false" customHeight="false" outlineLevel="0" collapsed="false">
      <c r="A1" s="1" t="s">
        <v>179</v>
      </c>
    </row>
    <row r="4" customFormat="false" ht="31.5" hidden="false" customHeight="true" outlineLevel="0" collapsed="false">
      <c r="A4" s="7" t="s">
        <v>180</v>
      </c>
      <c r="B4" s="8" t="s">
        <v>22</v>
      </c>
      <c r="C4" s="8" t="s">
        <v>181</v>
      </c>
      <c r="D4" s="8" t="s">
        <v>26</v>
      </c>
      <c r="E4" s="8"/>
      <c r="F4" s="8"/>
      <c r="G4" s="8"/>
    </row>
    <row r="5" customFormat="false" ht="43.5" hidden="false" customHeight="true" outlineLevel="0" collapsed="false">
      <c r="A5" s="0" t="s">
        <v>20</v>
      </c>
      <c r="B5" s="0" t="n">
        <v>11</v>
      </c>
      <c r="C5" s="0" t="n">
        <v>1250</v>
      </c>
      <c r="D5" s="0" t="n">
        <v>25</v>
      </c>
      <c r="E5" s="23" t="s">
        <v>182</v>
      </c>
      <c r="F5" s="23"/>
      <c r="G5" s="11" t="s">
        <v>183</v>
      </c>
    </row>
    <row r="6" customFormat="false" ht="43.5" hidden="false" customHeight="true" outlineLevel="0" collapsed="false">
      <c r="A6" s="0" t="s">
        <v>184</v>
      </c>
      <c r="B6" s="0" t="n">
        <v>33</v>
      </c>
      <c r="C6" s="0" t="n">
        <v>2000</v>
      </c>
      <c r="D6" s="0" t="n">
        <v>31.5</v>
      </c>
      <c r="E6" s="23" t="s">
        <v>185</v>
      </c>
      <c r="F6" s="23"/>
      <c r="G6" s="11" t="s">
        <v>186</v>
      </c>
    </row>
    <row r="7" customFormat="false" ht="43.5" hidden="false" customHeight="true" outlineLevel="0" collapsed="false">
      <c r="A7" s="0" t="s">
        <v>187</v>
      </c>
      <c r="B7" s="0" t="n">
        <v>6.6</v>
      </c>
      <c r="C7" s="0" t="n">
        <v>1250</v>
      </c>
      <c r="D7" s="0" t="n">
        <v>40</v>
      </c>
      <c r="E7" s="23" t="s">
        <v>188</v>
      </c>
      <c r="F7" s="23"/>
      <c r="G7" s="11" t="s">
        <v>183</v>
      </c>
    </row>
  </sheetData>
  <mergeCells count="3">
    <mergeCell ref="E5:F5"/>
    <mergeCell ref="E6:F6"/>
    <mergeCell ref="E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2026-10-13T12:55:52Z</dcterms:created>
  <dc:creator>openpyxl</dc:creator>
  <dc:description/>
  <dc:language>en-US</dc:language>
  <cp:lastModifiedBy/>
  <dcterms:modified xsi:type="dcterms:W3CDTF">2026-10-13T12:55:52Z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