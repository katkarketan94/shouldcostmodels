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xr:revisionPtr revIDLastSave="0" documentId="10_ncr:100800_{BEC159BD-659B-4BA3-B06C-B8DB3E9E6208}" xr6:coauthVersionLast="31" xr6:coauthVersionMax="31" xr10:uidLastSave="{00000000-0000-0000-0000-000000000000}"/>
  <bookViews>
    <workbookView xWindow="120" yWindow="345" windowWidth="15180" windowHeight="7560" tabRatio="898" activeTab="3" xr2:uid="{00000000-000D-0000-FFFF-FFFF00000000}"/>
  </bookViews>
  <sheets>
    <sheet name="Summary" sheetId="92" r:id="rId1"/>
    <sheet name="Data Input" sheetId="23" r:id="rId2"/>
    <sheet name="Commodities" sheetId="93" r:id="rId3"/>
    <sheet name="Al LT Cables (1 x 300)" sheetId="22" r:id="rId4"/>
    <sheet name="Al LT Cables (1 x 630)" sheetId="63" r:id="rId5"/>
    <sheet name="Cu LT Cables (1 x 630)" sheetId="24" r:id="rId6"/>
    <sheet name="Cu LT Cables (2 x 2.5)" sheetId="64" r:id="rId7"/>
    <sheet name="Al LT Cables (2 x 6)" sheetId="65" r:id="rId8"/>
    <sheet name="Al LT Cables (2 x 10)" sheetId="66" r:id="rId9"/>
    <sheet name="Al LT Cables (2 x 16)" sheetId="67" r:id="rId10"/>
    <sheet name="Al LT Cables (2 x 25)" sheetId="68" r:id="rId11"/>
    <sheet name="Al LT Cables (2 x 35)" sheetId="69" r:id="rId12"/>
    <sheet name="Al LT Cables (2 x 50)" sheetId="70" r:id="rId13"/>
    <sheet name="Al LT Cables (2 x 70)" sheetId="71" r:id="rId14"/>
    <sheet name="Al LT Cables (2 x 95)" sheetId="72" r:id="rId15"/>
    <sheet name="Al LT Cables (2 x 120)" sheetId="73" r:id="rId16"/>
    <sheet name="Al LT Cables (2 x 150)" sheetId="74" r:id="rId17"/>
    <sheet name="Al LT Cables (2 x 185)" sheetId="75" r:id="rId18"/>
    <sheet name="Al LT Cables (2 x 240)" sheetId="76" r:id="rId19"/>
    <sheet name="Al LT Cables (3 x 6)" sheetId="77" r:id="rId20"/>
    <sheet name="Al LT Cables (3 x 10)" sheetId="78" r:id="rId21"/>
    <sheet name="Al LT Cables (3 x 16)" sheetId="79" r:id="rId22"/>
    <sheet name="Al LT Cables (3 x 25)" sheetId="80" r:id="rId23"/>
    <sheet name="Al LT Cables (3 x 35)" sheetId="81" r:id="rId24"/>
    <sheet name="Al LT Cables (3 x 50)" sheetId="82" r:id="rId25"/>
    <sheet name="Al LT Cables (3 x 70)" sheetId="83" r:id="rId26"/>
    <sheet name="Al LT Cables (3 x 95)" sheetId="84" r:id="rId27"/>
    <sheet name="Al LT Cables (3 x 120)" sheetId="85" r:id="rId28"/>
    <sheet name="Al LT Cables (3 x 150)" sheetId="86" r:id="rId29"/>
    <sheet name="Al LT Cables (3 x 185)" sheetId="87" r:id="rId30"/>
    <sheet name="Al LT Cables (3 x 240)" sheetId="88" r:id="rId31"/>
    <sheet name="Al LT Cables (4 x 6)" sheetId="89" r:id="rId32"/>
    <sheet name="Al LT Cables (4 x 10)" sheetId="90" r:id="rId33"/>
    <sheet name="Al LT Cables (4 x 16)" sheetId="91" r:id="rId34"/>
  </sheets>
  <externalReferences>
    <externalReference r:id="rId35"/>
  </externalReferences>
  <definedNames>
    <definedName name="_xlnm._FilterDatabase" localSheetId="0" hidden="1">Summary!$A$2:$L$2</definedName>
    <definedName name="Armor" localSheetId="0">'[1]Ref - Data, Assumptions'!#REF!</definedName>
    <definedName name="Armor">'Data Input'!#REF!</definedName>
    <definedName name="Armordensity">'Data Input'!$J$2:$K$7</definedName>
    <definedName name="Armour" localSheetId="0">'[1]Ref - Data, Assumptions'!$H$12:$H$16</definedName>
    <definedName name="Armour">'Data Input'!$J$3:$J$7</definedName>
    <definedName name="Conductor">'Data Input'!$D$3:$D$4</definedName>
    <definedName name="Density" localSheetId="0">'[1]Ref - Data, Assumptions'!$H$3:$I$5</definedName>
    <definedName name="Density">'Data Input'!$G$2:$H$4</definedName>
    <definedName name="Density1" localSheetId="0">'[1]Ref - Data, Assumptions'!$H$7:$I$9</definedName>
    <definedName name="Density1">'Data Input'!$D$2:$E$4</definedName>
    <definedName name="Insulation" localSheetId="0">'[1]Ref - Data, Assumptions'!$H$4:$H$5</definedName>
    <definedName name="Insulation">'Data Input'!$G$3:$G$4</definedName>
    <definedName name="Shape" localSheetId="0">'[1]Ref - Data, Assumptions'!$H$19:$H$20</definedName>
    <definedName name="Shape">'Data Input'!$B$3:$B$4</definedName>
  </definedNames>
  <calcPr calcId="179017"/>
  <oleSize ref="A1:P6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EC2346EB-8344-47D2-957B-878EEBE1364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7EAD8B18-9D28-40D8-AA8E-5341527DF8DF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9DCF74F9-F9A4-44E3-8EB6-9999AF0CECC3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DE27D21A-322D-4F50-B254-0D5BA5E2CC2A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B64B3485-26C4-4159-AA2D-1D447D85B2FB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B8568635-FB3B-42F3-ABF8-1CFB4065047E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C2D4D8E2-1999-4779-B093-3D9698022D1C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6A00292C-6D68-4F42-B3EC-445C72D44DD9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EA23F4E5-41F9-473E-A5BA-CCD57880C98D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78B7B54D-FCE7-466B-AAA1-C4D5BD754DE8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00000000-0006-0000-0200-000005000000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00000000-0006-0000-0200-000007000000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00000000-0006-0000-0200-000009000000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4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00000000-0006-0000-0200-00000B000000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00000000-0006-0000-0200-00000C000000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7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802568A7-381A-4254-9479-CF76F34C5BA5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85E8F8B7-35D3-4D84-AB5F-D51BF2025692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5A438552-B95A-4709-8C55-4C313A3D6A82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956E156B-038E-46FE-A1C7-B44643614D17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9A3826FB-A4C1-4D2E-B88F-280468B5760C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065B94D2-4309-4FD7-9442-605A7832445A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4" authorId="0" shapeId="0" xr:uid="{7D048CD5-3731-49C7-AAB8-FCB4D5C04CA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D391220B-8B10-4B1B-A1AE-415B819BFB6B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D094B266-9D48-4D6D-9E5F-4E7351947D2C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7" authorId="0" shapeId="0" xr:uid="{9D9C15AC-3494-4DFD-8DE5-B8978564EE8C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D0C0AFCD-8E98-4D5D-8B0B-DFD9C7A45F7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4FCC9AF1-A6C8-4D3F-976C-CD1AA71D89D7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DB3CD542-22D2-4340-A27D-137A4701618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5C11BE28-2035-41C0-A71D-4AE30550FB3B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FE9FF16F-AB50-418B-92FE-3DEEFD745754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EE4A2DA3-6B12-4092-9DD0-72A49EC907F8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6EA90164-BA74-4D84-840D-80A2AFB075D4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E486E49D-11B5-4396-9C28-F0F865F1233F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48BFFB71-63DC-414E-BF83-A73FFA82717F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F16A1934-31CA-47EB-B9FA-50C4D00FAD4C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967CD049-2CF1-4B4F-8DB0-7457BF5F71DC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CE618374-574A-4600-8703-B703B931B4A9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65BE897D-953F-4535-BA52-DFAEEA827CC1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ED06EBA1-3E6E-4CA3-9B68-701F7D5FC8DE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776C794A-ECF8-4EDC-A143-0B458CDF4CE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8C28FA80-4058-4A44-81D7-DA81206252CA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FE05C8E3-6A76-4AE5-B52F-78F6724F3F2C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3648036E-4210-40E1-80B0-17E47B1C68C5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85B91804-86EE-49CC-BD2B-65DA1122BB5C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1E44D803-87B6-4F34-A285-B88A80FDF94E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2790D25B-AF97-4320-8832-E44962E7C1FD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93151ADE-4AE3-4137-8C8D-32FAA1B224F0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A9AAD08A-2029-4963-BE5A-9E328ADA6D38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2762ED5C-7605-4636-BD56-77B19D38FA28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286705E1-021A-4E04-9266-44D71B14EF4B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7281DC3F-942E-4D0D-AE14-021828FF0221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D7449C70-E512-413D-906A-6E65958EAF81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F52C98C8-90A3-4E21-8FCE-2301EA9E6A08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800DEAC9-A12B-4461-853E-C354608E90BE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1CAE76E0-71AB-4ADB-893C-02E21B862BCB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2D25E642-88AE-4D21-8A2A-378B2A7CD07E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6846DB09-64A0-40F8-96E0-47A2B4E5D6B3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7C01A027-0724-4196-A93B-37C0ECD0BAB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4AA685F9-BF9E-456B-891E-97E2326E5C6B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0B8CFEBE-A0ED-4FE6-9159-AC657930241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1E01E363-D181-42D5-8325-763B118B5B2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B1400760-3EA4-46C3-AEDC-380BBE6C63A7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6717311D-8FB1-41BB-A60A-697A66B0B375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2F9C1AE3-2311-4C01-AE2B-460A2CFC6BE7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D59195ED-689B-43D1-AA13-403E8774EDA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ABF34E78-6E6F-4B7B-9586-10C4F7A44A7F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3C758EE3-49E2-45B4-B932-0599B8E76902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95934074-8505-48B2-9F99-ED8A75B3146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8EAA45F1-20D2-45AF-8218-AB1ED8B73F5E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5E26E750-F765-4A43-9486-B183A232C53E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CFB29689-42E7-47FA-8A35-B3CDE12FC571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DBBD38E9-1505-4052-A8E5-8E08FD98AA31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AC31BDEC-36B2-4D8A-ADE1-7CEAFAD5FFC0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8824C0E6-EB1C-48A9-A97F-5118DFBB1B6F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D816498A-0375-4DCC-97F3-A063ED824C33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129E9340-70B1-4FB4-A005-80ADCC6DC9F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C65B7DE8-BF4B-4AEF-814A-15A9497A6925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360F02C6-BC9E-43B2-9DF9-E27D6CD5C1FA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8AF183C8-99F6-49D6-85D8-1DC75D71DC48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5E1DE9BB-370F-461F-9F04-6685B0077D73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B5ABEA75-7E77-4699-94B1-F4E7BD00778C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4497634E-ED20-4FE8-A14C-EFF95C819588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75BB95C8-45C0-42A2-8858-3BD9E063B700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326C4058-6CB2-4394-9124-67539137F114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002FDE6F-B25A-46C1-86AD-079882E1FBC1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3F374BB7-02F9-4333-A409-FEF43C8667E8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82632C04-BB30-44EE-AF86-3E6B1A03B83C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0B0B6220-6909-4ADA-AD79-35E5AD42C268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6D55F718-9E7D-477E-8ECC-C2D667A80EB0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8232AAC7-DEF0-430E-9B27-DE18CA62E72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6607894C-146D-4AA5-BE50-97AF8AF345A5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011BC27C-1D7E-40DE-A046-01577D0A6448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6969B011-D249-4CFA-8BA0-715D752A985E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F9611DF8-E9D1-463E-BE31-BF5286B62ADC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6118F3CD-5DD6-478C-8793-FDD64941C7E8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5A82CD72-7110-4146-B444-14E79FB34C7A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22C66ADC-4152-4451-BFC0-40E3481443EA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90012515-F520-4631-A041-67774F4C30CB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E78DA713-ECC3-4293-B719-CCCFBF8F84F2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8D40E8B0-2379-45F1-B59F-A468AA3440F3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9D26C960-E404-4374-9B33-64047676653B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57E16560-52D4-41EB-A380-85B6D424C469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D59B7E49-9F62-45E4-B5EF-5D9689F5DA31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990CFB3D-5293-4618-9EDF-7C52FB1BA3C2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2FC77D51-EBC2-4835-9673-8148E8D7F32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66EAFFF5-23D6-49CA-8C55-4485D69CEF12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E83C5668-8B67-4B2B-9574-6CFA450263F9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A0B5990C-7074-4DB8-858E-C3CDEFCC1ED5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3DCD74ED-3CA6-4C74-8A44-03240F8A8897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6946FDE4-DEBB-4086-992F-ED92EBC2DA4D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8B3FBEBF-519A-4DFD-B743-F1C878BBB4AF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D295FBAC-F0D9-4B10-9164-DE7C55180947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815F60B7-A156-4EC0-A2BE-5A205E15AAD0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ED6EA366-E1D5-46DE-917E-8D2B587BCD83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52851DFF-73BE-4788-801F-239CE797BA9A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031D3D3B-81A1-4BFA-AC4F-51A1443F9906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56EDC6BF-7556-47B9-9062-9DDBA4F8820A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7727D35B-B1AC-4C8F-B732-8A1251309AC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6B6969C1-25E7-4769-B8D3-F9411907B1AE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EBA24E8B-48CD-452B-B38B-170902234D0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C0424286-9658-4D19-85A6-06957DE1C70A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DC0609D3-C791-4A23-93B8-8CDAF38F01B5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AC142BC9-6E7A-4AB4-8D24-6B0D20AB341F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9D5CEA32-84FC-4BA9-80B2-DF1C2295288C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CEDCF7F3-5458-4AEB-9E4B-B8907435031E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0E7BF485-83C5-4BAF-9DA3-9BF26FDB7C8C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B168174B-F830-43BA-A89D-AA22C876F84F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C36000CC-4E83-4C5C-984B-0BB14531D07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62DECC04-6A94-46CC-AAE1-ECB9E9D95993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186A1FF2-89D6-44B4-9CEE-F6438B5F081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81B70F5E-A649-4F0B-92DD-D43704AB136F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C5494580-523A-4309-8C93-50B2AAFF3275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587A817C-1FBE-499C-B314-D9AE26FA5F22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FAAFC060-7BB7-4022-9517-BC8A8A583033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56E70AAE-74DB-47D2-83A6-01D4DCAF8B74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B8956231-8537-4819-ACF3-0E54A773ADFC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4CCB3C0D-BE5B-47DB-B770-C3081C4A77EA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59699342-8AB1-44E6-8504-DF8B995A9FA1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C5A231E0-F679-403A-9772-22C54B3F16D5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C5DB2B76-2579-44CF-8DDF-4F6494BB952D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1BEA7DC2-96DE-46A0-8240-430815B323BD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36ADD771-A8A3-4CF3-9E64-905AB0FAEAA4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ED3A6A03-2880-404A-B0A4-CECED99CE047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E94B3F03-FBB1-46B5-980A-BA858058EC6E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99D45055-9347-4883-B448-C74790899A06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9FCC4CA4-DA95-4051-AB02-EEFFBDCEE173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9C704827-C209-439B-B65C-390EB4BA1A3C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EA3855B1-2FAD-4EC2-B31B-29915E91F9AE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B1BE203D-AB18-47FA-908A-5298ABA95BC4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62CEB19A-0D2C-4D27-9D74-2F3152680F5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E440AED6-CB5B-4EBC-BC4B-10DE569B9A2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FC8C509F-5064-49A7-BA65-D4171E4D504D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BB69806C-9D37-4D3D-B683-BAFC716D0E91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27F3BD4E-099E-4A62-B929-7510ABB49C08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D46E0B84-91FA-463F-8EB8-0513F925208B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A5AE55EE-947C-4DCF-8D24-127C1E62525F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1FFC703E-C9F8-4896-B833-F6A93F378CEB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F6493655-CAE0-461A-AC89-52B6729B1DEB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6B401BEA-7320-4ED3-AEF3-A318857939FF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E0F09B19-A3D9-4EA1-9040-E8CB4866EB03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F140838B-7AAB-439E-82BF-FF82B0504381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7558584D-04AF-44B3-9D43-70C69EC1E023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3696D1EF-80F4-4829-B2A0-C4879F1C2143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1725EA2F-A28D-42EB-93B1-BEBA807B08A9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3608452C-FE1A-48ED-9705-2380F1979294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33254820-2979-4143-BF14-627F15933F7D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2C6922EF-4655-4FDA-A38B-7D1505E5DBF4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08FC8896-9C4C-4999-A37D-0B86F9EB1641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1C45EC0C-C1EF-40B1-A226-143E0FE4AFAB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85182D41-5491-4DEE-9992-9CD419ADD6B8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CB823DDA-63DD-41F7-AED3-D75E4178831F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D117C1D7-74C3-4903-A5D2-176251C056E9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79B0CADB-273E-4C1F-9765-7F1EA5828AC8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063A874A-A0AA-4F98-A9D7-201133C776ED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ADC851C2-3A3F-4418-8EB8-173FA5446A3C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391CCD2D-461B-4CA5-A284-3F9C1E58648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080C04E0-CD4D-4967-9D52-87EDE8DE824B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6A569CA4-BD21-4E6D-AFF3-90965E925D9B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3F7593BF-2FF2-44E3-AFAA-4A2243725896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885B563E-DB6B-4756-860C-095EE7978452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1BC7D6C7-3FE5-48A7-903F-EDC9E909F878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4B556B3D-CC5F-4294-AC31-1D65B0D8D5F7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FF548393-E53C-404B-A772-70B03A17972B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E9BEE21E-CEDD-4DE4-A25D-B1E8689EBB9F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292A38FD-4818-4565-ADD7-D0C864AE55C1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538C48A2-7A09-40A1-B0C6-C7079321FEDD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C3021820-2552-426C-933A-C3C3505F236B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DA602C8F-15E0-4262-9BC8-7871FE4D5561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49F18FCA-AEFF-4DDA-AB86-052B50F6A2CA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9896A44E-144E-4861-BE3C-7539B96383DB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DA2BC5A2-B1DF-4709-8B60-5F50B0D211F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0446D8FE-8618-4161-883E-B92204D81A6D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C3447632-A66C-4E7F-9D91-1591D9EE001E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33523E22-1737-4CF2-81BB-B8199B87F5AC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D9D769DB-1B4F-48E4-A3E8-6C871DA66FFE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49D3177B-0B8E-4EC4-8614-251A03F6DB9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BE5BF697-7959-4227-AD9E-E46FB2E0E918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E2F7889A-E319-4101-9C07-1BEE87EF3D9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9DB8490B-8933-442D-BD0F-9014D63B9DDA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C90AD5DF-27B9-44A2-B123-C45B01795615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DFDE43BC-DE54-4125-BF35-D28B349FF7C3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7CC70E67-BE78-44CD-8C8D-64834EDD86A1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0F1F3304-C292-49D0-ACC6-F03F48A03F00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BCB9536F-55F8-44AD-9724-A490CC086EE0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3D3598C5-4AA1-449A-8826-0E38E5E49753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5DDEF370-EC6C-40E5-ADA5-64612D62978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A1C3D551-8033-4C22-9E44-0DBC992CC74F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2AF23FE8-40D6-4638-88CA-A6F72A8D231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31276013-FE84-4FF1-86E2-B117F8DD794F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0B3FB9F6-C0FD-446D-82DF-AD14CF3C5CE3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10E71C37-46BA-4C34-85D3-38EF81F58485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FBC8D7F1-E16F-4315-A61A-9A6F87A9798D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F8A0951B-BBEC-439F-9D21-B78D69A1F0D9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777E0F5C-9971-415A-A1E3-89E6B4BEACA3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B0AD27D3-EDF2-4987-8C38-82A20A77BC3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74FFF3EF-C6EB-4CBC-AE24-E00A361A209E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7446FE09-890E-403E-8743-510E9931ED02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99172805-79EB-497B-94A9-1020EAF65CE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9B519404-EFA1-4E56-A4BB-384DFB9FD211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F31EC5FD-1D70-4ADA-A9F9-CE9DC8C3645C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90CB6FA7-A70E-4760-A8BF-2554344B3A6F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9FF046B3-1626-4407-80EE-3F0FEAA8A07B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D86C6C71-D359-47F6-A264-6D2002984977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44ADAC0B-A676-4DAF-903B-C22600036FDF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C9FE178D-7108-4CD6-AA1E-DDA76D2B1FD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695F9CA2-193D-4294-B5C4-A410145DCC58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52A70940-862B-4F93-B3E8-305B5B90E002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95869D9C-9062-45F1-BA0D-D56C1E35F5FF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98116919-5598-44CC-983A-D179C88DCE45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57137FEF-652B-469C-ABEF-5CD8089F5B5C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E9839176-2D22-498F-8BEC-4FF9DC23A55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D31A5B9E-EF6F-4AE2-B523-4E60FFD5D8A1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DC82A0CC-AEC7-424E-9770-5BA7C5FC68B9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B3EFE333-9252-4B0D-B1DA-8421F1FD84AD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7A7E1E0B-3756-4E4D-94BE-EB52D2753961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77D46071-C2FC-4D87-872E-0FD2470BF933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4764ABA8-1376-4A2B-A180-DBC64D19AFD4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862FE687-EC88-4CF6-8DAC-C699099559B7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A74B0159-4DB2-465C-8C35-7623CFB71841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D0238082-57A9-4150-A172-386C138246BD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3D5F9ABC-3E69-400F-A9EC-CF660F5D9E82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6D1D575A-343E-41CD-BEC0-9079EF15E18A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B0C196A4-6022-4823-BAF7-AB1238DC3FA1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55F79691-7184-48FE-B516-265339443087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8FCBCC89-1852-467F-875F-F3747BA8D3E5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09DE9D87-A0F8-433B-8B7A-929FCE48E41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59BF558C-FA72-4A82-94C5-84797335BF8A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61CBA22C-6781-474B-B233-D5BA453755D5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4512CFBC-A9A6-4481-98B6-F1CF5EDA5EF2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48FCC3C4-D0A4-4251-A1B1-1339E833273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A81DEF3F-7946-4D9E-8147-79C97A9473C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C8FC9C08-6B6A-4A42-A372-0013EDCB5129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B5CA5286-FF7F-4E3B-B2FA-B241B4F82916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F5430AEB-7B0D-43EC-817A-B669D7AD2A38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29E4B5AE-EEF5-4589-9325-1684DF762349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19C7F17E-C431-439A-A3A2-8D3D699F64EE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FA84A3EA-9C6F-404D-B48A-7F160D29DA75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57FD414A-F338-4819-8E0C-4C42CA81991B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2AFF5527-EB94-4B2F-9542-1EF34D0FCA47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C77AD7D1-B543-45CB-BF3B-79939059EC5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E47C98DC-082F-45AB-8A63-4D8A06269EA1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486246E9-938F-4CA7-9B33-930BB9D01B5F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9B91D111-42A2-439D-A6AA-6461CE6D3B45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C7214F23-07F0-4D3B-BE8F-DB9F2D440540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695AC7CD-7D69-4BB7-97B6-F7DE46B8189E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Shekhar, Saumya</author>
  </authors>
  <commentList>
    <comment ref="K68" authorId="0" shapeId="0" xr:uid="{4F40EBA7-18F2-4609-A65A-4D65439E3898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69" authorId="0" shapeId="0" xr:uid="{6D192237-3D10-4D6C-B70E-A3019F1D42F4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0" authorId="0" shapeId="0" xr:uid="{D3C89E9F-A80A-4480-BE4D-78E7B67A67FB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1" authorId="0" shapeId="0" xr:uid="{8B6B5293-7358-4CA6-B3D4-AC19B716461C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2" authorId="0" shapeId="0" xr:uid="{6F4420E5-09CA-44DB-932C-8BB652921293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3" authorId="0" shapeId="0" xr:uid="{8769D89E-E1F7-4A95-81FF-CE2E6295B04E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4" authorId="0" shapeId="0" xr:uid="{D5E329F9-850F-4BDE-BB05-05264A0522E6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5" authorId="0" shapeId="0" xr:uid="{3EC41533-10F1-43C9-B2CF-FA3DA2C7DB50}">
      <text>
        <r>
          <rPr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  <comment ref="K76" authorId="0" shapeId="0" xr:uid="{EC2A1F4E-4F8C-460D-B2BA-491D1A606107}">
      <text>
        <r>
          <rPr>
            <sz val="9"/>
            <color indexed="81"/>
            <rFont val="Tahoma"/>
            <family val="2"/>
          </rPr>
          <t xml:space="preserve">These percentages are an average across sizes; please change them specifically according to size if needed
</t>
        </r>
      </text>
    </comment>
    <comment ref="K77" authorId="0" shapeId="0" xr:uid="{65990A0E-C99E-4BFE-BC72-9215462300D0}">
      <text>
        <r>
          <rPr>
            <b/>
            <sz val="9"/>
            <color indexed="81"/>
            <rFont val="Tahoma"/>
            <family val="2"/>
          </rPr>
          <t>These percentages are an average across sizes; please change them specifically according to size if needed</t>
        </r>
      </text>
    </comment>
  </commentList>
</comments>
</file>

<file path=xl/sharedStrings.xml><?xml version="1.0" encoding="utf-8"?>
<sst xmlns="http://schemas.openxmlformats.org/spreadsheetml/2006/main" count="4881" uniqueCount="162">
  <si>
    <t>Weight of Inner Sheath</t>
  </si>
  <si>
    <t>Weight of Outer Sheath</t>
  </si>
  <si>
    <t>Rs/Kg</t>
  </si>
  <si>
    <t>Cost of PVC</t>
  </si>
  <si>
    <t>Cost of Steel</t>
  </si>
  <si>
    <t>Material Cost per Km</t>
  </si>
  <si>
    <t>Rs</t>
  </si>
  <si>
    <t>Wastage Assumptions</t>
  </si>
  <si>
    <t>Steel</t>
  </si>
  <si>
    <t>PVC</t>
  </si>
  <si>
    <t>Price Assumptions</t>
  </si>
  <si>
    <t>Including Wastage (Kg)</t>
  </si>
  <si>
    <t>ASSUMPTIONS</t>
  </si>
  <si>
    <t>Material Cost Estimation</t>
  </si>
  <si>
    <t>Energy Costs</t>
  </si>
  <si>
    <t>Labour Costs</t>
  </si>
  <si>
    <t>Overheads and Finance Costs</t>
  </si>
  <si>
    <t>Material Costs</t>
  </si>
  <si>
    <t>Aluminium</t>
  </si>
  <si>
    <t>Steel Wire</t>
  </si>
  <si>
    <t>Used in Cable (Kg)</t>
  </si>
  <si>
    <t>Material</t>
  </si>
  <si>
    <t xml:space="preserve">Other Costs as a % of Total Cost </t>
  </si>
  <si>
    <t>CALCULATION - SCENARIO 1</t>
  </si>
  <si>
    <t>Material Composition Estimates per Km of Cable</t>
  </si>
  <si>
    <t>No. of cores</t>
  </si>
  <si>
    <t>Conductor Material</t>
  </si>
  <si>
    <t>Conductor</t>
  </si>
  <si>
    <t>Insulation</t>
  </si>
  <si>
    <t>Conductor Size  (in sq. mm)</t>
  </si>
  <si>
    <t>mm</t>
  </si>
  <si>
    <t>XLPE</t>
  </si>
  <si>
    <t>Nominal thickness of insulation</t>
  </si>
  <si>
    <t>Inner Sheath</t>
  </si>
  <si>
    <t>Armour</t>
  </si>
  <si>
    <t>Unarmored</t>
  </si>
  <si>
    <t>Thickness of armour</t>
  </si>
  <si>
    <t>Outer Sheath</t>
  </si>
  <si>
    <t>Density of Conductor</t>
  </si>
  <si>
    <t>g/cm3</t>
  </si>
  <si>
    <t>Weight of Insulation</t>
  </si>
  <si>
    <t>Data Inputs</t>
  </si>
  <si>
    <t>Minimum Thickness</t>
  </si>
  <si>
    <t>Other Manufacturing Costs</t>
  </si>
  <si>
    <t>Other Manufacturing expenses</t>
  </si>
  <si>
    <t>Administrative and Other expenses</t>
  </si>
  <si>
    <t>Energy Cost</t>
  </si>
  <si>
    <t>Labour Cost</t>
  </si>
  <si>
    <t>Administrative and Other Expenses</t>
  </si>
  <si>
    <t>Special Construction costs</t>
  </si>
  <si>
    <t>Total Costs</t>
  </si>
  <si>
    <t>Total Cable Costs</t>
  </si>
  <si>
    <t>Sector shaped</t>
  </si>
  <si>
    <t>Shape of the core</t>
  </si>
  <si>
    <t>sq. mm</t>
  </si>
  <si>
    <t>Circular</t>
  </si>
  <si>
    <t>Shape</t>
  </si>
  <si>
    <t>Copper</t>
  </si>
  <si>
    <t>Density</t>
  </si>
  <si>
    <t>Angle - Main</t>
  </si>
  <si>
    <t>Cost of XLPE</t>
  </si>
  <si>
    <t>Loading</t>
  </si>
  <si>
    <t>FRLS PVC inner sheath construction cost</t>
  </si>
  <si>
    <t>FRLS PVC outer sheath construction cost</t>
  </si>
  <si>
    <t>LSZH Inner sheath construction cost</t>
  </si>
  <si>
    <t>LSZH outersheath construction cost</t>
  </si>
  <si>
    <t>Y</t>
  </si>
  <si>
    <t>Oxygen Index(Outer sheath)</t>
  </si>
  <si>
    <t>HRPVC Insulation</t>
  </si>
  <si>
    <t>HRPVC Inner Sheath</t>
  </si>
  <si>
    <t>HRPVC Outer Sheath</t>
  </si>
  <si>
    <t>Stranding of Conductor</t>
  </si>
  <si>
    <t>N</t>
  </si>
  <si>
    <t>%</t>
  </si>
  <si>
    <t>Aluminium Round Wired</t>
  </si>
  <si>
    <t>Galvanised steel round wire</t>
  </si>
  <si>
    <t>Galvanised steel flat strip</t>
  </si>
  <si>
    <t>Aluminium Flat Strip</t>
  </si>
  <si>
    <t>Weight of Armour</t>
  </si>
  <si>
    <t>Extruded PVC Inner sheath- Upto 50 sq.mm</t>
  </si>
  <si>
    <t>Extruded PVC Inner sheath-70 sq.mm</t>
  </si>
  <si>
    <t>MCX</t>
  </si>
  <si>
    <t>Conductor Radius</t>
  </si>
  <si>
    <t>Calculated radius over insulation</t>
  </si>
  <si>
    <t>Extruded PVC Inner sheath</t>
  </si>
  <si>
    <t xml:space="preserve">Insulation </t>
  </si>
  <si>
    <t>Overall OD of Cable</t>
  </si>
  <si>
    <t>Calculated diameter below armor</t>
  </si>
  <si>
    <t>Calculated diameter below innersheath</t>
  </si>
  <si>
    <t>Calculated diameter below outersheath</t>
  </si>
  <si>
    <t>PVC Filler</t>
  </si>
  <si>
    <t>Weight of PVC Filler</t>
  </si>
  <si>
    <t>Filler Type</t>
  </si>
  <si>
    <t>mm2</t>
  </si>
  <si>
    <t>Area below inner sheath</t>
  </si>
  <si>
    <t>Area till insulation</t>
  </si>
  <si>
    <t>Wire Size</t>
  </si>
  <si>
    <t>Spl. Construction</t>
  </si>
  <si>
    <t>XLPE insl.</t>
  </si>
  <si>
    <t>1 x 630 mm2</t>
  </si>
  <si>
    <t>Cable Type</t>
  </si>
  <si>
    <t>Armoured / Unarmoured</t>
  </si>
  <si>
    <t>Unarmoured</t>
  </si>
  <si>
    <t>FRLS - inner, outer</t>
  </si>
  <si>
    <t>Approx Net wt. (as per ppt)</t>
  </si>
  <si>
    <t>1 x 300 mm2</t>
  </si>
  <si>
    <t>2 x 2.5 mm2</t>
  </si>
  <si>
    <t>LT Cable</t>
  </si>
  <si>
    <t>Sectoral - 180 Deg.</t>
  </si>
  <si>
    <t>2 x 6 mm2</t>
  </si>
  <si>
    <t>2 x 10mm2</t>
  </si>
  <si>
    <t>2 x 16 mm2</t>
  </si>
  <si>
    <t>2 x 25mm2</t>
  </si>
  <si>
    <t>2 x 35mm2</t>
  </si>
  <si>
    <t>2 x 50mm2</t>
  </si>
  <si>
    <t>2 x 70mm2</t>
  </si>
  <si>
    <t>2 x 95mm2</t>
  </si>
  <si>
    <t>2 x 120mm2</t>
  </si>
  <si>
    <t>2 x 150mm2</t>
  </si>
  <si>
    <t>2 x 240mm2</t>
  </si>
  <si>
    <t>3 x 6 mm2</t>
  </si>
  <si>
    <t>3 x 10mm2</t>
  </si>
  <si>
    <t>3 x 16 mm2</t>
  </si>
  <si>
    <t>3 x 25mm2</t>
  </si>
  <si>
    <t>3 x 35mm2</t>
  </si>
  <si>
    <t>3 x 50mm2</t>
  </si>
  <si>
    <t>3 x 70mm2</t>
  </si>
  <si>
    <t>3 x 95mm2</t>
  </si>
  <si>
    <t>3 x 120mm2</t>
  </si>
  <si>
    <t>3 x 150mm2</t>
  </si>
  <si>
    <t>3 x 240mm2</t>
  </si>
  <si>
    <t>Sectoral - 120 Deg.</t>
  </si>
  <si>
    <t>4 x 6 mm2</t>
  </si>
  <si>
    <t>4 x 10mm2</t>
  </si>
  <si>
    <t>4 x 16 mm2</t>
  </si>
  <si>
    <t>Sectoral - 90 Deg.</t>
  </si>
  <si>
    <t>Insulation Details</t>
  </si>
  <si>
    <t>#</t>
  </si>
  <si>
    <t>* Incl. wastage</t>
  </si>
  <si>
    <t>Approx Net wt. 
(as per cost sheet)</t>
  </si>
  <si>
    <t>Aluminum</t>
  </si>
  <si>
    <t>https://www.indexmundi.com/commodities/?commodity=aluminum&amp;months=60&amp;currency=inr</t>
  </si>
  <si>
    <t xml:space="preserve">https://www.indexmundi.com/commodities/?commodity=copper&amp;months=120&amp;currency=inr </t>
  </si>
  <si>
    <t>Commodity</t>
  </si>
  <si>
    <t>UoM</t>
  </si>
  <si>
    <t>Remarks / Source</t>
  </si>
  <si>
    <t>Rs/Kg.</t>
  </si>
  <si>
    <t>Price as on</t>
  </si>
  <si>
    <t>Plasetmart</t>
  </si>
  <si>
    <t>meps / other</t>
  </si>
  <si>
    <t>Qty Required</t>
  </si>
  <si>
    <t>Baseline Price in INR/ KM</t>
  </si>
  <si>
    <t>Margins</t>
  </si>
  <si>
    <t>% Benefit</t>
  </si>
  <si>
    <t>Cost Optimization Potential in INR</t>
  </si>
  <si>
    <t>Total Spend in INR</t>
  </si>
  <si>
    <t>Selling Price</t>
  </si>
  <si>
    <t>20% over PVC</t>
  </si>
  <si>
    <t>Jun'17</t>
  </si>
  <si>
    <t xml:space="preserve">Price as per cost sheet
</t>
  </si>
  <si>
    <t>Landed</t>
  </si>
  <si>
    <t>Costs as a % of Material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</si>
</sst>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0.0%"/>
    <numFmt numFmtId="167" formatCode="0.000000000000"/>
    <numFmt numFmtId="168" formatCode="_([$INR]\ * #,##0.00_);_([$INR]\ * \(#,##0.00\);_([$INR]\ * &quot;-&quot;??_);_(@_)"/>
    <numFmt numFmtId="169" formatCode="_([$INR]\ * #,##0_);_([$INR]\ * \(#,##0\);_([$INR]\ * &quot;-&quot;??_);_(@_)"/>
    <numFmt numFmtId="170" formatCode="_(* #,##0.000_);_(* \(#,##0.000\);_(* &quot;-&quot;??_);_(@_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u/>
      <sz val="10"/>
      <name val="Arial"/>
      <family val="2"/>
    </font>
    <font>
      <b/>
      <i/>
      <u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0"/>
      <color theme="0"/>
      <name val="Arial"/>
      <family val="2"/>
    </font>
    <font>
      <b/>
      <u/>
      <sz val="16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0"/>
      <color theme="0"/>
      <name val="Arial"/>
      <family val="2"/>
    </font>
    <font>
      <b/>
      <sz val="10"/>
      <color theme="0"/>
      <name val="Arial"/>
      <family val="2"/>
    </font>
    <font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rgb="FF002060"/>
      </left>
      <right/>
      <top/>
      <bottom/>
      <diagonal/>
    </border>
    <border>
      <left/>
      <right style="dashed">
        <color rgb="FF002060"/>
      </right>
      <top/>
      <bottom/>
      <diagonal/>
    </border>
    <border>
      <left style="dashed">
        <color rgb="FF002060"/>
      </left>
      <right/>
      <top/>
      <bottom style="dashed">
        <color rgb="FF002060"/>
      </bottom>
      <diagonal/>
    </border>
    <border>
      <left style="dashed">
        <color rgb="FF002060"/>
      </left>
      <right/>
      <top style="dashed">
        <color rgb="FF002060"/>
      </top>
      <bottom style="dashed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  <border>
      <left/>
      <right style="dashed">
        <color rgb="FF002060"/>
      </right>
      <top style="dashed">
        <color rgb="FF002060"/>
      </top>
      <bottom style="dashed">
        <color rgb="FF002060"/>
      </bottom>
      <diagonal/>
    </border>
    <border>
      <left style="dashed">
        <color rgb="FF002060"/>
      </left>
      <right/>
      <top style="thin">
        <color auto="1"/>
      </top>
      <bottom style="thin">
        <color auto="1"/>
      </bottom>
      <diagonal/>
    </border>
    <border>
      <left/>
      <right style="dashed">
        <color rgb="FF002060"/>
      </right>
      <top style="thin">
        <color auto="1"/>
      </top>
      <bottom style="thin">
        <color auto="1"/>
      </bottom>
      <diagonal/>
    </border>
    <border>
      <left style="dashed">
        <color rgb="FF002060"/>
      </left>
      <right/>
      <top style="thin">
        <color auto="1"/>
      </top>
      <bottom style="thin">
        <color rgb="FF002060"/>
      </bottom>
      <diagonal/>
    </border>
    <border>
      <left/>
      <right/>
      <top style="thin">
        <color auto="1"/>
      </top>
      <bottom style="thin">
        <color rgb="FF002060"/>
      </bottom>
      <diagonal/>
    </border>
    <border>
      <left/>
      <right style="dashed">
        <color rgb="FF002060"/>
      </right>
      <top style="thin">
        <color auto="1"/>
      </top>
      <bottom style="thin">
        <color rgb="FF002060"/>
      </bottom>
      <diagonal/>
    </border>
    <border>
      <left style="dashed">
        <color rgb="FF002060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dashed">
        <color rgb="FF002060"/>
      </right>
      <top style="thin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</cellStyleXfs>
  <cellXfs count="228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Fill="1"/>
    <xf numFmtId="0" fontId="12" fillId="0" borderId="0" xfId="0" applyFont="1"/>
    <xf numFmtId="0" fontId="12" fillId="0" borderId="0" xfId="0" applyFont="1" applyBorder="1"/>
    <xf numFmtId="0" fontId="9" fillId="0" borderId="1" xfId="0" applyFont="1" applyBorder="1" applyAlignment="1">
      <alignment horizontal="left"/>
    </xf>
    <xf numFmtId="9" fontId="9" fillId="0" borderId="1" xfId="0" applyNumberFormat="1" applyFont="1" applyBorder="1"/>
    <xf numFmtId="0" fontId="9" fillId="0" borderId="1" xfId="0" applyFont="1" applyBorder="1"/>
    <xf numFmtId="0" fontId="13" fillId="0" borderId="1" xfId="0" applyFont="1" applyBorder="1" applyAlignment="1">
      <alignment wrapText="1"/>
    </xf>
    <xf numFmtId="165" fontId="9" fillId="0" borderId="0" xfId="1" applyNumberFormat="1" applyFont="1"/>
    <xf numFmtId="9" fontId="9" fillId="0" borderId="0" xfId="0" applyNumberFormat="1" applyFont="1"/>
    <xf numFmtId="0" fontId="9" fillId="0" borderId="0" xfId="0" applyFont="1" applyAlignment="1">
      <alignment horizontal="left"/>
    </xf>
    <xf numFmtId="0" fontId="14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 applyAlignment="1">
      <alignment horizontal="left"/>
    </xf>
    <xf numFmtId="0" fontId="6" fillId="4" borderId="0" xfId="0" applyFont="1" applyFill="1"/>
    <xf numFmtId="0" fontId="4" fillId="3" borderId="1" xfId="0" applyFont="1" applyFill="1" applyBorder="1"/>
    <xf numFmtId="0" fontId="4" fillId="4" borderId="0" xfId="0" applyFont="1" applyFill="1"/>
    <xf numFmtId="0" fontId="4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15" fillId="0" borderId="0" xfId="0" applyFont="1" applyBorder="1"/>
    <xf numFmtId="0" fontId="6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164" fontId="6" fillId="0" borderId="0" xfId="0" applyNumberFormat="1" applyFont="1" applyAlignment="1">
      <alignment horizontal="left"/>
    </xf>
    <xf numFmtId="0" fontId="2" fillId="3" borderId="1" xfId="0" applyFont="1" applyFill="1" applyBorder="1"/>
    <xf numFmtId="0" fontId="6" fillId="6" borderId="2" xfId="0" applyFont="1" applyFill="1" applyBorder="1"/>
    <xf numFmtId="0" fontId="7" fillId="5" borderId="1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0" xfId="0" applyFont="1" applyBorder="1"/>
    <xf numFmtId="0" fontId="4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right"/>
    </xf>
    <xf numFmtId="9" fontId="6" fillId="0" borderId="0" xfId="0" applyNumberFormat="1" applyFont="1" applyBorder="1"/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6" fillId="0" borderId="4" xfId="0" applyFont="1" applyBorder="1"/>
    <xf numFmtId="0" fontId="5" fillId="0" borderId="3" xfId="0" applyFont="1" applyBorder="1" applyAlignment="1">
      <alignment horizontal="center"/>
    </xf>
    <xf numFmtId="0" fontId="8" fillId="0" borderId="4" xfId="0" applyFont="1" applyBorder="1"/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4" fillId="0" borderId="4" xfId="0" applyFont="1" applyBorder="1"/>
    <xf numFmtId="0" fontId="12" fillId="0" borderId="4" xfId="0" applyFont="1" applyBorder="1"/>
    <xf numFmtId="0" fontId="10" fillId="0" borderId="0" xfId="0" applyFont="1" applyBorder="1"/>
    <xf numFmtId="0" fontId="6" fillId="0" borderId="3" xfId="0" applyFont="1" applyBorder="1"/>
    <xf numFmtId="0" fontId="5" fillId="7" borderId="3" xfId="0" applyFont="1" applyFill="1" applyBorder="1" applyAlignment="1">
      <alignment horizontal="center"/>
    </xf>
    <xf numFmtId="0" fontId="10" fillId="7" borderId="0" xfId="0" applyFont="1" applyFill="1" applyBorder="1"/>
    <xf numFmtId="0" fontId="6" fillId="7" borderId="0" xfId="0" applyFont="1" applyFill="1" applyBorder="1"/>
    <xf numFmtId="0" fontId="6" fillId="7" borderId="4" xfId="0" applyFont="1" applyFill="1" applyBorder="1"/>
    <xf numFmtId="0" fontId="5" fillId="6" borderId="2" xfId="0" applyFont="1" applyFill="1" applyBorder="1"/>
    <xf numFmtId="0" fontId="5" fillId="6" borderId="2" xfId="0" applyFont="1" applyFill="1" applyBorder="1" applyAlignment="1">
      <alignment horizontal="right"/>
    </xf>
    <xf numFmtId="1" fontId="5" fillId="6" borderId="2" xfId="0" applyNumberFormat="1" applyFont="1" applyFill="1" applyBorder="1"/>
    <xf numFmtId="0" fontId="6" fillId="6" borderId="9" xfId="0" applyFont="1" applyFill="1" applyBorder="1" applyAlignment="1">
      <alignment horizontal="center"/>
    </xf>
    <xf numFmtId="0" fontId="6" fillId="6" borderId="10" xfId="0" applyFont="1" applyFill="1" applyBorder="1"/>
    <xf numFmtId="0" fontId="12" fillId="6" borderId="11" xfId="0" applyFont="1" applyFill="1" applyBorder="1" applyAlignment="1">
      <alignment horizontal="center"/>
    </xf>
    <xf numFmtId="0" fontId="5" fillId="6" borderId="12" xfId="0" applyFont="1" applyFill="1" applyBorder="1"/>
    <xf numFmtId="9" fontId="5" fillId="6" borderId="12" xfId="0" applyNumberFormat="1" applyFont="1" applyFill="1" applyBorder="1" applyAlignment="1">
      <alignment horizontal="left"/>
    </xf>
    <xf numFmtId="0" fontId="5" fillId="6" borderId="12" xfId="0" applyFont="1" applyFill="1" applyBorder="1" applyAlignment="1">
      <alignment horizontal="right"/>
    </xf>
    <xf numFmtId="0" fontId="12" fillId="6" borderId="13" xfId="0" applyFont="1" applyFill="1" applyBorder="1"/>
    <xf numFmtId="0" fontId="3" fillId="5" borderId="0" xfId="0" applyFont="1" applyFill="1"/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1" xfId="0" applyFont="1" applyBorder="1"/>
    <xf numFmtId="0" fontId="12" fillId="4" borderId="0" xfId="0" applyFont="1" applyFill="1" applyBorder="1"/>
    <xf numFmtId="0" fontId="6" fillId="4" borderId="0" xfId="0" applyFont="1" applyFill="1" applyBorder="1"/>
    <xf numFmtId="0" fontId="13" fillId="4" borderId="0" xfId="0" applyFont="1" applyFill="1" applyBorder="1" applyAlignment="1">
      <alignment wrapText="1"/>
    </xf>
    <xf numFmtId="2" fontId="6" fillId="4" borderId="0" xfId="0" applyNumberFormat="1" applyFont="1" applyFill="1" applyBorder="1"/>
    <xf numFmtId="0" fontId="2" fillId="0" borderId="0" xfId="0" applyFont="1" applyBorder="1"/>
    <xf numFmtId="0" fontId="5" fillId="4" borderId="0" xfId="0" applyFont="1" applyFill="1" applyBorder="1"/>
    <xf numFmtId="0" fontId="2" fillId="0" borderId="0" xfId="0" applyFont="1" applyFill="1" applyBorder="1"/>
    <xf numFmtId="0" fontId="6" fillId="4" borderId="3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right"/>
    </xf>
    <xf numFmtId="1" fontId="5" fillId="4" borderId="0" xfId="0" applyNumberFormat="1" applyFont="1" applyFill="1" applyBorder="1"/>
    <xf numFmtId="0" fontId="6" fillId="4" borderId="4" xfId="0" applyFont="1" applyFill="1" applyBorder="1"/>
    <xf numFmtId="0" fontId="6" fillId="0" borderId="14" xfId="0" applyFont="1" applyFill="1" applyBorder="1" applyAlignment="1">
      <alignment horizontal="center"/>
    </xf>
    <xf numFmtId="0" fontId="5" fillId="0" borderId="15" xfId="0" applyFont="1" applyFill="1" applyBorder="1"/>
    <xf numFmtId="0" fontId="5" fillId="0" borderId="15" xfId="0" applyFont="1" applyFill="1" applyBorder="1" applyAlignment="1">
      <alignment horizontal="right"/>
    </xf>
    <xf numFmtId="1" fontId="5" fillId="0" borderId="15" xfId="0" applyNumberFormat="1" applyFont="1" applyFill="1" applyBorder="1"/>
    <xf numFmtId="0" fontId="6" fillId="0" borderId="16" xfId="0" applyFont="1" applyFill="1" applyBorder="1"/>
    <xf numFmtId="0" fontId="5" fillId="2" borderId="9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right"/>
    </xf>
    <xf numFmtId="0" fontId="6" fillId="2" borderId="10" xfId="0" applyFont="1" applyFill="1" applyBorder="1"/>
    <xf numFmtId="164" fontId="6" fillId="0" borderId="0" xfId="0" applyNumberFormat="1" applyFont="1" applyBorder="1"/>
    <xf numFmtId="0" fontId="2" fillId="0" borderId="0" xfId="0" applyFont="1" applyAlignment="1">
      <alignment horizontal="left"/>
    </xf>
    <xf numFmtId="0" fontId="16" fillId="0" borderId="0" xfId="3" applyAlignment="1" applyProtection="1"/>
    <xf numFmtId="164" fontId="6" fillId="4" borderId="0" xfId="0" applyNumberFormat="1" applyFont="1" applyFill="1" applyBorder="1"/>
    <xf numFmtId="43" fontId="6" fillId="6" borderId="10" xfId="0" applyNumberFormat="1" applyFont="1" applyFill="1" applyBorder="1"/>
    <xf numFmtId="0" fontId="6" fillId="0" borderId="0" xfId="0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3" fillId="0" borderId="1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Fill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/>
    <xf numFmtId="0" fontId="0" fillId="0" borderId="1" xfId="0" applyBorder="1"/>
    <xf numFmtId="2" fontId="6" fillId="0" borderId="0" xfId="0" applyNumberFormat="1" applyFont="1" applyBorder="1" applyAlignment="1">
      <alignment horizontal="left"/>
    </xf>
    <xf numFmtId="167" fontId="6" fillId="0" borderId="0" xfId="0" applyNumberFormat="1" applyFont="1"/>
    <xf numFmtId="9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5" fillId="0" borderId="0" xfId="0" applyFont="1" applyFill="1" applyBorder="1"/>
    <xf numFmtId="0" fontId="12" fillId="0" borderId="0" xfId="0" applyFont="1" applyFill="1" applyBorder="1"/>
    <xf numFmtId="0" fontId="6" fillId="0" borderId="0" xfId="0" applyFont="1" applyFill="1" applyBorder="1"/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left"/>
    </xf>
    <xf numFmtId="0" fontId="15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67" fontId="6" fillId="0" borderId="0" xfId="0" applyNumberFormat="1" applyFont="1" applyAlignment="1">
      <alignment horizontal="center"/>
    </xf>
    <xf numFmtId="0" fontId="2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Border="1" applyAlignment="1">
      <alignment horizontal="center"/>
    </xf>
    <xf numFmtId="0" fontId="6" fillId="6" borderId="2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9" fontId="5" fillId="6" borderId="12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6" fillId="0" borderId="0" xfId="0" applyFont="1" applyFill="1" applyBorder="1" applyAlignment="1">
      <alignment horizontal="left"/>
    </xf>
    <xf numFmtId="0" fontId="17" fillId="8" borderId="1" xfId="0" applyFont="1" applyFill="1" applyBorder="1"/>
    <xf numFmtId="0" fontId="17" fillId="0" borderId="1" xfId="0" applyFont="1" applyBorder="1"/>
    <xf numFmtId="0" fontId="6" fillId="10" borderId="1" xfId="0" applyFont="1" applyFill="1" applyBorder="1" applyAlignment="1">
      <alignment horizontal="left"/>
    </xf>
    <xf numFmtId="2" fontId="6" fillId="9" borderId="1" xfId="0" applyNumberFormat="1" applyFont="1" applyFill="1" applyBorder="1" applyAlignment="1">
      <alignment horizontal="left"/>
    </xf>
    <xf numFmtId="9" fontId="6" fillId="9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9" borderId="0" xfId="0" applyFont="1" applyFill="1" applyBorder="1" applyAlignment="1">
      <alignment horizontal="right"/>
    </xf>
    <xf numFmtId="1" fontId="6" fillId="9" borderId="0" xfId="0" applyNumberFormat="1" applyFont="1" applyFill="1" applyBorder="1"/>
    <xf numFmtId="0" fontId="6" fillId="9" borderId="4" xfId="0" applyFont="1" applyFill="1" applyBorder="1"/>
    <xf numFmtId="0" fontId="12" fillId="9" borderId="4" xfId="0" applyFont="1" applyFill="1" applyBorder="1"/>
    <xf numFmtId="1" fontId="5" fillId="9" borderId="0" xfId="0" applyNumberFormat="1" applyFont="1" applyFill="1" applyBorder="1"/>
    <xf numFmtId="1" fontId="5" fillId="9" borderId="12" xfId="0" applyNumberFormat="1" applyFont="1" applyFill="1" applyBorder="1"/>
    <xf numFmtId="10" fontId="5" fillId="10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0" fontId="6" fillId="5" borderId="0" xfId="0" applyFont="1" applyFill="1" applyAlignment="1">
      <alignment horizontal="left"/>
    </xf>
    <xf numFmtId="164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left"/>
    </xf>
    <xf numFmtId="0" fontId="6" fillId="9" borderId="1" xfId="0" applyFont="1" applyFill="1" applyBorder="1" applyAlignment="1">
      <alignment horizontal="left"/>
    </xf>
    <xf numFmtId="2" fontId="12" fillId="10" borderId="1" xfId="0" applyNumberFormat="1" applyFont="1" applyFill="1" applyBorder="1" applyAlignment="1">
      <alignment horizontal="left"/>
    </xf>
    <xf numFmtId="2" fontId="2" fillId="10" borderId="1" xfId="4" applyNumberFormat="1" applyFont="1" applyFill="1" applyBorder="1" applyAlignment="1">
      <alignment horizontal="left"/>
    </xf>
    <xf numFmtId="0" fontId="3" fillId="5" borderId="1" xfId="0" applyFont="1" applyFill="1" applyBorder="1"/>
    <xf numFmtId="0" fontId="6" fillId="5" borderId="1" xfId="0" applyFont="1" applyFill="1" applyBorder="1" applyAlignment="1">
      <alignment horizontal="left"/>
    </xf>
    <xf numFmtId="0" fontId="11" fillId="5" borderId="1" xfId="0" applyFont="1" applyFill="1" applyBorder="1" applyAlignment="1">
      <alignment horizontal="left"/>
    </xf>
    <xf numFmtId="0" fontId="3" fillId="5" borderId="1" xfId="0" applyFont="1" applyFill="1" applyBorder="1" applyAlignment="1"/>
    <xf numFmtId="0" fontId="11" fillId="5" borderId="1" xfId="0" applyFont="1" applyFill="1" applyBorder="1"/>
    <xf numFmtId="0" fontId="12" fillId="5" borderId="1" xfId="0" applyFont="1" applyFill="1" applyBorder="1"/>
    <xf numFmtId="0" fontId="12" fillId="5" borderId="1" xfId="0" applyFont="1" applyFill="1" applyBorder="1" applyAlignment="1">
      <alignment horizontal="left"/>
    </xf>
    <xf numFmtId="9" fontId="12" fillId="5" borderId="1" xfId="0" applyNumberFormat="1" applyFont="1" applyFill="1" applyBorder="1"/>
    <xf numFmtId="164" fontId="2" fillId="9" borderId="1" xfId="0" applyNumberFormat="1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" fontId="6" fillId="9" borderId="1" xfId="0" applyNumberFormat="1" applyFont="1" applyFill="1" applyBorder="1" applyAlignment="1">
      <alignment horizontal="left"/>
    </xf>
    <xf numFmtId="0" fontId="14" fillId="12" borderId="0" xfId="0" applyFont="1" applyFill="1"/>
    <xf numFmtId="0" fontId="20" fillId="12" borderId="0" xfId="0" applyFont="1" applyFill="1"/>
    <xf numFmtId="0" fontId="14" fillId="12" borderId="0" xfId="0" applyFont="1" applyFill="1" applyAlignment="1">
      <alignment horizontal="left"/>
    </xf>
    <xf numFmtId="165" fontId="0" fillId="0" borderId="18" xfId="1" applyNumberFormat="1" applyFont="1" applyFill="1" applyBorder="1"/>
    <xf numFmtId="165" fontId="0" fillId="0" borderId="17" xfId="1" applyNumberFormat="1" applyFont="1" applyFill="1" applyBorder="1"/>
    <xf numFmtId="1" fontId="6" fillId="0" borderId="0" xfId="0" applyNumberFormat="1" applyFont="1"/>
    <xf numFmtId="2" fontId="6" fillId="0" borderId="0" xfId="0" applyNumberFormat="1" applyFont="1"/>
    <xf numFmtId="0" fontId="2" fillId="0" borderId="0" xfId="4" applyAlignment="1">
      <alignment horizontal="center"/>
    </xf>
    <xf numFmtId="0" fontId="2" fillId="0" borderId="0" xfId="4"/>
    <xf numFmtId="0" fontId="2" fillId="0" borderId="0" xfId="4" applyBorder="1"/>
    <xf numFmtId="0" fontId="22" fillId="0" borderId="0" xfId="4" applyFont="1"/>
    <xf numFmtId="168" fontId="2" fillId="0" borderId="0" xfId="4" applyNumberFormat="1"/>
    <xf numFmtId="0" fontId="21" fillId="13" borderId="15" xfId="4" applyFont="1" applyFill="1" applyBorder="1" applyAlignment="1">
      <alignment horizontal="center" vertical="center"/>
    </xf>
    <xf numFmtId="0" fontId="21" fillId="13" borderId="15" xfId="4" applyFont="1" applyFill="1" applyBorder="1" applyAlignment="1">
      <alignment vertical="center"/>
    </xf>
    <xf numFmtId="0" fontId="21" fillId="13" borderId="0" xfId="4" applyFont="1" applyFill="1" applyBorder="1" applyAlignment="1">
      <alignment vertical="center"/>
    </xf>
    <xf numFmtId="0" fontId="21" fillId="13" borderId="15" xfId="4" applyFont="1" applyFill="1" applyBorder="1" applyAlignment="1">
      <alignment vertical="center" wrapText="1"/>
    </xf>
    <xf numFmtId="168" fontId="21" fillId="13" borderId="15" xfId="4" applyNumberFormat="1" applyFont="1" applyFill="1" applyBorder="1" applyAlignment="1">
      <alignment vertical="center" wrapText="1"/>
    </xf>
    <xf numFmtId="0" fontId="2" fillId="0" borderId="0" xfId="4" applyAlignment="1">
      <alignment vertical="center"/>
    </xf>
    <xf numFmtId="0" fontId="2" fillId="0" borderId="18" xfId="4" applyFont="1" applyBorder="1"/>
    <xf numFmtId="0" fontId="2" fillId="0" borderId="0" xfId="4" applyFill="1"/>
    <xf numFmtId="0" fontId="2" fillId="0" borderId="18" xfId="4" applyFont="1" applyFill="1" applyBorder="1" applyAlignment="1">
      <alignment horizontal="center"/>
    </xf>
    <xf numFmtId="0" fontId="2" fillId="0" borderId="18" xfId="4" applyFont="1" applyFill="1" applyBorder="1"/>
    <xf numFmtId="168" fontId="0" fillId="0" borderId="18" xfId="2" applyNumberFormat="1" applyFont="1" applyFill="1" applyBorder="1"/>
    <xf numFmtId="168" fontId="0" fillId="0" borderId="17" xfId="2" applyNumberFormat="1" applyFont="1" applyFill="1" applyBorder="1"/>
    <xf numFmtId="169" fontId="0" fillId="0" borderId="18" xfId="2" applyNumberFormat="1" applyFont="1" applyFill="1" applyBorder="1"/>
    <xf numFmtId="0" fontId="2" fillId="0" borderId="1" xfId="0" quotePrefix="1" applyFont="1" applyBorder="1"/>
    <xf numFmtId="0" fontId="0" fillId="0" borderId="0" xfId="0" applyBorder="1"/>
    <xf numFmtId="0" fontId="2" fillId="0" borderId="0" xfId="0" quotePrefix="1" applyFont="1" applyBorder="1"/>
    <xf numFmtId="166" fontId="6" fillId="9" borderId="1" xfId="0" applyNumberFormat="1" applyFont="1" applyFill="1" applyBorder="1" applyAlignment="1">
      <alignment horizontal="left"/>
    </xf>
    <xf numFmtId="0" fontId="22" fillId="0" borderId="0" xfId="4" applyFont="1" applyAlignment="1">
      <alignment horizontal="center"/>
    </xf>
    <xf numFmtId="0" fontId="21" fillId="13" borderId="15" xfId="4" applyFont="1" applyFill="1" applyBorder="1" applyAlignment="1">
      <alignment horizontal="center" vertical="center" wrapText="1"/>
    </xf>
    <xf numFmtId="165" fontId="0" fillId="0" borderId="18" xfId="1" applyNumberFormat="1" applyFont="1" applyFill="1" applyBorder="1" applyAlignment="1">
      <alignment horizontal="center"/>
    </xf>
    <xf numFmtId="166" fontId="0" fillId="0" borderId="18" xfId="2" applyNumberFormat="1" applyFont="1" applyFill="1" applyBorder="1" applyAlignment="1">
      <alignment horizontal="center"/>
    </xf>
    <xf numFmtId="166" fontId="0" fillId="0" borderId="17" xfId="2" applyNumberFormat="1" applyFont="1" applyFill="1" applyBorder="1" applyAlignment="1">
      <alignment horizontal="center"/>
    </xf>
    <xf numFmtId="165" fontId="5" fillId="9" borderId="2" xfId="1" applyNumberFormat="1" applyFont="1" applyFill="1" applyBorder="1"/>
    <xf numFmtId="0" fontId="2" fillId="0" borderId="0" xfId="0" applyFont="1" applyBorder="1" applyAlignment="1">
      <alignment horizontal="center"/>
    </xf>
    <xf numFmtId="170" fontId="0" fillId="0" borderId="18" xfId="1" applyNumberFormat="1" applyFont="1" applyFill="1" applyBorder="1" applyAlignment="1">
      <alignment horizontal="center"/>
    </xf>
    <xf numFmtId="170" fontId="0" fillId="0" borderId="17" xfId="1" applyNumberFormat="1" applyFont="1" applyFill="1" applyBorder="1" applyAlignment="1">
      <alignment horizontal="center"/>
    </xf>
    <xf numFmtId="165" fontId="2" fillId="0" borderId="0" xfId="4" applyNumberFormat="1" applyAlignment="1">
      <alignment horizontal="center"/>
    </xf>
    <xf numFmtId="166" fontId="5" fillId="10" borderId="1" xfId="0" applyNumberFormat="1" applyFont="1" applyFill="1" applyBorder="1" applyAlignment="1">
      <alignment horizontal="center"/>
    </xf>
    <xf numFmtId="164" fontId="0" fillId="0" borderId="1" xfId="0" applyNumberFormat="1" applyBorder="1"/>
    <xf numFmtId="165" fontId="2" fillId="0" borderId="0" xfId="1" applyNumberFormat="1" applyAlignment="1">
      <alignment horizontal="center"/>
    </xf>
    <xf numFmtId="165" fontId="2" fillId="0" borderId="0" xfId="4" applyNumberFormat="1"/>
    <xf numFmtId="166" fontId="7" fillId="9" borderId="1" xfId="0" applyNumberFormat="1" applyFont="1" applyFill="1" applyBorder="1" applyAlignment="1">
      <alignment horizontal="center"/>
    </xf>
    <xf numFmtId="43" fontId="12" fillId="0" borderId="0" xfId="0" applyNumberFormat="1" applyFont="1"/>
    <xf numFmtId="43" fontId="6" fillId="0" borderId="0" xfId="0" applyNumberFormat="1" applyFont="1"/>
    <xf numFmtId="10" fontId="2" fillId="0" borderId="0" xfId="4" applyNumberFormat="1" applyAlignment="1">
      <alignment horizontal="center"/>
    </xf>
    <xf numFmtId="0" fontId="10" fillId="5" borderId="1" xfId="0" applyFont="1" applyFill="1" applyBorder="1" applyAlignment="1">
      <alignment horizontal="left"/>
    </xf>
    <xf numFmtId="0" fontId="3" fillId="7" borderId="0" xfId="0" applyFont="1" applyFill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20" fillId="11" borderId="7" xfId="0" applyFont="1" applyFill="1" applyBorder="1" applyAlignment="1">
      <alignment horizontal="center"/>
    </xf>
    <xf numFmtId="0" fontId="20" fillId="11" borderId="8" xfId="0" applyFont="1" applyFill="1" applyBorder="1" applyAlignment="1">
      <alignment horizont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00000000-0005-0000-0000-000004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3</xdr:row>
      <xdr:rowOff>95250</xdr:rowOff>
    </xdr:from>
    <xdr:to>
      <xdr:col>5</xdr:col>
      <xdr:colOff>237868</xdr:colOff>
      <xdr:row>40</xdr:row>
      <xdr:rowOff>161168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AA91C7-944C-4AE5-9F7F-7DB05A674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5" y="742950"/>
          <a:ext cx="2057143" cy="60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5</xdr:col>
      <xdr:colOff>180724</xdr:colOff>
      <xdr:row>77</xdr:row>
      <xdr:rowOff>161257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7F41675-2883-4CEE-81CB-DB2DB481F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7448550"/>
          <a:ext cx="2009524" cy="53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dit.dhupar\Desktop\Projects%20et%20al\10%20Universal%20Voltas\Voltas%20Related\Voltas%20-%20Qasr%20Al%20Hasn%20Project\Ideas\Cables\Cost%20Sheet_Cables_Voltas_v2702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 LT Cables"/>
      <sheetName val="Sheet1"/>
      <sheetName val="Ref - Data Sheet - Ducab"/>
      <sheetName val="Ref - Data, Assumptions"/>
    </sheetNames>
    <sheetDataSet>
      <sheetData sheetId="0" refreshError="1"/>
      <sheetData sheetId="1" refreshError="1"/>
      <sheetData sheetId="2" refreshError="1"/>
      <sheetData sheetId="3">
        <row r="3">
          <cell r="H3" t="str">
            <v>Insulation</v>
          </cell>
          <cell r="I3" t="str">
            <v>Density</v>
          </cell>
        </row>
        <row r="4">
          <cell r="H4" t="str">
            <v>XLPE</v>
          </cell>
          <cell r="I4">
            <v>0.93</v>
          </cell>
        </row>
        <row r="5">
          <cell r="H5" t="str">
            <v>PVC</v>
          </cell>
          <cell r="I5">
            <v>1.35</v>
          </cell>
        </row>
        <row r="7">
          <cell r="H7" t="str">
            <v>Conductor</v>
          </cell>
          <cell r="I7" t="str">
            <v>Density</v>
          </cell>
        </row>
        <row r="8">
          <cell r="H8" t="str">
            <v>Copper</v>
          </cell>
          <cell r="I8">
            <v>8.94</v>
          </cell>
        </row>
        <row r="9">
          <cell r="H9" t="str">
            <v>Aluminium</v>
          </cell>
          <cell r="I9">
            <v>2.7</v>
          </cell>
        </row>
        <row r="12">
          <cell r="H12" t="str">
            <v>Galvanised steel round wire</v>
          </cell>
        </row>
        <row r="13">
          <cell r="H13" t="str">
            <v>Galvanised steel flat strip</v>
          </cell>
        </row>
        <row r="14">
          <cell r="H14" t="str">
            <v>Aluminium Flat Strip</v>
          </cell>
        </row>
        <row r="15">
          <cell r="H15" t="str">
            <v>Unarmored</v>
          </cell>
        </row>
        <row r="16">
          <cell r="H16" t="str">
            <v>Aluminium Round Wired</v>
          </cell>
        </row>
        <row r="19">
          <cell r="H19" t="str">
            <v>Sector shaped</v>
          </cell>
        </row>
        <row r="20">
          <cell r="H20" t="str">
            <v>Circular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indexmundi.com/commodities/?commodity=copper&amp;months=120&amp;currency=inr" TargetMode="External"/><Relationship Id="rId1" Type="http://schemas.openxmlformats.org/officeDocument/2006/relationships/hyperlink" Target="https://www.indexmundi.com/commodities/?commodity=aluminum&amp;months=60&amp;currency=inr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0518-829E-4796-9986-122EB19113ED}">
  <dimension ref="A1:P60"/>
  <sheetViews>
    <sheetView showGridLines="0" workbookViewId="0">
      <pane xSplit="7" ySplit="2" topLeftCell="L22" activePane="bottomRight" state="frozen"/>
      <selection activeCell="Q12" sqref="Q12"/>
      <selection pane="topRight" activeCell="Q12" sqref="Q12"/>
      <selection pane="bottomLeft" activeCell="Q12" sqref="Q12"/>
      <selection pane="bottomRight" activeCell="Q31" sqref="Q31"/>
    </sheetView>
  </sheetViews>
  <sheetFormatPr defaultColWidth="9.140625" defaultRowHeight="12.75" zeroHeight="1" x14ac:dyDescent="0.2"/>
  <cols>
    <col min="1" max="1" width="6.5703125" style="182" bestFit="1" customWidth="1"/>
    <col min="2" max="2" width="12.140625" style="183" bestFit="1" customWidth="1"/>
    <col min="3" max="3" width="13.85546875" style="183" customWidth="1"/>
    <col min="4" max="4" width="19.7109375" style="183" bestFit="1" customWidth="1"/>
    <col min="5" max="5" width="16.42578125" style="184" customWidth="1"/>
    <col min="6" max="6" width="15.140625" style="183" customWidth="1"/>
    <col min="7" max="7" width="16" style="183" customWidth="1"/>
    <col min="8" max="8" width="16.5703125" style="183" bestFit="1" customWidth="1"/>
    <col min="9" max="9" width="11.42578125" style="183" customWidth="1"/>
    <col min="10" max="10" width="12.28515625" style="183" customWidth="1"/>
    <col min="11" max="11" width="19.7109375" style="186" customWidth="1"/>
    <col min="12" max="12" width="12.28515625" style="183" customWidth="1"/>
    <col min="13" max="13" width="12.28515625" style="182" customWidth="1"/>
    <col min="14" max="14" width="16" style="182" bestFit="1" customWidth="1"/>
    <col min="15" max="16" width="12.28515625" style="183" customWidth="1"/>
    <col min="17" max="16384" width="9.140625" style="183"/>
  </cols>
  <sheetData>
    <row r="1" spans="1:16" x14ac:dyDescent="0.2">
      <c r="J1" s="185" t="s">
        <v>138</v>
      </c>
      <c r="L1" s="185"/>
      <c r="M1" s="204"/>
      <c r="N1" s="204"/>
      <c r="O1" s="185"/>
      <c r="P1" s="185"/>
    </row>
    <row r="2" spans="1:16" s="192" customFormat="1" ht="51" x14ac:dyDescent="0.2">
      <c r="A2" s="187" t="s">
        <v>137</v>
      </c>
      <c r="B2" s="188" t="s">
        <v>100</v>
      </c>
      <c r="C2" s="188" t="s">
        <v>96</v>
      </c>
      <c r="D2" s="189" t="s">
        <v>53</v>
      </c>
      <c r="E2" s="189" t="s">
        <v>136</v>
      </c>
      <c r="F2" s="190" t="s">
        <v>101</v>
      </c>
      <c r="G2" s="190" t="s">
        <v>27</v>
      </c>
      <c r="H2" s="188" t="s">
        <v>97</v>
      </c>
      <c r="I2" s="190" t="s">
        <v>104</v>
      </c>
      <c r="J2" s="190" t="s">
        <v>139</v>
      </c>
      <c r="K2" s="191" t="s">
        <v>159</v>
      </c>
      <c r="L2" s="190" t="s">
        <v>151</v>
      </c>
      <c r="M2" s="205" t="s">
        <v>150</v>
      </c>
      <c r="N2" s="205" t="s">
        <v>155</v>
      </c>
      <c r="O2" s="190" t="s">
        <v>154</v>
      </c>
      <c r="P2" s="190" t="s">
        <v>153</v>
      </c>
    </row>
    <row r="3" spans="1:16" s="194" customFormat="1" x14ac:dyDescent="0.2">
      <c r="A3" s="195">
        <v>1</v>
      </c>
      <c r="B3" s="196" t="s">
        <v>107</v>
      </c>
      <c r="C3" s="196" t="s">
        <v>105</v>
      </c>
      <c r="D3" s="193" t="s">
        <v>55</v>
      </c>
      <c r="E3" s="196" t="s">
        <v>98</v>
      </c>
      <c r="F3" s="193" t="s">
        <v>102</v>
      </c>
      <c r="G3" s="196" t="s">
        <v>18</v>
      </c>
      <c r="H3" s="196" t="s">
        <v>103</v>
      </c>
      <c r="I3" s="178">
        <v>1180</v>
      </c>
      <c r="J3" s="178">
        <v>1184.8825763629679</v>
      </c>
      <c r="K3" s="197">
        <f>'Al LT Cables (1 x 300)'!M78</f>
        <v>165988.5195973579</v>
      </c>
      <c r="L3" s="178">
        <v>242630</v>
      </c>
      <c r="M3" s="211">
        <v>4.32</v>
      </c>
      <c r="N3" s="206">
        <f>M3*L3</f>
        <v>1048161.6000000001</v>
      </c>
      <c r="O3" s="178">
        <f t="shared" ref="O3:O31" si="0">IF((L3-K3)*M3&lt;0,0,(L3-K3)*M3)</f>
        <v>331091.19533941388</v>
      </c>
      <c r="P3" s="207">
        <f t="shared" ref="P3:P17" si="1">(L3-K3)/L3</f>
        <v>0.31587800520398179</v>
      </c>
    </row>
    <row r="4" spans="1:16" s="194" customFormat="1" x14ac:dyDescent="0.2">
      <c r="A4" s="195">
        <f t="shared" ref="A4:A31" si="2">A3+1</f>
        <v>2</v>
      </c>
      <c r="B4" s="196" t="s">
        <v>107</v>
      </c>
      <c r="C4" s="196" t="s">
        <v>99</v>
      </c>
      <c r="D4" s="193" t="s">
        <v>55</v>
      </c>
      <c r="E4" s="196" t="s">
        <v>98</v>
      </c>
      <c r="F4" s="193" t="s">
        <v>102</v>
      </c>
      <c r="G4" s="196" t="s">
        <v>18</v>
      </c>
      <c r="H4" s="196" t="s">
        <v>103</v>
      </c>
      <c r="I4" s="178">
        <v>2305</v>
      </c>
      <c r="J4" s="178">
        <v>2343.0609335506256</v>
      </c>
      <c r="K4" s="197">
        <f>'Al LT Cables (1 x 630)'!M78</f>
        <v>334919.07645519578</v>
      </c>
      <c r="L4" s="178">
        <v>434000</v>
      </c>
      <c r="M4" s="211">
        <v>79.906000000000006</v>
      </c>
      <c r="N4" s="206">
        <f t="shared" ref="N4:N31" si="3">M4*L4</f>
        <v>34679204</v>
      </c>
      <c r="O4" s="178">
        <f t="shared" si="0"/>
        <v>7917160.2767711263</v>
      </c>
      <c r="P4" s="207">
        <f t="shared" si="1"/>
        <v>0.2282970588589959</v>
      </c>
    </row>
    <row r="5" spans="1:16" s="194" customFormat="1" x14ac:dyDescent="0.2">
      <c r="A5" s="195">
        <f t="shared" si="2"/>
        <v>3</v>
      </c>
      <c r="B5" s="196" t="s">
        <v>107</v>
      </c>
      <c r="C5" s="196" t="s">
        <v>99</v>
      </c>
      <c r="D5" s="193" t="s">
        <v>55</v>
      </c>
      <c r="E5" s="196" t="s">
        <v>98</v>
      </c>
      <c r="F5" s="193" t="s">
        <v>102</v>
      </c>
      <c r="G5" s="196" t="s">
        <v>57</v>
      </c>
      <c r="H5" s="196" t="s">
        <v>103</v>
      </c>
      <c r="I5" s="178">
        <v>6195</v>
      </c>
      <c r="J5" s="178">
        <v>6392.1969335506255</v>
      </c>
      <c r="K5" s="199">
        <f>'Cu LT Cables (1 x 630)'!M78</f>
        <v>2804390.3497899962</v>
      </c>
      <c r="L5" s="178">
        <v>2521000</v>
      </c>
      <c r="M5" s="211">
        <v>2.56</v>
      </c>
      <c r="N5" s="206">
        <f t="shared" si="3"/>
        <v>6453760</v>
      </c>
      <c r="O5" s="178">
        <f t="shared" si="0"/>
        <v>0</v>
      </c>
      <c r="P5" s="207">
        <f t="shared" si="1"/>
        <v>-0.11241188012296556</v>
      </c>
    </row>
    <row r="6" spans="1:16" s="194" customFormat="1" x14ac:dyDescent="0.2">
      <c r="A6" s="195">
        <f t="shared" si="2"/>
        <v>4</v>
      </c>
      <c r="B6" s="196" t="s">
        <v>107</v>
      </c>
      <c r="C6" s="196" t="s">
        <v>106</v>
      </c>
      <c r="D6" s="193" t="s">
        <v>108</v>
      </c>
      <c r="E6" s="196" t="s">
        <v>98</v>
      </c>
      <c r="F6" s="193" t="s">
        <v>102</v>
      </c>
      <c r="G6" s="196" t="s">
        <v>57</v>
      </c>
      <c r="H6" s="196" t="s">
        <v>103</v>
      </c>
      <c r="I6" s="178">
        <v>155</v>
      </c>
      <c r="J6" s="178">
        <v>154.46617238312612</v>
      </c>
      <c r="K6" s="197">
        <f>'Cu LT Cables (2 x 2.5)'!M78</f>
        <v>32011.189593662817</v>
      </c>
      <c r="L6" s="178">
        <v>35800</v>
      </c>
      <c r="M6" s="211">
        <v>189.315</v>
      </c>
      <c r="N6" s="206">
        <f t="shared" si="3"/>
        <v>6777477</v>
      </c>
      <c r="O6" s="178">
        <f t="shared" si="0"/>
        <v>717278.64207572374</v>
      </c>
      <c r="P6" s="207">
        <f t="shared" si="1"/>
        <v>0.10583269291444646</v>
      </c>
    </row>
    <row r="7" spans="1:16" s="194" customFormat="1" x14ac:dyDescent="0.2">
      <c r="A7" s="195">
        <f t="shared" si="2"/>
        <v>5</v>
      </c>
      <c r="B7" s="196" t="s">
        <v>107</v>
      </c>
      <c r="C7" s="196" t="s">
        <v>109</v>
      </c>
      <c r="D7" s="193" t="s">
        <v>108</v>
      </c>
      <c r="E7" s="196" t="s">
        <v>98</v>
      </c>
      <c r="F7" s="193" t="s">
        <v>102</v>
      </c>
      <c r="G7" s="196" t="s">
        <v>18</v>
      </c>
      <c r="H7" s="196" t="s">
        <v>103</v>
      </c>
      <c r="I7" s="178">
        <v>175</v>
      </c>
      <c r="J7" s="178">
        <v>166.23761645898421</v>
      </c>
      <c r="K7" s="197">
        <f>'Al LT Cables (2 x 6)'!M78</f>
        <v>17829.45465391058</v>
      </c>
      <c r="L7" s="178">
        <v>28000</v>
      </c>
      <c r="M7" s="211">
        <v>102.994</v>
      </c>
      <c r="N7" s="206">
        <f t="shared" si="3"/>
        <v>2883832</v>
      </c>
      <c r="O7" s="178">
        <f t="shared" si="0"/>
        <v>1047505.1473751338</v>
      </c>
      <c r="P7" s="207">
        <f t="shared" si="1"/>
        <v>0.36323376236033644</v>
      </c>
    </row>
    <row r="8" spans="1:16" s="194" customFormat="1" x14ac:dyDescent="0.2">
      <c r="A8" s="195">
        <f t="shared" si="2"/>
        <v>6</v>
      </c>
      <c r="B8" s="196" t="s">
        <v>107</v>
      </c>
      <c r="C8" s="196" t="s">
        <v>110</v>
      </c>
      <c r="D8" s="193" t="s">
        <v>108</v>
      </c>
      <c r="E8" s="196" t="s">
        <v>98</v>
      </c>
      <c r="F8" s="193" t="s">
        <v>102</v>
      </c>
      <c r="G8" s="196" t="s">
        <v>18</v>
      </c>
      <c r="H8" s="196" t="s">
        <v>103</v>
      </c>
      <c r="I8" s="178">
        <v>215</v>
      </c>
      <c r="J8" s="178">
        <v>211.87899492779363</v>
      </c>
      <c r="K8" s="197">
        <f>'Al LT Cables (2 x 10)'!M78</f>
        <v>23571.057942750176</v>
      </c>
      <c r="L8" s="178">
        <v>34400</v>
      </c>
      <c r="M8" s="211">
        <v>13.164</v>
      </c>
      <c r="N8" s="206">
        <f t="shared" si="3"/>
        <v>452841.6</v>
      </c>
      <c r="O8" s="178">
        <f t="shared" si="0"/>
        <v>142552.19324163668</v>
      </c>
      <c r="P8" s="207">
        <f t="shared" si="1"/>
        <v>0.3147948272456344</v>
      </c>
    </row>
    <row r="9" spans="1:16" s="194" customFormat="1" x14ac:dyDescent="0.2">
      <c r="A9" s="195">
        <f t="shared" si="2"/>
        <v>7</v>
      </c>
      <c r="B9" s="196" t="s">
        <v>107</v>
      </c>
      <c r="C9" s="196" t="s">
        <v>111</v>
      </c>
      <c r="D9" s="193" t="s">
        <v>108</v>
      </c>
      <c r="E9" s="196" t="s">
        <v>98</v>
      </c>
      <c r="F9" s="193" t="s">
        <v>102</v>
      </c>
      <c r="G9" s="196" t="s">
        <v>18</v>
      </c>
      <c r="H9" s="196" t="s">
        <v>103</v>
      </c>
      <c r="I9" s="178">
        <v>250</v>
      </c>
      <c r="J9" s="178">
        <v>241.62505199064674</v>
      </c>
      <c r="K9" s="197">
        <f>'Al LT Cables (2 x 16)'!M78</f>
        <v>28616.014938746997</v>
      </c>
      <c r="L9" s="178">
        <v>33400</v>
      </c>
      <c r="M9" s="211">
        <v>22.169</v>
      </c>
      <c r="N9" s="206">
        <f t="shared" si="3"/>
        <v>740444.6</v>
      </c>
      <c r="O9" s="178">
        <f t="shared" si="0"/>
        <v>106056.16482291782</v>
      </c>
      <c r="P9" s="207">
        <f t="shared" si="1"/>
        <v>0.14323308566625756</v>
      </c>
    </row>
    <row r="10" spans="1:16" s="194" customFormat="1" x14ac:dyDescent="0.2">
      <c r="A10" s="195">
        <f t="shared" si="2"/>
        <v>8</v>
      </c>
      <c r="B10" s="196" t="s">
        <v>107</v>
      </c>
      <c r="C10" s="196" t="s">
        <v>112</v>
      </c>
      <c r="D10" s="193" t="s">
        <v>108</v>
      </c>
      <c r="E10" s="196" t="s">
        <v>98</v>
      </c>
      <c r="F10" s="193" t="s">
        <v>102</v>
      </c>
      <c r="G10" s="196" t="s">
        <v>18</v>
      </c>
      <c r="H10" s="196" t="s">
        <v>103</v>
      </c>
      <c r="I10" s="178">
        <v>355</v>
      </c>
      <c r="J10" s="178">
        <v>351.85830127283788</v>
      </c>
      <c r="K10" s="197">
        <f>'Al LT Cables (2 x 25)'!M78</f>
        <v>42397.2590860809</v>
      </c>
      <c r="L10" s="178">
        <v>48800</v>
      </c>
      <c r="M10" s="211">
        <v>14.298</v>
      </c>
      <c r="N10" s="206">
        <f t="shared" si="3"/>
        <v>697742.4</v>
      </c>
      <c r="O10" s="178">
        <f t="shared" si="0"/>
        <v>91546.389587215293</v>
      </c>
      <c r="P10" s="207">
        <f t="shared" si="1"/>
        <v>0.13120370725244057</v>
      </c>
    </row>
    <row r="11" spans="1:16" s="194" customFormat="1" x14ac:dyDescent="0.2">
      <c r="A11" s="195">
        <f t="shared" si="2"/>
        <v>9</v>
      </c>
      <c r="B11" s="196" t="s">
        <v>107</v>
      </c>
      <c r="C11" s="196" t="s">
        <v>113</v>
      </c>
      <c r="D11" s="193" t="s">
        <v>108</v>
      </c>
      <c r="E11" s="196" t="s">
        <v>98</v>
      </c>
      <c r="F11" s="193" t="s">
        <v>102</v>
      </c>
      <c r="G11" s="196" t="s">
        <v>18</v>
      </c>
      <c r="H11" s="196" t="s">
        <v>103</v>
      </c>
      <c r="I11" s="178">
        <v>440</v>
      </c>
      <c r="J11" s="178">
        <v>430.69810468015982</v>
      </c>
      <c r="K11" s="197">
        <f>'Al LT Cables (2 x 35)'!M78</f>
        <v>53453.124110359604</v>
      </c>
      <c r="L11" s="178">
        <v>59800</v>
      </c>
      <c r="M11" s="211">
        <v>7.53</v>
      </c>
      <c r="N11" s="206">
        <f t="shared" si="3"/>
        <v>450294</v>
      </c>
      <c r="O11" s="178">
        <f t="shared" si="0"/>
        <v>47791.975448992183</v>
      </c>
      <c r="P11" s="207">
        <f t="shared" si="1"/>
        <v>0.10613504832174575</v>
      </c>
    </row>
    <row r="12" spans="1:16" s="194" customFormat="1" x14ac:dyDescent="0.2">
      <c r="A12" s="195">
        <f t="shared" si="2"/>
        <v>10</v>
      </c>
      <c r="B12" s="196" t="s">
        <v>107</v>
      </c>
      <c r="C12" s="196" t="s">
        <v>114</v>
      </c>
      <c r="D12" s="193" t="s">
        <v>108</v>
      </c>
      <c r="E12" s="196" t="s">
        <v>98</v>
      </c>
      <c r="F12" s="193" t="s">
        <v>102</v>
      </c>
      <c r="G12" s="196" t="s">
        <v>18</v>
      </c>
      <c r="H12" s="196" t="s">
        <v>103</v>
      </c>
      <c r="I12" s="178">
        <v>545</v>
      </c>
      <c r="J12" s="178">
        <v>553.66500105880175</v>
      </c>
      <c r="K12" s="197">
        <f>'Al LT Cables (2 x 50)'!M78</f>
        <v>70599.775280999864</v>
      </c>
      <c r="L12" s="178">
        <v>74500</v>
      </c>
      <c r="M12" s="211">
        <v>11.288</v>
      </c>
      <c r="N12" s="206">
        <f t="shared" si="3"/>
        <v>840956</v>
      </c>
      <c r="O12" s="178">
        <f t="shared" si="0"/>
        <v>44025.736628073537</v>
      </c>
      <c r="P12" s="207">
        <f t="shared" si="1"/>
        <v>5.2352009651008544E-2</v>
      </c>
    </row>
    <row r="13" spans="1:16" s="194" customFormat="1" x14ac:dyDescent="0.2">
      <c r="A13" s="195">
        <f t="shared" si="2"/>
        <v>11</v>
      </c>
      <c r="B13" s="196" t="s">
        <v>107</v>
      </c>
      <c r="C13" s="196" t="s">
        <v>115</v>
      </c>
      <c r="D13" s="193" t="s">
        <v>108</v>
      </c>
      <c r="E13" s="196" t="s">
        <v>98</v>
      </c>
      <c r="F13" s="193" t="s">
        <v>102</v>
      </c>
      <c r="G13" s="196" t="s">
        <v>18</v>
      </c>
      <c r="H13" s="196" t="s">
        <v>103</v>
      </c>
      <c r="I13" s="178">
        <v>710</v>
      </c>
      <c r="J13" s="178">
        <v>718.60097474739359</v>
      </c>
      <c r="K13" s="197">
        <f>'Al LT Cables (2 x 70)'!M78</f>
        <v>93507.080120310609</v>
      </c>
      <c r="L13" s="178">
        <v>97800</v>
      </c>
      <c r="M13" s="211">
        <v>7.6230000000000002</v>
      </c>
      <c r="N13" s="206">
        <f t="shared" si="3"/>
        <v>745529.4</v>
      </c>
      <c r="O13" s="178">
        <f t="shared" si="0"/>
        <v>32724.928242872225</v>
      </c>
      <c r="P13" s="207">
        <f t="shared" si="1"/>
        <v>4.3894886295392545E-2</v>
      </c>
    </row>
    <row r="14" spans="1:16" s="194" customFormat="1" x14ac:dyDescent="0.2">
      <c r="A14" s="195">
        <f t="shared" si="2"/>
        <v>12</v>
      </c>
      <c r="B14" s="196" t="s">
        <v>107</v>
      </c>
      <c r="C14" s="196" t="s">
        <v>116</v>
      </c>
      <c r="D14" s="193" t="s">
        <v>108</v>
      </c>
      <c r="E14" s="196" t="s">
        <v>98</v>
      </c>
      <c r="F14" s="193" t="s">
        <v>102</v>
      </c>
      <c r="G14" s="196" t="s">
        <v>18</v>
      </c>
      <c r="H14" s="196" t="s">
        <v>103</v>
      </c>
      <c r="I14" s="178">
        <v>930</v>
      </c>
      <c r="J14" s="178">
        <v>932.73386743451795</v>
      </c>
      <c r="K14" s="197">
        <f>'Al LT Cables (2 x 95)'!M78</f>
        <v>122607.37460183979</v>
      </c>
      <c r="L14" s="178">
        <v>130000</v>
      </c>
      <c r="M14" s="211">
        <v>23.556999999999999</v>
      </c>
      <c r="N14" s="206">
        <f t="shared" si="3"/>
        <v>3062410</v>
      </c>
      <c r="O14" s="178">
        <f t="shared" si="0"/>
        <v>174148.07650445995</v>
      </c>
      <c r="P14" s="207">
        <f t="shared" si="1"/>
        <v>5.6866349216616971E-2</v>
      </c>
    </row>
    <row r="15" spans="1:16" s="194" customFormat="1" x14ac:dyDescent="0.2">
      <c r="A15" s="195">
        <f t="shared" si="2"/>
        <v>13</v>
      </c>
      <c r="B15" s="196" t="s">
        <v>107</v>
      </c>
      <c r="C15" s="196" t="s">
        <v>117</v>
      </c>
      <c r="D15" s="193" t="s">
        <v>108</v>
      </c>
      <c r="E15" s="196" t="s">
        <v>98</v>
      </c>
      <c r="F15" s="193" t="s">
        <v>102</v>
      </c>
      <c r="G15" s="196" t="s">
        <v>18</v>
      </c>
      <c r="H15" s="196" t="s">
        <v>103</v>
      </c>
      <c r="I15" s="178">
        <v>1110</v>
      </c>
      <c r="J15" s="178">
        <v>1126.7767738905184</v>
      </c>
      <c r="K15" s="197">
        <f>'Al LT Cables (2 x 120)'!M78</f>
        <v>150083.05581076597</v>
      </c>
      <c r="L15" s="178">
        <v>156600</v>
      </c>
      <c r="M15" s="211">
        <v>9.1530000000000005</v>
      </c>
      <c r="N15" s="206">
        <f t="shared" si="3"/>
        <v>1433359.8</v>
      </c>
      <c r="O15" s="178">
        <f t="shared" si="0"/>
        <v>59649.590164059038</v>
      </c>
      <c r="P15" s="207">
        <f t="shared" si="1"/>
        <v>4.1615224707752398E-2</v>
      </c>
    </row>
    <row r="16" spans="1:16" s="194" customFormat="1" x14ac:dyDescent="0.2">
      <c r="A16" s="195">
        <f t="shared" si="2"/>
        <v>14</v>
      </c>
      <c r="B16" s="196" t="s">
        <v>107</v>
      </c>
      <c r="C16" s="196" t="s">
        <v>118</v>
      </c>
      <c r="D16" s="193" t="s">
        <v>108</v>
      </c>
      <c r="E16" s="196" t="s">
        <v>98</v>
      </c>
      <c r="F16" s="193" t="s">
        <v>102</v>
      </c>
      <c r="G16" s="196" t="s">
        <v>18</v>
      </c>
      <c r="H16" s="196" t="s">
        <v>103</v>
      </c>
      <c r="I16" s="178">
        <v>1320</v>
      </c>
      <c r="J16" s="178">
        <v>1361.6582675865261</v>
      </c>
      <c r="K16" s="197">
        <f>'Al LT Cables (2 x 150)'!M78</f>
        <v>183487.29846436277</v>
      </c>
      <c r="L16" s="178">
        <v>186200</v>
      </c>
      <c r="M16" s="211">
        <v>10.702</v>
      </c>
      <c r="N16" s="206">
        <f t="shared" si="3"/>
        <v>1992712.4</v>
      </c>
      <c r="O16" s="178">
        <f t="shared" si="0"/>
        <v>29031.331834389621</v>
      </c>
      <c r="P16" s="207">
        <f t="shared" si="1"/>
        <v>1.4568751534034525E-2</v>
      </c>
    </row>
    <row r="17" spans="1:16" s="194" customFormat="1" x14ac:dyDescent="0.2">
      <c r="A17" s="195">
        <f t="shared" si="2"/>
        <v>15</v>
      </c>
      <c r="B17" s="196" t="s">
        <v>107</v>
      </c>
      <c r="C17" s="196" t="s">
        <v>119</v>
      </c>
      <c r="D17" s="193" t="s">
        <v>108</v>
      </c>
      <c r="E17" s="196" t="s">
        <v>98</v>
      </c>
      <c r="F17" s="193" t="s">
        <v>102</v>
      </c>
      <c r="G17" s="196" t="s">
        <v>18</v>
      </c>
      <c r="H17" s="196" t="s">
        <v>103</v>
      </c>
      <c r="I17" s="178">
        <v>2085</v>
      </c>
      <c r="J17" s="178">
        <v>2130.120619994459</v>
      </c>
      <c r="K17" s="197">
        <f>'Al LT Cables (2 x 240)'!M78</f>
        <v>288894.38746652147</v>
      </c>
      <c r="L17" s="178">
        <v>299200</v>
      </c>
      <c r="M17" s="211">
        <v>108</v>
      </c>
      <c r="N17" s="206">
        <f t="shared" si="3"/>
        <v>32313600</v>
      </c>
      <c r="O17" s="178">
        <f t="shared" si="0"/>
        <v>1113006.1536156815</v>
      </c>
      <c r="P17" s="207">
        <f t="shared" si="1"/>
        <v>3.4443892157348034E-2</v>
      </c>
    </row>
    <row r="18" spans="1:16" s="194" customFormat="1" x14ac:dyDescent="0.2">
      <c r="A18" s="195">
        <f t="shared" si="2"/>
        <v>16</v>
      </c>
      <c r="B18" s="196" t="s">
        <v>107</v>
      </c>
      <c r="C18" s="196" t="s">
        <v>120</v>
      </c>
      <c r="D18" s="193" t="s">
        <v>131</v>
      </c>
      <c r="E18" s="196" t="s">
        <v>98</v>
      </c>
      <c r="F18" s="193" t="s">
        <v>102</v>
      </c>
      <c r="G18" s="196" t="s">
        <v>18</v>
      </c>
      <c r="H18" s="196" t="s">
        <v>103</v>
      </c>
      <c r="I18" s="178">
        <v>210</v>
      </c>
      <c r="J18" s="178">
        <v>191.28924225489735</v>
      </c>
      <c r="K18" s="197">
        <f>'Al LT Cables (3 x 6)'!M78</f>
        <v>21298.615309906498</v>
      </c>
      <c r="L18" s="178">
        <v>32400</v>
      </c>
      <c r="M18" s="211">
        <v>256.995</v>
      </c>
      <c r="N18" s="206">
        <f t="shared" si="3"/>
        <v>8326638</v>
      </c>
      <c r="O18" s="178">
        <f t="shared" si="0"/>
        <v>2853000.3584305798</v>
      </c>
      <c r="P18" s="207">
        <f t="shared" ref="P18:P27" si="4">(L18-K18)/L18</f>
        <v>0.34263532994115747</v>
      </c>
    </row>
    <row r="19" spans="1:16" s="194" customFormat="1" x14ac:dyDescent="0.2">
      <c r="A19" s="195">
        <f t="shared" si="2"/>
        <v>17</v>
      </c>
      <c r="B19" s="196" t="s">
        <v>107</v>
      </c>
      <c r="C19" s="196" t="s">
        <v>121</v>
      </c>
      <c r="D19" s="193" t="s">
        <v>131</v>
      </c>
      <c r="E19" s="196" t="s">
        <v>98</v>
      </c>
      <c r="F19" s="193" t="s">
        <v>102</v>
      </c>
      <c r="G19" s="196" t="s">
        <v>18</v>
      </c>
      <c r="H19" s="196" t="s">
        <v>103</v>
      </c>
      <c r="I19" s="178">
        <v>260</v>
      </c>
      <c r="J19" s="178">
        <v>249.137094254696</v>
      </c>
      <c r="K19" s="197">
        <f>'Al LT Cables (3 x 10)'!M78</f>
        <v>28916.51144586796</v>
      </c>
      <c r="L19" s="178">
        <v>40300</v>
      </c>
      <c r="M19" s="211">
        <v>65.575000000000003</v>
      </c>
      <c r="N19" s="206">
        <f t="shared" si="3"/>
        <v>2642672.5</v>
      </c>
      <c r="O19" s="178">
        <f t="shared" si="0"/>
        <v>746472.26193720859</v>
      </c>
      <c r="P19" s="207">
        <f t="shared" si="4"/>
        <v>0.28246869861369828</v>
      </c>
    </row>
    <row r="20" spans="1:16" s="194" customFormat="1" x14ac:dyDescent="0.2">
      <c r="A20" s="195">
        <f t="shared" si="2"/>
        <v>18</v>
      </c>
      <c r="B20" s="196" t="s">
        <v>107</v>
      </c>
      <c r="C20" s="196" t="s">
        <v>122</v>
      </c>
      <c r="D20" s="193" t="s">
        <v>131</v>
      </c>
      <c r="E20" s="196" t="s">
        <v>98</v>
      </c>
      <c r="F20" s="193" t="s">
        <v>102</v>
      </c>
      <c r="G20" s="196" t="s">
        <v>18</v>
      </c>
      <c r="H20" s="196" t="s">
        <v>103</v>
      </c>
      <c r="I20" s="178">
        <v>335</v>
      </c>
      <c r="J20" s="178">
        <v>310.76970812479675</v>
      </c>
      <c r="K20" s="197">
        <f>'Al LT Cables (3 x 16)'!M78</f>
        <v>38010.404900622438</v>
      </c>
      <c r="L20" s="178">
        <v>45500</v>
      </c>
      <c r="M20" s="211">
        <v>131.51</v>
      </c>
      <c r="N20" s="206">
        <f t="shared" si="3"/>
        <v>5983705</v>
      </c>
      <c r="O20" s="178">
        <f t="shared" si="0"/>
        <v>984956.65151914314</v>
      </c>
      <c r="P20" s="207">
        <f t="shared" si="4"/>
        <v>0.16460648570060576</v>
      </c>
    </row>
    <row r="21" spans="1:16" s="194" customFormat="1" x14ac:dyDescent="0.2">
      <c r="A21" s="195">
        <f t="shared" si="2"/>
        <v>19</v>
      </c>
      <c r="B21" s="196" t="s">
        <v>107</v>
      </c>
      <c r="C21" s="196" t="s">
        <v>123</v>
      </c>
      <c r="D21" s="193" t="s">
        <v>131</v>
      </c>
      <c r="E21" s="196" t="s">
        <v>98</v>
      </c>
      <c r="F21" s="193" t="s">
        <v>102</v>
      </c>
      <c r="G21" s="196" t="s">
        <v>18</v>
      </c>
      <c r="H21" s="196" t="s">
        <v>103</v>
      </c>
      <c r="I21" s="179">
        <v>480</v>
      </c>
      <c r="J21" s="179">
        <v>451.49487205646182</v>
      </c>
      <c r="K21" s="198">
        <f>'Al LT Cables (3 x 25)'!M78</f>
        <v>56313.01726820058</v>
      </c>
      <c r="L21" s="179">
        <v>64800</v>
      </c>
      <c r="M21" s="212">
        <v>68.204999999999998</v>
      </c>
      <c r="N21" s="206">
        <f t="shared" si="3"/>
        <v>4419684</v>
      </c>
      <c r="O21" s="178">
        <f t="shared" si="0"/>
        <v>578854.65722237946</v>
      </c>
      <c r="P21" s="208">
        <f t="shared" si="4"/>
        <v>0.13097195573764539</v>
      </c>
    </row>
    <row r="22" spans="1:16" s="194" customFormat="1" x14ac:dyDescent="0.2">
      <c r="A22" s="195">
        <f t="shared" si="2"/>
        <v>20</v>
      </c>
      <c r="B22" s="196" t="s">
        <v>107</v>
      </c>
      <c r="C22" s="196" t="s">
        <v>124</v>
      </c>
      <c r="D22" s="193" t="s">
        <v>131</v>
      </c>
      <c r="E22" s="196" t="s">
        <v>98</v>
      </c>
      <c r="F22" s="193" t="s">
        <v>102</v>
      </c>
      <c r="G22" s="196" t="s">
        <v>18</v>
      </c>
      <c r="H22" s="196" t="s">
        <v>103</v>
      </c>
      <c r="I22" s="179">
        <v>600</v>
      </c>
      <c r="J22" s="179">
        <v>565.02290269299806</v>
      </c>
      <c r="K22" s="198">
        <f>'Al LT Cables (3 x 35)'!M78</f>
        <v>72424.0984910712</v>
      </c>
      <c r="L22" s="179">
        <v>80300</v>
      </c>
      <c r="M22" s="212">
        <v>68.78</v>
      </c>
      <c r="N22" s="206">
        <f t="shared" si="3"/>
        <v>5523034</v>
      </c>
      <c r="O22" s="178">
        <f t="shared" si="0"/>
        <v>541704.50578412286</v>
      </c>
      <c r="P22" s="208">
        <f t="shared" si="4"/>
        <v>9.8080965241952686E-2</v>
      </c>
    </row>
    <row r="23" spans="1:16" s="194" customFormat="1" x14ac:dyDescent="0.2">
      <c r="A23" s="195">
        <f t="shared" si="2"/>
        <v>21</v>
      </c>
      <c r="B23" s="196" t="s">
        <v>107</v>
      </c>
      <c r="C23" s="196" t="s">
        <v>125</v>
      </c>
      <c r="D23" s="193" t="s">
        <v>131</v>
      </c>
      <c r="E23" s="196" t="s">
        <v>98</v>
      </c>
      <c r="F23" s="193" t="s">
        <v>102</v>
      </c>
      <c r="G23" s="196" t="s">
        <v>18</v>
      </c>
      <c r="H23" s="196" t="s">
        <v>103</v>
      </c>
      <c r="I23" s="179">
        <v>750</v>
      </c>
      <c r="J23" s="179">
        <v>738.590022115799</v>
      </c>
      <c r="K23" s="198">
        <f>'Al LT Cables (3 x 50)'!M78</f>
        <v>97042.990386740596</v>
      </c>
      <c r="L23" s="179">
        <v>101400</v>
      </c>
      <c r="M23" s="212">
        <v>22.274999999999999</v>
      </c>
      <c r="N23" s="206">
        <f t="shared" si="3"/>
        <v>2258685</v>
      </c>
      <c r="O23" s="178">
        <f t="shared" si="0"/>
        <v>97052.389135353224</v>
      </c>
      <c r="P23" s="208">
        <f t="shared" si="4"/>
        <v>4.2968536619915232E-2</v>
      </c>
    </row>
    <row r="24" spans="1:16" s="194" customFormat="1" x14ac:dyDescent="0.2">
      <c r="A24" s="195">
        <f t="shared" si="2"/>
        <v>22</v>
      </c>
      <c r="B24" s="196" t="s">
        <v>107</v>
      </c>
      <c r="C24" s="196" t="s">
        <v>126</v>
      </c>
      <c r="D24" s="193" t="s">
        <v>131</v>
      </c>
      <c r="E24" s="196" t="s">
        <v>98</v>
      </c>
      <c r="F24" s="193" t="s">
        <v>102</v>
      </c>
      <c r="G24" s="196" t="s">
        <v>18</v>
      </c>
      <c r="H24" s="196" t="s">
        <v>103</v>
      </c>
      <c r="I24" s="179">
        <v>1030</v>
      </c>
      <c r="J24" s="179">
        <v>1005.1717679530664</v>
      </c>
      <c r="K24" s="198">
        <f>'Al LT Cables (3 x 70)'!M78</f>
        <v>133029.46512714052</v>
      </c>
      <c r="L24" s="179">
        <v>141400</v>
      </c>
      <c r="M24" s="212">
        <v>62.73</v>
      </c>
      <c r="N24" s="206">
        <f t="shared" si="3"/>
        <v>8870022</v>
      </c>
      <c r="O24" s="178">
        <f t="shared" si="0"/>
        <v>525083.65257447539</v>
      </c>
      <c r="P24" s="208">
        <f t="shared" si="4"/>
        <v>5.9197559213999176E-2</v>
      </c>
    </row>
    <row r="25" spans="1:16" s="194" customFormat="1" x14ac:dyDescent="0.2">
      <c r="A25" s="195">
        <f t="shared" si="2"/>
        <v>23</v>
      </c>
      <c r="B25" s="196" t="s">
        <v>107</v>
      </c>
      <c r="C25" s="196" t="s">
        <v>127</v>
      </c>
      <c r="D25" s="196" t="s">
        <v>131</v>
      </c>
      <c r="E25" s="196" t="s">
        <v>98</v>
      </c>
      <c r="F25" s="196" t="s">
        <v>102</v>
      </c>
      <c r="G25" s="196" t="s">
        <v>18</v>
      </c>
      <c r="H25" s="196" t="s">
        <v>103</v>
      </c>
      <c r="I25" s="179">
        <v>1290</v>
      </c>
      <c r="J25" s="179">
        <v>1260.4528560613987</v>
      </c>
      <c r="K25" s="198">
        <f>'Al LT Cables (3 x 95)'!M78</f>
        <v>170580.75599856238</v>
      </c>
      <c r="L25" s="179">
        <v>179000</v>
      </c>
      <c r="M25" s="212">
        <v>28.65</v>
      </c>
      <c r="N25" s="206">
        <f t="shared" si="3"/>
        <v>5128350</v>
      </c>
      <c r="O25" s="178">
        <f t="shared" si="0"/>
        <v>241211.34064118777</v>
      </c>
      <c r="P25" s="208">
        <f t="shared" si="4"/>
        <v>4.7034882689595638E-2</v>
      </c>
    </row>
    <row r="26" spans="1:16" s="194" customFormat="1" x14ac:dyDescent="0.2">
      <c r="A26" s="195">
        <f t="shared" si="2"/>
        <v>24</v>
      </c>
      <c r="B26" s="196" t="s">
        <v>107</v>
      </c>
      <c r="C26" s="196" t="s">
        <v>128</v>
      </c>
      <c r="D26" s="193" t="s">
        <v>131</v>
      </c>
      <c r="E26" s="196" t="s">
        <v>98</v>
      </c>
      <c r="F26" s="193" t="s">
        <v>102</v>
      </c>
      <c r="G26" s="196" t="s">
        <v>18</v>
      </c>
      <c r="H26" s="196" t="s">
        <v>103</v>
      </c>
      <c r="I26" s="179">
        <v>1560</v>
      </c>
      <c r="J26" s="179">
        <v>1535.0456169791091</v>
      </c>
      <c r="K26" s="198">
        <f>'Al LT Cables (3 x 120)'!M78</f>
        <v>210144.91169089745</v>
      </c>
      <c r="L26" s="179">
        <v>218700</v>
      </c>
      <c r="M26" s="212">
        <v>37.799999999999997</v>
      </c>
      <c r="N26" s="206">
        <f t="shared" si="3"/>
        <v>8266859.9999999991</v>
      </c>
      <c r="O26" s="178">
        <f t="shared" si="0"/>
        <v>323382.33808407624</v>
      </c>
      <c r="P26" s="208">
        <f t="shared" si="4"/>
        <v>3.9117916365352293E-2</v>
      </c>
    </row>
    <row r="27" spans="1:16" s="194" customFormat="1" x14ac:dyDescent="0.2">
      <c r="A27" s="195">
        <f t="shared" si="2"/>
        <v>25</v>
      </c>
      <c r="B27" s="196" t="s">
        <v>107</v>
      </c>
      <c r="C27" s="196" t="s">
        <v>129</v>
      </c>
      <c r="D27" s="193" t="s">
        <v>131</v>
      </c>
      <c r="E27" s="196" t="s">
        <v>98</v>
      </c>
      <c r="F27" s="193" t="s">
        <v>102</v>
      </c>
      <c r="G27" s="196" t="s">
        <v>18</v>
      </c>
      <c r="H27" s="196" t="s">
        <v>103</v>
      </c>
      <c r="I27" s="179">
        <v>1920</v>
      </c>
      <c r="J27" s="179">
        <v>1928.0789860739817</v>
      </c>
      <c r="K27" s="198">
        <f>'Al LT Cables (3 x 150)'!M78</f>
        <v>263719.3524236505</v>
      </c>
      <c r="L27" s="179">
        <v>271300</v>
      </c>
      <c r="M27" s="212">
        <v>35.86</v>
      </c>
      <c r="N27" s="206">
        <f t="shared" si="3"/>
        <v>9728818</v>
      </c>
      <c r="O27" s="178">
        <f t="shared" si="0"/>
        <v>271842.02208789292</v>
      </c>
      <c r="P27" s="208">
        <f t="shared" si="4"/>
        <v>2.7941937251564675E-2</v>
      </c>
    </row>
    <row r="28" spans="1:16" s="194" customFormat="1" x14ac:dyDescent="0.2">
      <c r="A28" s="195">
        <f t="shared" si="2"/>
        <v>26</v>
      </c>
      <c r="B28" s="196" t="s">
        <v>107</v>
      </c>
      <c r="C28" s="196" t="s">
        <v>130</v>
      </c>
      <c r="D28" s="193" t="s">
        <v>131</v>
      </c>
      <c r="E28" s="196" t="s">
        <v>98</v>
      </c>
      <c r="F28" s="193" t="s">
        <v>102</v>
      </c>
      <c r="G28" s="196" t="s">
        <v>18</v>
      </c>
      <c r="H28" s="196" t="s">
        <v>103</v>
      </c>
      <c r="I28" s="179">
        <v>3025</v>
      </c>
      <c r="J28" s="179">
        <v>3011.9108029509657</v>
      </c>
      <c r="K28" s="198">
        <f>'Al LT Cables (3 x 240)'!M78</f>
        <v>414984.13233323774</v>
      </c>
      <c r="L28" s="179">
        <v>437000</v>
      </c>
      <c r="M28" s="212">
        <v>223.285</v>
      </c>
      <c r="N28" s="206">
        <f t="shared" si="3"/>
        <v>97575545</v>
      </c>
      <c r="O28" s="178">
        <f t="shared" si="0"/>
        <v>4915813.0119730122</v>
      </c>
      <c r="P28" s="208">
        <f>(L28-K28)/L28</f>
        <v>5.0379559878174517E-2</v>
      </c>
    </row>
    <row r="29" spans="1:16" s="194" customFormat="1" x14ac:dyDescent="0.2">
      <c r="A29" s="195">
        <f t="shared" si="2"/>
        <v>27</v>
      </c>
      <c r="B29" s="196" t="s">
        <v>107</v>
      </c>
      <c r="C29" s="196" t="s">
        <v>132</v>
      </c>
      <c r="D29" s="193" t="s">
        <v>135</v>
      </c>
      <c r="E29" s="196" t="s">
        <v>98</v>
      </c>
      <c r="F29" s="193" t="s">
        <v>102</v>
      </c>
      <c r="G29" s="196" t="s">
        <v>18</v>
      </c>
      <c r="H29" s="196" t="s">
        <v>103</v>
      </c>
      <c r="I29" s="179">
        <v>250</v>
      </c>
      <c r="J29" s="179">
        <v>225.0432915112801</v>
      </c>
      <c r="K29" s="198">
        <f>'Al LT Cables (4 x 6)'!M78</f>
        <v>25552.473080093165</v>
      </c>
      <c r="L29" s="179">
        <v>37600</v>
      </c>
      <c r="M29" s="212">
        <v>171.55</v>
      </c>
      <c r="N29" s="206">
        <f t="shared" si="3"/>
        <v>6450280</v>
      </c>
      <c r="O29" s="178">
        <f t="shared" si="0"/>
        <v>2066753.2431100176</v>
      </c>
      <c r="P29" s="208">
        <f>(L29-K29)/L29</f>
        <v>0.32041294999752223</v>
      </c>
    </row>
    <row r="30" spans="1:16" s="194" customFormat="1" x14ac:dyDescent="0.2">
      <c r="A30" s="195">
        <f t="shared" si="2"/>
        <v>28</v>
      </c>
      <c r="B30" s="196" t="s">
        <v>107</v>
      </c>
      <c r="C30" s="196" t="s">
        <v>133</v>
      </c>
      <c r="D30" s="193" t="s">
        <v>135</v>
      </c>
      <c r="E30" s="196" t="s">
        <v>98</v>
      </c>
      <c r="F30" s="193" t="s">
        <v>102</v>
      </c>
      <c r="G30" s="196" t="s">
        <v>18</v>
      </c>
      <c r="H30" s="196" t="s">
        <v>103</v>
      </c>
      <c r="I30" s="179">
        <v>315</v>
      </c>
      <c r="J30" s="179">
        <v>294.93158637561407</v>
      </c>
      <c r="K30" s="198">
        <f>'Al LT Cables (4 x 10)'!M78</f>
        <v>35028.366237855516</v>
      </c>
      <c r="L30" s="179">
        <v>48600</v>
      </c>
      <c r="M30" s="212">
        <v>1.87</v>
      </c>
      <c r="N30" s="206">
        <f t="shared" si="3"/>
        <v>90882</v>
      </c>
      <c r="O30" s="178">
        <f t="shared" si="0"/>
        <v>25378.955135210184</v>
      </c>
      <c r="P30" s="208">
        <f>(L30-K30)/L30</f>
        <v>0.27925172350091532</v>
      </c>
    </row>
    <row r="31" spans="1:16" s="194" customFormat="1" x14ac:dyDescent="0.2">
      <c r="A31" s="195">
        <f t="shared" si="2"/>
        <v>29</v>
      </c>
      <c r="B31" s="196" t="s">
        <v>107</v>
      </c>
      <c r="C31" s="196" t="s">
        <v>134</v>
      </c>
      <c r="D31" s="193" t="s">
        <v>135</v>
      </c>
      <c r="E31" s="196" t="s">
        <v>98</v>
      </c>
      <c r="F31" s="193" t="s">
        <v>102</v>
      </c>
      <c r="G31" s="196" t="s">
        <v>18</v>
      </c>
      <c r="H31" s="196" t="s">
        <v>103</v>
      </c>
      <c r="I31" s="179">
        <v>410</v>
      </c>
      <c r="J31" s="179">
        <v>378.96670800752668</v>
      </c>
      <c r="K31" s="198">
        <f>'Al LT Cables (4 x 16)'!M78</f>
        <v>47300.666840339931</v>
      </c>
      <c r="L31" s="179">
        <v>55700</v>
      </c>
      <c r="M31" s="212">
        <v>9.5250000000000004</v>
      </c>
      <c r="N31" s="206">
        <f t="shared" si="3"/>
        <v>530542.5</v>
      </c>
      <c r="O31" s="178">
        <f t="shared" si="0"/>
        <v>80003.648345762165</v>
      </c>
      <c r="P31" s="208">
        <f>(L31-K31)/L31</f>
        <v>0.1507959274624788</v>
      </c>
    </row>
    <row r="32" spans="1:16" x14ac:dyDescent="0.2">
      <c r="N32" s="213">
        <f>SUM(N3:N31)</f>
        <v>260368042.80000001</v>
      </c>
      <c r="O32" s="213">
        <f>SUM(O3:O31)</f>
        <v>26105076.83763212</v>
      </c>
      <c r="P32" s="221">
        <f>O32/N32</f>
        <v>0.10026221558105947</v>
      </c>
    </row>
    <row r="33" spans="14:15" x14ac:dyDescent="0.2">
      <c r="N33" s="216"/>
      <c r="O33" s="217"/>
    </row>
    <row r="34" spans="14:15" x14ac:dyDescent="0.2"/>
    <row r="35" spans="14:15" x14ac:dyDescent="0.2"/>
    <row r="36" spans="14:15" x14ac:dyDescent="0.2"/>
    <row r="37" spans="14:15" x14ac:dyDescent="0.2"/>
    <row r="38" spans="14:15" x14ac:dyDescent="0.2"/>
    <row r="39" spans="14:15" x14ac:dyDescent="0.2"/>
    <row r="40" spans="14:15" x14ac:dyDescent="0.2"/>
    <row r="41" spans="14:15" x14ac:dyDescent="0.2"/>
    <row r="42" spans="14:15" x14ac:dyDescent="0.2"/>
    <row r="43" spans="14:15" x14ac:dyDescent="0.2"/>
    <row r="44" spans="14:15" x14ac:dyDescent="0.2"/>
    <row r="45" spans="14:15" x14ac:dyDescent="0.2"/>
    <row r="46" spans="14:15" x14ac:dyDescent="0.2"/>
    <row r="47" spans="14:15" x14ac:dyDescent="0.2"/>
    <row r="48" spans="14:15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</sheetData>
  <autoFilter ref="A2:L2" xr:uid="{79EBEAED-E4D7-482E-ABD7-5597AB46B19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"/>
  <sheetViews>
    <sheetView showGridLines="0" workbookViewId="0">
      <selection activeCell="Q12" sqref="Q12"/>
    </sheetView>
  </sheetViews>
  <sheetFormatPr defaultColWidth="0" defaultRowHeight="12.75" zeroHeight="1" x14ac:dyDescent="0.2"/>
  <cols>
    <col min="1" max="1" width="2.85546875" customWidth="1"/>
    <col min="2" max="2" width="15.140625" style="105" customWidth="1"/>
    <col min="3" max="3" width="2.85546875" customWidth="1"/>
    <col min="4" max="5" width="16.42578125" customWidth="1"/>
    <col min="6" max="6" width="2.85546875" customWidth="1"/>
    <col min="7" max="8" width="9.140625" customWidth="1"/>
    <col min="9" max="9" width="2.85546875" customWidth="1"/>
    <col min="10" max="10" width="25.85546875" customWidth="1"/>
    <col min="11" max="11" width="12.28515625" customWidth="1"/>
    <col min="12" max="12" width="2.85546875" customWidth="1"/>
    <col min="13" max="13" width="14.7109375" bestFit="1" customWidth="1"/>
    <col min="14" max="15" width="9.140625" customWidth="1"/>
    <col min="16" max="16" width="10.42578125" bestFit="1" customWidth="1"/>
    <col min="17" max="17" width="16.140625" bestFit="1" customWidth="1"/>
    <col min="18" max="18" width="2.85546875" customWidth="1"/>
    <col min="19" max="16384" width="9.140625" hidden="1"/>
  </cols>
  <sheetData>
    <row r="1" spans="2:17" x14ac:dyDescent="0.2"/>
    <row r="2" spans="2:17" x14ac:dyDescent="0.2">
      <c r="B2" s="109" t="s">
        <v>56</v>
      </c>
      <c r="C2" s="106"/>
      <c r="D2" s="110" t="s">
        <v>27</v>
      </c>
      <c r="E2" s="110" t="s">
        <v>58</v>
      </c>
      <c r="G2" s="110" t="s">
        <v>28</v>
      </c>
      <c r="H2" s="110" t="s">
        <v>58</v>
      </c>
      <c r="J2" s="142" t="s">
        <v>34</v>
      </c>
      <c r="K2" s="142" t="s">
        <v>58</v>
      </c>
      <c r="M2" s="142" t="s">
        <v>143</v>
      </c>
      <c r="N2" s="142" t="s">
        <v>160</v>
      </c>
      <c r="O2" s="142" t="s">
        <v>144</v>
      </c>
      <c r="P2" s="142" t="s">
        <v>147</v>
      </c>
      <c r="Q2" s="142" t="s">
        <v>145</v>
      </c>
    </row>
    <row r="3" spans="2:17" x14ac:dyDescent="0.2">
      <c r="B3" s="107" t="s">
        <v>52</v>
      </c>
      <c r="C3" s="106"/>
      <c r="D3" s="108" t="s">
        <v>57</v>
      </c>
      <c r="E3" s="108">
        <v>8.94</v>
      </c>
      <c r="G3" s="75" t="s">
        <v>31</v>
      </c>
      <c r="H3" s="111">
        <v>0.93</v>
      </c>
      <c r="J3" s="143" t="s">
        <v>75</v>
      </c>
      <c r="K3" s="111">
        <v>7.86</v>
      </c>
      <c r="M3" s="75" t="s">
        <v>18</v>
      </c>
      <c r="N3" s="111">
        <f>123*1.05</f>
        <v>129.15</v>
      </c>
      <c r="O3" s="200" t="s">
        <v>146</v>
      </c>
      <c r="P3" s="200" t="s">
        <v>158</v>
      </c>
      <c r="Q3" s="200" t="s">
        <v>81</v>
      </c>
    </row>
    <row r="4" spans="2:17" x14ac:dyDescent="0.2">
      <c r="B4" s="107" t="s">
        <v>55</v>
      </c>
      <c r="C4" s="106"/>
      <c r="D4" s="108" t="s">
        <v>18</v>
      </c>
      <c r="E4" s="108">
        <v>2.7</v>
      </c>
      <c r="G4" s="75" t="s">
        <v>9</v>
      </c>
      <c r="H4" s="111">
        <v>1.35</v>
      </c>
      <c r="J4" s="143" t="s">
        <v>76</v>
      </c>
      <c r="K4" s="111">
        <v>7.86</v>
      </c>
      <c r="M4" s="75" t="s">
        <v>57</v>
      </c>
      <c r="N4" s="215">
        <f>368.558*1.05</f>
        <v>386.98590000000002</v>
      </c>
      <c r="O4" s="200" t="s">
        <v>146</v>
      </c>
      <c r="P4" s="200" t="s">
        <v>158</v>
      </c>
      <c r="Q4" s="200" t="s">
        <v>81</v>
      </c>
    </row>
    <row r="5" spans="2:17" x14ac:dyDescent="0.2">
      <c r="J5" s="143" t="s">
        <v>77</v>
      </c>
      <c r="K5" s="111">
        <v>2.7</v>
      </c>
      <c r="M5" s="75" t="s">
        <v>9</v>
      </c>
      <c r="N5" s="111">
        <f>71.5*1.05</f>
        <v>75.075000000000003</v>
      </c>
      <c r="O5" s="200" t="s">
        <v>146</v>
      </c>
      <c r="P5" s="200" t="s">
        <v>158</v>
      </c>
      <c r="Q5" s="75" t="s">
        <v>148</v>
      </c>
    </row>
    <row r="6" spans="2:17" x14ac:dyDescent="0.2">
      <c r="J6" s="143" t="s">
        <v>35</v>
      </c>
      <c r="K6" s="111">
        <v>0</v>
      </c>
      <c r="M6" s="75" t="s">
        <v>19</v>
      </c>
      <c r="N6" s="111">
        <f>40*1.05</f>
        <v>42</v>
      </c>
      <c r="O6" s="200" t="s">
        <v>146</v>
      </c>
      <c r="P6" s="200" t="s">
        <v>158</v>
      </c>
      <c r="Q6" s="75" t="s">
        <v>149</v>
      </c>
    </row>
    <row r="7" spans="2:17" x14ac:dyDescent="0.2">
      <c r="J7" s="143" t="s">
        <v>74</v>
      </c>
      <c r="K7" s="111">
        <v>2.7</v>
      </c>
      <c r="M7" s="80"/>
      <c r="N7" s="201"/>
      <c r="O7" s="202"/>
      <c r="P7" s="202"/>
      <c r="Q7" s="201"/>
    </row>
    <row r="8" spans="2:17" x14ac:dyDescent="0.2">
      <c r="J8" s="23"/>
    </row>
    <row r="9" spans="2:17" x14ac:dyDescent="0.2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8269-6208-4668-8584-F83B62A8191C}">
  <dimension ref="B2:D44"/>
  <sheetViews>
    <sheetView topLeftCell="A14" workbookViewId="0">
      <selection activeCell="Q12" sqref="Q12"/>
    </sheetView>
  </sheetViews>
  <sheetFormatPr defaultRowHeight="12.75" x14ac:dyDescent="0.2"/>
  <cols>
    <col min="2" max="2" width="14.7109375" bestFit="1" customWidth="1"/>
  </cols>
  <sheetData>
    <row r="2" spans="2:4" x14ac:dyDescent="0.2">
      <c r="B2" s="74"/>
    </row>
    <row r="3" spans="2:4" x14ac:dyDescent="0.2">
      <c r="C3" t="s">
        <v>140</v>
      </c>
      <c r="D3" s="98" t="s">
        <v>141</v>
      </c>
    </row>
    <row r="44" spans="3:4" x14ac:dyDescent="0.2">
      <c r="C44" t="s">
        <v>57</v>
      </c>
      <c r="D44" s="98" t="s">
        <v>142</v>
      </c>
    </row>
  </sheetData>
  <hyperlinks>
    <hyperlink ref="D3" r:id="rId1" xr:uid="{293747A0-0B14-49C0-87AE-2BD9DDE0A2B0}"/>
    <hyperlink ref="D44" r:id="rId2" xr:uid="{58BB3C6C-2CED-4C59-A278-5A86708BF4B8}"/>
  </hyperlinks>
  <pageMargins left="0.7" right="0.7" top="0.75" bottom="0.75" header="0.3" footer="0.3"/>
  <pageSetup orientation="portrait" r:id="rId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showGridLines="0" tabSelected="1" topLeftCell="A60" zoomScale="86" zoomScaleNormal="86" workbookViewId="0">
      <selection activeCell="D89" sqref="D89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/>
      <c r="C1" s="181"/>
    </row>
    <row r="2" spans="1:12" ht="20.25" x14ac:dyDescent="0.3">
      <c r="A2" s="4"/>
      <c r="B2" s="32" t="str">
        <f>"Cost Sheet for"&amp;" "&amp;C6&amp;" Core"&amp;" "&amp;C9&amp;" sq.mm"&amp;" "&amp;C10&amp;" Cable"</f>
        <v>Cost Sheet for 1 Core 300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1</v>
      </c>
    </row>
    <row r="7" spans="1:12" x14ac:dyDescent="0.2">
      <c r="A7" s="4"/>
      <c r="B7" s="36" t="s">
        <v>53</v>
      </c>
      <c r="C7" s="155" t="s">
        <v>55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300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360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9.772050238058398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1.8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11.572050238058399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471.43524757931834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420.69804465585167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24.5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24.5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24.5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28.5</v>
      </c>
    </row>
    <row r="48" spans="1:14" s="2" customFormat="1" x14ac:dyDescent="0.2">
      <c r="A48" s="223" t="str">
        <f>"COST SHEET FOR "&amp;C6 &amp; " CORE "&amp;C9&amp;" SQMM "&amp;C10&amp;" CABLE"</f>
        <v>COST SHEET FOR 1 CORE 300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6" s="2" customFormat="1" x14ac:dyDescent="0.2">
      <c r="A49" s="3"/>
      <c r="B49" s="1"/>
      <c r="D49" s="26"/>
      <c r="J49" s="3"/>
      <c r="K49" s="3"/>
    </row>
    <row r="50" spans="1:16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6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6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6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106703.73000000001</v>
      </c>
      <c r="N53" s="150"/>
    </row>
    <row r="54" spans="1:16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17302.586738537386</v>
      </c>
      <c r="N54" s="150"/>
    </row>
    <row r="55" spans="1:16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6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10365.341983133294</v>
      </c>
      <c r="N56" s="150"/>
    </row>
    <row r="57" spans="1:16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134371.65872167068</v>
      </c>
      <c r="N57" s="100"/>
    </row>
    <row r="58" spans="1:16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  <c r="P58" s="219"/>
    </row>
    <row r="59" spans="1:16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6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7904.2152189218059</v>
      </c>
      <c r="N60" s="151"/>
      <c r="P60" s="220"/>
    </row>
    <row r="61" spans="1:16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4742.5291313530824</v>
      </c>
      <c r="N61" s="150"/>
      <c r="P61" s="220"/>
    </row>
    <row r="62" spans="1:16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3161.6860875687221</v>
      </c>
      <c r="N62" s="150"/>
      <c r="P62" s="220"/>
    </row>
    <row r="63" spans="1:16" s="14" customFormat="1" x14ac:dyDescent="0.2">
      <c r="A63" s="43"/>
      <c r="B63" s="73" t="s">
        <v>31</v>
      </c>
      <c r="C63" s="162">
        <f>(1+E63)*C61</f>
        <v>90.09</v>
      </c>
      <c r="D63" s="210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4742.5291313530824</v>
      </c>
      <c r="N63" s="150"/>
      <c r="P63" s="220"/>
    </row>
    <row r="64" spans="1:16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3161.6860875687221</v>
      </c>
      <c r="N64" s="150"/>
      <c r="P64" s="220"/>
    </row>
    <row r="65" spans="1:16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158084.30437843609</v>
      </c>
      <c r="N65" s="66"/>
      <c r="P65" s="220"/>
    </row>
    <row r="66" spans="1:16" ht="22.5" x14ac:dyDescent="0.2">
      <c r="A66" s="43"/>
      <c r="B66" s="18" t="str">
        <f>C6&amp;" core"&amp;" "&amp;C9&amp;" sq.mm"&amp;" "&amp;C10&amp;" cable"</f>
        <v>1 core 300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6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810</v>
      </c>
      <c r="D67" s="145">
        <f>C67*(1+C53)</f>
        <v>826.2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6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112.24918152994209</v>
      </c>
      <c r="D68" s="145">
        <f>C68*(1+C55)</f>
        <v>115.05541106819064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3952.1076094609025</v>
      </c>
      <c r="N68" s="86"/>
      <c r="P68" s="220"/>
    </row>
    <row r="69" spans="1:16" x14ac:dyDescent="0.2">
      <c r="A69" s="43"/>
      <c r="B69" s="7" t="s">
        <v>0</v>
      </c>
      <c r="C69" s="159">
        <f>PI()*($C$37^2-$C$31^2)/4*$C$32</f>
        <v>0</v>
      </c>
      <c r="D69" s="145">
        <f>C69*(1+C55)</f>
        <v>0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3952.1076094609025</v>
      </c>
      <c r="N69" s="86"/>
      <c r="P69" s="220"/>
    </row>
    <row r="70" spans="1:16" x14ac:dyDescent="0.2">
      <c r="A70" s="43"/>
      <c r="B70" s="7" t="s">
        <v>1</v>
      </c>
      <c r="C70" s="159">
        <f>PI()*($C$46^2-$C$43^2)/4*$C$44</f>
        <v>224.78095436434972</v>
      </c>
      <c r="D70" s="145">
        <f>C70*(1+C55)</f>
        <v>230.40047822345844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6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6" s="14" customFormat="1" x14ac:dyDescent="0.2">
      <c r="A72" s="43"/>
      <c r="B72" s="108" t="s">
        <v>91</v>
      </c>
      <c r="C72" s="171">
        <f>(C24-C25)*C26/1000</f>
        <v>6.849522394668002E-2</v>
      </c>
      <c r="D72" s="145">
        <f>C72*(1+C55)</f>
        <v>7.020760454534701E-2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6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6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6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6" x14ac:dyDescent="0.2">
      <c r="A76" s="50"/>
      <c r="B76" s="222" t="s">
        <v>161</v>
      </c>
      <c r="C76" s="172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6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6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165988.5195973579</v>
      </c>
      <c r="N78" s="71"/>
      <c r="P78" s="220"/>
    </row>
    <row r="79" spans="1:16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  <c r="P79" s="220"/>
    </row>
    <row r="80" spans="1:16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178437.65856715973</v>
      </c>
      <c r="N80" s="95"/>
      <c r="P80" s="220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A48:N48"/>
    <mergeCell ref="L85:M85"/>
    <mergeCell ref="A50:F50"/>
    <mergeCell ref="G50:N50"/>
  </mergeCells>
  <dataValidations disablePrompts="1" count="6">
    <dataValidation type="list" allowBlank="1" showInputMessage="1" showErrorMessage="1" sqref="C17 C23 C29 C41" xr:uid="{00000000-0002-0000-0100-000000000000}">
      <formula1>Insulation</formula1>
    </dataValidation>
    <dataValidation type="list" allowBlank="1" showInputMessage="1" showErrorMessage="1" sqref="C7" xr:uid="{00000000-0002-0000-0100-000001000000}">
      <formula1>Shape</formula1>
    </dataValidation>
    <dataValidation type="list" allowBlank="1" showInputMessage="1" showErrorMessage="1" sqref="C35" xr:uid="{00000000-0002-0000-0100-000002000000}">
      <formula1>Armour</formula1>
    </dataValidation>
    <dataValidation type="list" allowBlank="1" showInputMessage="1" showErrorMessage="1" sqref="C6" xr:uid="{00000000-0002-0000-0100-000003000000}">
      <formula1>"1,2,3,3.5,4"</formula1>
    </dataValidation>
    <dataValidation type="list" allowBlank="1" showInputMessage="1" showErrorMessage="1" sqref="J68:J77" xr:uid="{00000000-0002-0000-0100-000004000000}">
      <formula1>"Y,N"</formula1>
    </dataValidation>
    <dataValidation type="list" allowBlank="1" showInputMessage="1" showErrorMessage="1" sqref="C10" xr:uid="{00000000-0002-0000-0100-000005000000}">
      <formula1>"Aluminium,0"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0767-F251-44B0-9F4E-4EF1E889AE20}">
  <dimension ref="A1:Q91"/>
  <sheetViews>
    <sheetView showGridLines="0" topLeftCell="A57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/>
      <c r="C1" s="181"/>
    </row>
    <row r="2" spans="1:12" ht="20.25" x14ac:dyDescent="0.3">
      <c r="A2" s="4"/>
      <c r="B2" s="32" t="str">
        <f>"Cost Sheet for"&amp;" "&amp;C6&amp;" Core"&amp;" "&amp;C9&amp;" sq.mm"&amp;" "&amp;C10&amp;" Cable"</f>
        <v>Cost Sheet for 1 Core 630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1</v>
      </c>
    </row>
    <row r="7" spans="1:12" x14ac:dyDescent="0.2">
      <c r="A7" s="4"/>
      <c r="B7" s="36" t="s">
        <v>53</v>
      </c>
      <c r="C7" s="155" t="s">
        <v>55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630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360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14.161046158239445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2.4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16.561046158239446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995.38221636339017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861.63911885845812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35.6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35.6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2.2000000000000002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35.6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40</v>
      </c>
    </row>
    <row r="48" spans="1:14" s="2" customFormat="1" x14ac:dyDescent="0.2">
      <c r="A48" s="223" t="str">
        <f>"COST SHEET FOR "&amp;C6 &amp; " CORE "&amp;C9&amp;" SQMM "&amp;C10&amp;" CABLE"</f>
        <v>COST SHEET FOR 1 CORE 630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224077.83300000001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27154.361650437157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19892.772003768929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271124.9666542061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15948.52745024742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9569.1164701484504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6379.4109800989672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9569.1164701484504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6379.4109800989672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318970.54900494835</v>
      </c>
      <c r="N65" s="66"/>
    </row>
    <row r="66" spans="1:14" ht="22.5" x14ac:dyDescent="0.2">
      <c r="A66" s="43"/>
      <c r="B66" s="18" t="str">
        <f>C6&amp;" core"&amp;" "&amp;C9&amp;" sq.mm"&amp;" "&amp;C10&amp;" cable"</f>
        <v>1 core 630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1701</v>
      </c>
      <c r="D67" s="145">
        <f>C67*(1+C53)</f>
        <v>1735.02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215.42438053836599</v>
      </c>
      <c r="D68" s="145">
        <f>C68*(1+C55)</f>
        <v>220.80999005182514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7974.2637251237093</v>
      </c>
      <c r="N68" s="86"/>
    </row>
    <row r="69" spans="1:14" x14ac:dyDescent="0.2">
      <c r="A69" s="43"/>
      <c r="B69" s="7" t="s">
        <v>0</v>
      </c>
      <c r="C69" s="159">
        <f>PI()*($C$37^2-$C$31^2)/4*$C$32</f>
        <v>0</v>
      </c>
      <c r="D69" s="145">
        <f>C69*(1+C55)</f>
        <v>0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7974.2637251237093</v>
      </c>
      <c r="N69" s="86"/>
    </row>
    <row r="70" spans="1:14" x14ac:dyDescent="0.2">
      <c r="A70" s="43"/>
      <c r="B70" s="7" t="s">
        <v>1</v>
      </c>
      <c r="C70" s="159">
        <f>PI()*($C$46^2-$C$43^2)/4*$C$44</f>
        <v>352.69404084791159</v>
      </c>
      <c r="D70" s="145">
        <f>C70*(1+C55)</f>
        <v>361.51139186910933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0.18055318163165829</v>
      </c>
      <c r="D72" s="145">
        <f>C72*(1+C55)</f>
        <v>0.18506701117244972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334919.07645519578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360038.00718933548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8FF0A826-2677-442C-A5B1-7B7D77475FD0}">
      <formula1>"Aluminium,0"</formula1>
    </dataValidation>
    <dataValidation type="list" allowBlank="1" showInputMessage="1" showErrorMessage="1" sqref="J68:J77" xr:uid="{02D30921-3089-4E2E-805C-85C4B823E32B}">
      <formula1>"Y,N"</formula1>
    </dataValidation>
    <dataValidation type="list" allowBlank="1" showInputMessage="1" showErrorMessage="1" sqref="C6" xr:uid="{F53C82CB-AC02-4F30-89AA-87C1CE791ED0}">
      <formula1>"1,2,3,3.5,4"</formula1>
    </dataValidation>
    <dataValidation type="list" allowBlank="1" showInputMessage="1" showErrorMessage="1" sqref="C35" xr:uid="{A54773BF-D657-4B5F-86F1-2CE32FE5FC65}">
      <formula1>Armour</formula1>
    </dataValidation>
    <dataValidation type="list" allowBlank="1" showInputMessage="1" showErrorMessage="1" sqref="C7" xr:uid="{79DA6841-4641-4036-849D-0AF43548D35D}">
      <formula1>Shape</formula1>
    </dataValidation>
    <dataValidation type="list" allowBlank="1" showInputMessage="1" showErrorMessage="1" sqref="C17 C23 C29 C41" xr:uid="{E727C234-AF32-43A7-8168-C26414F89372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90"/>
  <sheetViews>
    <sheetView showGridLines="0" topLeftCell="A46" zoomScale="88" zoomScaleNormal="88" workbookViewId="0">
      <selection activeCell="C60" sqref="C60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26" style="4" bestFit="1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10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6327.3504489321076</v>
      </c>
    </row>
    <row r="2" spans="1:12" ht="20.25" customHeight="1" x14ac:dyDescent="0.3">
      <c r="A2" s="4"/>
      <c r="B2" s="32" t="str">
        <f>"Cost Sheet for"&amp;" "&amp;C6&amp;" Core"&amp;" "&amp;C9&amp;" sq.mm"&amp;" "&amp;C10&amp;" Cable"</f>
        <v>Cost Sheet for 1 Core 630 sq.mm Copper Cable</v>
      </c>
      <c r="J2" s="122"/>
      <c r="K2" s="122"/>
    </row>
    <row r="3" spans="1:12" x14ac:dyDescent="0.2">
      <c r="A3" s="4"/>
    </row>
    <row r="4" spans="1:12" x14ac:dyDescent="0.2">
      <c r="A4" s="4"/>
      <c r="B4" s="1" t="s">
        <v>41</v>
      </c>
    </row>
    <row r="6" spans="1:12" x14ac:dyDescent="0.2">
      <c r="A6" s="4"/>
      <c r="B6" s="28" t="s">
        <v>25</v>
      </c>
      <c r="C6" s="144">
        <v>1</v>
      </c>
    </row>
    <row r="7" spans="1:12" x14ac:dyDescent="0.2">
      <c r="A7" s="4"/>
      <c r="B7" s="36" t="s">
        <v>53</v>
      </c>
      <c r="C7" s="155" t="s">
        <v>55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28" t="s">
        <v>29</v>
      </c>
      <c r="C9" s="157">
        <v>630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57</v>
      </c>
      <c r="F10" s="2"/>
      <c r="G10" s="2"/>
      <c r="H10" s="31"/>
      <c r="I10" s="97"/>
      <c r="J10" s="123"/>
      <c r="K10" s="123"/>
      <c r="L10" s="23"/>
    </row>
    <row r="11" spans="1:12" x14ac:dyDescent="0.2">
      <c r="A11" s="4"/>
      <c r="B11" s="36" t="s">
        <v>59</v>
      </c>
      <c r="C11" s="158">
        <f>IF(C7="Sector shaped", (360/C6),360)</f>
        <v>360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14.161046158239445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8.94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  <c r="L15" s="23"/>
    </row>
    <row r="16" spans="1:12" x14ac:dyDescent="0.2">
      <c r="A16" s="4"/>
      <c r="B16" s="72" t="s">
        <v>28</v>
      </c>
      <c r="C16" s="156"/>
    </row>
    <row r="17" spans="1:12" x14ac:dyDescent="0.2">
      <c r="A17" s="4"/>
      <c r="B17" s="28" t="s">
        <v>21</v>
      </c>
      <c r="C17" s="144" t="s">
        <v>31</v>
      </c>
    </row>
    <row r="18" spans="1:12" x14ac:dyDescent="0.2">
      <c r="A18" s="4"/>
      <c r="B18" s="28" t="s">
        <v>32</v>
      </c>
      <c r="C18" s="144">
        <v>2.4</v>
      </c>
      <c r="E18" s="33"/>
      <c r="F18" s="29"/>
      <c r="G18" s="29"/>
      <c r="H18" s="31"/>
      <c r="I18" s="34"/>
      <c r="J18" s="126"/>
      <c r="K18" s="126"/>
    </row>
    <row r="19" spans="1:12" x14ac:dyDescent="0.2">
      <c r="A19" s="4"/>
      <c r="B19" s="36" t="s">
        <v>83</v>
      </c>
      <c r="C19" s="159">
        <f>IF(C7="Circular", C13+C18,C13+2*C18)</f>
        <v>16.561046158239446</v>
      </c>
      <c r="D19" s="26" t="s">
        <v>30</v>
      </c>
      <c r="E19" s="2"/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  <c r="E20" s="26"/>
      <c r="L20" s="23"/>
    </row>
    <row r="21" spans="1:12" x14ac:dyDescent="0.2">
      <c r="A21" s="4"/>
      <c r="C21" s="33"/>
    </row>
    <row r="22" spans="1:12" x14ac:dyDescent="0.2">
      <c r="A22" s="4"/>
      <c r="B22" s="72" t="s">
        <v>90</v>
      </c>
      <c r="C22" s="156"/>
      <c r="D22" s="26"/>
      <c r="E22" s="2"/>
      <c r="H22" s="74"/>
      <c r="L22" s="74"/>
    </row>
    <row r="23" spans="1:12" x14ac:dyDescent="0.2">
      <c r="A23" s="4"/>
      <c r="B23" s="36" t="s">
        <v>92</v>
      </c>
      <c r="C23" s="144" t="s">
        <v>9</v>
      </c>
      <c r="D23" s="26"/>
      <c r="E23" s="2"/>
      <c r="H23" s="74"/>
      <c r="L23" s="74"/>
    </row>
    <row r="24" spans="1:12" x14ac:dyDescent="0.2">
      <c r="A24" s="4"/>
      <c r="B24" s="36" t="s">
        <v>94</v>
      </c>
      <c r="C24" s="174">
        <f>PI()*((C31/2)^2)</f>
        <v>995.38221636339017</v>
      </c>
      <c r="D24" s="97" t="s">
        <v>93</v>
      </c>
      <c r="E24" s="2"/>
      <c r="H24" s="74"/>
      <c r="L24" s="74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861.63911885845812</v>
      </c>
      <c r="D25" s="97" t="s">
        <v>93</v>
      </c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44">
        <v>0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35.6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35.6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2.2000000000000002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35.6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40</v>
      </c>
    </row>
    <row r="48" spans="1:14" s="2" customFormat="1" x14ac:dyDescent="0.2">
      <c r="A48" s="223" t="str">
        <f>"COST SHEET FOR "&amp;C6 &amp; " CORE "&amp;C9&amp;" SQMM "&amp;C10&amp;" CABLE"</f>
        <v>COST SHEET FOR 1 CORE 630 SQMM Copper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Copper</v>
      </c>
      <c r="C53" s="203">
        <v>0.02</v>
      </c>
      <c r="D53" s="9"/>
      <c r="E53" s="8"/>
      <c r="F53" s="44"/>
      <c r="G53" s="43"/>
      <c r="H53" s="102" t="str">
        <f>"Cost of"&amp;" "&amp;C10</f>
        <v>Cost of Copper</v>
      </c>
      <c r="I53" s="8"/>
      <c r="J53" s="115"/>
      <c r="K53" s="115"/>
      <c r="L53" s="148" t="s">
        <v>6</v>
      </c>
      <c r="M53" s="149">
        <f>D67*C60</f>
        <v>2223173.6256996002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27154.361650437157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19892.772003768929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2270220.7593538063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Copper</v>
      </c>
      <c r="C60" s="161">
        <f>VLOOKUP(B60,'Data Input'!$M$3:$N$6,2,0)</f>
        <v>386.98590000000002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133542.39760904745</v>
      </c>
      <c r="N60" s="151"/>
    </row>
    <row r="61" spans="1:14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80125.438565428456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53416.959043618976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80125.438565428456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53416.959043618976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2670847.9521809486</v>
      </c>
      <c r="N65" s="66"/>
    </row>
    <row r="66" spans="1:14" ht="22.5" x14ac:dyDescent="0.2">
      <c r="A66" s="43"/>
      <c r="B66" s="18" t="str">
        <f>C6&amp;" core"&amp;" "&amp;C9&amp;" sq.mm"&amp;" "&amp;C10&amp;" cable"</f>
        <v>1 core 630 sq.mm Copper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Copper</v>
      </c>
      <c r="C67" s="145">
        <f>(C9*10^-3*C14*10^3*IF(C6=3.5,3,C6))+(C9*10^-3*C14*10^3*IF(C6=3.5,1,0))</f>
        <v>5632.2</v>
      </c>
      <c r="D67" s="145">
        <f>C67*(1+C53)</f>
        <v>5744.8440000000001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215.42438053836599</v>
      </c>
      <c r="D68" s="145">
        <f>C68*(1+C55)</f>
        <v>220.80999005182514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 t="shared" ref="M68:M77" si="0">IF(J68="Y",K68*$M$65,0)</f>
        <v>66771.198804523723</v>
      </c>
      <c r="N68" s="86"/>
    </row>
    <row r="69" spans="1:14" x14ac:dyDescent="0.2">
      <c r="A69" s="43"/>
      <c r="B69" s="7" t="s">
        <v>0</v>
      </c>
      <c r="C69" s="159">
        <f>PI()*($C$37^2-$C$31^2)/4*$C$32</f>
        <v>0</v>
      </c>
      <c r="D69" s="145">
        <f>C69*(1+C55)</f>
        <v>0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si="0"/>
        <v>66771.198804523723</v>
      </c>
      <c r="N69" s="86"/>
    </row>
    <row r="70" spans="1:14" x14ac:dyDescent="0.2">
      <c r="A70" s="43"/>
      <c r="B70" s="7" t="s">
        <v>1</v>
      </c>
      <c r="C70" s="159">
        <f>PI()*($C$46^2-$C$43^2)/4*$C$44</f>
        <v>352.69404084791159</v>
      </c>
      <c r="D70" s="145">
        <f>C70*(1+C55)</f>
        <v>361.51139186910933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8"/>
      <c r="B72" s="108" t="s">
        <v>91</v>
      </c>
      <c r="C72" s="171">
        <f>(C24-C25)*C26/1000</f>
        <v>0.18055318163165829</v>
      </c>
      <c r="D72" s="145">
        <f>C72*(1+C55)</f>
        <v>0.18506701117244972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68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50"/>
      <c r="B74" s="119"/>
      <c r="C74" s="119"/>
      <c r="D74" s="119"/>
      <c r="E74" s="119"/>
      <c r="F74" s="47"/>
      <c r="G74" s="83"/>
      <c r="H74" s="82" t="s">
        <v>69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x14ac:dyDescent="0.2">
      <c r="A75" s="50"/>
      <c r="B75" s="119"/>
      <c r="C75" s="119"/>
      <c r="D75" s="119"/>
      <c r="E75" s="119"/>
      <c r="F75" s="47"/>
      <c r="G75" s="83"/>
      <c r="H75" s="82" t="s">
        <v>70</v>
      </c>
      <c r="I75" s="81"/>
      <c r="J75" s="147" t="s">
        <v>72</v>
      </c>
      <c r="K75" s="214">
        <v>0.02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84</v>
      </c>
      <c r="I76" s="81"/>
      <c r="J76" s="147" t="s">
        <v>72</v>
      </c>
      <c r="K76" s="214">
        <v>0.03</v>
      </c>
      <c r="L76" s="148" t="s">
        <v>6</v>
      </c>
      <c r="M76" s="152">
        <f t="shared" si="0"/>
        <v>0</v>
      </c>
      <c r="N76" s="86"/>
    </row>
    <row r="77" spans="1:14" x14ac:dyDescent="0.2">
      <c r="A77" s="43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73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2804390.3497899962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2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4"/>
      <c r="G80" s="92"/>
      <c r="H80" s="93" t="s">
        <v>156</v>
      </c>
      <c r="I80" s="93"/>
      <c r="J80" s="136"/>
      <c r="K80" s="136"/>
      <c r="L80" s="94"/>
      <c r="M80" s="209">
        <f>M78*(1+C84)</f>
        <v>3014719.6260242458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s="11" customFormat="1" x14ac:dyDescent="0.2">
      <c r="A82" s="43"/>
      <c r="B82" s="6" t="s">
        <v>16</v>
      </c>
      <c r="C82" s="146">
        <v>0.02</v>
      </c>
      <c r="D82" s="119"/>
      <c r="E82" s="119"/>
      <c r="F82" s="44"/>
    </row>
    <row r="83" spans="1:17" s="11" customFormat="1" x14ac:dyDescent="0.2">
      <c r="A83" s="52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3"/>
      <c r="B84" s="38" t="s">
        <v>152</v>
      </c>
      <c r="C84" s="218">
        <v>7.4999999999999997E-2</v>
      </c>
      <c r="D84" s="119"/>
      <c r="E84" s="119"/>
      <c r="F84" s="51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12"/>
      <c r="B85" s="120"/>
      <c r="C85" s="120"/>
      <c r="D85" s="121"/>
      <c r="E85" s="140"/>
      <c r="F85" s="47"/>
      <c r="G85" s="14"/>
      <c r="H85" s="14"/>
      <c r="I85" s="117"/>
      <c r="J85" s="138"/>
      <c r="K85" s="138"/>
      <c r="L85" s="224"/>
      <c r="M85" s="224"/>
      <c r="N85" s="118"/>
    </row>
    <row r="86" spans="1:17" x14ac:dyDescent="0.2">
      <c r="B86" s="120"/>
      <c r="C86" s="120"/>
      <c r="D86" s="121"/>
      <c r="E86" s="119"/>
      <c r="F86" s="42"/>
      <c r="I86" s="119"/>
      <c r="J86" s="139"/>
      <c r="K86" s="139"/>
      <c r="L86" s="119"/>
      <c r="M86" s="119"/>
      <c r="N86" s="119"/>
    </row>
    <row r="87" spans="1:17" x14ac:dyDescent="0.2">
      <c r="A87" s="22"/>
      <c r="B87" s="120"/>
      <c r="C87" s="120"/>
      <c r="D87" s="141"/>
      <c r="E87" s="119"/>
      <c r="F87" s="10"/>
      <c r="Q87" s="13"/>
    </row>
    <row r="88" spans="1:17" x14ac:dyDescent="0.2">
      <c r="A88" s="22"/>
      <c r="B88" s="13"/>
      <c r="C88" s="13"/>
      <c r="D88" s="101"/>
      <c r="E88" s="13"/>
    </row>
    <row r="89" spans="1:17" x14ac:dyDescent="0.2">
      <c r="B89" s="13"/>
      <c r="C89" s="13"/>
      <c r="D89" s="101"/>
      <c r="E89" s="13"/>
      <c r="F89" s="21"/>
    </row>
    <row r="90" spans="1:17" x14ac:dyDescent="0.2">
      <c r="F90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7" xr:uid="{00000000-0002-0000-0200-000000000000}">
      <formula1>Shape</formula1>
    </dataValidation>
    <dataValidation type="list" allowBlank="1" showInputMessage="1" showErrorMessage="1" sqref="C35" xr:uid="{00000000-0002-0000-0200-000001000000}">
      <formula1>Armour</formula1>
    </dataValidation>
    <dataValidation type="list" allowBlank="1" showInputMessage="1" showErrorMessage="1" sqref="C10" xr:uid="{00000000-0002-0000-0200-000002000000}">
      <formula1>"Copper,0"</formula1>
    </dataValidation>
    <dataValidation type="list" allowBlank="1" showInputMessage="1" showErrorMessage="1" sqref="J68:J77" xr:uid="{00000000-0002-0000-0200-000003000000}">
      <formula1>"Y,N"</formula1>
    </dataValidation>
    <dataValidation type="list" allowBlank="1" showInputMessage="1" showErrorMessage="1" sqref="C6" xr:uid="{00000000-0002-0000-0200-000004000000}">
      <formula1>"1,2,3,3.5,4"</formula1>
    </dataValidation>
    <dataValidation type="list" allowBlank="1" showInputMessage="1" showErrorMessage="1" sqref="C17 C23 C29 C41" xr:uid="{00000000-0002-0000-0200-000005000000}">
      <formula1>Insulation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DED22-B8A1-48B2-B69B-05322F3EF59B}">
  <dimension ref="A1:Q90"/>
  <sheetViews>
    <sheetView showGridLines="0" topLeftCell="A58" zoomScale="88" zoomScaleNormal="88" workbookViewId="0">
      <selection activeCell="B58" sqref="B58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26" style="4" bestFit="1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10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152.45534778144642</v>
      </c>
    </row>
    <row r="2" spans="1:12" ht="20.25" customHeight="1" x14ac:dyDescent="0.3">
      <c r="A2" s="4"/>
      <c r="B2" s="32" t="str">
        <f>"Cost Sheet for"&amp;" "&amp;C6&amp;" Core"&amp;" "&amp;C9&amp;" sq.mm"&amp;" "&amp;C10&amp;" Cable"</f>
        <v>Cost Sheet for 2 Core 2.5 sq.mm Copper Cable</v>
      </c>
      <c r="J2" s="122"/>
      <c r="K2" s="122"/>
    </row>
    <row r="3" spans="1:12" x14ac:dyDescent="0.2">
      <c r="A3" s="4"/>
    </row>
    <row r="4" spans="1:12" x14ac:dyDescent="0.2">
      <c r="A4" s="4"/>
      <c r="B4" s="1" t="s">
        <v>41</v>
      </c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28" t="s">
        <v>29</v>
      </c>
      <c r="C9" s="157">
        <v>2.5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57</v>
      </c>
      <c r="F10" s="2"/>
      <c r="G10" s="2"/>
      <c r="H10" s="31"/>
      <c r="I10" s="97"/>
      <c r="J10" s="123"/>
      <c r="K10" s="123"/>
      <c r="L10" s="23"/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1.2615662610100802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8.94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  <c r="L15" s="23"/>
    </row>
    <row r="16" spans="1:12" x14ac:dyDescent="0.2">
      <c r="A16" s="4"/>
      <c r="B16" s="72" t="s">
        <v>28</v>
      </c>
      <c r="C16" s="156"/>
    </row>
    <row r="17" spans="1:12" x14ac:dyDescent="0.2">
      <c r="A17" s="4"/>
      <c r="B17" s="28" t="s">
        <v>21</v>
      </c>
      <c r="C17" s="144" t="s">
        <v>31</v>
      </c>
    </row>
    <row r="18" spans="1:12" x14ac:dyDescent="0.2">
      <c r="A18" s="4"/>
      <c r="B18" s="28" t="s">
        <v>32</v>
      </c>
      <c r="C18" s="144">
        <v>0.7</v>
      </c>
      <c r="E18" s="33"/>
      <c r="F18" s="29"/>
      <c r="G18" s="29"/>
      <c r="H18" s="31"/>
      <c r="I18" s="34"/>
      <c r="J18" s="126"/>
      <c r="K18" s="126"/>
    </row>
    <row r="19" spans="1:12" x14ac:dyDescent="0.2">
      <c r="A19" s="4"/>
      <c r="B19" s="36" t="s">
        <v>83</v>
      </c>
      <c r="C19" s="159">
        <f>IF(C7="Circular", C13+C18,C13+2*C18)</f>
        <v>2.6615662610100799</v>
      </c>
      <c r="D19" s="26" t="s">
        <v>30</v>
      </c>
      <c r="E19" s="2"/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  <c r="E20" s="26"/>
      <c r="L20" s="23"/>
    </row>
    <row r="21" spans="1:12" x14ac:dyDescent="0.2">
      <c r="A21" s="4"/>
      <c r="C21" s="33"/>
    </row>
    <row r="22" spans="1:12" x14ac:dyDescent="0.2">
      <c r="A22" s="4"/>
      <c r="B22" s="72" t="s">
        <v>90</v>
      </c>
      <c r="C22" s="156"/>
      <c r="D22" s="26"/>
      <c r="E22" s="2"/>
      <c r="H22" s="74"/>
      <c r="L22" s="74"/>
    </row>
    <row r="23" spans="1:12" x14ac:dyDescent="0.2">
      <c r="A23" s="4"/>
      <c r="B23" s="36" t="s">
        <v>92</v>
      </c>
      <c r="C23" s="144" t="s">
        <v>9</v>
      </c>
      <c r="D23" s="26"/>
      <c r="E23" s="2"/>
      <c r="H23" s="74"/>
      <c r="L23" s="74"/>
    </row>
    <row r="24" spans="1:12" x14ac:dyDescent="0.2">
      <c r="A24" s="4"/>
      <c r="B24" s="36" t="s">
        <v>94</v>
      </c>
      <c r="C24" s="174">
        <f>PI()*((C31/2)^2)</f>
        <v>47.783624261100762</v>
      </c>
      <c r="D24" s="97" t="s">
        <v>93</v>
      </c>
      <c r="E24" s="2"/>
      <c r="H24" s="74"/>
      <c r="L24" s="74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22.25483803433282</v>
      </c>
      <c r="D25" s="97" t="s">
        <v>93</v>
      </c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44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7.8000000000000007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8.4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1.8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8.4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12</v>
      </c>
    </row>
    <row r="48" spans="1:14" s="2" customFormat="1" x14ac:dyDescent="0.2">
      <c r="A48" s="223" t="str">
        <f>"COST SHEET FOR "&amp;C6 &amp; " CORE "&amp;C9&amp;" SQMM "&amp;C10&amp;" CABLE"</f>
        <v>COST SHEET FOR 2 CORE 2.5 SQMM Copper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Copper</v>
      </c>
      <c r="C53" s="203">
        <v>0.02</v>
      </c>
      <c r="D53" s="9"/>
      <c r="E53" s="8"/>
      <c r="F53" s="44"/>
      <c r="G53" s="43"/>
      <c r="H53" s="102" t="str">
        <f>"Cost of"&amp;" "&amp;C10</f>
        <v>Cost of Copper</v>
      </c>
      <c r="I53" s="8"/>
      <c r="J53" s="115"/>
      <c r="K53" s="115"/>
      <c r="L53" s="148" t="s">
        <v>6</v>
      </c>
      <c r="M53" s="149">
        <f>D67*C60</f>
        <v>17644.2351246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6787.7689948982907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1481.816027752559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25913.820147250852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Copper</v>
      </c>
      <c r="C60" s="161">
        <f>VLOOKUP(B60,'Data Input'!$M$3:$N$6,2,0)</f>
        <v>386.98590000000002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1524.3423616029913</v>
      </c>
      <c r="N60" s="151"/>
    </row>
    <row r="61" spans="1:14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914.60541696179473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609.7369446411966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914.60541696179473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609.7369446411966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30486.847232059827</v>
      </c>
      <c r="N65" s="66"/>
    </row>
    <row r="66" spans="1:14" ht="22.5" x14ac:dyDescent="0.2">
      <c r="A66" s="43"/>
      <c r="B66" s="18" t="str">
        <f>C6&amp;" core"&amp;" "&amp;C9&amp;" sq.mm"&amp;" "&amp;C10&amp;" cable"</f>
        <v>2 core 2.5 sq.mm Copper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Copper</v>
      </c>
      <c r="C67" s="145">
        <f>(C9*10^-3*C14*10^3*IF(C6=3.5,3,C6))+(C9*10^-3*C14*10^3*IF(C6=3.5,1,0))</f>
        <v>44.699999999999996</v>
      </c>
      <c r="D67" s="145">
        <f>C67*(1+C53)</f>
        <v>45.593999999999994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16.046999371929523</v>
      </c>
      <c r="D68" s="145">
        <f>C68*(1+C55)</f>
        <v>16.44817435622776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 t="shared" ref="M68:M77" si="0">IF(J68="Y",K68*$M$65,0)</f>
        <v>762.17118080149567</v>
      </c>
      <c r="N68" s="86"/>
    </row>
    <row r="69" spans="1:14" x14ac:dyDescent="0.2">
      <c r="A69" s="43"/>
      <c r="B69" s="7" t="s">
        <v>0</v>
      </c>
      <c r="C69" s="159">
        <f>PI()*($C$37^2-$C$31^2)/4*$C$32</f>
        <v>10.305994700101309</v>
      </c>
      <c r="D69" s="145">
        <f>C69*(1+C55)</f>
        <v>10.56364456760384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si="0"/>
        <v>762.17118080149567</v>
      </c>
      <c r="N69" s="86"/>
    </row>
    <row r="70" spans="1:14" x14ac:dyDescent="0.2">
      <c r="A70" s="43"/>
      <c r="B70" s="7" t="s">
        <v>1</v>
      </c>
      <c r="C70" s="159">
        <f>PI()*($C$46^2-$C$43^2)/4*$C$44</f>
        <v>77.867515511876618</v>
      </c>
      <c r="D70" s="145">
        <f>C70*(1+C55)</f>
        <v>79.814203399673531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8"/>
      <c r="B72" s="108" t="s">
        <v>91</v>
      </c>
      <c r="C72" s="171">
        <f>(C24-C25)*C26/1000</f>
        <v>3.446386140613672E-2</v>
      </c>
      <c r="D72" s="145">
        <f>C72*(1+C55)</f>
        <v>3.5325457941290134E-2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68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50"/>
      <c r="B74" s="119"/>
      <c r="C74" s="119"/>
      <c r="D74" s="119"/>
      <c r="E74" s="119"/>
      <c r="F74" s="47"/>
      <c r="G74" s="83"/>
      <c r="H74" s="82" t="s">
        <v>69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x14ac:dyDescent="0.2">
      <c r="A75" s="50"/>
      <c r="B75" s="119"/>
      <c r="C75" s="119"/>
      <c r="D75" s="119"/>
      <c r="E75" s="119"/>
      <c r="F75" s="47"/>
      <c r="G75" s="83"/>
      <c r="H75" s="82" t="s">
        <v>70</v>
      </c>
      <c r="I75" s="81"/>
      <c r="J75" s="147" t="s">
        <v>72</v>
      </c>
      <c r="K75" s="214">
        <v>0.02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84</v>
      </c>
      <c r="I76" s="81"/>
      <c r="J76" s="147" t="s">
        <v>72</v>
      </c>
      <c r="K76" s="214">
        <v>0.03</v>
      </c>
      <c r="L76" s="148" t="s">
        <v>6</v>
      </c>
      <c r="M76" s="152">
        <f t="shared" si="0"/>
        <v>0</v>
      </c>
      <c r="N76" s="86"/>
    </row>
    <row r="77" spans="1:14" x14ac:dyDescent="0.2">
      <c r="A77" s="43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73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32011.189593662817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2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4"/>
      <c r="G80" s="92"/>
      <c r="H80" s="93" t="s">
        <v>156</v>
      </c>
      <c r="I80" s="93"/>
      <c r="J80" s="136"/>
      <c r="K80" s="136"/>
      <c r="L80" s="94"/>
      <c r="M80" s="209">
        <f>M78*(1+C84)</f>
        <v>34412.028813187528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s="11" customFormat="1" x14ac:dyDescent="0.2">
      <c r="A82" s="43"/>
      <c r="B82" s="6" t="s">
        <v>16</v>
      </c>
      <c r="C82" s="146">
        <v>0.02</v>
      </c>
      <c r="D82" s="119"/>
      <c r="E82" s="119"/>
      <c r="F82" s="44"/>
    </row>
    <row r="83" spans="1:17" s="11" customFormat="1" x14ac:dyDescent="0.2">
      <c r="A83" s="52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3"/>
      <c r="B84" s="38" t="s">
        <v>152</v>
      </c>
      <c r="C84" s="218">
        <v>7.4999999999999997E-2</v>
      </c>
      <c r="D84" s="119"/>
      <c r="E84" s="119"/>
      <c r="F84" s="51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12"/>
      <c r="B85" s="120"/>
      <c r="C85" s="120"/>
      <c r="D85" s="121"/>
      <c r="E85" s="140"/>
      <c r="F85" s="47"/>
      <c r="G85" s="14"/>
      <c r="H85" s="14"/>
      <c r="I85" s="117"/>
      <c r="J85" s="138"/>
      <c r="K85" s="138"/>
      <c r="L85" s="224"/>
      <c r="M85" s="224"/>
      <c r="N85" s="118"/>
    </row>
    <row r="86" spans="1:17" x14ac:dyDescent="0.2">
      <c r="B86" s="120"/>
      <c r="C86" s="120"/>
      <c r="D86" s="121"/>
      <c r="E86" s="119"/>
      <c r="F86" s="42"/>
      <c r="I86" s="119"/>
      <c r="J86" s="139"/>
      <c r="K86" s="139"/>
      <c r="L86" s="119"/>
      <c r="M86" s="119"/>
      <c r="N86" s="119"/>
    </row>
    <row r="87" spans="1:17" x14ac:dyDescent="0.2">
      <c r="A87" s="22"/>
      <c r="B87" s="120"/>
      <c r="C87" s="120"/>
      <c r="D87" s="141"/>
      <c r="E87" s="119"/>
      <c r="F87" s="10"/>
      <c r="Q87" s="13"/>
    </row>
    <row r="88" spans="1:17" x14ac:dyDescent="0.2">
      <c r="A88" s="22"/>
      <c r="B88" s="13"/>
      <c r="C88" s="13"/>
      <c r="D88" s="101"/>
      <c r="E88" s="13"/>
    </row>
    <row r="89" spans="1:17" x14ac:dyDescent="0.2">
      <c r="B89" s="13"/>
      <c r="C89" s="13"/>
      <c r="D89" s="101"/>
      <c r="E89" s="13"/>
      <c r="F89" s="21"/>
    </row>
    <row r="90" spans="1:17" x14ac:dyDescent="0.2">
      <c r="F90" s="20"/>
    </row>
  </sheetData>
  <mergeCells count="4">
    <mergeCell ref="L85:M85"/>
    <mergeCell ref="A48:N48"/>
    <mergeCell ref="A50:F50"/>
    <mergeCell ref="G50:N50"/>
  </mergeCells>
  <dataValidations disablePrompts="1" count="6">
    <dataValidation type="list" allowBlank="1" showInputMessage="1" showErrorMessage="1" sqref="C17 C23 C29 C41" xr:uid="{DE9F07C2-AA3D-424A-A30E-59D58789589F}">
      <formula1>Insulation</formula1>
    </dataValidation>
    <dataValidation type="list" allowBlank="1" showInputMessage="1" showErrorMessage="1" sqref="C6" xr:uid="{5195D87A-C1BF-40CF-AC3E-8C83731A1F68}">
      <formula1>"1,2,3,3.5,4"</formula1>
    </dataValidation>
    <dataValidation type="list" allowBlank="1" showInputMessage="1" showErrorMessage="1" sqref="J68:J77" xr:uid="{8F56F5AE-5043-4FDA-96A6-489D00EFA7EB}">
      <formula1>"Y,N"</formula1>
    </dataValidation>
    <dataValidation type="list" allowBlank="1" showInputMessage="1" showErrorMessage="1" sqref="C10" xr:uid="{DBC5421F-0E3B-4CA4-ADB0-A666CB6F53F5}">
      <formula1>"Copper,0"</formula1>
    </dataValidation>
    <dataValidation type="list" allowBlank="1" showInputMessage="1" showErrorMessage="1" sqref="C35" xr:uid="{6AE781D5-2B52-4C49-9B28-4C7EDDA3F77B}">
      <formula1>Armour</formula1>
    </dataValidation>
    <dataValidation type="list" allowBlank="1" showInputMessage="1" showErrorMessage="1" sqref="C7" xr:uid="{51D1B5C6-C1D1-41AD-BA93-BEA4EF522442}">
      <formula1>Shape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BFE7-B18F-4ED6-A37C-54C4BA980E88}">
  <dimension ref="A1:Q91"/>
  <sheetViews>
    <sheetView showGridLines="0" topLeftCell="A57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163.99728545236425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6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6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1.9544100476116797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0.7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3.3544100476116796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75.429639612690949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35.349410294536995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9.8000000000000007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10.4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1.8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10.4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14</v>
      </c>
    </row>
    <row r="48" spans="1:14" s="2" customFormat="1" x14ac:dyDescent="0.2">
      <c r="A48" s="223" t="str">
        <f>"COST SHEET FOR "&amp;C6 &amp; " CORE "&amp;C9&amp;" SQMM "&amp;C10&amp;" CABLE"</f>
        <v>COST SHEET FOR 2 CORE 6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4268.1492000000017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8160.0113661889445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2005.2074869767596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14433.368053165706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849.02165018621815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509.41299011173078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339.6086600744872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509.41299011173078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339.6086600744872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16980.43300372436</v>
      </c>
      <c r="N65" s="66"/>
    </row>
    <row r="66" spans="1:14" ht="22.5" x14ac:dyDescent="0.2">
      <c r="A66" s="43"/>
      <c r="B66" s="18" t="str">
        <f>C6&amp;" core"&amp;" "&amp;C9&amp;" sq.mm"&amp;" "&amp;C10&amp;" cable"</f>
        <v>2 core 6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32.400000000000006</v>
      </c>
      <c r="D67" s="145">
        <f>C67*(1+C53)</f>
        <v>33.048000000000009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21.714951573919411</v>
      </c>
      <c r="D68" s="145">
        <f>C68*(1+C55)</f>
        <v>22.257825363267393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424.51082509310902</v>
      </c>
      <c r="N68" s="86"/>
    </row>
    <row r="69" spans="1:14" x14ac:dyDescent="0.2">
      <c r="A69" s="43"/>
      <c r="B69" s="7" t="s">
        <v>0</v>
      </c>
      <c r="C69" s="159">
        <f>PI()*($C$37^2-$C$31^2)/4*$C$32</f>
        <v>12.850684749509039</v>
      </c>
      <c r="D69" s="145">
        <f>C69*(1+C55)</f>
        <v>13.171951868246763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424.51082509310902</v>
      </c>
      <c r="N69" s="86"/>
    </row>
    <row r="70" spans="1:14" x14ac:dyDescent="0.2">
      <c r="A70" s="43"/>
      <c r="B70" s="7" t="s">
        <v>1</v>
      </c>
      <c r="C70" s="159">
        <f>PI()*($C$46^2-$C$43^2)/4*$C$44</f>
        <v>93.135655808322994</v>
      </c>
      <c r="D70" s="145">
        <f>C70*(1+C55)</f>
        <v>95.464047203531067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5.4108309579507838E-2</v>
      </c>
      <c r="D72" s="145">
        <f>C72*(1+C55)</f>
        <v>5.5461017318995526E-2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17829.45465391058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19166.663752953871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DB650D53-A109-4611-AC1D-E5C8E87A5FCF}">
      <formula1>Insulation</formula1>
    </dataValidation>
    <dataValidation type="list" allowBlank="1" showInputMessage="1" showErrorMessage="1" sqref="C7" xr:uid="{36C50C69-7BFD-42CF-A0FB-20AA7FF9BD17}">
      <formula1>Shape</formula1>
    </dataValidation>
    <dataValidation type="list" allowBlank="1" showInputMessage="1" showErrorMessage="1" sqref="C35" xr:uid="{57C215A2-4CD3-4065-8B4B-1A7F318FF78C}">
      <formula1>Armour</formula1>
    </dataValidation>
    <dataValidation type="list" allowBlank="1" showInputMessage="1" showErrorMessage="1" sqref="C6" xr:uid="{20FE31C1-A77E-41A0-A687-42A2CAB87779}">
      <formula1>"1,2,3,3.5,4"</formula1>
    </dataValidation>
    <dataValidation type="list" allowBlank="1" showInputMessage="1" showErrorMessage="1" sqref="J68:J77" xr:uid="{47174FDB-FCBE-4AB9-A18F-2BDF12C6CC41}">
      <formula1>"Y,N"</formula1>
    </dataValidation>
    <dataValidation type="list" allowBlank="1" showInputMessage="1" showErrorMessage="1" sqref="C10" xr:uid="{1D65D79A-9B5C-4B10-AC05-70BE91305BF6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E5E5-ECF2-449D-B18F-1A9156251866}">
  <dimension ref="A1:Q91"/>
  <sheetViews>
    <sheetView showGridLines="0" topLeftCell="A58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209.08525942402733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10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2.5231325220201604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0.7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3.9231325220201603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109.35884027146071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48.35215446762966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11.8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12.4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1.8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12.4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16</v>
      </c>
    </row>
    <row r="48" spans="1:14" s="2" customFormat="1" x14ac:dyDescent="0.2">
      <c r="A48" s="223" t="str">
        <f>"COST SHEET FOR "&amp;C6 &amp; " CORE "&amp;C9&amp;" SQMM "&amp;C10&amp;" CABLE"</f>
        <v>COST SHEET FOR 2 CORE 10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7113.5820000000012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9532.9160059452843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2434.8346143762815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19081.332620321569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1122.4313306071513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673.45879836429071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448.9725322428605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673.45879836429071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448.9725322428605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22448.626612143024</v>
      </c>
      <c r="N65" s="66"/>
    </row>
    <row r="66" spans="1:14" ht="22.5" x14ac:dyDescent="0.2">
      <c r="A66" s="43"/>
      <c r="B66" s="18" t="str">
        <f>C6&amp;" core"&amp;" "&amp;C9&amp;" sq.mm"&amp;" "&amp;C10&amp;" cable"</f>
        <v>2 core 10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54.000000000000007</v>
      </c>
      <c r="D67" s="145">
        <f>C67*(1+C53)</f>
        <v>55.080000000000005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26.367503654895582</v>
      </c>
      <c r="D68" s="145">
        <f>C68*(1+C55)</f>
        <v>27.026691246267969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561.21566530357563</v>
      </c>
      <c r="N68" s="86"/>
    </row>
    <row r="69" spans="1:14" x14ac:dyDescent="0.2">
      <c r="A69" s="43"/>
      <c r="B69" s="7" t="s">
        <v>0</v>
      </c>
      <c r="C69" s="159">
        <f>PI()*($C$37^2-$C$31^2)/4*$C$32</f>
        <v>15.395374798916793</v>
      </c>
      <c r="D69" s="145">
        <f>C69*(1+C55)</f>
        <v>15.78025916888971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561.21566530357563</v>
      </c>
      <c r="N69" s="86"/>
    </row>
    <row r="70" spans="1:14" x14ac:dyDescent="0.2">
      <c r="A70" s="43"/>
      <c r="B70" s="7" t="s">
        <v>1</v>
      </c>
      <c r="C70" s="159">
        <f>PI()*($C$46^2-$C$43^2)/4*$C$44</f>
        <v>108.40379610476938</v>
      </c>
      <c r="D70" s="145">
        <f>C70*(1+C55)</f>
        <v>111.1138910073886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8.235902583517192E-2</v>
      </c>
      <c r="D72" s="145">
        <f>C72*(1+C55)</f>
        <v>8.4418001481051205E-2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23571.057942750176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25338.887288456437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79E863E0-8C5A-439E-8EB7-95C20569283E}">
      <formula1>"Aluminium,0"</formula1>
    </dataValidation>
    <dataValidation type="list" allowBlank="1" showInputMessage="1" showErrorMessage="1" sqref="J68:J77" xr:uid="{D6F820C6-F1E1-4741-8DEC-F08064C408B0}">
      <formula1>"Y,N"</formula1>
    </dataValidation>
    <dataValidation type="list" allowBlank="1" showInputMessage="1" showErrorMessage="1" sqref="C6" xr:uid="{446BFCB5-8238-4C2B-BCAA-BF768A0958AD}">
      <formula1>"1,2,3,3.5,4"</formula1>
    </dataValidation>
    <dataValidation type="list" allowBlank="1" showInputMessage="1" showErrorMessage="1" sqref="C35" xr:uid="{E6504328-0AAF-4A6F-BE35-A7954D12D6D6}">
      <formula1>Armour</formula1>
    </dataValidation>
    <dataValidation type="list" allowBlank="1" showInputMessage="1" showErrorMessage="1" sqref="C7" xr:uid="{46E5DB20-4209-416E-8E8A-28986223807C}">
      <formula1>Shape</formula1>
    </dataValidation>
    <dataValidation type="list" allowBlank="1" showInputMessage="1" showErrorMessage="1" sqref="C17 C23 C29 C41" xr:uid="{FEA3603E-9E00-4504-8384-6C3EDD1F9D5F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741F3-B253-402E-A38A-81A6C72FDF22}">
  <dimension ref="A1:Q91"/>
  <sheetViews>
    <sheetView showGridLines="0" topLeftCell="A41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238.55961374078166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16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16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3.1915382432114616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0.7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4.5915382432114615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91.608841778678382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66.231758276903207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10.8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11.4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1.8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11.4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15</v>
      </c>
    </row>
    <row r="48" spans="1:14" s="2" customFormat="1" x14ac:dyDescent="0.2">
      <c r="A48" s="223" t="str">
        <f>"COST SHEET FOR "&amp;C6 &amp; " CORE "&amp;C9&amp;" SQMM "&amp;C10&amp;" CABLE"</f>
        <v>COST SHEET FOR 2 CORE 16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11381.731200000002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8843.8492765115225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2939.7649500931889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23165.345426604712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1362.6673780355713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817.60042682134281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545.06695121422854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817.60042682134281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545.06695121422854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27253.347560711427</v>
      </c>
      <c r="N65" s="66"/>
    </row>
    <row r="66" spans="1:14" ht="22.5" x14ac:dyDescent="0.2">
      <c r="A66" s="43"/>
      <c r="B66" s="18" t="str">
        <f>C6&amp;" core"&amp;" "&amp;C9&amp;" sq.mm"&amp;" "&amp;C10&amp;" cable"</f>
        <v>2 core 16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86.4</v>
      </c>
      <c r="D67" s="145">
        <f>C67*(1+C53)</f>
        <v>88.128000000000014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31.835535197519977</v>
      </c>
      <c r="D68" s="145">
        <f>C68*(1+C55)</f>
        <v>32.631423577457973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681.33368901778567</v>
      </c>
      <c r="N68" s="86"/>
    </row>
    <row r="69" spans="1:14" x14ac:dyDescent="0.2">
      <c r="A69" s="43"/>
      <c r="B69" s="7" t="s">
        <v>0</v>
      </c>
      <c r="C69" s="159">
        <f>PI()*($C$37^2-$C$31^2)/4*$C$32</f>
        <v>14.123029774212908</v>
      </c>
      <c r="D69" s="145">
        <f>C69*(1+C55)</f>
        <v>14.476105518568229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681.33368901778567</v>
      </c>
      <c r="N69" s="86"/>
    </row>
    <row r="70" spans="1:14" x14ac:dyDescent="0.2">
      <c r="A70" s="43"/>
      <c r="B70" s="7" t="s">
        <v>1</v>
      </c>
      <c r="C70" s="159">
        <f>PI()*($C$46^2-$C$43^2)/4*$C$44</f>
        <v>100.7697259565462</v>
      </c>
      <c r="D70" s="145">
        <f>C70*(1+C55)</f>
        <v>103.28896910545984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3.425906272739649E-2</v>
      </c>
      <c r="D72" s="145">
        <f>C72*(1+C55)</f>
        <v>3.5115539295581401E-2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28616.014938746997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30762.216059153019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F6AB4A70-5B68-40AB-AA4D-7B9D7B267EEB}">
      <formula1>Insulation</formula1>
    </dataValidation>
    <dataValidation type="list" allowBlank="1" showInputMessage="1" showErrorMessage="1" sqref="C7" xr:uid="{BEB0E218-0704-4034-94FD-6EE7E1111662}">
      <formula1>Shape</formula1>
    </dataValidation>
    <dataValidation type="list" allowBlank="1" showInputMessage="1" showErrorMessage="1" sqref="C35" xr:uid="{2FAD2685-CFB3-4226-AF3D-8727BBCAAA87}">
      <formula1>Armour</formula1>
    </dataValidation>
    <dataValidation type="list" allowBlank="1" showInputMessage="1" showErrorMessage="1" sqref="C6" xr:uid="{3D352F93-9647-415E-8C06-4A4AB00069A6}">
      <formula1>"1,2,3,3.5,4"</formula1>
    </dataValidation>
    <dataValidation type="list" allowBlank="1" showInputMessage="1" showErrorMessage="1" sqref="J68:J77" xr:uid="{65C645FB-57D2-4C50-B210-C52AAC3ABFA5}">
      <formula1>"Y,N"</formula1>
    </dataValidation>
    <dataValidation type="list" allowBlank="1" showInputMessage="1" showErrorMessage="1" sqref="C10" xr:uid="{AD065C2F-86DF-4E91-A181-B3547B327FF8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A7C0-D535-4C01-B0CD-0200B845DDE4}">
  <dimension ref="A1:Q91"/>
  <sheetViews>
    <sheetView showGridLines="0" topLeftCell="A55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347.43895077371042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25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25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3.9894228040143269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0.9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5.7894228040143272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141.02609421964581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105.29806914098894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13.4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14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14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18</v>
      </c>
    </row>
    <row r="48" spans="1:14" s="2" customFormat="1" x14ac:dyDescent="0.2">
      <c r="A48" s="223" t="str">
        <f>"COST SHEET FOR "&amp;C6 &amp; " CORE "&amp;C9&amp;" SQMM "&amp;C10&amp;" CABLE"</f>
        <v>COST SHEET FOR 2 CORE 25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17783.954999999998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11788.731932357079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4748.9037563750726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34321.590688732154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2018.9170993371858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1211.3502596023113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807.56683973487429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1211.3502596023113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807.56683973487429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40378.341986743711</v>
      </c>
      <c r="N65" s="66"/>
    </row>
    <row r="66" spans="1:14" ht="22.5" x14ac:dyDescent="0.2">
      <c r="A66" s="43"/>
      <c r="B66" s="18" t="str">
        <f>C6&amp;" core"&amp;" "&amp;C9&amp;" sq.mm"&amp;" "&amp;C10&amp;" cable"</f>
        <v>2 core 25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135</v>
      </c>
      <c r="D67" s="145">
        <f>C67*(1+C53)</f>
        <v>137.69999999999999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51.42720430111973</v>
      </c>
      <c r="D68" s="145">
        <f>C68*(1+C55)</f>
        <v>52.712884408647717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1009.4585496685928</v>
      </c>
      <c r="N68" s="86"/>
    </row>
    <row r="69" spans="1:14" x14ac:dyDescent="0.2">
      <c r="A69" s="43"/>
      <c r="B69" s="7" t="s">
        <v>0</v>
      </c>
      <c r="C69" s="159">
        <f>PI()*($C$37^2-$C$31^2)/4*$C$32</f>
        <v>17.431126838442964</v>
      </c>
      <c r="D69" s="145">
        <f>C69*(1+C55)</f>
        <v>17.866905009404036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1009.4585496685928</v>
      </c>
      <c r="N69" s="86"/>
    </row>
    <row r="70" spans="1:14" x14ac:dyDescent="0.2">
      <c r="A70" s="43"/>
      <c r="B70" s="7" t="s">
        <v>1</v>
      </c>
      <c r="C70" s="159">
        <f>PI()*($C$46^2-$C$43^2)/4*$C$44</f>
        <v>135.71680263507906</v>
      </c>
      <c r="D70" s="145">
        <f>C70*(1+C55)</f>
        <v>139.10972270095604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4.8232833856186777E-2</v>
      </c>
      <c r="D72" s="145">
        <f>C72*(1+C55)</f>
        <v>4.9438654702591442E-2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42397.2590860809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45577.053517536966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2CEDD9AB-49D2-4DB3-977C-0EA022B718DC}">
      <formula1>"Aluminium,0"</formula1>
    </dataValidation>
    <dataValidation type="list" allowBlank="1" showInputMessage="1" showErrorMessage="1" sqref="J68:J77" xr:uid="{81F825B7-9ED1-4D45-B9AB-98EF14A62D2A}">
      <formula1>"Y,N"</formula1>
    </dataValidation>
    <dataValidation type="list" allowBlank="1" showInputMessage="1" showErrorMessage="1" sqref="C6" xr:uid="{2383AF27-7114-4A4C-8EEB-D1190F0676C5}">
      <formula1>"1,2,3,3.5,4"</formula1>
    </dataValidation>
    <dataValidation type="list" allowBlank="1" showInputMessage="1" showErrorMessage="1" sqref="C35" xr:uid="{99F4F269-7B32-4670-9981-935F4AE64D6C}">
      <formula1>Armour</formula1>
    </dataValidation>
    <dataValidation type="list" allowBlank="1" showInputMessage="1" showErrorMessage="1" sqref="C7" xr:uid="{964E0B82-DE4E-42A2-A1C2-41416680234F}">
      <formula1>Shape</formula1>
    </dataValidation>
    <dataValidation type="list" allowBlank="1" showInputMessage="1" showErrorMessage="1" sqref="C17 C23 C29 C41" xr:uid="{D62BBF5C-B794-48D0-B219-2053BA6C3B0C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94CE2-7E30-4456-AEAD-22460466AE0B}">
  <dimension ref="A1:Q91"/>
  <sheetViews>
    <sheetView showGridLines="0" topLeftCell="A56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425.40385317034975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35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35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4.7203487194131482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0.9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6.520348719413148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174.36624625586751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133.5646464910761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14.9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15.5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15.5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19.5</v>
      </c>
    </row>
    <row r="48" spans="1:14" s="2" customFormat="1" x14ac:dyDescent="0.2">
      <c r="A48" s="223" t="str">
        <f>"COST SHEET FOR "&amp;C6 &amp; " CORE "&amp;C9&amp;" SQMM "&amp;C10&amp;" CABLE"</f>
        <v>COST SHEET FOR 2 CORE 35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24897.537000000004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12915.216356747562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5458.8233040197338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43271.576660767299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2545.3868623980766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1527.2321174388458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1018.1547449592306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1527.2321174388458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1018.1547449592306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50907.73724796153</v>
      </c>
      <c r="N65" s="66"/>
    </row>
    <row r="66" spans="1:14" ht="22.5" x14ac:dyDescent="0.2">
      <c r="A66" s="43"/>
      <c r="B66" s="18" t="str">
        <f>C6&amp;" core"&amp;" "&amp;C9&amp;" sq.mm"&amp;" "&amp;C10&amp;" cable"</f>
        <v>2 core 35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189.00000000000003</v>
      </c>
      <c r="D67" s="145">
        <f>C67*(1+C53)</f>
        <v>192.78000000000003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59.115121236700794</v>
      </c>
      <c r="D68" s="145">
        <f>C68*(1+C55)</f>
        <v>60.59299926761831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1272.6934311990383</v>
      </c>
      <c r="N68" s="86"/>
    </row>
    <row r="69" spans="1:14" x14ac:dyDescent="0.2">
      <c r="A69" s="43"/>
      <c r="B69" s="7" t="s">
        <v>0</v>
      </c>
      <c r="C69" s="159">
        <f>PI()*($C$37^2-$C$31^2)/4*$C$32</f>
        <v>19.339644375498747</v>
      </c>
      <c r="D69" s="145">
        <f>C69*(1+C55)</f>
        <v>19.823135484886212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1272.6934311990383</v>
      </c>
      <c r="N69" s="86"/>
    </row>
    <row r="70" spans="1:14" x14ac:dyDescent="0.2">
      <c r="A70" s="43"/>
      <c r="B70" s="7" t="s">
        <v>1</v>
      </c>
      <c r="C70" s="159">
        <f>PI()*($C$46^2-$C$43^2)/4*$C$44</f>
        <v>148.44025288211773</v>
      </c>
      <c r="D70" s="145">
        <f>C70*(1+C55)</f>
        <v>152.15125920417066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5.50821596824684E-2</v>
      </c>
      <c r="D72" s="145">
        <f>C72*(1+C55)</f>
        <v>5.6459213674530107E-2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53453.124110359604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57462.10841863657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disablePrompts="1" count="6">
    <dataValidation type="list" allowBlank="1" showInputMessage="1" showErrorMessage="1" sqref="C17 C23 C29 C41" xr:uid="{9D492494-D88D-4100-A735-EFF371E2DF8D}">
      <formula1>Insulation</formula1>
    </dataValidation>
    <dataValidation type="list" allowBlank="1" showInputMessage="1" showErrorMessage="1" sqref="C7" xr:uid="{D21CECAB-F591-44DE-92EB-889C0D9C6AFD}">
      <formula1>Shape</formula1>
    </dataValidation>
    <dataValidation type="list" allowBlank="1" showInputMessage="1" showErrorMessage="1" sqref="C35" xr:uid="{30F1A26C-6D07-4F6C-B487-46A173A8BC24}">
      <formula1>Armour</formula1>
    </dataValidation>
    <dataValidation type="list" allowBlank="1" showInputMessage="1" showErrorMessage="1" sqref="C6" xr:uid="{6AEE7836-A56B-4ED2-AC41-CF3D2204CDA2}">
      <formula1>"1,2,3,3.5,4"</formula1>
    </dataValidation>
    <dataValidation type="list" allowBlank="1" showInputMessage="1" showErrorMessage="1" sqref="J68:J77" xr:uid="{019F8838-4515-4AAA-A822-8DB94E008012}">
      <formula1>"Y,N"</formula1>
    </dataValidation>
    <dataValidation type="list" allowBlank="1" showInputMessage="1" showErrorMessage="1" sqref="C10" xr:uid="{B6094F71-7913-4E02-A78D-E1F8DB68B138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F404-977F-4263-AD45-41E348AC60CC}">
  <dimension ref="A1:Q91"/>
  <sheetViews>
    <sheetView showGridLines="0" topLeftCell="A52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546.99050585122291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50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50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5.6418958354775626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7.6418958354775626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224.31756944794517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183.46452465057979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16.899999999999999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17.5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17.5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21.5</v>
      </c>
    </row>
    <row r="48" spans="1:14" s="2" customFormat="1" x14ac:dyDescent="0.2">
      <c r="A48" s="223" t="str">
        <f>"COST SHEET FOR "&amp;C6 &amp; " CORE "&amp;C9&amp;" SQMM "&amp;C10&amp;" CABLE"</f>
        <v>COST SHEET FOR 2 CORE 50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35567.909999999996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14416.498175683935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7167.7908613159543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57152.199036999882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3361.8940609999936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2017.1364365999959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1344.7576243999972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2017.1364365999959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1344.7576243999972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67237.881219999865</v>
      </c>
      <c r="N65" s="66"/>
    </row>
    <row r="66" spans="1:14" ht="22.5" x14ac:dyDescent="0.2">
      <c r="A66" s="43"/>
      <c r="B66" s="18" t="str">
        <f>C6&amp;" core"&amp;" "&amp;C9&amp;" sq.mm"&amp;" "&amp;C10&amp;" cable"</f>
        <v>2 core 50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270</v>
      </c>
      <c r="D67" s="145">
        <f>C67*(1+C53)</f>
        <v>275.39999999999998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77.622007925039242</v>
      </c>
      <c r="D68" s="145">
        <f>C68*(1+C55)</f>
        <v>79.562558123165218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1680.9470304999968</v>
      </c>
      <c r="N68" s="86"/>
    </row>
    <row r="69" spans="1:14" x14ac:dyDescent="0.2">
      <c r="A69" s="43"/>
      <c r="B69" s="7" t="s">
        <v>0</v>
      </c>
      <c r="C69" s="159">
        <f>PI()*($C$37^2-$C$31^2)/4*$C$32</f>
        <v>21.884334424906545</v>
      </c>
      <c r="D69" s="145">
        <f>C69*(1+C55)</f>
        <v>22.431442785529207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1680.9470304999968</v>
      </c>
      <c r="N69" s="86"/>
    </row>
    <row r="70" spans="1:14" x14ac:dyDescent="0.2">
      <c r="A70" s="43"/>
      <c r="B70" s="7" t="s">
        <v>1</v>
      </c>
      <c r="C70" s="159">
        <f>PI()*($C$46^2-$C$43^2)/4*$C$44</f>
        <v>165.40485321150263</v>
      </c>
      <c r="D70" s="145">
        <f>C70*(1+C55)</f>
        <v>169.53997454179017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5.5151610476443277E-2</v>
      </c>
      <c r="D72" s="145">
        <f>C72*(1+C55)</f>
        <v>5.6530400738354351E-2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70599.775280999864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75894.758427074848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0D6BE325-CE02-40E7-AFF7-89E6BBFF50BB}">
      <formula1>"Aluminium,0"</formula1>
    </dataValidation>
    <dataValidation type="list" allowBlank="1" showInputMessage="1" showErrorMessage="1" sqref="J68:J77" xr:uid="{E3A4B854-271A-45AD-BB33-325596799134}">
      <formula1>"Y,N"</formula1>
    </dataValidation>
    <dataValidation type="list" allowBlank="1" showInputMessage="1" showErrorMessage="1" sqref="C6" xr:uid="{98896E55-C49A-4E83-8C2C-8F69756B6539}">
      <formula1>"1,2,3,3.5,4"</formula1>
    </dataValidation>
    <dataValidation type="list" allowBlank="1" showInputMessage="1" showErrorMessage="1" sqref="C35" xr:uid="{E5E9F6D2-A248-41A4-94ED-102697946A8C}">
      <formula1>Armour</formula1>
    </dataValidation>
    <dataValidation type="list" allowBlank="1" showInputMessage="1" showErrorMessage="1" sqref="C7" xr:uid="{412F5D86-E7DA-47D0-A0EA-99B912827E78}">
      <formula1>Shape</formula1>
    </dataValidation>
    <dataValidation type="list" allowBlank="1" showInputMessage="1" showErrorMessage="1" sqref="C17 C23 C29 C41" xr:uid="{F4BC6422-88CD-4339-9EBB-AE4B01735934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08FB-369F-490A-9EFE-A26091014300}">
  <dimension ref="A1:Q91"/>
  <sheetViews>
    <sheetView showGridLines="0" topLeftCell="A52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710.07201838084461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70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70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6.6755811781245455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1.1000000000000001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8.8755811781245448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311.02552668702344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247.48191830898335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19.899999999999999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20.5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20.5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24.5</v>
      </c>
    </row>
    <row r="48" spans="1:14" s="2" customFormat="1" x14ac:dyDescent="0.2">
      <c r="A48" s="223" t="str">
        <f>"COST SHEET FOR "&amp;C6 &amp; " CORE "&amp;C9&amp;" SQMM "&amp;C10&amp;" CABLE"</f>
        <v>COST SHEET FOR 2 CORE 70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49795.074000000008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16670.770097441924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9230.3636189999797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75696.207716441917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4452.7181009671722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2671.6308605803029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1781.0872403868686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2671.6308605803029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1781.0872403868686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89054.362019343433</v>
      </c>
      <c r="N65" s="66"/>
    </row>
    <row r="66" spans="1:14" ht="22.5" x14ac:dyDescent="0.2">
      <c r="A66" s="43"/>
      <c r="B66" s="18" t="str">
        <f>C6&amp;" core"&amp;" "&amp;C9&amp;" sq.mm"&amp;" "&amp;C10&amp;" cable"</f>
        <v>2 core 70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378.00000000000006</v>
      </c>
      <c r="D67" s="145">
        <f>C67*(1+C53)</f>
        <v>385.56000000000006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99.958184027354534</v>
      </c>
      <c r="D68" s="145">
        <f>C68*(1+C55)</f>
        <v>102.45713862803839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2226.3590504835861</v>
      </c>
      <c r="N68" s="86"/>
    </row>
    <row r="69" spans="1:14" x14ac:dyDescent="0.2">
      <c r="A69" s="43"/>
      <c r="B69" s="7" t="s">
        <v>0</v>
      </c>
      <c r="C69" s="159">
        <f>PI()*($C$37^2-$C$31^2)/4*$C$32</f>
        <v>25.70136949901817</v>
      </c>
      <c r="D69" s="145">
        <f>C69*(1+C55)</f>
        <v>26.343903736493623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2226.3590504835861</v>
      </c>
      <c r="N69" s="86"/>
    </row>
    <row r="70" spans="1:14" x14ac:dyDescent="0.2">
      <c r="A70" s="43"/>
      <c r="B70" s="7" t="s">
        <v>1</v>
      </c>
      <c r="C70" s="159">
        <f>PI()*($C$46^2-$C$43^2)/4*$C$44</f>
        <v>190.85175370557994</v>
      </c>
      <c r="D70" s="145">
        <f>C70*(1+C55)</f>
        <v>195.62304754821943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8.5783871310354129E-2</v>
      </c>
      <c r="D72" s="145">
        <f>C72*(1+C55)</f>
        <v>8.7928468093112971E-2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93507.080120310609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100520.11112933391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816B1548-7DE0-4B35-8FB7-8A3656099C89}">
      <formula1>Insulation</formula1>
    </dataValidation>
    <dataValidation type="list" allowBlank="1" showInputMessage="1" showErrorMessage="1" sqref="C7" xr:uid="{C96C34C1-BFB0-43C1-AD68-192B4028EC21}">
      <formula1>Shape</formula1>
    </dataValidation>
    <dataValidation type="list" allowBlank="1" showInputMessage="1" showErrorMessage="1" sqref="C35" xr:uid="{850D861C-CC47-462B-BE25-3C1B390BC2BD}">
      <formula1>Armour</formula1>
    </dataValidation>
    <dataValidation type="list" allowBlank="1" showInputMessage="1" showErrorMessage="1" sqref="C6" xr:uid="{EB348F20-75E8-4EED-BFAE-A337F780E108}">
      <formula1>"1,2,3,3.5,4"</formula1>
    </dataValidation>
    <dataValidation type="list" allowBlank="1" showInputMessage="1" showErrorMessage="1" sqref="J68:J77" xr:uid="{549C4DF1-EECB-4AFA-86CF-D3CFF7C82F82}">
      <formula1>"Y,N"</formula1>
    </dataValidation>
    <dataValidation type="list" allowBlank="1" showInputMessage="1" showErrorMessage="1" sqref="C10" xr:uid="{1AB9AD2D-C3E4-4231-98C0-C4FAA85BE9D2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817F-A4D7-47BE-80A5-F48977C7E5F8}">
  <dimension ref="A1:Q91"/>
  <sheetViews>
    <sheetView showGridLines="0" topLeftCell="A53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921.77198473113538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95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95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7.7768167250437523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1.1000000000000001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9.9768167250437525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390.57065267591707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312.70430572690606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0.4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22.3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23.1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2.2000000000000002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23.1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27.5</v>
      </c>
    </row>
    <row r="48" spans="1:14" s="2" customFormat="1" x14ac:dyDescent="0.2">
      <c r="A48" s="223" t="str">
        <f>"COST SHEET FOR "&amp;C6 &amp; " CORE "&amp;C9&amp;" SQMM "&amp;C10&amp;" CABLE"</f>
        <v>COST SHEET FOR 2 CORE 95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67579.028999999995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21136.923705169451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10537.636258224662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99253.588963394111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5838.4464096114189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3503.067845766851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2335.3785638445675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3503.067845766851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2335.3785638445675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116768.92819222837</v>
      </c>
      <c r="N65" s="66"/>
    </row>
    <row r="66" spans="1:14" ht="22.5" x14ac:dyDescent="0.2">
      <c r="A66" s="43"/>
      <c r="B66" s="18" t="str">
        <f>C6&amp;" core"&amp;" "&amp;C9&amp;" sq.mm"&amp;" "&amp;C10&amp;" cable"</f>
        <v>2 core 95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513</v>
      </c>
      <c r="D67" s="145">
        <f>C67*(1+C53)</f>
        <v>523.26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114.11500432602263</v>
      </c>
      <c r="D68" s="145">
        <f>C68*(1+C55)</f>
        <v>116.96787943417318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2919.2232048057094</v>
      </c>
      <c r="N68" s="86"/>
    </row>
    <row r="69" spans="1:14" x14ac:dyDescent="0.2">
      <c r="A69" s="43"/>
      <c r="B69" s="7" t="s">
        <v>0</v>
      </c>
      <c r="C69" s="159">
        <f>PI()*($C$37^2-$C$31^2)/4*$C$32</f>
        <v>38.50964274770368</v>
      </c>
      <c r="D69" s="145">
        <f>C69*(1+C55)</f>
        <v>39.472383816396267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2919.2232048057094</v>
      </c>
      <c r="N69" s="86"/>
    </row>
    <row r="70" spans="1:14" x14ac:dyDescent="0.2">
      <c r="A70" s="43"/>
      <c r="B70" s="7" t="s">
        <v>1</v>
      </c>
      <c r="C70" s="159">
        <f>PI()*($C$46^2-$C$43^2)/4*$C$44</f>
        <v>236.06241358339065</v>
      </c>
      <c r="D70" s="145">
        <f>C70*(1+C55)</f>
        <v>241.96397392297538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0.10511956838116489</v>
      </c>
      <c r="D72" s="145">
        <f>C72*(1+C55)</f>
        <v>0.107747557590694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122607.37460183979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131802.92769697777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D61D69E3-CB81-4B1E-9673-240BDB5C24B5}">
      <formula1>"Aluminium,0"</formula1>
    </dataValidation>
    <dataValidation type="list" allowBlank="1" showInputMessage="1" showErrorMessage="1" sqref="J68:J77" xr:uid="{5DA3DFD5-4E89-40E8-B295-5B2660861A83}">
      <formula1>"Y,N"</formula1>
    </dataValidation>
    <dataValidation type="list" allowBlank="1" showInputMessage="1" showErrorMessage="1" sqref="C6" xr:uid="{428B833E-C034-4F9E-835E-B8DDBB1F0A86}">
      <formula1>"1,2,3,3.5,4"</formula1>
    </dataValidation>
    <dataValidation type="list" allowBlank="1" showInputMessage="1" showErrorMessage="1" sqref="C35" xr:uid="{BC9CDA0B-3310-44BE-9DF7-FEE92A3DC4EE}">
      <formula1>Armour</formula1>
    </dataValidation>
    <dataValidation type="list" allowBlank="1" showInputMessage="1" showErrorMessage="1" sqref="C7" xr:uid="{ACD40F1B-D088-4107-96E6-FAEE73FF4D24}">
      <formula1>Shape</formula1>
    </dataValidation>
    <dataValidation type="list" allowBlank="1" showInputMessage="1" showErrorMessage="1" sqref="C17 C23 C29 C41" xr:uid="{DD8EA16D-EF3E-46AF-9B74-86020E019213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E77C3-F3CF-4314-82DB-AD5AD9C5BA67}">
  <dimension ref="A1:Q91"/>
  <sheetViews>
    <sheetView showGridLines="0" topLeftCell="A53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1113.671724267097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120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120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8.7403874447366334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1.2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11.140387444736634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483.05128641596667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389.89751121706001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0.4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24.8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25.6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2.2000000000000002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25.6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30</v>
      </c>
    </row>
    <row r="48" spans="1:14" s="2" customFormat="1" x14ac:dyDescent="0.2">
      <c r="A48" s="223" t="str">
        <f>"COST SHEET FOR "&amp;C6 &amp; " CORE "&amp;C9&amp;" SQMM "&amp;C10&amp;" CABLE"</f>
        <v>COST SHEET FOR 2 CORE 120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85362.984000000011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23259.880771585071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12872.942313320709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121495.8070849058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7146.8121814650476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4288.0873088790277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2858.7248725860186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4288.0873088790277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2858.7248725860186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142936.24362930094</v>
      </c>
      <c r="N65" s="66"/>
    </row>
    <row r="66" spans="1:14" ht="22.5" x14ac:dyDescent="0.2">
      <c r="A66" s="43"/>
      <c r="B66" s="18" t="str">
        <f>C6&amp;" core"&amp;" "&amp;C9&amp;" sq.mm"&amp;" "&amp;C10&amp;" cable"</f>
        <v>2 core 120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648</v>
      </c>
      <c r="D67" s="145">
        <f>C67*(1+C53)</f>
        <v>660.96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139.4046854318658</v>
      </c>
      <c r="D68" s="145">
        <f>C68*(1+C55)</f>
        <v>142.88980256766243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3573.4060907325238</v>
      </c>
      <c r="N68" s="86"/>
    </row>
    <row r="69" spans="1:14" x14ac:dyDescent="0.2">
      <c r="A69" s="43"/>
      <c r="B69" s="7" t="s">
        <v>0</v>
      </c>
      <c r="C69" s="159">
        <f>PI()*($C$37^2-$C$31^2)/4*$C$32</f>
        <v>42.75079283004996</v>
      </c>
      <c r="D69" s="145">
        <f>C69*(1+C55)</f>
        <v>43.819562650801203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3573.4060907325238</v>
      </c>
      <c r="N69" s="86"/>
    </row>
    <row r="70" spans="1:14" x14ac:dyDescent="0.2">
      <c r="A70" s="43"/>
      <c r="B70" s="7" t="s">
        <v>1</v>
      </c>
      <c r="C70" s="159">
        <f>PI()*($C$46^2-$C$43^2)/4*$C$44</f>
        <v>259.38873903629474</v>
      </c>
      <c r="D70" s="145">
        <f>C70*(1+C55)</f>
        <v>265.87345751220209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0.125757596518524</v>
      </c>
      <c r="D72" s="145">
        <f>C72*(1+C55)</f>
        <v>0.12890153643148708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150083.05581076597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161339.28499657341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AB919751-4722-4319-9A24-0B0C29FB53C8}">
      <formula1>Insulation</formula1>
    </dataValidation>
    <dataValidation type="list" allowBlank="1" showInputMessage="1" showErrorMessage="1" sqref="C7" xr:uid="{1F7D9B70-8EF2-43FE-A975-20EAE633C319}">
      <formula1>Shape</formula1>
    </dataValidation>
    <dataValidation type="list" allowBlank="1" showInputMessage="1" showErrorMessage="1" sqref="C35" xr:uid="{3BB4E2DE-A082-4141-926B-6AA4479AD1AF}">
      <formula1>Armour</formula1>
    </dataValidation>
    <dataValidation type="list" allowBlank="1" showInputMessage="1" showErrorMessage="1" sqref="C6" xr:uid="{63497F00-1356-4BE1-81F1-743325FB1D5A}">
      <formula1>"1,2,3,3.5,4"</formula1>
    </dataValidation>
    <dataValidation type="list" allowBlank="1" showInputMessage="1" showErrorMessage="1" sqref="J68:J77" xr:uid="{0105C5DE-E0F1-47C3-A494-D13CA5B68C67}">
      <formula1>"Y,N"</formula1>
    </dataValidation>
    <dataValidation type="list" allowBlank="1" showInputMessage="1" showErrorMessage="1" sqref="C10" xr:uid="{C7F404AC-3F70-4058-A35E-B0F05646EA91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7F25-50A5-496B-A2A3-C7C49EB7BF19}">
  <dimension ref="A1:Q91"/>
  <sheetViews>
    <sheetView showGridLines="0" topLeftCell="A55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1345.9521387271052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150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150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9.772050238058398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1.4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12.572050238058399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564.10437687858325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496.54897333915403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0.4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26.8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27.6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2.2000000000000002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27.6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32</v>
      </c>
    </row>
    <row r="48" spans="1:14" s="2" customFormat="1" x14ac:dyDescent="0.2">
      <c r="A48" s="223" t="str">
        <f>"COST SHEET FOR "&amp;C6 &amp; " CORE "&amp;C9&amp;" SQMM "&amp;C10&amp;" CABLE"</f>
        <v>COST SHEET FOR 2 CORE 150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106703.73000000001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24954.316629108598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16879.290222994572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148537.33685210318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8737.4904030648941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5242.4942418389355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3494.9961612259576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5242.4942418389355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3494.9961612259576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174749.80806129787</v>
      </c>
      <c r="N65" s="66"/>
    </row>
    <row r="66" spans="1:14" ht="22.5" x14ac:dyDescent="0.2">
      <c r="A66" s="43"/>
      <c r="B66" s="18" t="str">
        <f>C6&amp;" core"&amp;" "&amp;C9&amp;" sq.mm"&amp;" "&amp;C10&amp;" cable"</f>
        <v>2 core 150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810</v>
      </c>
      <c r="D67" s="145">
        <f>C67*(1+C53)</f>
        <v>826.2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182.79054520541325</v>
      </c>
      <c r="D68" s="145">
        <f>C68*(1+C55)</f>
        <v>187.36030883554858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4368.745201532447</v>
      </c>
      <c r="N68" s="86"/>
    </row>
    <row r="69" spans="1:14" x14ac:dyDescent="0.2">
      <c r="A69" s="43"/>
      <c r="B69" s="7" t="s">
        <v>0</v>
      </c>
      <c r="C69" s="159">
        <f>PI()*($C$37^2-$C$31^2)/4*$C$32</f>
        <v>46.143712895926988</v>
      </c>
      <c r="D69" s="145">
        <f>C69*(1+C55)</f>
        <v>47.297305718325156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4368.745201532447</v>
      </c>
      <c r="N69" s="86"/>
    </row>
    <row r="70" spans="1:14" x14ac:dyDescent="0.2">
      <c r="A70" s="43"/>
      <c r="B70" s="7" t="s">
        <v>1</v>
      </c>
      <c r="C70" s="159">
        <f>PI()*($C$46^2-$C$43^2)/4*$C$44</f>
        <v>278.04979939861812</v>
      </c>
      <c r="D70" s="145">
        <f>C70*(1+C55)</f>
        <v>285.00104438358358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9.1199794778229454E-2</v>
      </c>
      <c r="D72" s="145">
        <f>C72*(1+C55)</f>
        <v>9.3479789647685177E-2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183487.29846436277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197248.84584918997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1917CF69-5A55-41F8-859C-C165186E1952}">
      <formula1>"Aluminium,0"</formula1>
    </dataValidation>
    <dataValidation type="list" allowBlank="1" showInputMessage="1" showErrorMessage="1" sqref="J68:J77" xr:uid="{035C249E-FB7C-46FD-96F2-F9D870A9E68E}">
      <formula1>"Y,N"</formula1>
    </dataValidation>
    <dataValidation type="list" allowBlank="1" showInputMessage="1" showErrorMessage="1" sqref="C6" xr:uid="{66E80D55-E76B-423F-A7CE-A3C191F76D0B}">
      <formula1>"1,2,3,3.5,4"</formula1>
    </dataValidation>
    <dataValidation type="list" allowBlank="1" showInputMessage="1" showErrorMessage="1" sqref="C35" xr:uid="{CA7E8349-690B-4835-8A0B-74A83ABFEE94}">
      <formula1>Armour</formula1>
    </dataValidation>
    <dataValidation type="list" allowBlank="1" showInputMessage="1" showErrorMessage="1" sqref="C7" xr:uid="{60847F56-18F5-4CC0-B0D7-D9513EE5924D}">
      <formula1>Shape</formula1>
    </dataValidation>
    <dataValidation type="list" allowBlank="1" showInputMessage="1" showErrorMessage="1" sqref="C17 C23 C29 C41" xr:uid="{A71C7477-C18E-402D-9731-CB0A24455C0B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4C07-5F0E-43FD-87E9-40CCBEBAF05A}">
  <dimension ref="A1:Q91"/>
  <sheetViews>
    <sheetView showGridLines="0" topLeftCell="A52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1668.7281071544862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185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185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10.852403323135505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1.6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14.052403323135504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692.79186595125509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620.37042431679754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0.5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29.7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30.7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2.4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30.7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35.5</v>
      </c>
    </row>
    <row r="48" spans="1:14" s="2" customFormat="1" x14ac:dyDescent="0.2">
      <c r="A48" s="223" t="str">
        <f>"COST SHEET FOR "&amp;C6 &amp; " CORE "&amp;C9&amp;" SQMM "&amp;C10&amp;" CABLE"</f>
        <v>COST SHEET FOR 2 CORE 185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131601.26700000002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30862.018700600496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21501.384532827054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183964.67023342755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10821.451190201622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6492.8707141209725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4328.5804760806486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6492.8707141209725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4328.5804760806486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216429.02380403242</v>
      </c>
      <c r="N65" s="66"/>
    </row>
    <row r="66" spans="1:14" ht="22.5" x14ac:dyDescent="0.2">
      <c r="A66" s="43"/>
      <c r="B66" s="18" t="str">
        <f>C6&amp;" core"&amp;" "&amp;C9&amp;" sq.mm"&amp;" "&amp;C10&amp;" cable"</f>
        <v>2 core 185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999</v>
      </c>
      <c r="D67" s="145">
        <f>C67*(1+C53)</f>
        <v>1018.98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232.84449461462174</v>
      </c>
      <c r="D68" s="145">
        <f>C68*(1+C55)</f>
        <v>238.66560697998727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5410.725595100811</v>
      </c>
      <c r="N68" s="86"/>
    </row>
    <row r="69" spans="1:14" x14ac:dyDescent="0.2">
      <c r="A69" s="43"/>
      <c r="B69" s="7" t="s">
        <v>0</v>
      </c>
      <c r="C69" s="159">
        <f>PI()*($C$37^2-$C$31^2)/4*$C$32</f>
        <v>64.04136624342803</v>
      </c>
      <c r="D69" s="145">
        <f>C69*(1+C55)</f>
        <v>65.642400399513718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5410.725595100811</v>
      </c>
      <c r="N69" s="86"/>
    </row>
    <row r="70" spans="1:14" x14ac:dyDescent="0.2">
      <c r="A70" s="43"/>
      <c r="B70" s="7" t="s">
        <v>1</v>
      </c>
      <c r="C70" s="159">
        <f>PI()*($C$46^2-$C$43^2)/4*$C$44</f>
        <v>336.91696254158381</v>
      </c>
      <c r="D70" s="145">
        <f>C70*(1+C55)</f>
        <v>345.33988660512335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9.7768946206517701E-2</v>
      </c>
      <c r="D72" s="145">
        <f>C72*(1+C55)</f>
        <v>0.10021316986168063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227250.47499423404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244294.26061880158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62A0FC41-A600-4D22-ADEA-05A35812AA40}">
      <formula1>Insulation</formula1>
    </dataValidation>
    <dataValidation type="list" allowBlank="1" showInputMessage="1" showErrorMessage="1" sqref="C7" xr:uid="{704B466D-F038-47E4-83B2-7D79C021D06B}">
      <formula1>Shape</formula1>
    </dataValidation>
    <dataValidation type="list" allowBlank="1" showInputMessage="1" showErrorMessage="1" sqref="C35" xr:uid="{7DCAF6F4-C44B-4A9D-8283-0DBD41E10642}">
      <formula1>Armour</formula1>
    </dataValidation>
    <dataValidation type="list" allowBlank="1" showInputMessage="1" showErrorMessage="1" sqref="C6" xr:uid="{96AD93D1-7B53-47ED-BC74-2A9B54E36AA6}">
      <formula1>"1,2,3,3.5,4"</formula1>
    </dataValidation>
    <dataValidation type="list" allowBlank="1" showInputMessage="1" showErrorMessage="1" sqref="J68:J77" xr:uid="{0E71AAC4-392D-4997-967D-8FEA6A641E43}">
      <formula1>"Y,N"</formula1>
    </dataValidation>
    <dataValidation type="list" allowBlank="1" showInputMessage="1" showErrorMessage="1" sqref="C10" xr:uid="{76541F0E-4CD7-41F5-BF30-D89488D12F50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6145-CB3C-4F03-9EB7-E4A4741E6F0C}">
  <dimension ref="A1:Q91"/>
  <sheetViews>
    <sheetView showGridLines="0" topLeftCell="A53" zoomScale="86" zoomScaleNormal="86" workbookViewId="0">
      <selection activeCell="B61" sqref="B61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2105.6908033599234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2 Core 240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2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240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180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-180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12.360774464742066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1.7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15.760774464742067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897.2702777917807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780.37793518307308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0.5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33.799999999999997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34.799999999999997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2.6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34.799999999999997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40</v>
      </c>
    </row>
    <row r="48" spans="1:14" s="2" customFormat="1" x14ac:dyDescent="0.2">
      <c r="A48" s="223" t="str">
        <f>"COST SHEET FOR "&amp;C6 &amp; " CORE "&amp;C9&amp;" SQMM "&amp;C10&amp;" CABLE"</f>
        <v>COST SHEET FOR 2 CORE 240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170725.96800000002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37344.972913747908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25795.944178197999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233866.88509194594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13756.875593643879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8254.1253561863268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5502.7502374575524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8254.1253561863268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5502.7502374575524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275137.5118728776</v>
      </c>
      <c r="N65" s="66"/>
    </row>
    <row r="66" spans="1:14" ht="22.5" x14ac:dyDescent="0.2">
      <c r="A66" s="43"/>
      <c r="B66" s="18" t="str">
        <f>C6&amp;" core"&amp;" "&amp;C9&amp;" sq.mm"&amp;" "&amp;C10&amp;" cable"</f>
        <v>2 core 240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1296</v>
      </c>
      <c r="D67" s="145">
        <f>C67*(1+C53)</f>
        <v>1321.92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279.35147972025806</v>
      </c>
      <c r="D68" s="145">
        <f>C68*(1+C55)</f>
        <v>286.3352667132645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6878.4377968219405</v>
      </c>
      <c r="N68" s="86"/>
    </row>
    <row r="69" spans="1:14" x14ac:dyDescent="0.2">
      <c r="A69" s="43"/>
      <c r="B69" s="7" t="s">
        <v>0</v>
      </c>
      <c r="C69" s="159">
        <f>PI()*($C$37^2-$C$31^2)/4*$C$32</f>
        <v>72.735723912237589</v>
      </c>
      <c r="D69" s="145">
        <f>C69*(1+C55)</f>
        <v>74.554117010043527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6878.4377968219405</v>
      </c>
      <c r="N69" s="86"/>
    </row>
    <row r="70" spans="1:14" x14ac:dyDescent="0.2">
      <c r="A70" s="43"/>
      <c r="B70" s="7" t="s">
        <v>1</v>
      </c>
      <c r="C70" s="159">
        <f>PI()*($C$46^2-$C$43^2)/4*$C$44</f>
        <v>412.40943400734682</v>
      </c>
      <c r="D70" s="145">
        <f>C70*(1+C55)</f>
        <v>422.71966985753045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0.15780466252175529</v>
      </c>
      <c r="D72" s="145">
        <f>C72*(1+C55)</f>
        <v>0.16174977908479915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288894.38746652147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310561.46652651054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E293A483-639E-4B7F-B36B-EC4AFFE12186}">
      <formula1>"Aluminium,0"</formula1>
    </dataValidation>
    <dataValidation type="list" allowBlank="1" showInputMessage="1" showErrorMessage="1" sqref="J68:J77" xr:uid="{5FA5D12F-1A6C-46D8-8447-08F7BBF55E73}">
      <formula1>"Y,N"</formula1>
    </dataValidation>
    <dataValidation type="list" allowBlank="1" showInputMessage="1" showErrorMessage="1" sqref="C6" xr:uid="{69F5CF0A-1D57-4A58-83F4-8A390F7AC6DF}">
      <formula1>"1,2,3,3.5,4"</formula1>
    </dataValidation>
    <dataValidation type="list" allowBlank="1" showInputMessage="1" showErrorMessage="1" sqref="C35" xr:uid="{CBC78CA3-4372-43A0-8458-60789C30EF7A}">
      <formula1>Armour</formula1>
    </dataValidation>
    <dataValidation type="list" allowBlank="1" showInputMessage="1" showErrorMessage="1" sqref="C7" xr:uid="{45D5A4A1-3789-4457-A586-18D62A70EFEE}">
      <formula1>Shape</formula1>
    </dataValidation>
    <dataValidation type="list" allowBlank="1" showInputMessage="1" showErrorMessage="1" sqref="C17 C23 C29 C41" xr:uid="{DCB0EF01-36DD-4235-9F20-E76E1FD7AE8A}">
      <formula1>Insulation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D06B1-355C-48FF-A2ED-03A648958923}">
  <dimension ref="A1:Q91"/>
  <sheetViews>
    <sheetView showGridLines="0" topLeftCell="A43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188.76625318391322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6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6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2.3936536824085959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0.7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3.7936536824085958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83.322891154835304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45.21319910793639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10.3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10.9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1.8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10.9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14.5</v>
      </c>
    </row>
    <row r="48" spans="1:14" s="2" customFormat="1" x14ac:dyDescent="0.2">
      <c r="A48" s="223" t="str">
        <f>"COST SHEET FOR "&amp;C6 &amp; " CORE "&amp;C9&amp;" SQMM "&amp;C10&amp;" CABLE"</f>
        <v>COST SHEET FOR 3 CORE 6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6402.2238000000016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8502.4893304055349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2337.023072852101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17241.736203257638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1014.2197766622141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608.5318659973284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405.68791066488564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608.5318659973284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405.68791066488564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/>
      <c r="I65" s="62"/>
      <c r="J65" s="132"/>
      <c r="K65" s="132"/>
      <c r="L65" s="63" t="s">
        <v>6</v>
      </c>
      <c r="M65" s="64">
        <f>SUM(M60:M64)+M57</f>
        <v>20284.395533244282</v>
      </c>
      <c r="N65" s="66"/>
    </row>
    <row r="66" spans="1:14" ht="22.5" x14ac:dyDescent="0.2">
      <c r="A66" s="43"/>
      <c r="B66" s="18" t="str">
        <f>C6&amp;" core"&amp;" "&amp;C9&amp;" sq.mm"&amp;" "&amp;C10&amp;" cable"</f>
        <v>3 core 6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48.600000000000009</v>
      </c>
      <c r="D67" s="145">
        <f>C67*(1+C53)</f>
        <v>49.57200000000001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25.308275170380849</v>
      </c>
      <c r="D68" s="145">
        <f>C68*(1+C55)</f>
        <v>25.940982049640368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507.10988833110707</v>
      </c>
      <c r="N68" s="86"/>
    </row>
    <row r="69" spans="1:14" x14ac:dyDescent="0.2">
      <c r="A69" s="43"/>
      <c r="B69" s="7" t="s">
        <v>0</v>
      </c>
      <c r="C69" s="159">
        <f>PI()*($C$37^2-$C$31^2)/4*$C$32</f>
        <v>13.486857261860967</v>
      </c>
      <c r="D69" s="145">
        <f>C69*(1+C55)</f>
        <v>13.82402869340749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507.10988833110707</v>
      </c>
      <c r="N69" s="86"/>
    </row>
    <row r="70" spans="1:14" x14ac:dyDescent="0.2">
      <c r="A70" s="43"/>
      <c r="B70" s="7" t="s">
        <v>1</v>
      </c>
      <c r="C70" s="159">
        <f>PI()*($C$46^2-$C$43^2)/4*$C$44</f>
        <v>96.952690882434609</v>
      </c>
      <c r="D70" s="145">
        <f>C70*(1+C55)</f>
        <v>99.376508154495468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5.1448084263313543E-2</v>
      </c>
      <c r="D72" s="145">
        <f>C72*(1+C55)</f>
        <v>5.2734286369896376E-2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21298.615309906498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22896.011458149485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7BE7F49B-E544-42DA-A10B-80670990BFB1}">
      <formula1>Insulation</formula1>
    </dataValidation>
    <dataValidation type="list" allowBlank="1" showInputMessage="1" showErrorMessage="1" sqref="C7" xr:uid="{9E2A099B-C3A1-4206-9451-CA6B9034571F}">
      <formula1>Shape</formula1>
    </dataValidation>
    <dataValidation type="list" allowBlank="1" showInputMessage="1" showErrorMessage="1" sqref="C35" xr:uid="{9579EEE3-813F-4152-A2E1-F1837461B2EF}">
      <formula1>Armour</formula1>
    </dataValidation>
    <dataValidation type="list" allowBlank="1" showInputMessage="1" showErrorMessage="1" sqref="C6" xr:uid="{20207639-F004-492A-B1EC-93AC3042E79C}">
      <formula1>"1,2,3,3.5,4"</formula1>
    </dataValidation>
    <dataValidation type="list" allowBlank="1" showInputMessage="1" showErrorMessage="1" sqref="J68:J77" xr:uid="{A811F25B-67A2-4E16-AD68-9B72B2771C36}">
      <formula1>"Y,N"</formula1>
    </dataValidation>
    <dataValidation type="list" allowBlank="1" showInputMessage="1" showErrorMessage="1" sqref="C10" xr:uid="{A526C063-FB18-4515-9BCF-6318B510F411}">
      <formula1>"Aluminium,0"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DEBC-86E4-4728-B6A6-94FA625A7D41}">
  <dimension ref="A1:Q91"/>
  <sheetViews>
    <sheetView showGridLines="0" topLeftCell="A55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245.93708808756097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10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3.0901936161855166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0.7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4.4901936161855165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118.82288814039997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63.340284376815774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12.3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12.9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1.8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12.9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16.5</v>
      </c>
    </row>
    <row r="48" spans="1:14" s="2" customFormat="1" x14ac:dyDescent="0.2">
      <c r="A48" s="223" t="str">
        <f>"COST SHEET FOR "&amp;C6 &amp; " CORE "&amp;C9&amp;" SQMM "&amp;C10&amp;" CABLE"</f>
        <v>COST SHEET FOR 3 CORE 10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10670.373000000003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9875.0248100525005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2863.206693745366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23408.604503797873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1376.976735517522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826.18604131051313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550.79069420700876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826.18604131051313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550.79069420700876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27539.534710350439</v>
      </c>
      <c r="N65" s="66"/>
    </row>
    <row r="66" spans="1:14" ht="22.5" x14ac:dyDescent="0.2">
      <c r="A66" s="43"/>
      <c r="B66" s="18" t="str">
        <f>C6&amp;" core"&amp;" "&amp;C9&amp;" sq.mm"&amp;" "&amp;C10&amp;" cable"</f>
        <v>3 core 10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81.000000000000014</v>
      </c>
      <c r="D67" s="145">
        <f>C67*(1+C53)</f>
        <v>82.620000000000019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31.006464470438679</v>
      </c>
      <c r="D68" s="145">
        <f>C68*(1+C55)</f>
        <v>31.781626082199644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688.488367758761</v>
      </c>
      <c r="N68" s="86"/>
    </row>
    <row r="69" spans="1:14" x14ac:dyDescent="0.2">
      <c r="A69" s="43"/>
      <c r="B69" s="7" t="s">
        <v>0</v>
      </c>
      <c r="C69" s="159">
        <f>PI()*($C$37^2-$C$31^2)/4*$C$32</f>
        <v>16.031547311268689</v>
      </c>
      <c r="D69" s="145">
        <f>C69*(1+C55)</f>
        <v>16.432335994050405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688.488367758761</v>
      </c>
      <c r="N69" s="86"/>
    </row>
    <row r="70" spans="1:14" x14ac:dyDescent="0.2">
      <c r="A70" s="43"/>
      <c r="B70" s="7" t="s">
        <v>1</v>
      </c>
      <c r="C70" s="159">
        <f>PI()*($C$46^2-$C$43^2)/4*$C$44</f>
        <v>112.22083117888101</v>
      </c>
      <c r="D70" s="145">
        <f>C70*(1+C55)</f>
        <v>115.02635195835303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7.4901515080838657E-2</v>
      </c>
      <c r="D72" s="145">
        <f>C72*(1+C55)</f>
        <v>7.677405295785962E-2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28916.51144586796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31085.249804308056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A1EA48DD-7F9A-4BDD-A089-BD966F351A0D}">
      <formula1>"Aluminium,0"</formula1>
    </dataValidation>
    <dataValidation type="list" allowBlank="1" showInputMessage="1" showErrorMessage="1" sqref="J68:J77" xr:uid="{1F6C3487-2832-4AA7-919D-1D586A6FF0BA}">
      <formula1>"Y,N"</formula1>
    </dataValidation>
    <dataValidation type="list" allowBlank="1" showInputMessage="1" showErrorMessage="1" sqref="C6" xr:uid="{5FE39B1E-D52D-4AA4-A70D-42D06949F50A}">
      <formula1>"1,2,3,3.5,4"</formula1>
    </dataValidation>
    <dataValidation type="list" allowBlank="1" showInputMessage="1" showErrorMessage="1" sqref="C35" xr:uid="{23D3496C-934B-4B28-AD77-25DB44C68F58}">
      <formula1>Armour</formula1>
    </dataValidation>
    <dataValidation type="list" allowBlank="1" showInputMessage="1" showErrorMessage="1" sqref="C7" xr:uid="{2F82ED19-3DD7-4CEA-97B5-1A001935768A}">
      <formula1>Shape</formula1>
    </dataValidation>
    <dataValidation type="list" allowBlank="1" showInputMessage="1" showErrorMessage="1" sqref="C17 C23 C29 C41" xr:uid="{E3083A7B-0C3B-465A-89F4-D15B8E3E2AE5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3AF7-2D11-4444-8A75-79AA1D1AEBE8}">
  <dimension ref="A1:Q91"/>
  <sheetViews>
    <sheetView showGridLines="0" topLeftCell="A55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306.91676041145831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16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16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3.9088200952233594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0.7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5.3088200952233588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128.67963509103794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88.54129898803798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12.8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13.4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1.8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13.4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17</v>
      </c>
    </row>
    <row r="48" spans="1:14" s="2" customFormat="1" x14ac:dyDescent="0.2">
      <c r="A48" s="223" t="str">
        <f>"COST SHEET FOR "&amp;C6 &amp; " CORE "&amp;C9&amp;" SQMM "&amp;C10&amp;" CABLE"</f>
        <v>COST SHEET FOR 3 CORE 16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17072.596800000007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10216.113443869664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3481.6175328246795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30770.32777669435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1810.0192809820207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1086.0115685892124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724.00771239280834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1086.0115685892124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724.00771239280834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36200.385619640416</v>
      </c>
      <c r="N65" s="66"/>
    </row>
    <row r="66" spans="1:14" ht="22.5" x14ac:dyDescent="0.2">
      <c r="A66" s="43"/>
      <c r="B66" s="18" t="str">
        <f>C6&amp;" core"&amp;" "&amp;C9&amp;" sq.mm"&amp;" "&amp;C10&amp;" cable"</f>
        <v>3 core 16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129.60000000000002</v>
      </c>
      <c r="D67" s="145">
        <f>C67*(1+C53)</f>
        <v>132.19200000000004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37.703408058875326</v>
      </c>
      <c r="D68" s="145">
        <f>C68*(1+C55)</f>
        <v>38.645993260347204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905.00964049101049</v>
      </c>
      <c r="N68" s="86"/>
    </row>
    <row r="69" spans="1:14" x14ac:dyDescent="0.2">
      <c r="A69" s="43"/>
      <c r="B69" s="7" t="s">
        <v>0</v>
      </c>
      <c r="C69" s="159">
        <f>PI()*($C$37^2-$C$31^2)/4*$C$32</f>
        <v>16.667719823620615</v>
      </c>
      <c r="D69" s="145">
        <f>C69*(1+C55)</f>
        <v>17.084412819211128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905.00964049101049</v>
      </c>
      <c r="N69" s="86"/>
    </row>
    <row r="70" spans="1:14" x14ac:dyDescent="0.2">
      <c r="A70" s="43"/>
      <c r="B70" s="7" t="s">
        <v>1</v>
      </c>
      <c r="C70" s="159">
        <f>PI()*($C$46^2-$C$43^2)/4*$C$44</f>
        <v>116.0378662529926</v>
      </c>
      <c r="D70" s="145">
        <f>C70*(1+C55)</f>
        <v>118.93881290931741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5.418675373904995E-2</v>
      </c>
      <c r="D72" s="145">
        <f>C72*(1+C55)</f>
        <v>5.5541422582526194E-2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38010.404900622438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40861.185268169116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342AB1CC-03B0-476A-A09F-E1942AB1A3ED}">
      <formula1>Insulation</formula1>
    </dataValidation>
    <dataValidation type="list" allowBlank="1" showInputMessage="1" showErrorMessage="1" sqref="C7" xr:uid="{293AA51C-9DA6-403A-B0EB-335B27D656E8}">
      <formula1>Shape</formula1>
    </dataValidation>
    <dataValidation type="list" allowBlank="1" showInputMessage="1" showErrorMessage="1" sqref="C35" xr:uid="{34864214-3F15-4B62-84EE-62D3D32E9D76}">
      <formula1>Armour</formula1>
    </dataValidation>
    <dataValidation type="list" allowBlank="1" showInputMessage="1" showErrorMessage="1" sqref="C6" xr:uid="{034DFD24-3EAD-4CA1-A6A2-42E4A755FB71}">
      <formula1>"1,2,3,3.5,4"</formula1>
    </dataValidation>
    <dataValidation type="list" allowBlank="1" showInputMessage="1" showErrorMessage="1" sqref="J68:J77" xr:uid="{E129507A-1335-4BF5-B1D5-3BEBCF54927D}">
      <formula1>"Y,N"</formula1>
    </dataValidation>
    <dataValidation type="list" allowBlank="1" showInputMessage="1" showErrorMessage="1" sqref="C10" xr:uid="{AC102713-4544-4422-A835-9CCCB76C2331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2282-73E9-4260-9469-7F911024965D}">
  <dimension ref="A1:Q91"/>
  <sheetViews>
    <sheetView showGridLines="0" topLeftCell="A55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445.9662200556474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25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25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4.886025119029199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0.9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6.6860251190291988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186.26502843133886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140.43840242674128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15.4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16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16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20</v>
      </c>
    </row>
    <row r="48" spans="1:14" s="2" customFormat="1" x14ac:dyDescent="0.2">
      <c r="A48" s="223" t="str">
        <f>"COST SHEET FOR "&amp;C6 &amp; " CORE "&amp;C9&amp;" SQMM "&amp;C10&amp;" CABLE"</f>
        <v>COST SHEET FOR 3 CORE 25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26675.932500000003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13291.057500397403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5619.738264336399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45586.7282647338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2681.5722508666945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1608.9433505200166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1072.6289003466777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1608.9433505200166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1072.6289003466777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53631.445017333885</v>
      </c>
      <c r="N65" s="66"/>
    </row>
    <row r="66" spans="1:14" ht="22.5" x14ac:dyDescent="0.2">
      <c r="A66" s="43"/>
      <c r="B66" s="18" t="str">
        <f>C6&amp;" core"&amp;" "&amp;C9&amp;" sq.mm"&amp;" "&amp;C10&amp;" cable"</f>
        <v>3 core 25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202.5</v>
      </c>
      <c r="D67" s="145">
        <f>C67*(1+C53)</f>
        <v>206.55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60.857714256869407</v>
      </c>
      <c r="D68" s="145">
        <f>C68*(1+C55)</f>
        <v>62.379157113291136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1340.7861254333473</v>
      </c>
      <c r="N68" s="86"/>
    </row>
    <row r="69" spans="1:14" x14ac:dyDescent="0.2">
      <c r="A69" s="43"/>
      <c r="B69" s="7" t="s">
        <v>0</v>
      </c>
      <c r="C69" s="159">
        <f>PI()*($C$37^2-$C$31^2)/4*$C$32</f>
        <v>19.975816887850673</v>
      </c>
      <c r="D69" s="145">
        <f>C69*(1+C55)</f>
        <v>20.475212310046938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1340.7861254333473</v>
      </c>
      <c r="N69" s="86"/>
    </row>
    <row r="70" spans="1:14" x14ac:dyDescent="0.2">
      <c r="A70" s="43"/>
      <c r="B70" s="7" t="s">
        <v>1</v>
      </c>
      <c r="C70" s="159">
        <f>PI()*($C$46^2-$C$43^2)/4*$C$44</f>
        <v>152.68140296446396</v>
      </c>
      <c r="D70" s="145">
        <f>C70*(1+C55)</f>
        <v>156.49843803857553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6.1865945106206743E-2</v>
      </c>
      <c r="D72" s="145">
        <f>C72*(1+C55)</f>
        <v>6.3412593733861905E-2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56313.01726820058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60536.49356331562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854B725E-8984-4E21-94B2-8769E78A7D64}">
      <formula1>"Aluminium,0"</formula1>
    </dataValidation>
    <dataValidation type="list" allowBlank="1" showInputMessage="1" showErrorMessage="1" sqref="J68:J77" xr:uid="{E28D16FB-5906-40A8-8CA2-8892018FDA59}">
      <formula1>"Y,N"</formula1>
    </dataValidation>
    <dataValidation type="list" allowBlank="1" showInputMessage="1" showErrorMessage="1" sqref="C6" xr:uid="{ECD1A7B2-58CA-46DD-887C-DE237AF51A46}">
      <formula1>"1,2,3,3.5,4"</formula1>
    </dataValidation>
    <dataValidation type="list" allowBlank="1" showInputMessage="1" showErrorMessage="1" sqref="C35" xr:uid="{14EA2295-62F9-4893-8D7E-CA998F5CACD4}">
      <formula1>Armour</formula1>
    </dataValidation>
    <dataValidation type="list" allowBlank="1" showInputMessage="1" showErrorMessage="1" sqref="C7" xr:uid="{6987E233-F241-4DFC-8597-C38DCA1E38EE}">
      <formula1>Shape</formula1>
    </dataValidation>
    <dataValidation type="list" allowBlank="1" showInputMessage="1" showErrorMessage="1" sqref="C17 C23 C29 C41" xr:uid="{896A8F90-0FC3-49B7-8B18-DC29D39CC989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A058F-9DAB-431F-8AA2-ACF5D0F15EE0}">
  <dimension ref="A1:Q91"/>
  <sheetViews>
    <sheetView showGridLines="0" topLeftCell="A51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558.25014448107981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35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35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5.7812228852811076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0.9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7.5812228852811074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237.78714795021139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180.56285064022242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17.399999999999999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18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18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22</v>
      </c>
    </row>
    <row r="48" spans="1:14" s="2" customFormat="1" x14ac:dyDescent="0.2">
      <c r="A48" s="223" t="str">
        <f>"COST SHEET FOR "&amp;C6 &amp; " CORE "&amp;C9&amp;" SQMM "&amp;C10&amp;" CABLE"</f>
        <v>COST SHEET FOR 3 CORE 35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37346.305500000009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14793.5180224047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6489.2085894148358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58629.032111819542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3448.7665948129147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2069.2599568877486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1379.5066379251657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2069.2599568877486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1379.5066379251657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68975.331896258285</v>
      </c>
      <c r="N65" s="66"/>
    </row>
    <row r="66" spans="1:14" ht="22.5" x14ac:dyDescent="0.2">
      <c r="A66" s="43"/>
      <c r="B66" s="18" t="str">
        <f>C6&amp;" core"&amp;" "&amp;C9&amp;" sq.mm"&amp;" "&amp;C10&amp;" cable"</f>
        <v>3 core 35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283.50000000000006</v>
      </c>
      <c r="D67" s="145">
        <f>C67*(1+C53)</f>
        <v>289.17000000000007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70.273451095406884</v>
      </c>
      <c r="D68" s="145">
        <f>C68*(1+C55)</f>
        <v>72.030287372792046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1724.3832974064571</v>
      </c>
      <c r="N68" s="86"/>
    </row>
    <row r="69" spans="1:14" x14ac:dyDescent="0.2">
      <c r="A69" s="43"/>
      <c r="B69" s="7" t="s">
        <v>0</v>
      </c>
      <c r="C69" s="159">
        <f>PI()*($C$37^2-$C$31^2)/4*$C$32</f>
        <v>22.520506937258506</v>
      </c>
      <c r="D69" s="145">
        <f>C69*(1+C55)</f>
        <v>23.083519610689969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1724.3832974064571</v>
      </c>
      <c r="N69" s="86"/>
    </row>
    <row r="70" spans="1:14" x14ac:dyDescent="0.2">
      <c r="A70" s="43"/>
      <c r="B70" s="7" t="s">
        <v>1</v>
      </c>
      <c r="C70" s="159">
        <f>PI()*($C$46^2-$C$43^2)/4*$C$44</f>
        <v>169.64600329384885</v>
      </c>
      <c r="D70" s="145">
        <f>C70*(1+C55)</f>
        <v>173.88715337619504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7.7252801368485113E-2</v>
      </c>
      <c r="D72" s="145">
        <f>C72*(1+C55)</f>
        <v>7.9184121402697233E-2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72424.0984910712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77855.905877901532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FA35F11D-BB99-49BF-890E-B6936E306361}">
      <formula1>Insulation</formula1>
    </dataValidation>
    <dataValidation type="list" allowBlank="1" showInputMessage="1" showErrorMessage="1" sqref="C7" xr:uid="{E0C27034-6569-462E-80D9-3FBE5995DD6E}">
      <formula1>Shape</formula1>
    </dataValidation>
    <dataValidation type="list" allowBlank="1" showInputMessage="1" showErrorMessage="1" sqref="C35" xr:uid="{0E14C678-C084-4E60-8CFB-785D6174DAD3}">
      <formula1>Armour</formula1>
    </dataValidation>
    <dataValidation type="list" allowBlank="1" showInputMessage="1" showErrorMessage="1" sqref="C6" xr:uid="{F2B77EFE-590F-475B-A2FD-66F715893AF7}">
      <formula1>"1,2,3,3.5,4"</formula1>
    </dataValidation>
    <dataValidation type="list" allowBlank="1" showInputMessage="1" showErrorMessage="1" sqref="J68:J77" xr:uid="{9A724AA9-CC5F-4876-9466-05B88B3F9C3B}">
      <formula1>"Y,N"</formula1>
    </dataValidation>
    <dataValidation type="list" allowBlank="1" showInputMessage="1" showErrorMessage="1" sqref="C10" xr:uid="{2CB15D99-5567-41C6-A366-80C0D3AAD00A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0AFB-A293-4513-8C5B-AC930CB2DE5F}">
  <dimension ref="A1:Q91"/>
  <sheetViews>
    <sheetView showGridLines="0" topLeftCell="A54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729.9038679506674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50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50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6.90988298942671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8.9098829894267091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311.02552668702344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249.39852116135125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19.899999999999999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20.5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20.5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24.5</v>
      </c>
    </row>
    <row r="48" spans="1:14" s="2" customFormat="1" x14ac:dyDescent="0.2">
      <c r="A48" s="223" t="str">
        <f>"COST SHEET FOR "&amp;C6 &amp; " CORE "&amp;C9&amp;" SQMM "&amp;C10&amp;" CABLE"</f>
        <v>COST SHEET FOR 3 CORE 50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53351.865000000005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16670.570991094712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8536.1752743619618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78558.611265456668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4621.094780320981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2772.6568681925883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1848.4379121283923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2772.6568681925883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1848.4379121283923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92421.89560641961</v>
      </c>
      <c r="N65" s="66"/>
    </row>
    <row r="66" spans="1:14" ht="22.5" x14ac:dyDescent="0.2">
      <c r="A66" s="43"/>
      <c r="B66" s="18" t="str">
        <f>C6&amp;" core"&amp;" "&amp;C9&amp;" sq.mm"&amp;" "&amp;C10&amp;" cable"</f>
        <v>3 core 50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405</v>
      </c>
      <c r="D67" s="145">
        <f>C67*(1+C53)</f>
        <v>413.1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92.440624680056658</v>
      </c>
      <c r="D68" s="145">
        <f>C68*(1+C55)</f>
        <v>94.75164029705806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2310.5473901604905</v>
      </c>
      <c r="N68" s="86"/>
    </row>
    <row r="69" spans="1:14" x14ac:dyDescent="0.2">
      <c r="A69" s="43"/>
      <c r="B69" s="7" t="s">
        <v>0</v>
      </c>
      <c r="C69" s="159">
        <f>PI()*($C$37^2-$C$31^2)/4*$C$32</f>
        <v>25.70136949901817</v>
      </c>
      <c r="D69" s="145">
        <f>C69*(1+C55)</f>
        <v>26.343903736493623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2310.5473901604905</v>
      </c>
      <c r="N69" s="86"/>
    </row>
    <row r="70" spans="1:14" x14ac:dyDescent="0.2">
      <c r="A70" s="43"/>
      <c r="B70" s="7" t="s">
        <v>1</v>
      </c>
      <c r="C70" s="159">
        <f>PI()*($C$46^2-$C$43^2)/4*$C$44</f>
        <v>190.85175370557994</v>
      </c>
      <c r="D70" s="145">
        <f>C70*(1+C55)</f>
        <v>195.62304754821943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8.3196457459657466E-2</v>
      </c>
      <c r="D72" s="145">
        <f>C72*(1+C55)</f>
        <v>8.5276368896148896E-2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97042.990386740596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104321.21466574614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ECB9BA03-00AC-49BD-8C2D-F693E2536619}">
      <formula1>"Aluminium,0"</formula1>
    </dataValidation>
    <dataValidation type="list" allowBlank="1" showInputMessage="1" showErrorMessage="1" sqref="J68:J77" xr:uid="{2C1EE10C-72CC-40BC-AD31-2BA7DAF0E035}">
      <formula1>"Y,N"</formula1>
    </dataValidation>
    <dataValidation type="list" allowBlank="1" showInputMessage="1" showErrorMessage="1" sqref="C6" xr:uid="{55CF9659-7023-4C8B-95FE-0EFA4F1B7B7E}">
      <formula1>"1,2,3,3.5,4"</formula1>
    </dataValidation>
    <dataValidation type="list" allowBlank="1" showInputMessage="1" showErrorMessage="1" sqref="C35" xr:uid="{D393C03F-9A67-454A-9366-0E1B083022FA}">
      <formula1>Armour</formula1>
    </dataValidation>
    <dataValidation type="list" allowBlank="1" showInputMessage="1" showErrorMessage="1" sqref="C7" xr:uid="{53DF1E2C-9977-4A26-B3BB-BE4B907AAAF7}">
      <formula1>Shape</formula1>
    </dataValidation>
    <dataValidation type="list" allowBlank="1" showInputMessage="1" showErrorMessage="1" sqref="C17 C23 C29 C41" xr:uid="{067C062B-536A-46EE-8D8E-2FE231620918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61678-E1B1-44AC-B2B4-F4F95AAC3017}">
  <dimension ref="A1:Q91"/>
  <sheetViews>
    <sheetView showGridLines="0" topLeftCell="A52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993.42731937682038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70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70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8.1758838114662584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1.1000000000000001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10.375883811466259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426.38480892684066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338.22061312568155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0.4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23.3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24.1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2.2000000000000002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24.1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28.5</v>
      </c>
    </row>
    <row r="48" spans="1:14" s="2" customFormat="1" x14ac:dyDescent="0.2">
      <c r="A48" s="223" t="str">
        <f>"COST SHEET FOR "&amp;C6 &amp; " CORE "&amp;C9&amp;" SQMM "&amp;C10&amp;" CABLE"</f>
        <v>COST SHEET FOR 3 CORE 70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74692.611000000019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21986.541070100924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11011.367318536621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107690.51938863756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6334.73643462574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3800.8418607754434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2533.8945738502957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3800.8418607754434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2533.8945738502957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126694.72869251478</v>
      </c>
      <c r="N65" s="66"/>
    </row>
    <row r="66" spans="1:14" ht="22.5" x14ac:dyDescent="0.2">
      <c r="A66" s="43"/>
      <c r="B66" s="18" t="str">
        <f>C6&amp;" core"&amp;" "&amp;C9&amp;" sq.mm"&amp;" "&amp;C10&amp;" cable"</f>
        <v>3 core 70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567.00000000000011</v>
      </c>
      <c r="D67" s="145">
        <f>C67*(1+C53)</f>
        <v>578.34000000000015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119.24517020688386</v>
      </c>
      <c r="D68" s="145">
        <f>C68*(1+C55)</f>
        <v>122.22629946205595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3167.3682173128695</v>
      </c>
      <c r="N68" s="86"/>
    </row>
    <row r="69" spans="1:14" x14ac:dyDescent="0.2">
      <c r="A69" s="43"/>
      <c r="B69" s="7" t="s">
        <v>0</v>
      </c>
      <c r="C69" s="159">
        <f>PI()*($C$37^2-$C$31^2)/4*$C$32</f>
        <v>40.206102780642247</v>
      </c>
      <c r="D69" s="145">
        <f>C69*(1+C55)</f>
        <v>41.211255350158297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3167.3682173128695</v>
      </c>
      <c r="N69" s="86"/>
    </row>
    <row r="70" spans="1:14" x14ac:dyDescent="0.2">
      <c r="A70" s="43"/>
      <c r="B70" s="7" t="s">
        <v>1</v>
      </c>
      <c r="C70" s="159">
        <f>PI()*($C$46^2-$C$43^2)/4*$C$44</f>
        <v>245.39294376455229</v>
      </c>
      <c r="D70" s="145">
        <f>C70*(1+C55)</f>
        <v>251.52776735866607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0.1190216643315648</v>
      </c>
      <c r="D72" s="145">
        <f>C72*(1+C55)</f>
        <v>0.12199720593985391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133029.46512714052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143006.67501167604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56A245CA-2C77-4489-9793-4F9E912594D9}">
      <formula1>Insulation</formula1>
    </dataValidation>
    <dataValidation type="list" allowBlank="1" showInputMessage="1" showErrorMessage="1" sqref="C7" xr:uid="{FFAA04F8-EA56-481F-8FA4-4428368A1FEE}">
      <formula1>Shape</formula1>
    </dataValidation>
    <dataValidation type="list" allowBlank="1" showInputMessage="1" showErrorMessage="1" sqref="C35" xr:uid="{9A40A11F-DFDB-4C92-AEE8-724329E3FAB3}">
      <formula1>Armour</formula1>
    </dataValidation>
    <dataValidation type="list" allowBlank="1" showInputMessage="1" showErrorMessage="1" sqref="C6" xr:uid="{4A61A5B8-14F2-4A8D-88DD-CF45ADB63560}">
      <formula1>"1,2,3,3.5,4"</formula1>
    </dataValidation>
    <dataValidation type="list" allowBlank="1" showInputMessage="1" showErrorMessage="1" sqref="J68:J77" xr:uid="{FDC421BA-8E38-47B9-8454-69B1AF82E451}">
      <formula1>"Y,N"</formula1>
    </dataValidation>
    <dataValidation type="list" allowBlank="1" showInputMessage="1" showErrorMessage="1" sqref="C10" xr:uid="{0181496D-AC4A-46F9-A208-D209187CFB59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81D5A-FC5C-4284-B525-41F5A0CDF360}">
  <dimension ref="A1:Q91"/>
  <sheetViews>
    <sheetView showGridLines="0" topLeftCell="A56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1246.0097619835904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95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95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9.5246163997496698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1.1000000000000001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11.724616399749671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522.79243348387752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431.86415404611819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0.4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25.8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26.6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2.2000000000000002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26.6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31</v>
      </c>
    </row>
    <row r="48" spans="1:14" s="2" customFormat="1" x14ac:dyDescent="0.2">
      <c r="A48" s="223" t="str">
        <f>"COST SHEET FOR "&amp;C6 &amp; " CORE "&amp;C9&amp;" SQMM "&amp;C10&amp;" CABLE"</f>
        <v>COST SHEET FOR 3 CORE 95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101368.5435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24108.197148470041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12612.442778937595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138089.18342740764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8122.8931427886855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4873.7358856732108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3249.1572571154743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4873.7358856732108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3249.1572571154743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162457.86285577371</v>
      </c>
      <c r="N65" s="66"/>
    </row>
    <row r="66" spans="1:14" ht="22.5" x14ac:dyDescent="0.2">
      <c r="A66" s="43"/>
      <c r="B66" s="18" t="str">
        <f>C6&amp;" core"&amp;" "&amp;C9&amp;" sq.mm"&amp;" "&amp;C10&amp;" cable"</f>
        <v>3 core 95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769.5</v>
      </c>
      <c r="D67" s="145">
        <f>C67*(1+C53)</f>
        <v>784.89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136.5836632628899</v>
      </c>
      <c r="D68" s="145">
        <f>C68*(1+C55)</f>
        <v>139.99825484446214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4061.4465713943428</v>
      </c>
      <c r="N68" s="86"/>
    </row>
    <row r="69" spans="1:14" x14ac:dyDescent="0.2">
      <c r="A69" s="43"/>
      <c r="B69" s="7" t="s">
        <v>0</v>
      </c>
      <c r="C69" s="159">
        <f>PI()*($C$37^2-$C$31^2)/4*$C$32</f>
        <v>44.447252862988471</v>
      </c>
      <c r="D69" s="145">
        <f>C69*(1+C55)</f>
        <v>45.558434184563176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4061.4465713943428</v>
      </c>
      <c r="N69" s="86"/>
    </row>
    <row r="70" spans="1:14" x14ac:dyDescent="0.2">
      <c r="A70" s="43"/>
      <c r="B70" s="7" t="s">
        <v>1</v>
      </c>
      <c r="C70" s="159">
        <f>PI()*($C$46^2-$C$43^2)/4*$C$44</f>
        <v>268.71926921745649</v>
      </c>
      <c r="D70" s="145">
        <f>C70*(1+C55)</f>
        <v>275.43725094789289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0.12275317724097511</v>
      </c>
      <c r="D72" s="145">
        <f>C72*(1+C55)</f>
        <v>0.12582200667199947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170580.75599856238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183374.31269845454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AEFB311A-1EC3-422F-8D89-D27CE3F12EE1}">
      <formula1>"Aluminium,0"</formula1>
    </dataValidation>
    <dataValidation type="list" allowBlank="1" showInputMessage="1" showErrorMessage="1" sqref="J68:J77" xr:uid="{7B9DC567-1032-48CF-BAEE-EFA9FA30E694}">
      <formula1>"Y,N"</formula1>
    </dataValidation>
    <dataValidation type="list" allowBlank="1" showInputMessage="1" showErrorMessage="1" sqref="C6" xr:uid="{3543AEAF-942C-4467-B651-F76277B30F11}">
      <formula1>"1,2,3,3.5,4"</formula1>
    </dataValidation>
    <dataValidation type="list" allowBlank="1" showInputMessage="1" showErrorMessage="1" sqref="C35" xr:uid="{C7B0EDD9-4381-4EFA-9820-6942FF13EF5B}">
      <formula1>Armour</formula1>
    </dataValidation>
    <dataValidation type="list" allowBlank="1" showInputMessage="1" showErrorMessage="1" sqref="C7" xr:uid="{4DFEF7D1-AA61-4330-BA52-7AF9567A37D2}">
      <formula1>Shape</formula1>
    </dataValidation>
    <dataValidation type="list" allowBlank="1" showInputMessage="1" showErrorMessage="1" sqref="C17 C23 C29 C41" xr:uid="{749A12FA-803D-4B39-B69B-B8999D913F2A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552A-4A15-4221-BF0B-69930133DD72}">
  <dimension ref="A1:Q91"/>
  <sheetViews>
    <sheetView showGridLines="0" topLeftCell="A38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1517.6253436572947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120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120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10.704744696916627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1.2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13.104744696916628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651.44065264837957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539.51932071693761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0.4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28.8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29.6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2.2000000000000002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29.6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34</v>
      </c>
    </row>
    <row r="48" spans="1:14" s="2" customFormat="1" x14ac:dyDescent="0.2">
      <c r="A48" s="223" t="str">
        <f>"COST SHEET FOR "&amp;C6 &amp; " CORE "&amp;C9&amp;" SQMM "&amp;C10&amp;" CABLE"</f>
        <v>COST SHEET FOR 3 CORE 120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128044.47600000001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26656.020730129349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15416.812733930476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170117.30946405983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10006.900556709403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6004.1403340256411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4002.7602226837607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6004.1403340256411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4002.7602226837607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200138.01113418804</v>
      </c>
      <c r="N65" s="66"/>
    </row>
    <row r="66" spans="1:14" ht="22.5" x14ac:dyDescent="0.2">
      <c r="A66" s="43"/>
      <c r="B66" s="18" t="str">
        <f>C6&amp;" core"&amp;" "&amp;C9&amp;" sq.mm"&amp;" "&amp;C10&amp;" cable"</f>
        <v>3 core 120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972</v>
      </c>
      <c r="D67" s="145">
        <f>C67*(1+C53)</f>
        <v>991.44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166.95296826675195</v>
      </c>
      <c r="D68" s="145">
        <f>C68*(1+C55)</f>
        <v>171.12679247342075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5003.4502783547014</v>
      </c>
      <c r="N68" s="86"/>
    </row>
    <row r="69" spans="1:14" x14ac:dyDescent="0.2">
      <c r="A69" s="43"/>
      <c r="B69" s="7" t="s">
        <v>0</v>
      </c>
      <c r="C69" s="159">
        <f>PI()*($C$37^2-$C$31^2)/4*$C$32</f>
        <v>49.536632961803889</v>
      </c>
      <c r="D69" s="145">
        <f>C69*(1+C55)</f>
        <v>50.775048785848981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5003.4502783547014</v>
      </c>
      <c r="N69" s="86"/>
    </row>
    <row r="70" spans="1:14" x14ac:dyDescent="0.2">
      <c r="A70" s="43"/>
      <c r="B70" s="7" t="s">
        <v>1</v>
      </c>
      <c r="C70" s="159">
        <f>PI()*($C$46^2-$C$43^2)/4*$C$44</f>
        <v>296.7108597609415</v>
      </c>
      <c r="D70" s="145">
        <f>C70*(1+C55)</f>
        <v>304.128631254965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0.15109379810744664</v>
      </c>
      <c r="D72" s="145">
        <f>C72*(1+C55)</f>
        <v>0.15487114306013278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210144.91169089745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225905.78006771475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30953FF0-E380-4511-9B2D-55C5BCCD866C}">
      <formula1>Insulation</formula1>
    </dataValidation>
    <dataValidation type="list" allowBlank="1" showInputMessage="1" showErrorMessage="1" sqref="C7" xr:uid="{4443DDAB-10D0-42E2-B6FE-5ADD9824E152}">
      <formula1>Shape</formula1>
    </dataValidation>
    <dataValidation type="list" allowBlank="1" showInputMessage="1" showErrorMessage="1" sqref="C35" xr:uid="{DA3EDD1B-274E-4564-B864-6DD5F45724C7}">
      <formula1>Armour</formula1>
    </dataValidation>
    <dataValidation type="list" allowBlank="1" showInputMessage="1" showErrorMessage="1" sqref="C6" xr:uid="{9564361C-5C13-42A2-90AD-41ECDBB53DBB}">
      <formula1>"1,2,3,3.5,4"</formula1>
    </dataValidation>
    <dataValidation type="list" allowBlank="1" showInputMessage="1" showErrorMessage="1" sqref="J68:J77" xr:uid="{E30F3457-9052-4C77-A9C0-DB5BFEE366CE}">
      <formula1>"Y,N"</formula1>
    </dataValidation>
    <dataValidation type="list" allowBlank="1" showInputMessage="1" showErrorMessage="1" sqref="C10" xr:uid="{66F2A141-77DC-486C-9152-B92C3DB842AA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B4D7-4E4A-4874-A990-1828E8B27479}">
  <dimension ref="A1:Q91"/>
  <sheetViews>
    <sheetView showGridLines="0" topLeftCell="A50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1906.1699141594531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150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150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11.968268412042981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1.4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14.768268412042982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814.33223173701037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685.18686147314804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0.5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32.200000000000003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33.200000000000003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2.4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33.200000000000003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38</v>
      </c>
    </row>
    <row r="48" spans="1:14" s="2" customFormat="1" x14ac:dyDescent="0.2">
      <c r="A48" s="223" t="str">
        <f>"COST SHEET FOR "&amp;C6 &amp; " CORE "&amp;C9&amp;" SQMM "&amp;C10&amp;" CABLE"</f>
        <v>COST SHEET FOR 3 CORE 150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160055.595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33234.053737397619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20197.446081747989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213487.09481914563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12558.064401126214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7534.8386406757281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5023.2257604504857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7534.8386406757281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5023.2257604504857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251161.28802252427</v>
      </c>
      <c r="N65" s="66"/>
    </row>
    <row r="66" spans="1:14" ht="22.5" x14ac:dyDescent="0.2">
      <c r="A66" s="43"/>
      <c r="B66" s="18" t="str">
        <f>C6&amp;" core"&amp;" "&amp;C9&amp;" sq.mm"&amp;" "&amp;C10&amp;" cable"</f>
        <v>3 core 150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1215</v>
      </c>
      <c r="D67" s="145">
        <f>C67*(1+C53)</f>
        <v>1239.3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218.72378117002771</v>
      </c>
      <c r="D68" s="145">
        <f>C68*(1+C55)</f>
        <v>224.19187569927837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6279.0322005631069</v>
      </c>
      <c r="N68" s="86"/>
    </row>
    <row r="69" spans="1:14" x14ac:dyDescent="0.2">
      <c r="A69" s="43"/>
      <c r="B69" s="7" t="s">
        <v>0</v>
      </c>
      <c r="C69" s="159">
        <f>PI()*($C$37^2-$C$31^2)/4*$C$32</f>
        <v>69.342803846360809</v>
      </c>
      <c r="D69" s="145">
        <f>C69*(1+C55)</f>
        <v>71.076373942519822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6279.0322005631069</v>
      </c>
      <c r="N69" s="86"/>
    </row>
    <row r="70" spans="1:14" x14ac:dyDescent="0.2">
      <c r="A70" s="43"/>
      <c r="B70" s="7" t="s">
        <v>1</v>
      </c>
      <c r="C70" s="159">
        <f>PI()*($C$46^2-$C$43^2)/4*$C$44</f>
        <v>362.36386303566081</v>
      </c>
      <c r="D70" s="145">
        <f>C70*(1+C55)</f>
        <v>371.4229596115523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0.17434624985621416</v>
      </c>
      <c r="D72" s="145">
        <f>C72*(1+C55)</f>
        <v>0.17870490610261949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263719.3524236505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283498.30385542428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281DDF66-B5C8-446F-B1F6-95D0D1D66806}">
      <formula1>"Aluminium,0"</formula1>
    </dataValidation>
    <dataValidation type="list" allowBlank="1" showInputMessage="1" showErrorMessage="1" sqref="J68:J77" xr:uid="{B1273A55-94A5-49FF-BFD4-E7986AE0915F}">
      <formula1>"Y,N"</formula1>
    </dataValidation>
    <dataValidation type="list" allowBlank="1" showInputMessage="1" showErrorMessage="1" sqref="C6" xr:uid="{AA0843AA-15E7-4762-95CF-A0BAADFBD8FC}">
      <formula1>"1,2,3,3.5,4"</formula1>
    </dataValidation>
    <dataValidation type="list" allowBlank="1" showInputMessage="1" showErrorMessage="1" sqref="C35" xr:uid="{3CACB02E-3784-4005-ACEE-A835D29FB0B5}">
      <formula1>Armour</formula1>
    </dataValidation>
    <dataValidation type="list" allowBlank="1" showInputMessage="1" showErrorMessage="1" sqref="C7" xr:uid="{47EBEC43-28BF-449B-B883-7DA42081BFE9}">
      <formula1>Shape</formula1>
    </dataValidation>
    <dataValidation type="list" allowBlank="1" showInputMessage="1" showErrorMessage="1" sqref="C17 C23 C29 C41" xr:uid="{03A2A34C-C3D0-4A8A-B717-04C564C4F67C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0AF8-F94A-435C-8979-490973A72244}">
  <dimension ref="A1:Q91"/>
  <sheetViews>
    <sheetView showGridLines="0" topLeftCell="A52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2338.3193451974989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185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185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13.291425312283248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1.6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16.491425312283248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1006.5977021367055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854.40987112032087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0.5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35.799999999999997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36.799999999999997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2.6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36.799999999999997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42</v>
      </c>
    </row>
    <row r="48" spans="1:14" s="2" customFormat="1" x14ac:dyDescent="0.2">
      <c r="A48" s="223" t="str">
        <f>"COST SHEET FOR "&amp;C6 &amp; " CORE "&amp;C9&amp;" SQMM "&amp;C10&amp;" CABLE"</f>
        <v>COST SHEET FOR 3 CORE 185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197401.90050000002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39372.099182820384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25712.808489458217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262486.80817227863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15440.400480722274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9264.2402884333624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6176.1601922889095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9264.2402884333624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6176.1601922889095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308808.00961444544</v>
      </c>
      <c r="N65" s="66"/>
    </row>
    <row r="66" spans="1:14" ht="22.5" x14ac:dyDescent="0.2">
      <c r="A66" s="43"/>
      <c r="B66" s="18" t="str">
        <f>C6&amp;" core"&amp;" "&amp;C9&amp;" sq.mm"&amp;" "&amp;C10&amp;" cable"</f>
        <v>3 core 185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1498.5</v>
      </c>
      <c r="D67" s="145">
        <f>C67*(1+C53)</f>
        <v>1528.47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278.45118014189842</v>
      </c>
      <c r="D68" s="145">
        <f>C68*(1+C55)</f>
        <v>285.41245964544584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7720.2002403611368</v>
      </c>
      <c r="N68" s="86"/>
    </row>
    <row r="69" spans="1:14" x14ac:dyDescent="0.2">
      <c r="A69" s="43"/>
      <c r="B69" s="7" t="s">
        <v>0</v>
      </c>
      <c r="C69" s="159">
        <f>PI()*($C$37^2-$C$31^2)/4*$C$32</f>
        <v>76.976873994583812</v>
      </c>
      <c r="D69" s="145">
        <f>C69*(1+C55)</f>
        <v>78.901295844448398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7720.2002403611368</v>
      </c>
      <c r="N69" s="86"/>
    </row>
    <row r="70" spans="1:14" x14ac:dyDescent="0.2">
      <c r="A70" s="43"/>
      <c r="B70" s="7" t="s">
        <v>1</v>
      </c>
      <c r="C70" s="159">
        <f>PI()*($C$46^2-$C$43^2)/4*$C$44</f>
        <v>434.46341443554712</v>
      </c>
      <c r="D70" s="145">
        <f>C70*(1+C55)</f>
        <v>445.32499979643575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0.20545357187211927</v>
      </c>
      <c r="D72" s="145">
        <f>C72*(1+C55)</f>
        <v>0.21058991116892223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324248.4100951677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348567.04085230525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929ADB3B-2577-415A-ADE7-B84F08DC8181}">
      <formula1>Insulation</formula1>
    </dataValidation>
    <dataValidation type="list" allowBlank="1" showInputMessage="1" showErrorMessage="1" sqref="C7" xr:uid="{41B309B9-BB9E-4BC0-A378-126CF8C173F3}">
      <formula1>Shape</formula1>
    </dataValidation>
    <dataValidation type="list" allowBlank="1" showInputMessage="1" showErrorMessage="1" sqref="C35" xr:uid="{AF1D8E0D-8067-4971-A740-849A8CD26E9E}">
      <formula1>Armour</formula1>
    </dataValidation>
    <dataValidation type="list" allowBlank="1" showInputMessage="1" showErrorMessage="1" sqref="C6" xr:uid="{29F85126-A129-4D82-8553-C5AAA7C0FBC7}">
      <formula1>"1,2,3,3.5,4"</formula1>
    </dataValidation>
    <dataValidation type="list" allowBlank="1" showInputMessage="1" showErrorMessage="1" sqref="J68:J77" xr:uid="{6E499DA8-414A-4EF5-9DDB-A8E346A69FE3}">
      <formula1>"Y,N"</formula1>
    </dataValidation>
    <dataValidation type="list" allowBlank="1" showInputMessage="1" showErrorMessage="1" sqref="C10" xr:uid="{407D70DD-FB24-4EAF-9CDE-AA01C3BDB174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71B8-9AA8-4242-8CD1-3F3F68DD93CB}">
  <dimension ref="A1:Q91"/>
  <sheetViews>
    <sheetView showGridLines="0" topLeftCell="A54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2977.9093971391726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3 Core 240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3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240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120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15.138795132120961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1.7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18.53879513212096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1301.0042036862387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1079.7243185601483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0.6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40.699999999999996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41.9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2.8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41.9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47.5</v>
      </c>
    </row>
    <row r="48" spans="1:14" s="2" customFormat="1" x14ac:dyDescent="0.2">
      <c r="A48" s="223" t="str">
        <f>"COST SHEET FOR "&amp;C6 &amp; " CORE "&amp;C9&amp;" SQMM "&amp;C10&amp;" CABLE"</f>
        <v>COST SHEET FOR 3 CORE 240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256088.95200000002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48958.073449663694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30892.510248671602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335939.53569833527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19761.149158725606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11856.689495235363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7904.4596634902418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11856.689495235363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7904.4596634902418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395222.9831745121</v>
      </c>
      <c r="N65" s="66"/>
    </row>
    <row r="66" spans="1:14" ht="22.5" x14ac:dyDescent="0.2">
      <c r="A66" s="43"/>
      <c r="B66" s="18" t="str">
        <f>C6&amp;" core"&amp;" "&amp;C9&amp;" sq.mm"&amp;" "&amp;C10&amp;" cable"</f>
        <v>3 core 240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1944</v>
      </c>
      <c r="D67" s="145">
        <f>C67*(1+C53)</f>
        <v>1982.88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334.54361626093799</v>
      </c>
      <c r="D68" s="145">
        <f>C68*(1+C55)</f>
        <v>342.90720666746142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9880.574579362803</v>
      </c>
      <c r="N68" s="86"/>
    </row>
    <row r="69" spans="1:14" x14ac:dyDescent="0.2">
      <c r="A69" s="43"/>
      <c r="B69" s="7" t="s">
        <v>0</v>
      </c>
      <c r="C69" s="159">
        <f>PI()*($C$37^2-$C$31^2)/4*$C$32</f>
        <v>105.09569904053971</v>
      </c>
      <c r="D69" s="145">
        <f>C69*(1+C55)</f>
        <v>107.7230915165532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9880.574579362803</v>
      </c>
      <c r="N69" s="86"/>
    </row>
    <row r="70" spans="1:14" x14ac:dyDescent="0.2">
      <c r="A70" s="43"/>
      <c r="B70" s="7" t="s">
        <v>1</v>
      </c>
      <c r="C70" s="159">
        <f>PI()*($C$46^2-$C$43^2)/4*$C$44</f>
        <v>530.82234430645315</v>
      </c>
      <c r="D70" s="145">
        <f>C70*(1+C55)</f>
        <v>544.09290291411446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0.29872784492022214</v>
      </c>
      <c r="D72" s="145">
        <f>C72*(1+C55)</f>
        <v>0.30619604104322767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414984.13233323774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446107.94225823053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2B0DC904-4ECE-4D47-B894-05C0A1897297}">
      <formula1>"Aluminium,0"</formula1>
    </dataValidation>
    <dataValidation type="list" allowBlank="1" showInputMessage="1" showErrorMessage="1" sqref="J68:J77" xr:uid="{652FE2EA-480F-470C-B626-85D8547560E5}">
      <formula1>"Y,N"</formula1>
    </dataValidation>
    <dataValidation type="list" allowBlank="1" showInputMessage="1" showErrorMessage="1" sqref="C6" xr:uid="{DD14B190-D65E-4121-AEF2-8BBCAFE3AD4D}">
      <formula1>"1,2,3,3.5,4"</formula1>
    </dataValidation>
    <dataValidation type="list" allowBlank="1" showInputMessage="1" showErrorMessage="1" sqref="C35" xr:uid="{0B689DF9-EEA7-40D7-B912-477E75CDE88F}">
      <formula1>Armour</formula1>
    </dataValidation>
    <dataValidation type="list" allowBlank="1" showInputMessage="1" showErrorMessage="1" sqref="C7" xr:uid="{0587A61E-BC4A-4B0A-8B64-AB2C6740510B}">
      <formula1>Shape</formula1>
    </dataValidation>
    <dataValidation type="list" allowBlank="1" showInputMessage="1" showErrorMessage="1" sqref="C17 C23 C29 C41" xr:uid="{9C341A59-D892-4BDF-A62E-BD6E08D6DC62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6BAC-6251-4454-B99F-CB70D1F58F57}">
  <dimension ref="A1:Q91"/>
  <sheetViews>
    <sheetView showGridLines="0" topLeftCell="A54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222.11212865294436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4 Core 6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4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6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90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90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2.763953195770684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0.7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4.1639531957706843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109.35884027146071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54.470523754193799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11.8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12.4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1.8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12.4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16</v>
      </c>
    </row>
    <row r="48" spans="1:14" s="2" customFormat="1" x14ac:dyDescent="0.2">
      <c r="A48" s="223" t="str">
        <f>"COST SHEET FOR "&amp;C6 &amp; " CORE "&amp;C9&amp;" SQMM "&amp;C10&amp;" CABLE"</f>
        <v>COST SHEET FOR 4 CORE 6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8536.2984000000033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9532.280398960751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2616.7565515908532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20685.33535055161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1216.784432385389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730.07065943123325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486.7137729541555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730.07065943123325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486.7137729541555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24335.688647707775</v>
      </c>
      <c r="N65" s="66"/>
    </row>
    <row r="66" spans="1:14" ht="22.5" x14ac:dyDescent="0.2">
      <c r="A66" s="43"/>
      <c r="B66" s="18" t="str">
        <f>C6&amp;" core"&amp;" "&amp;C9&amp;" sq.mm"&amp;" "&amp;C10&amp;" cable"</f>
        <v>4 core 6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64.800000000000011</v>
      </c>
      <c r="D67" s="145">
        <f>C67*(1+C53)</f>
        <v>66.096000000000018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28.337587091400234</v>
      </c>
      <c r="D68" s="145">
        <f>C68*(1+C55)</f>
        <v>29.046026768685238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608.39221619269438</v>
      </c>
      <c r="N68" s="86"/>
    </row>
    <row r="69" spans="1:14" x14ac:dyDescent="0.2">
      <c r="A69" s="43"/>
      <c r="B69" s="7" t="s">
        <v>0</v>
      </c>
      <c r="C69" s="159">
        <f>PI()*($C$37^2-$C$31^2)/4*$C$32</f>
        <v>15.395374798916793</v>
      </c>
      <c r="D69" s="145">
        <f>C69*(1+C55)</f>
        <v>15.78025916888971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608.39221619269438</v>
      </c>
      <c r="N69" s="86"/>
    </row>
    <row r="70" spans="1:14" x14ac:dyDescent="0.2">
      <c r="A70" s="43"/>
      <c r="B70" s="7" t="s">
        <v>1</v>
      </c>
      <c r="C70" s="159">
        <f>PI()*($C$46^2-$C$43^2)/4*$C$44</f>
        <v>108.40379610476938</v>
      </c>
      <c r="D70" s="145">
        <f>C70*(1+C55)</f>
        <v>111.1138910073886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7.4099227298310325E-2</v>
      </c>
      <c r="D72" s="145">
        <f>C72*(1+C55)</f>
        <v>7.5951707980768071E-2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25552.473080093165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27468.90856110015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disablePrompts="1" count="6">
    <dataValidation type="list" allowBlank="1" showInputMessage="1" showErrorMessage="1" sqref="C17 C23 C29 C41" xr:uid="{C95CE96F-BB30-44DC-9473-5517F085614E}">
      <formula1>Insulation</formula1>
    </dataValidation>
    <dataValidation type="list" allowBlank="1" showInputMessage="1" showErrorMessage="1" sqref="C7" xr:uid="{00B497F6-5B3E-42A8-B259-5B99430A835C}">
      <formula1>Shape</formula1>
    </dataValidation>
    <dataValidation type="list" allowBlank="1" showInputMessage="1" showErrorMessage="1" sqref="C35" xr:uid="{427B75C4-9093-4F35-B41D-EBDCC855E87F}">
      <formula1>Armour</formula1>
    </dataValidation>
    <dataValidation type="list" allowBlank="1" showInputMessage="1" showErrorMessage="1" sqref="C6" xr:uid="{928805D7-002B-4410-87E6-B066B01B69D5}">
      <formula1>"1,2,3,3.5,4"</formula1>
    </dataValidation>
    <dataValidation type="list" allowBlank="1" showInputMessage="1" showErrorMessage="1" sqref="J68:J77" xr:uid="{801A14D7-67AB-418F-A3BE-EDE77F08BF38}">
      <formula1>"Y,N"</formula1>
    </dataValidation>
    <dataValidation type="list" allowBlank="1" showInputMessage="1" showErrorMessage="1" sqref="C10" xr:uid="{9BCDD509-56C0-457E-A3BC-D173AA3095AD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BAF8-DFD0-4F5A-A1CE-8D5D55B4F445}">
  <dimension ref="A1:Q91"/>
  <sheetViews>
    <sheetView showGridLines="0" topLeftCell="A59" zoomScale="86" zoomScaleNormal="86" workbookViewId="0">
      <selection activeCell="B61" sqref="B61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291.20218849519648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4 Core 10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4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10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90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90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3.5682482323055424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0.7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4.9682482323055428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149.57122623741006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77.545472412864399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13.8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14.4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1.8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14.4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18</v>
      </c>
    </row>
    <row r="48" spans="1:14" s="2" customFormat="1" x14ac:dyDescent="0.2">
      <c r="A48" s="223" t="str">
        <f>"COST SHEET FOR "&amp;C6 &amp; " CORE "&amp;C9&amp;" SQMM "&amp;C10&amp;" CABLE"</f>
        <v>COST SHEET FOR 4 CORE 10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14227.164000000002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10904.791416341335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3224.3410619226502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28356.296478263987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1668.0174398978818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1000.8104639387288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667.2069759591526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1000.8104639387288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667.2069759591526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33360.348797957631</v>
      </c>
      <c r="N65" s="66"/>
    </row>
    <row r="66" spans="1:14" ht="22.5" x14ac:dyDescent="0.2">
      <c r="A66" s="43"/>
      <c r="B66" s="18" t="str">
        <f>C6&amp;" core"&amp;" "&amp;C9&amp;" sq.mm"&amp;" "&amp;C10&amp;" cable"</f>
        <v>4 core 10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108.00000000000001</v>
      </c>
      <c r="D67" s="145">
        <f>C67*(1+C53)</f>
        <v>110.16000000000001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34.917289343963901</v>
      </c>
      <c r="D68" s="145">
        <f>C68*(1+C55)</f>
        <v>35.790221577562995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834.00871994894078</v>
      </c>
      <c r="N68" s="86"/>
    </row>
    <row r="69" spans="1:14" x14ac:dyDescent="0.2">
      <c r="A69" s="43"/>
      <c r="B69" s="7" t="s">
        <v>0</v>
      </c>
      <c r="C69" s="159">
        <f>PI()*($C$37^2-$C$31^2)/4*$C$32</f>
        <v>17.940064848324504</v>
      </c>
      <c r="D69" s="145">
        <f>C69*(1+C55)</f>
        <v>18.388566469532616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834.00871994894078</v>
      </c>
      <c r="N69" s="86"/>
    </row>
    <row r="70" spans="1:14" x14ac:dyDescent="0.2">
      <c r="A70" s="43"/>
      <c r="B70" s="7" t="s">
        <v>1</v>
      </c>
      <c r="C70" s="159">
        <f>PI()*($C$46^2-$C$43^2)/4*$C$44</f>
        <v>123.67193640121579</v>
      </c>
      <c r="D70" s="145">
        <f>C70*(1+C55)</f>
        <v>126.76373481124617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9.7234767663136656E-2</v>
      </c>
      <c r="D72" s="145">
        <f>C72*(1+C55)</f>
        <v>9.9665636854715065E-2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35028.366237855516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37655.49370569468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0" xr:uid="{F6959AA2-FA24-4282-AAAA-15B1D28F512E}">
      <formula1>"Aluminium,0"</formula1>
    </dataValidation>
    <dataValidation type="list" allowBlank="1" showInputMessage="1" showErrorMessage="1" sqref="J68:J77" xr:uid="{35B400F0-C574-4F64-83CA-0317AC7FC77B}">
      <formula1>"Y,N"</formula1>
    </dataValidation>
    <dataValidation type="list" allowBlank="1" showInputMessage="1" showErrorMessage="1" sqref="C6" xr:uid="{11C13B19-CD20-4D2A-A67A-936BC66AC0B8}">
      <formula1>"1,2,3,3.5,4"</formula1>
    </dataValidation>
    <dataValidation type="list" allowBlank="1" showInputMessage="1" showErrorMessage="1" sqref="C35" xr:uid="{1E1CFAC3-5932-4483-95CC-22F0C02907F2}">
      <formula1>Armour</formula1>
    </dataValidation>
    <dataValidation type="list" allowBlank="1" showInputMessage="1" showErrorMessage="1" sqref="C7" xr:uid="{B796BF36-3A1E-4C9D-9392-59E62FEC6647}">
      <formula1>Shape</formula1>
    </dataValidation>
    <dataValidation type="list" allowBlank="1" showInputMessage="1" showErrorMessage="1" sqref="C17 C23 C29 C41" xr:uid="{2D41FA95-BCEA-463B-A54A-91D8FB3019D0}">
      <formula1>Insulation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7A8FA-9EE3-46B6-B620-E01AB30F0EA3}">
  <dimension ref="A1:Q91"/>
  <sheetViews>
    <sheetView showGridLines="0" topLeftCell="A40" zoomScale="86" zoomScaleNormal="86" workbookViewId="0">
      <selection activeCell="B87" sqref="B87"/>
    </sheetView>
  </sheetViews>
  <sheetFormatPr defaultRowHeight="12.75" x14ac:dyDescent="0.2"/>
  <cols>
    <col min="1" max="1" width="5.140625" style="5" customWidth="1"/>
    <col min="2" max="2" width="35.85546875" style="4" customWidth="1"/>
    <col min="3" max="3" width="18.85546875" style="4" customWidth="1"/>
    <col min="4" max="4" width="17.7109375" style="33" customWidth="1"/>
    <col min="5" max="5" width="14.7109375" style="4" customWidth="1"/>
    <col min="6" max="7" width="5.28515625" style="4" customWidth="1"/>
    <col min="8" max="8" width="8.5703125" style="4" customWidth="1"/>
    <col min="9" max="9" width="35.7109375" style="4" customWidth="1"/>
    <col min="10" max="10" width="11.42578125" style="5" customWidth="1"/>
    <col min="11" max="11" width="8.42578125" style="5" customWidth="1"/>
    <col min="12" max="12" width="9" style="4" customWidth="1"/>
    <col min="13" max="13" width="13.85546875" style="4" bestFit="1" customWidth="1"/>
    <col min="14" max="14" width="11.85546875" style="4" customWidth="1"/>
    <col min="15" max="16" width="9.140625" style="4"/>
    <col min="17" max="17" width="12.5703125" style="4" customWidth="1"/>
    <col min="18" max="16384" width="9.140625" style="4"/>
  </cols>
  <sheetData>
    <row r="1" spans="1:12" x14ac:dyDescent="0.2">
      <c r="B1" s="180" t="e">
        <f>#REF!</f>
        <v>#REF!</v>
      </c>
      <c r="C1" s="181">
        <f>SUM(D67:D72)</f>
        <v>374.33991894972581</v>
      </c>
    </row>
    <row r="2" spans="1:12" ht="20.25" x14ac:dyDescent="0.3">
      <c r="A2" s="4"/>
      <c r="B2" s="32" t="str">
        <f>"Cost Sheet for"&amp;" "&amp;C6&amp;" Core"&amp;" "&amp;C9&amp;" sq.mm"&amp;" "&amp;C10&amp;" Cable"</f>
        <v>Cost Sheet for 4 Core 16 sq.mm Aluminium Cable</v>
      </c>
      <c r="J2" s="122"/>
      <c r="K2" s="122"/>
    </row>
    <row r="3" spans="1:12" ht="6" customHeight="1" x14ac:dyDescent="0.2">
      <c r="A3" s="4"/>
    </row>
    <row r="4" spans="1:12" x14ac:dyDescent="0.2">
      <c r="A4" s="175"/>
      <c r="B4" s="176" t="s">
        <v>41</v>
      </c>
      <c r="C4" s="175"/>
      <c r="D4" s="177"/>
    </row>
    <row r="6" spans="1:12" x14ac:dyDescent="0.2">
      <c r="A6" s="4"/>
      <c r="B6" s="28" t="s">
        <v>25</v>
      </c>
      <c r="C6" s="144">
        <v>4</v>
      </c>
    </row>
    <row r="7" spans="1:12" x14ac:dyDescent="0.2">
      <c r="A7" s="4"/>
      <c r="B7" s="36" t="s">
        <v>53</v>
      </c>
      <c r="C7" s="155" t="s">
        <v>52</v>
      </c>
    </row>
    <row r="8" spans="1:12" x14ac:dyDescent="0.2">
      <c r="A8" s="4"/>
      <c r="B8" s="163" t="s">
        <v>27</v>
      </c>
      <c r="C8" s="164"/>
      <c r="D8" s="101"/>
      <c r="E8" s="13"/>
    </row>
    <row r="9" spans="1:12" x14ac:dyDescent="0.2">
      <c r="A9" s="4"/>
      <c r="B9" s="36" t="s">
        <v>29</v>
      </c>
      <c r="C9" s="157">
        <v>16</v>
      </c>
      <c r="D9" s="97" t="s">
        <v>54</v>
      </c>
      <c r="E9" s="2"/>
      <c r="F9" s="2"/>
      <c r="G9" s="74"/>
    </row>
    <row r="10" spans="1:12" x14ac:dyDescent="0.2">
      <c r="A10" s="4"/>
      <c r="B10" s="28" t="s">
        <v>26</v>
      </c>
      <c r="C10" s="144" t="s">
        <v>18</v>
      </c>
      <c r="F10" s="2"/>
      <c r="G10" s="2"/>
      <c r="H10" s="31"/>
      <c r="I10" s="97"/>
      <c r="J10" s="123"/>
      <c r="K10" s="123"/>
      <c r="L10" s="23">
        <f>2*L9</f>
        <v>0</v>
      </c>
    </row>
    <row r="11" spans="1:12" x14ac:dyDescent="0.2">
      <c r="A11" s="4"/>
      <c r="B11" s="36" t="s">
        <v>59</v>
      </c>
      <c r="C11" s="158">
        <f>IF(C7="Sector shaped", (360/C6),360)</f>
        <v>90</v>
      </c>
      <c r="F11" s="2"/>
      <c r="G11" s="2"/>
      <c r="H11" s="31"/>
      <c r="I11" s="97"/>
      <c r="J11" s="123"/>
      <c r="K11" s="123"/>
      <c r="L11" s="23"/>
    </row>
    <row r="12" spans="1:12" x14ac:dyDescent="0.2">
      <c r="A12" s="4"/>
      <c r="B12" s="36" t="s">
        <v>59</v>
      </c>
      <c r="C12" s="158">
        <f>IF(C7="Sector shaped",360-C11*3,0)</f>
        <v>90</v>
      </c>
      <c r="F12" s="2"/>
      <c r="G12" s="2"/>
      <c r="H12" s="31"/>
      <c r="I12" s="97"/>
      <c r="J12" s="123"/>
      <c r="K12" s="123"/>
      <c r="L12" s="23"/>
    </row>
    <row r="13" spans="1:12" x14ac:dyDescent="0.2">
      <c r="A13" s="4"/>
      <c r="B13" s="36" t="s">
        <v>82</v>
      </c>
      <c r="C13" s="159">
        <f>SQRT((C9*(360/C11))/PI())</f>
        <v>4.5135166683820502</v>
      </c>
      <c r="D13" s="26" t="s">
        <v>30</v>
      </c>
      <c r="E13" s="99"/>
      <c r="I13" s="35"/>
      <c r="J13" s="124"/>
      <c r="K13" s="124"/>
      <c r="L13" s="23"/>
    </row>
    <row r="14" spans="1:12" x14ac:dyDescent="0.2">
      <c r="A14" s="4"/>
      <c r="B14" s="28" t="s">
        <v>38</v>
      </c>
      <c r="C14" s="160">
        <f>VLOOKUP(C10,Density1,2,0)</f>
        <v>2.7</v>
      </c>
      <c r="D14" s="26" t="s">
        <v>39</v>
      </c>
      <c r="E14" s="26"/>
      <c r="I14" s="113"/>
      <c r="J14" s="125"/>
      <c r="K14" s="125"/>
      <c r="L14" s="23"/>
    </row>
    <row r="15" spans="1:12" x14ac:dyDescent="0.2">
      <c r="A15" s="4"/>
      <c r="C15" s="33"/>
    </row>
    <row r="16" spans="1:12" x14ac:dyDescent="0.2">
      <c r="A16" s="4"/>
      <c r="B16" s="72" t="s">
        <v>85</v>
      </c>
      <c r="C16" s="156"/>
      <c r="E16" s="2"/>
      <c r="H16" s="74"/>
      <c r="L16" s="74"/>
    </row>
    <row r="17" spans="1:12" x14ac:dyDescent="0.2">
      <c r="A17" s="4"/>
      <c r="B17" s="28" t="s">
        <v>21</v>
      </c>
      <c r="C17" s="144" t="s">
        <v>31</v>
      </c>
      <c r="E17" s="2"/>
      <c r="H17" s="74"/>
      <c r="L17" s="74"/>
    </row>
    <row r="18" spans="1:12" x14ac:dyDescent="0.2">
      <c r="A18" s="4"/>
      <c r="B18" s="28" t="s">
        <v>32</v>
      </c>
      <c r="C18" s="144">
        <v>0.7</v>
      </c>
      <c r="E18" s="2"/>
      <c r="H18" s="74"/>
      <c r="L18" s="74"/>
    </row>
    <row r="19" spans="1:12" x14ac:dyDescent="0.2">
      <c r="A19" s="4"/>
      <c r="B19" s="36" t="s">
        <v>83</v>
      </c>
      <c r="C19" s="159">
        <f>IF(C7="Circular", C13+C18,C13+2*C18)</f>
        <v>5.9135166683820497</v>
      </c>
      <c r="D19" s="26" t="s">
        <v>30</v>
      </c>
    </row>
    <row r="20" spans="1:12" x14ac:dyDescent="0.2">
      <c r="A20" s="4"/>
      <c r="B20" s="28" t="s">
        <v>38</v>
      </c>
      <c r="C20" s="160">
        <f>VLOOKUP(C17,Density,2,0)</f>
        <v>0.93</v>
      </c>
      <c r="D20" s="26" t="s">
        <v>39</v>
      </c>
    </row>
    <row r="21" spans="1:12" x14ac:dyDescent="0.2">
      <c r="A21" s="4"/>
      <c r="C21" s="33"/>
      <c r="L21" s="23"/>
    </row>
    <row r="22" spans="1:12" x14ac:dyDescent="0.2">
      <c r="A22" s="4"/>
      <c r="B22" s="72" t="s">
        <v>90</v>
      </c>
      <c r="C22" s="156"/>
      <c r="D22" s="26"/>
    </row>
    <row r="23" spans="1:12" x14ac:dyDescent="0.2">
      <c r="A23" s="4"/>
      <c r="B23" s="36" t="s">
        <v>92</v>
      </c>
      <c r="C23" s="144" t="s">
        <v>9</v>
      </c>
      <c r="D23" s="26"/>
    </row>
    <row r="24" spans="1:12" x14ac:dyDescent="0.2">
      <c r="A24" s="4"/>
      <c r="B24" s="36" t="s">
        <v>94</v>
      </c>
      <c r="C24" s="174">
        <f>PI()*((C31/2)^2)</f>
        <v>172.0336137105771</v>
      </c>
      <c r="D24" s="97" t="s">
        <v>93</v>
      </c>
      <c r="E24" s="33"/>
      <c r="F24" s="29"/>
      <c r="G24" s="29"/>
      <c r="H24" s="31"/>
      <c r="I24" s="34"/>
      <c r="J24" s="126"/>
      <c r="K24" s="126"/>
    </row>
    <row r="25" spans="1:12" x14ac:dyDescent="0.2">
      <c r="A25" s="4"/>
      <c r="B25" s="36" t="s">
        <v>95</v>
      </c>
      <c r="C25" s="174">
        <f>IF(C6=3.5,((C11/360)*PI()*(C19^2)*3)+((C12/360)*PI()*(C19^2)),(C11/360)*PI()*(C19^2)*C6)</f>
        <v>109.86048786131954</v>
      </c>
      <c r="D25" s="97" t="s">
        <v>93</v>
      </c>
      <c r="E25" s="33"/>
      <c r="F25" s="29"/>
      <c r="G25" s="29"/>
      <c r="H25" s="31"/>
      <c r="I25" s="30"/>
      <c r="J25" s="127"/>
      <c r="K25" s="127"/>
    </row>
    <row r="26" spans="1:12" x14ac:dyDescent="0.2">
      <c r="A26" s="4"/>
      <c r="B26" s="36" t="s">
        <v>58</v>
      </c>
      <c r="C26" s="160">
        <f>VLOOKUP(C23,Density,2,0)</f>
        <v>1.35</v>
      </c>
      <c r="D26" s="26" t="s">
        <v>39</v>
      </c>
      <c r="E26" s="2"/>
    </row>
    <row r="27" spans="1:12" x14ac:dyDescent="0.2">
      <c r="A27" s="4"/>
      <c r="C27" s="33"/>
    </row>
    <row r="28" spans="1:12" x14ac:dyDescent="0.2">
      <c r="A28" s="4"/>
      <c r="B28" s="72" t="s">
        <v>33</v>
      </c>
      <c r="C28" s="156"/>
    </row>
    <row r="29" spans="1:12" x14ac:dyDescent="0.2">
      <c r="A29" s="4"/>
      <c r="B29" s="28" t="s">
        <v>21</v>
      </c>
      <c r="C29" s="144" t="s">
        <v>9</v>
      </c>
    </row>
    <row r="30" spans="1:12" x14ac:dyDescent="0.2">
      <c r="A30" s="4"/>
      <c r="B30" s="36" t="s">
        <v>42</v>
      </c>
      <c r="C30" s="155">
        <v>0.3</v>
      </c>
      <c r="D30" s="26" t="s">
        <v>30</v>
      </c>
      <c r="E30" s="2"/>
    </row>
    <row r="31" spans="1:12" x14ac:dyDescent="0.2">
      <c r="A31" s="4"/>
      <c r="B31" s="36" t="s">
        <v>88</v>
      </c>
      <c r="C31" s="159">
        <f>C37-2*C30</f>
        <v>14.8</v>
      </c>
      <c r="D31" s="26" t="s">
        <v>30</v>
      </c>
      <c r="E31" s="2"/>
    </row>
    <row r="32" spans="1:12" x14ac:dyDescent="0.2">
      <c r="A32" s="4"/>
      <c r="B32" s="28" t="s">
        <v>38</v>
      </c>
      <c r="C32" s="160">
        <f>VLOOKUP(C29,Density,2,0)</f>
        <v>1.35</v>
      </c>
      <c r="D32" s="26" t="s">
        <v>39</v>
      </c>
      <c r="E32" s="26"/>
      <c r="L32" s="23"/>
    </row>
    <row r="33" spans="1:14" x14ac:dyDescent="0.2">
      <c r="A33" s="4"/>
      <c r="C33" s="33"/>
    </row>
    <row r="34" spans="1:14" x14ac:dyDescent="0.2">
      <c r="A34" s="4"/>
      <c r="B34" s="72" t="s">
        <v>34</v>
      </c>
      <c r="C34" s="156"/>
    </row>
    <row r="35" spans="1:14" x14ac:dyDescent="0.2">
      <c r="A35" s="4"/>
      <c r="B35" s="28" t="s">
        <v>21</v>
      </c>
      <c r="C35" s="144" t="s">
        <v>35</v>
      </c>
    </row>
    <row r="36" spans="1:14" x14ac:dyDescent="0.2">
      <c r="A36" s="4"/>
      <c r="B36" s="28" t="s">
        <v>36</v>
      </c>
      <c r="C36" s="144">
        <v>0</v>
      </c>
      <c r="D36" s="26" t="s">
        <v>30</v>
      </c>
      <c r="E36" s="2"/>
      <c r="F36" s="29"/>
      <c r="G36" s="29"/>
      <c r="H36" s="27"/>
      <c r="I36" s="34"/>
      <c r="J36" s="126"/>
      <c r="K36" s="126"/>
    </row>
    <row r="37" spans="1:14" x14ac:dyDescent="0.2">
      <c r="A37" s="4"/>
      <c r="B37" s="36" t="s">
        <v>87</v>
      </c>
      <c r="C37" s="159">
        <f>C43-2*C36</f>
        <v>15.4</v>
      </c>
      <c r="D37" s="26" t="s">
        <v>30</v>
      </c>
      <c r="E37" s="2"/>
    </row>
    <row r="38" spans="1:14" x14ac:dyDescent="0.2">
      <c r="A38" s="4"/>
      <c r="B38" s="28" t="s">
        <v>38</v>
      </c>
      <c r="C38" s="145">
        <f>VLOOKUP(C35,Armordensity,2,0)</f>
        <v>0</v>
      </c>
      <c r="D38" s="26" t="s">
        <v>39</v>
      </c>
      <c r="E38" s="26"/>
    </row>
    <row r="39" spans="1:14" x14ac:dyDescent="0.2">
      <c r="A39" s="4"/>
      <c r="C39" s="33"/>
    </row>
    <row r="40" spans="1:14" x14ac:dyDescent="0.2">
      <c r="A40" s="4"/>
      <c r="B40" s="72" t="s">
        <v>37</v>
      </c>
      <c r="C40" s="156"/>
    </row>
    <row r="41" spans="1:14" x14ac:dyDescent="0.2">
      <c r="A41" s="4"/>
      <c r="B41" s="28" t="s">
        <v>21</v>
      </c>
      <c r="C41" s="144" t="s">
        <v>9</v>
      </c>
    </row>
    <row r="42" spans="1:14" x14ac:dyDescent="0.2">
      <c r="A42" s="4"/>
      <c r="B42" s="36" t="s">
        <v>42</v>
      </c>
      <c r="C42" s="144">
        <v>1.8</v>
      </c>
      <c r="D42" s="26" t="s">
        <v>30</v>
      </c>
      <c r="E42" s="2"/>
    </row>
    <row r="43" spans="1:14" x14ac:dyDescent="0.2">
      <c r="A43" s="4"/>
      <c r="B43" s="36" t="s">
        <v>89</v>
      </c>
      <c r="C43" s="159">
        <f>C46-(2*C42)</f>
        <v>15.4</v>
      </c>
      <c r="D43" s="26" t="s">
        <v>30</v>
      </c>
      <c r="E43" s="2"/>
      <c r="I43" s="33"/>
    </row>
    <row r="44" spans="1:14" x14ac:dyDescent="0.2">
      <c r="A44" s="4"/>
      <c r="B44" s="28" t="s">
        <v>38</v>
      </c>
      <c r="C44" s="160">
        <f>VLOOKUP(C41,Density,2,0)</f>
        <v>1.35</v>
      </c>
      <c r="D44" s="26" t="s">
        <v>39</v>
      </c>
      <c r="E44" s="26"/>
      <c r="L44" s="23"/>
    </row>
    <row r="46" spans="1:14" x14ac:dyDescent="0.2">
      <c r="B46" s="36" t="s">
        <v>86</v>
      </c>
      <c r="C46" s="144">
        <v>19</v>
      </c>
    </row>
    <row r="48" spans="1:14" s="2" customFormat="1" x14ac:dyDescent="0.2">
      <c r="A48" s="223" t="str">
        <f>"COST SHEET FOR "&amp;C6 &amp; " CORE "&amp;C9&amp;" SQMM "&amp;C10&amp;" CABLE"</f>
        <v>COST SHEET FOR 4 CORE 16 SQMM Aluminium CABLE</v>
      </c>
      <c r="B48" s="223"/>
      <c r="C48" s="223"/>
      <c r="D48" s="223"/>
      <c r="E48" s="223"/>
      <c r="F48" s="223"/>
      <c r="G48" s="223"/>
      <c r="H48" s="223"/>
      <c r="I48" s="223"/>
      <c r="J48" s="223"/>
      <c r="K48" s="223"/>
      <c r="L48" s="223"/>
      <c r="M48" s="223"/>
      <c r="N48" s="223"/>
    </row>
    <row r="49" spans="1:14" s="2" customFormat="1" x14ac:dyDescent="0.2">
      <c r="A49" s="3"/>
      <c r="B49" s="1"/>
      <c r="D49" s="26"/>
      <c r="J49" s="3"/>
      <c r="K49" s="3"/>
    </row>
    <row r="50" spans="1:14" s="2" customFormat="1" x14ac:dyDescent="0.2">
      <c r="A50" s="225" t="s">
        <v>12</v>
      </c>
      <c r="B50" s="226"/>
      <c r="C50" s="226"/>
      <c r="D50" s="226"/>
      <c r="E50" s="226"/>
      <c r="F50" s="227"/>
      <c r="G50" s="225" t="s">
        <v>23</v>
      </c>
      <c r="H50" s="226"/>
      <c r="I50" s="226"/>
      <c r="J50" s="226"/>
      <c r="K50" s="226"/>
      <c r="L50" s="226"/>
      <c r="M50" s="226"/>
      <c r="N50" s="227"/>
    </row>
    <row r="51" spans="1:14" s="2" customFormat="1" x14ac:dyDescent="0.2">
      <c r="A51" s="39"/>
      <c r="B51" s="40"/>
      <c r="C51" s="40"/>
      <c r="D51" s="102"/>
      <c r="E51" s="40"/>
      <c r="F51" s="41"/>
      <c r="G51" s="39"/>
      <c r="H51" s="40"/>
      <c r="I51" s="40"/>
      <c r="J51" s="128"/>
      <c r="K51" s="128"/>
      <c r="L51" s="40"/>
      <c r="M51" s="40"/>
      <c r="N51" s="54"/>
    </row>
    <row r="52" spans="1:14" x14ac:dyDescent="0.2">
      <c r="A52" s="39"/>
      <c r="B52" s="165" t="s">
        <v>7</v>
      </c>
      <c r="C52" s="168"/>
      <c r="D52" s="103"/>
      <c r="E52" s="15"/>
      <c r="F52" s="42"/>
      <c r="G52" s="58"/>
      <c r="H52" s="59" t="s">
        <v>13</v>
      </c>
      <c r="I52" s="59"/>
      <c r="J52" s="116" t="s">
        <v>61</v>
      </c>
      <c r="K52" s="116" t="s">
        <v>73</v>
      </c>
      <c r="L52" s="60"/>
      <c r="M52" s="60"/>
      <c r="N52" s="61"/>
    </row>
    <row r="53" spans="1:14" x14ac:dyDescent="0.2">
      <c r="A53" s="43"/>
      <c r="B53" s="73" t="str">
        <f>C10</f>
        <v>Aluminium</v>
      </c>
      <c r="C53" s="203">
        <v>0.02</v>
      </c>
      <c r="D53" s="9"/>
      <c r="E53" s="8"/>
      <c r="F53" s="44"/>
      <c r="G53" s="43"/>
      <c r="H53" s="102" t="str">
        <f>"Cost of"&amp;" "&amp;C10</f>
        <v>Cost of Aluminium</v>
      </c>
      <c r="I53" s="8"/>
      <c r="J53" s="115"/>
      <c r="K53" s="115"/>
      <c r="L53" s="148" t="s">
        <v>6</v>
      </c>
      <c r="M53" s="149">
        <f>D67*C60</f>
        <v>22763.462400000004</v>
      </c>
      <c r="N53" s="150"/>
    </row>
    <row r="54" spans="1:14" x14ac:dyDescent="0.2">
      <c r="A54" s="43"/>
      <c r="B54" s="6" t="s">
        <v>8</v>
      </c>
      <c r="C54" s="203">
        <v>0.02</v>
      </c>
      <c r="D54" s="9"/>
      <c r="E54" s="8"/>
      <c r="F54" s="44"/>
      <c r="G54" s="43"/>
      <c r="H54" s="8" t="s">
        <v>3</v>
      </c>
      <c r="I54" s="8"/>
      <c r="J54" s="115"/>
      <c r="K54" s="115"/>
      <c r="L54" s="148" t="s">
        <v>6</v>
      </c>
      <c r="M54" s="149">
        <f>IF(C17="PVC",(D68+D69+D70+D72)*C61,(D69+D70+D72)*C61)</f>
        <v>11589.133222861414</v>
      </c>
      <c r="N54" s="150"/>
    </row>
    <row r="55" spans="1:14" x14ac:dyDescent="0.2">
      <c r="A55" s="43"/>
      <c r="B55" s="6" t="s">
        <v>9</v>
      </c>
      <c r="C55" s="203">
        <v>2.5000000000000001E-2</v>
      </c>
      <c r="D55" s="9"/>
      <c r="E55" s="8"/>
      <c r="F55" s="44"/>
      <c r="G55" s="43"/>
      <c r="H55" s="8" t="s">
        <v>4</v>
      </c>
      <c r="I55" s="8"/>
      <c r="J55" s="115"/>
      <c r="K55" s="115"/>
      <c r="L55" s="148" t="s">
        <v>6</v>
      </c>
      <c r="M55" s="149">
        <f>D71*C62</f>
        <v>0</v>
      </c>
      <c r="N55" s="150"/>
    </row>
    <row r="56" spans="1:14" x14ac:dyDescent="0.2">
      <c r="A56" s="43"/>
      <c r="B56" s="73" t="s">
        <v>31</v>
      </c>
      <c r="C56" s="203">
        <v>2.5000000000000001E-2</v>
      </c>
      <c r="D56" s="9"/>
      <c r="E56" s="8"/>
      <c r="F56" s="44"/>
      <c r="G56" s="43"/>
      <c r="H56" s="82" t="s">
        <v>60</v>
      </c>
      <c r="I56" s="8"/>
      <c r="J56" s="115"/>
      <c r="K56" s="115"/>
      <c r="L56" s="148" t="s">
        <v>6</v>
      </c>
      <c r="M56" s="149">
        <f>IF(C17="XLPE",D68*C63,0)</f>
        <v>3938.4203907470996</v>
      </c>
      <c r="N56" s="150"/>
    </row>
    <row r="57" spans="1:14" s="14" customFormat="1" x14ac:dyDescent="0.2">
      <c r="A57" s="43"/>
      <c r="B57" s="45"/>
      <c r="C57" s="46"/>
      <c r="F57" s="47"/>
      <c r="G57" s="65"/>
      <c r="H57" s="62" t="s">
        <v>5</v>
      </c>
      <c r="I57" s="37"/>
      <c r="J57" s="129"/>
      <c r="K57" s="129"/>
      <c r="L57" s="63" t="s">
        <v>6</v>
      </c>
      <c r="M57" s="64">
        <f>M53+M54+M55+M56</f>
        <v>38291.016013608518</v>
      </c>
      <c r="N57" s="100"/>
    </row>
    <row r="58" spans="1:14" s="14" customFormat="1" x14ac:dyDescent="0.2">
      <c r="A58" s="43"/>
      <c r="B58" s="165" t="s">
        <v>10</v>
      </c>
      <c r="C58" s="170"/>
      <c r="D58" s="8"/>
      <c r="E58" s="8"/>
      <c r="F58" s="47"/>
      <c r="G58" s="48"/>
      <c r="H58" s="15"/>
      <c r="I58" s="15"/>
      <c r="J58" s="130"/>
      <c r="K58" s="130"/>
      <c r="L58" s="15"/>
      <c r="M58" s="15"/>
      <c r="N58" s="55"/>
    </row>
    <row r="59" spans="1:14" x14ac:dyDescent="0.2">
      <c r="A59" s="48"/>
      <c r="B59" s="16" t="s">
        <v>21</v>
      </c>
      <c r="C59" s="17" t="s">
        <v>2</v>
      </c>
      <c r="D59" s="8"/>
      <c r="E59" s="8"/>
      <c r="F59" s="42"/>
      <c r="G59" s="48"/>
      <c r="H59" s="56" t="s">
        <v>22</v>
      </c>
      <c r="I59" s="56"/>
      <c r="J59" s="131"/>
      <c r="K59" s="131"/>
      <c r="L59" s="8"/>
      <c r="M59" s="8"/>
      <c r="N59" s="55"/>
    </row>
    <row r="60" spans="1:14" x14ac:dyDescent="0.2">
      <c r="A60" s="43"/>
      <c r="B60" s="24" t="str">
        <f>C10</f>
        <v>Aluminium</v>
      </c>
      <c r="C60" s="161">
        <f>VLOOKUP(B60,'Data Input'!$M$3:$N$6,2,0)</f>
        <v>129.15</v>
      </c>
      <c r="D60" s="8"/>
      <c r="E60" s="8"/>
      <c r="F60" s="44"/>
      <c r="G60" s="48"/>
      <c r="H60" s="80" t="s">
        <v>43</v>
      </c>
      <c r="I60" s="56"/>
      <c r="J60" s="131"/>
      <c r="K60" s="131"/>
      <c r="L60" s="148" t="s">
        <v>6</v>
      </c>
      <c r="M60" s="149">
        <f>C78/$C$77*$M$57</f>
        <v>2252.4127066828542</v>
      </c>
      <c r="N60" s="151"/>
    </row>
    <row r="61" spans="1:14" ht="12" customHeight="1" x14ac:dyDescent="0.2">
      <c r="A61" s="43"/>
      <c r="B61" s="6" t="s">
        <v>9</v>
      </c>
      <c r="C61" s="161">
        <f>VLOOKUP(B61,'Data Input'!$M$3:$N$6,2,0)</f>
        <v>75.075000000000003</v>
      </c>
      <c r="D61" s="8"/>
      <c r="E61" s="8"/>
      <c r="F61" s="44"/>
      <c r="G61" s="50"/>
      <c r="H61" s="80" t="s">
        <v>46</v>
      </c>
      <c r="I61" s="8"/>
      <c r="J61" s="115"/>
      <c r="K61" s="115"/>
      <c r="L61" s="148" t="s">
        <v>6</v>
      </c>
      <c r="M61" s="149">
        <f>M57/C77*C79</f>
        <v>1351.4476240097124</v>
      </c>
      <c r="N61" s="150"/>
    </row>
    <row r="62" spans="1:14" x14ac:dyDescent="0.2">
      <c r="A62" s="43"/>
      <c r="B62" s="6" t="s">
        <v>19</v>
      </c>
      <c r="C62" s="161">
        <f>VLOOKUP(B62,'Data Input'!$M$3:$N$6,2,0)</f>
        <v>42</v>
      </c>
      <c r="D62" s="8"/>
      <c r="E62" s="8"/>
      <c r="F62" s="44"/>
      <c r="G62" s="43"/>
      <c r="H62" s="80" t="s">
        <v>47</v>
      </c>
      <c r="I62" s="8"/>
      <c r="J62" s="115"/>
      <c r="K62" s="115"/>
      <c r="L62" s="148" t="s">
        <v>6</v>
      </c>
      <c r="M62" s="149">
        <f>$M$57/$C$77*C80</f>
        <v>900.96508267314164</v>
      </c>
      <c r="N62" s="150"/>
    </row>
    <row r="63" spans="1:14" s="14" customFormat="1" x14ac:dyDescent="0.2">
      <c r="A63" s="43"/>
      <c r="B63" s="73" t="s">
        <v>31</v>
      </c>
      <c r="C63" s="162">
        <f>(1+E63)*C61</f>
        <v>90.09</v>
      </c>
      <c r="D63" s="115" t="s">
        <v>157</v>
      </c>
      <c r="E63" s="115">
        <v>0.2</v>
      </c>
      <c r="F63" s="47"/>
      <c r="G63" s="43"/>
      <c r="H63" s="82" t="s">
        <v>48</v>
      </c>
      <c r="I63" s="8"/>
      <c r="J63" s="115"/>
      <c r="K63" s="115"/>
      <c r="L63" s="148" t="s">
        <v>6</v>
      </c>
      <c r="M63" s="149">
        <f>$M$57/$C$77*C81</f>
        <v>1351.4476240097124</v>
      </c>
      <c r="N63" s="150"/>
    </row>
    <row r="64" spans="1:14" x14ac:dyDescent="0.2">
      <c r="A64" s="48"/>
      <c r="B64" s="45"/>
      <c r="C64" s="8"/>
      <c r="D64" s="9"/>
      <c r="E64" s="76"/>
      <c r="F64" s="49"/>
      <c r="G64" s="43"/>
      <c r="H64" s="73" t="s">
        <v>16</v>
      </c>
      <c r="I64" s="8"/>
      <c r="J64" s="115"/>
      <c r="K64" s="115"/>
      <c r="L64" s="148" t="s">
        <v>6</v>
      </c>
      <c r="M64" s="149">
        <f>$M$57/$C$77*C82</f>
        <v>900.96508267314164</v>
      </c>
      <c r="N64" s="150"/>
    </row>
    <row r="65" spans="1:14" x14ac:dyDescent="0.2">
      <c r="A65" s="43"/>
      <c r="B65" s="167" t="s">
        <v>24</v>
      </c>
      <c r="C65" s="168"/>
      <c r="D65" s="169"/>
      <c r="E65" s="78"/>
      <c r="F65" s="42"/>
      <c r="G65" s="65"/>
      <c r="H65" s="62" t="s">
        <v>50</v>
      </c>
      <c r="I65" s="62"/>
      <c r="J65" s="132"/>
      <c r="K65" s="132"/>
      <c r="L65" s="63" t="s">
        <v>6</v>
      </c>
      <c r="M65" s="64">
        <f>SUM(M60:M64)+M57</f>
        <v>45048.254133657079</v>
      </c>
      <c r="N65" s="66"/>
    </row>
    <row r="66" spans="1:14" ht="22.5" x14ac:dyDescent="0.2">
      <c r="A66" s="43"/>
      <c r="B66" s="18" t="str">
        <f>C6&amp;" core"&amp;" "&amp;C9&amp;" sq.mm"&amp;" "&amp;C10&amp;" cable"</f>
        <v>4 core 16 sq.mm Aluminium cable</v>
      </c>
      <c r="C66" s="19" t="s">
        <v>20</v>
      </c>
      <c r="D66" s="104" t="s">
        <v>11</v>
      </c>
      <c r="E66" s="79"/>
      <c r="F66" s="44"/>
      <c r="G66" s="87"/>
      <c r="H66" s="88"/>
      <c r="I66" s="88"/>
      <c r="J66" s="133"/>
      <c r="K66" s="133"/>
      <c r="L66" s="89"/>
      <c r="M66" s="90"/>
      <c r="N66" s="91"/>
    </row>
    <row r="67" spans="1:14" x14ac:dyDescent="0.2">
      <c r="A67" s="43"/>
      <c r="B67" s="24" t="str">
        <f>"Weight of"&amp;" "&amp;C10</f>
        <v>Weight of Aluminium</v>
      </c>
      <c r="C67" s="145">
        <f>(C9*10^-3*C14*10^3*IF(C6=3.5,3,C6))+(C9*10^-3*C14*10^3*IF(C6=3.5,1,0))</f>
        <v>172.8</v>
      </c>
      <c r="D67" s="145">
        <f>C67*(1+C53)</f>
        <v>176.25600000000003</v>
      </c>
      <c r="E67" s="79"/>
      <c r="F67" s="42"/>
      <c r="G67" s="83"/>
      <c r="H67" s="56" t="s">
        <v>49</v>
      </c>
      <c r="I67" s="81"/>
      <c r="J67" s="134"/>
      <c r="K67" s="134"/>
      <c r="L67" s="84"/>
      <c r="M67" s="85"/>
      <c r="N67" s="86"/>
    </row>
    <row r="68" spans="1:14" x14ac:dyDescent="0.2">
      <c r="A68" s="43"/>
      <c r="B68" s="25" t="s">
        <v>40</v>
      </c>
      <c r="C68" s="159">
        <f>IF(C6=3.5,((C11/360)*PI()*(C19^2-C13^2)*C20*3)+((C12/360)*PI()*(C19^2-C13^2)*C20),(C11/360)*PI()*(C19^2-C13^2)*C20*C6)</f>
        <v>42.650253711027183</v>
      </c>
      <c r="D68" s="145">
        <f>C68*(1+C55)</f>
        <v>43.716510053802857</v>
      </c>
      <c r="E68" s="79"/>
      <c r="F68" s="41"/>
      <c r="G68" s="83"/>
      <c r="H68" s="80" t="s">
        <v>62</v>
      </c>
      <c r="I68" s="81"/>
      <c r="J68" s="147" t="s">
        <v>66</v>
      </c>
      <c r="K68" s="214">
        <v>2.5000000000000001E-2</v>
      </c>
      <c r="L68" s="148" t="s">
        <v>6</v>
      </c>
      <c r="M68" s="152">
        <f>IF(J68="Y",K68*$M$65,0)</f>
        <v>1126.2063533414271</v>
      </c>
      <c r="N68" s="86"/>
    </row>
    <row r="69" spans="1:14" x14ac:dyDescent="0.2">
      <c r="A69" s="43"/>
      <c r="B69" s="7" t="s">
        <v>0</v>
      </c>
      <c r="C69" s="159">
        <f>PI()*($C$37^2-$C$31^2)/4*$C$32</f>
        <v>19.212409873028385</v>
      </c>
      <c r="D69" s="145">
        <f>C69*(1+C55)</f>
        <v>19.692720119854094</v>
      </c>
      <c r="E69" s="79"/>
      <c r="F69" s="42"/>
      <c r="G69" s="83"/>
      <c r="H69" s="80" t="s">
        <v>63</v>
      </c>
      <c r="I69" s="81"/>
      <c r="J69" s="147" t="s">
        <v>66</v>
      </c>
      <c r="K69" s="154">
        <v>2.5000000000000001E-2</v>
      </c>
      <c r="L69" s="148" t="s">
        <v>6</v>
      </c>
      <c r="M69" s="152">
        <f t="shared" ref="M69:M77" si="0">IF(J69="Y",K69*$M$65,0)</f>
        <v>1126.2063533414271</v>
      </c>
      <c r="N69" s="86"/>
    </row>
    <row r="70" spans="1:14" x14ac:dyDescent="0.2">
      <c r="A70" s="43"/>
      <c r="B70" s="7" t="s">
        <v>1</v>
      </c>
      <c r="C70" s="159">
        <f>PI()*($C$46^2-$C$43^2)/4*$C$44</f>
        <v>131.30600654943896</v>
      </c>
      <c r="D70" s="145">
        <f>C70*(1+C55)</f>
        <v>134.58865671317491</v>
      </c>
      <c r="E70" s="79"/>
      <c r="F70" s="44"/>
      <c r="G70" s="83"/>
      <c r="H70" s="80" t="s">
        <v>64</v>
      </c>
      <c r="I70" s="81"/>
      <c r="J70" s="147" t="s">
        <v>72</v>
      </c>
      <c r="K70" s="214">
        <v>0.1</v>
      </c>
      <c r="L70" s="148" t="s">
        <v>6</v>
      </c>
      <c r="M70" s="152">
        <f t="shared" si="0"/>
        <v>0</v>
      </c>
      <c r="N70" s="86"/>
    </row>
    <row r="71" spans="1:14" s="14" customFormat="1" x14ac:dyDescent="0.2">
      <c r="A71" s="43"/>
      <c r="B71" s="75" t="s">
        <v>78</v>
      </c>
      <c r="C71" s="171">
        <f>PI()*($C$43^2-$C$37^2)/4*$C$38</f>
        <v>0</v>
      </c>
      <c r="D71" s="145">
        <f>C71*(1+C54)</f>
        <v>0</v>
      </c>
      <c r="E71" s="77"/>
      <c r="F71" s="44"/>
      <c r="G71" s="83"/>
      <c r="H71" s="80" t="s">
        <v>65</v>
      </c>
      <c r="I71" s="81"/>
      <c r="J71" s="147" t="s">
        <v>72</v>
      </c>
      <c r="K71" s="214">
        <v>0.1</v>
      </c>
      <c r="L71" s="148" t="s">
        <v>6</v>
      </c>
      <c r="M71" s="152">
        <f t="shared" si="0"/>
        <v>0</v>
      </c>
      <c r="N71" s="86"/>
    </row>
    <row r="72" spans="1:14" s="14" customFormat="1" x14ac:dyDescent="0.2">
      <c r="A72" s="43"/>
      <c r="B72" s="108" t="s">
        <v>91</v>
      </c>
      <c r="C72" s="171">
        <f>(C24-C25)*C26/1000</f>
        <v>8.3933719896497699E-2</v>
      </c>
      <c r="D72" s="145">
        <f>C72*(1+C55)</f>
        <v>8.6032062893910133E-2</v>
      </c>
      <c r="E72" s="77"/>
      <c r="F72" s="44"/>
      <c r="G72" s="83"/>
      <c r="H72" s="80" t="s">
        <v>67</v>
      </c>
      <c r="I72" s="81"/>
      <c r="J72" s="147" t="s">
        <v>72</v>
      </c>
      <c r="K72" s="154">
        <v>2.5000000000000001E-2</v>
      </c>
      <c r="L72" s="148" t="s">
        <v>6</v>
      </c>
      <c r="M72" s="152">
        <f t="shared" si="0"/>
        <v>0</v>
      </c>
      <c r="N72" s="86"/>
    </row>
    <row r="73" spans="1:14" s="14" customFormat="1" x14ac:dyDescent="0.2">
      <c r="A73" s="48"/>
      <c r="B73" s="8"/>
      <c r="C73" s="96"/>
      <c r="D73" s="112"/>
      <c r="E73" s="77"/>
      <c r="F73" s="44"/>
      <c r="G73" s="83"/>
      <c r="H73" s="82" t="s">
        <v>69</v>
      </c>
      <c r="I73" s="81"/>
      <c r="J73" s="147" t="s">
        <v>72</v>
      </c>
      <c r="K73" s="214">
        <v>0.02</v>
      </c>
      <c r="L73" s="148" t="s">
        <v>6</v>
      </c>
      <c r="M73" s="152">
        <f t="shared" si="0"/>
        <v>0</v>
      </c>
      <c r="N73" s="86"/>
    </row>
    <row r="74" spans="1:14" s="14" customFormat="1" x14ac:dyDescent="0.2">
      <c r="A74" s="48"/>
      <c r="B74" s="119"/>
      <c r="C74" s="119"/>
      <c r="D74" s="119"/>
      <c r="E74" s="119"/>
      <c r="F74" s="44"/>
      <c r="G74" s="83"/>
      <c r="H74" s="82" t="s">
        <v>70</v>
      </c>
      <c r="I74" s="81"/>
      <c r="J74" s="147" t="s">
        <v>72</v>
      </c>
      <c r="K74" s="214">
        <v>0.02</v>
      </c>
      <c r="L74" s="148" t="s">
        <v>6</v>
      </c>
      <c r="M74" s="152">
        <f t="shared" si="0"/>
        <v>0</v>
      </c>
      <c r="N74" s="86"/>
    </row>
    <row r="75" spans="1:14" s="14" customFormat="1" x14ac:dyDescent="0.2">
      <c r="A75" s="50"/>
      <c r="B75" s="119"/>
      <c r="C75" s="119"/>
      <c r="D75" s="119"/>
      <c r="E75" s="119"/>
      <c r="F75" s="47"/>
      <c r="G75" s="83"/>
      <c r="H75" s="82" t="s">
        <v>79</v>
      </c>
      <c r="I75" s="81"/>
      <c r="J75" s="147" t="s">
        <v>72</v>
      </c>
      <c r="K75" s="214">
        <v>0.03</v>
      </c>
      <c r="L75" s="148" t="s">
        <v>6</v>
      </c>
      <c r="M75" s="152">
        <f t="shared" si="0"/>
        <v>0</v>
      </c>
      <c r="N75" s="86"/>
    </row>
    <row r="76" spans="1:14" x14ac:dyDescent="0.2">
      <c r="A76" s="50"/>
      <c r="B76" s="165" t="s">
        <v>161</v>
      </c>
      <c r="C76" s="166" t="s">
        <v>73</v>
      </c>
      <c r="D76" s="119"/>
      <c r="E76" s="119"/>
      <c r="F76" s="47"/>
      <c r="G76" s="83"/>
      <c r="H76" s="82" t="s">
        <v>80</v>
      </c>
      <c r="I76" s="81"/>
      <c r="J76" s="147" t="s">
        <v>72</v>
      </c>
      <c r="K76" s="214">
        <v>2.5000000000000001E-2</v>
      </c>
      <c r="L76" s="148" t="s">
        <v>6</v>
      </c>
      <c r="M76" s="152">
        <f t="shared" si="0"/>
        <v>0</v>
      </c>
      <c r="N76" s="86"/>
    </row>
    <row r="77" spans="1:14" x14ac:dyDescent="0.2">
      <c r="A77" s="50"/>
      <c r="B77" s="6" t="s">
        <v>17</v>
      </c>
      <c r="C77" s="146">
        <v>0.85</v>
      </c>
      <c r="D77" s="119"/>
      <c r="E77" s="119"/>
      <c r="F77" s="47"/>
      <c r="G77" s="83"/>
      <c r="H77" s="80" t="s">
        <v>71</v>
      </c>
      <c r="I77" s="81"/>
      <c r="J77" s="147" t="s">
        <v>72</v>
      </c>
      <c r="K77" s="214">
        <v>1.4999999999999999E-2</v>
      </c>
      <c r="L77" s="148" t="s">
        <v>6</v>
      </c>
      <c r="M77" s="152">
        <f t="shared" si="0"/>
        <v>0</v>
      </c>
      <c r="N77" s="86"/>
    </row>
    <row r="78" spans="1:14" x14ac:dyDescent="0.2">
      <c r="A78" s="43"/>
      <c r="B78" s="73" t="s">
        <v>44</v>
      </c>
      <c r="C78" s="146">
        <v>0.05</v>
      </c>
      <c r="D78" s="119"/>
      <c r="E78" s="119"/>
      <c r="F78" s="47"/>
      <c r="G78" s="67"/>
      <c r="H78" s="68" t="s">
        <v>51</v>
      </c>
      <c r="I78" s="69"/>
      <c r="J78" s="135"/>
      <c r="K78" s="135"/>
      <c r="L78" s="70" t="s">
        <v>6</v>
      </c>
      <c r="M78" s="153">
        <f>M65+SUM(M68:M77)</f>
        <v>47300.666840339931</v>
      </c>
      <c r="N78" s="71"/>
    </row>
    <row r="79" spans="1:14" x14ac:dyDescent="0.2">
      <c r="A79" s="43"/>
      <c r="B79" s="6" t="s">
        <v>14</v>
      </c>
      <c r="C79" s="146">
        <v>0.03</v>
      </c>
      <c r="D79" s="119"/>
      <c r="E79" s="119"/>
      <c r="F79" s="47"/>
      <c r="G79" s="57"/>
      <c r="H79" s="8"/>
      <c r="I79" s="8"/>
      <c r="J79" s="115"/>
      <c r="K79" s="115"/>
      <c r="L79" s="8"/>
      <c r="M79" s="8"/>
      <c r="N79" s="49"/>
    </row>
    <row r="80" spans="1:14" x14ac:dyDescent="0.2">
      <c r="A80" s="43"/>
      <c r="B80" s="6" t="s">
        <v>15</v>
      </c>
      <c r="C80" s="146">
        <v>0.02</v>
      </c>
      <c r="D80" s="119"/>
      <c r="E80" s="119"/>
      <c r="F80" s="42"/>
      <c r="G80" s="92"/>
      <c r="H80" s="93" t="s">
        <v>156</v>
      </c>
      <c r="I80" s="93"/>
      <c r="J80" s="136"/>
      <c r="K80" s="136"/>
      <c r="L80" s="94"/>
      <c r="M80" s="209">
        <f>M78*(1+C84)</f>
        <v>50848.216853365426</v>
      </c>
      <c r="N80" s="95"/>
    </row>
    <row r="81" spans="1:17" x14ac:dyDescent="0.2">
      <c r="A81" s="43"/>
      <c r="B81" s="73" t="s">
        <v>45</v>
      </c>
      <c r="C81" s="146">
        <v>0.03</v>
      </c>
      <c r="D81" s="119"/>
      <c r="E81" s="119"/>
      <c r="F81" s="44"/>
      <c r="G81" s="43"/>
      <c r="H81" s="8"/>
      <c r="I81" s="8"/>
      <c r="J81" s="115"/>
      <c r="K81" s="115"/>
      <c r="L81" s="8"/>
      <c r="M81" s="8"/>
      <c r="N81" s="49"/>
    </row>
    <row r="82" spans="1:17" x14ac:dyDescent="0.2">
      <c r="A82" s="43"/>
      <c r="B82" s="73" t="s">
        <v>16</v>
      </c>
      <c r="C82" s="146">
        <v>0.02</v>
      </c>
      <c r="D82" s="119"/>
      <c r="E82" s="119"/>
      <c r="F82" s="44"/>
      <c r="G82" s="11"/>
      <c r="H82" s="11"/>
      <c r="I82" s="11"/>
      <c r="J82" s="11"/>
      <c r="K82" s="11"/>
      <c r="L82" s="11"/>
      <c r="M82" s="11"/>
      <c r="N82" s="11"/>
    </row>
    <row r="83" spans="1:17" s="11" customFormat="1" x14ac:dyDescent="0.2">
      <c r="A83" s="43"/>
      <c r="B83" s="9"/>
      <c r="C83" s="114"/>
      <c r="D83" s="119"/>
      <c r="E83" s="119"/>
      <c r="F83" s="44"/>
      <c r="G83" s="115"/>
      <c r="H83" s="8"/>
      <c r="I83" s="8"/>
      <c r="J83" s="115"/>
      <c r="K83" s="115"/>
      <c r="L83" s="8"/>
      <c r="M83" s="8"/>
      <c r="N83" s="8"/>
    </row>
    <row r="84" spans="1:17" s="11" customFormat="1" x14ac:dyDescent="0.2">
      <c r="A84" s="52"/>
      <c r="B84" s="38" t="s">
        <v>152</v>
      </c>
      <c r="C84" s="218">
        <v>7.4999999999999997E-2</v>
      </c>
      <c r="D84" s="119"/>
      <c r="E84" s="119"/>
      <c r="F84" s="44"/>
      <c r="G84" s="14"/>
      <c r="H84" s="14"/>
      <c r="I84" s="14"/>
      <c r="J84" s="137"/>
      <c r="K84" s="137"/>
      <c r="L84" s="14"/>
      <c r="M84" s="14"/>
      <c r="N84" s="14"/>
    </row>
    <row r="85" spans="1:17" s="11" customFormat="1" x14ac:dyDescent="0.2">
      <c r="A85" s="53"/>
      <c r="B85" s="120"/>
      <c r="C85" s="120"/>
      <c r="D85" s="121"/>
      <c r="E85" s="140"/>
      <c r="F85" s="51"/>
      <c r="G85" s="14"/>
      <c r="H85" s="14"/>
      <c r="I85" s="117"/>
      <c r="J85" s="138"/>
      <c r="K85" s="138"/>
      <c r="L85" s="224"/>
      <c r="M85" s="224"/>
      <c r="N85" s="118"/>
    </row>
    <row r="86" spans="1:17" s="11" customFormat="1" x14ac:dyDescent="0.2">
      <c r="A86" s="12"/>
      <c r="B86" s="120"/>
      <c r="C86" s="120"/>
      <c r="D86" s="121"/>
      <c r="E86" s="119"/>
      <c r="F86" s="47"/>
      <c r="G86" s="4"/>
      <c r="H86" s="4"/>
      <c r="I86" s="119"/>
      <c r="J86" s="139"/>
      <c r="K86" s="139"/>
      <c r="L86" s="119"/>
      <c r="M86" s="119"/>
      <c r="N86" s="119"/>
    </row>
    <row r="87" spans="1:17" x14ac:dyDescent="0.2">
      <c r="B87" s="120"/>
      <c r="C87" s="120"/>
      <c r="D87" s="141"/>
      <c r="E87" s="119"/>
      <c r="F87" s="42"/>
    </row>
    <row r="88" spans="1:17" x14ac:dyDescent="0.2">
      <c r="A88" s="22"/>
      <c r="B88" s="13"/>
      <c r="C88" s="13"/>
      <c r="D88" s="101"/>
      <c r="E88" s="13"/>
      <c r="F88" s="51"/>
      <c r="Q88" s="13"/>
    </row>
    <row r="89" spans="1:17" x14ac:dyDescent="0.2">
      <c r="A89" s="22"/>
      <c r="B89" s="13"/>
      <c r="C89" s="13"/>
      <c r="D89" s="101"/>
      <c r="E89" s="13"/>
    </row>
    <row r="90" spans="1:17" x14ac:dyDescent="0.2">
      <c r="F90" s="21"/>
    </row>
    <row r="91" spans="1:17" x14ac:dyDescent="0.2">
      <c r="F91" s="20"/>
    </row>
  </sheetData>
  <mergeCells count="4">
    <mergeCell ref="L85:M85"/>
    <mergeCell ref="A48:N48"/>
    <mergeCell ref="A50:F50"/>
    <mergeCell ref="G50:N50"/>
  </mergeCells>
  <dataValidations count="6">
    <dataValidation type="list" allowBlank="1" showInputMessage="1" showErrorMessage="1" sqref="C17 C23 C29 C41" xr:uid="{6A5AC257-71AD-4A5F-A470-0BDDF546512D}">
      <formula1>Insulation</formula1>
    </dataValidation>
    <dataValidation type="list" allowBlank="1" showInputMessage="1" showErrorMessage="1" sqref="C7" xr:uid="{FE812C99-7775-44ED-8028-4303A301374E}">
      <formula1>Shape</formula1>
    </dataValidation>
    <dataValidation type="list" allowBlank="1" showInputMessage="1" showErrorMessage="1" sqref="C35" xr:uid="{CF65F9E5-1935-4A67-95C8-E3D371D23A32}">
      <formula1>Armour</formula1>
    </dataValidation>
    <dataValidation type="list" allowBlank="1" showInputMessage="1" showErrorMessage="1" sqref="C6" xr:uid="{8324CFFF-866D-44CB-A729-C40DC8AB5477}">
      <formula1>"1,2,3,3.5,4"</formula1>
    </dataValidation>
    <dataValidation type="list" allowBlank="1" showInputMessage="1" showErrorMessage="1" sqref="J68:J77" xr:uid="{9801E547-3DAC-4B8A-9130-FC77127E9C6E}">
      <formula1>"Y,N"</formula1>
    </dataValidation>
    <dataValidation type="list" allowBlank="1" showInputMessage="1" showErrorMessage="1" sqref="C10" xr:uid="{E964AEBF-172B-413E-985C-25E4A1816D6B}">
      <formula1>"Aluminium,0"</formula1>
    </dataValidation>
  </dataValidations>
  <pageMargins left="0.75" right="0.75" top="1" bottom="1" header="0.5" footer="0.5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</vt:i4>
      </vt:variant>
    </vt:vector>
  </HeadingPairs>
  <TitlesOfParts>
    <vt:vector size="41" baseType="lpstr">
      <vt:lpstr>Summary</vt:lpstr>
      <vt:lpstr>Data Input</vt:lpstr>
      <vt:lpstr>Commodities</vt:lpstr>
      <vt:lpstr>Al LT Cables (1 x 300)</vt:lpstr>
      <vt:lpstr>Al LT Cables (1 x 630)</vt:lpstr>
      <vt:lpstr>Cu LT Cables (1 x 630)</vt:lpstr>
      <vt:lpstr>Cu LT Cables (2 x 2.5)</vt:lpstr>
      <vt:lpstr>Al LT Cables (2 x 6)</vt:lpstr>
      <vt:lpstr>Al LT Cables (2 x 10)</vt:lpstr>
      <vt:lpstr>Al LT Cables (2 x 16)</vt:lpstr>
      <vt:lpstr>Al LT Cables (2 x 25)</vt:lpstr>
      <vt:lpstr>Al LT Cables (2 x 35)</vt:lpstr>
      <vt:lpstr>Al LT Cables (2 x 50)</vt:lpstr>
      <vt:lpstr>Al LT Cables (2 x 70)</vt:lpstr>
      <vt:lpstr>Al LT Cables (2 x 95)</vt:lpstr>
      <vt:lpstr>Al LT Cables (2 x 120)</vt:lpstr>
      <vt:lpstr>Al LT Cables (2 x 150)</vt:lpstr>
      <vt:lpstr>Al LT Cables (2 x 185)</vt:lpstr>
      <vt:lpstr>Al LT Cables (2 x 240)</vt:lpstr>
      <vt:lpstr>Al LT Cables (3 x 6)</vt:lpstr>
      <vt:lpstr>Al LT Cables (3 x 10)</vt:lpstr>
      <vt:lpstr>Al LT Cables (3 x 16)</vt:lpstr>
      <vt:lpstr>Al LT Cables (3 x 25)</vt:lpstr>
      <vt:lpstr>Al LT Cables (3 x 35)</vt:lpstr>
      <vt:lpstr>Al LT Cables (3 x 50)</vt:lpstr>
      <vt:lpstr>Al LT Cables (3 x 70)</vt:lpstr>
      <vt:lpstr>Al LT Cables (3 x 95)</vt:lpstr>
      <vt:lpstr>Al LT Cables (3 x 120)</vt:lpstr>
      <vt:lpstr>Al LT Cables (3 x 150)</vt:lpstr>
      <vt:lpstr>Al LT Cables (3 x 185)</vt:lpstr>
      <vt:lpstr>Al LT Cables (3 x 240)</vt:lpstr>
      <vt:lpstr>Al LT Cables (4 x 6)</vt:lpstr>
      <vt:lpstr>Al LT Cables (4 x 10)</vt:lpstr>
      <vt:lpstr>Al LT Cables (4 x 16)</vt:lpstr>
      <vt:lpstr>Armordensity</vt:lpstr>
      <vt:lpstr>Armour</vt:lpstr>
      <vt:lpstr>Conductor</vt:lpstr>
      <vt:lpstr>Density</vt:lpstr>
      <vt:lpstr>Density1</vt:lpstr>
      <vt:lpstr>Insulation</vt:lpstr>
      <vt:lpstr>Shape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jignesh.vora</dc:creator>
  <cp:lastModifiedBy>Panchal, Sandeep</cp:lastModifiedBy>
  <cp:lastPrinted>2018-10-01T05:32:39Z</cp:lastPrinted>
  <dcterms:created xsi:type="dcterms:W3CDTF">2007-08-31T05:56:47Z</dcterms:created>
  <dcterms:modified xsi:type="dcterms:W3CDTF">2019-01-18T10:43:29Z</dcterms:modified>
</cp:coreProperties>
</file>