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tsmgrp.sharepoint.com/sites/Tplbusinesstransformation/Shared Documents/General/Tata Projects/9A Working Files/04. Value Initiatives/06. Structural Steel/"/>
    </mc:Choice>
  </mc:AlternateContent>
  <xr:revisionPtr revIDLastSave="60" documentId="13_ncr:1_{DB1AFB4E-8FD4-464A-8739-A12CDE46E8B9}" xr6:coauthVersionLast="47" xr6:coauthVersionMax="47" xr10:uidLastSave="{F7A8F86D-1D7E-4B0C-9AD7-453F72FE7CF0}"/>
  <workbookProtection workbookAlgorithmName="SHA-512" workbookHashValue="bi0GekhAC7s1L1ojeE7XzpUuIyd1SCE+rKNh7t6hNos68xB7CAEri7lopR2c1wRnOc9s43ZYDe+3n3Ssalr4JA==" workbookSaltValue="btCbkmMyvtxMgyQPvcM25g==" workbookSpinCount="100000" lockStructure="1"/>
  <bookViews>
    <workbookView minimized="1" xWindow="6150" yWindow="4050" windowWidth="15375" windowHeight="7785" tabRatio="817" xr2:uid="{D7517234-9A8C-4662-9237-AC0B9F208824}"/>
  </bookViews>
  <sheets>
    <sheet name="Input" sheetId="20" r:id="rId1"/>
    <sheet name="Output" sheetId="3" r:id="rId2"/>
    <sheet name="Calculation Sheet" sheetId="2" r:id="rId3"/>
    <sheet name="&gt;&gt; Backups" sheetId="22" r:id="rId4"/>
    <sheet name="Painting Inputs" sheetId="21" r:id="rId5"/>
  </sheets>
  <externalReferences>
    <externalReference r:id="rId6"/>
    <externalReference r:id="rId7"/>
    <externalReference r:id="rId8"/>
    <externalReference r:id="rId9"/>
  </externalReferences>
  <definedNames>
    <definedName name="\a">#N/A</definedName>
    <definedName name="\b">#N/A</definedName>
    <definedName name="_TB2">'[1]SPT vs PHI'!$B$2:$C$65</definedName>
    <definedName name="A">'[2]PRECAST lightconc-II'!$J$19</definedName>
    <definedName name="B">'[2]PRECAST lightconc-II'!$K$19</definedName>
    <definedName name="bol">#REF!</definedName>
    <definedName name="boml">#REF!</definedName>
    <definedName name="botl">#REF!</definedName>
    <definedName name="botn">#REF!</definedName>
    <definedName name="bp_capacity">'[3]Concreting Input'!$E$7</definedName>
    <definedName name="Breaks">#REF!</definedName>
    <definedName name="bua">#REF!</definedName>
    <definedName name="checked">#REF!</definedName>
    <definedName name="Columns">#REF!</definedName>
    <definedName name="D">'[2]PRECAST lightconc-II'!$J$20</definedName>
    <definedName name="dc">#REF!</definedName>
    <definedName name="designed">#REF!</definedName>
    <definedName name="df">#REF!</definedName>
    <definedName name="dg">#REF!</definedName>
    <definedName name="docu">#REF!</definedName>
    <definedName name="dq">#REF!</definedName>
    <definedName name="E">'[2]PRECAST lightconc-II'!$K$20</definedName>
    <definedName name="g">#REF!</definedName>
    <definedName name="gs">#REF!</definedName>
    <definedName name="hf">#REF!</definedName>
    <definedName name="JobID">#REF!</definedName>
    <definedName name="lef">#REF!</definedName>
    <definedName name="lel">#REF!</definedName>
    <definedName name="p">#REF!</definedName>
    <definedName name="project">#REF!</definedName>
    <definedName name="rel">#REF!</definedName>
    <definedName name="Rev">#REF!</definedName>
    <definedName name="rig">#REF!</definedName>
    <definedName name="robot">#REF!</definedName>
    <definedName name="rosid">#REF!</definedName>
    <definedName name="schools">#REF!</definedName>
    <definedName name="Sdate">#REF!</definedName>
    <definedName name="StrID">#REF!</definedName>
    <definedName name="structure">#REF!</definedName>
    <definedName name="Subject">#REF!</definedName>
    <definedName name="table1">'[1]SPT vs PHI'!$E$2:$F$47</definedName>
    <definedName name="TABLE2">#REF!</definedName>
    <definedName name="TableRange">#REF!</definedName>
    <definedName name="Title">'[4]Civil Boq'!$D$3</definedName>
    <definedName name="Title1">#REF!</definedName>
    <definedName name="Title2">#REF!</definedName>
    <definedName name="tol">#REF!</definedName>
    <definedName name="topl">#REF!</definedName>
    <definedName name="topn">#REF!</definedName>
    <definedName name="work">#REF!</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20" l="1"/>
  <c r="E27" i="20"/>
  <c r="E26" i="20"/>
  <c r="E24" i="20"/>
  <c r="E16" i="20"/>
  <c r="D15" i="20"/>
  <c r="D16" i="20"/>
  <c r="G30" i="2"/>
  <c r="G29" i="2"/>
  <c r="C39" i="3" l="1"/>
  <c r="D22" i="3" l="1"/>
  <c r="G319" i="2" l="1"/>
  <c r="G318" i="2"/>
  <c r="G317" i="2"/>
  <c r="G316" i="2"/>
  <c r="D300" i="2" l="1"/>
  <c r="D304" i="2" s="1"/>
  <c r="G70" i="20"/>
  <c r="G71" i="20"/>
  <c r="G69" i="20"/>
  <c r="F72" i="20"/>
  <c r="D265" i="2"/>
  <c r="E265" i="2" s="1"/>
  <c r="D266" i="2"/>
  <c r="G266" i="2" l="1"/>
  <c r="D275" i="2" s="1"/>
  <c r="G72" i="20"/>
  <c r="E266" i="2"/>
  <c r="F266" i="2"/>
  <c r="F265" i="2"/>
  <c r="G265" i="2"/>
  <c r="D274" i="2" s="1"/>
  <c r="C5" i="3" l="1"/>
  <c r="D241" i="2"/>
  <c r="D35" i="2"/>
  <c r="D37" i="2" s="1"/>
  <c r="D38" i="2" s="1"/>
  <c r="D290" i="2" l="1"/>
  <c r="D289" i="2"/>
  <c r="D256" i="2"/>
  <c r="C29" i="2" l="1"/>
  <c r="H40" i="2"/>
  <c r="D264" i="2"/>
  <c r="D260" i="2"/>
  <c r="D259" i="2"/>
  <c r="D65" i="20"/>
  <c r="G264" i="2" l="1"/>
  <c r="F264" i="2"/>
  <c r="F267" i="2" s="1"/>
  <c r="E264" i="2"/>
  <c r="D240" i="2"/>
  <c r="D239" i="2"/>
  <c r="E233" i="2"/>
  <c r="E232" i="2"/>
  <c r="D229" i="2"/>
  <c r="C32" i="2"/>
  <c r="D228" i="2" s="1"/>
  <c r="C31" i="2"/>
  <c r="D227" i="2" s="1"/>
  <c r="C30" i="2"/>
  <c r="D226" i="2" s="1"/>
  <c r="D225" i="2"/>
  <c r="E19" i="2"/>
  <c r="E18" i="2"/>
  <c r="E17" i="2"/>
  <c r="D19" i="2"/>
  <c r="D7" i="2"/>
  <c r="D54" i="20"/>
  <c r="C38" i="20"/>
  <c r="C146" i="2" s="1"/>
  <c r="C37" i="20"/>
  <c r="C145" i="2" s="1"/>
  <c r="C36" i="20"/>
  <c r="C144" i="2" s="1"/>
  <c r="C35" i="20"/>
  <c r="C143" i="2" s="1"/>
  <c r="D273" i="2" l="1"/>
  <c r="G267" i="2"/>
  <c r="E119" i="2"/>
  <c r="E118" i="2"/>
  <c r="F342" i="2"/>
  <c r="F343" i="2"/>
  <c r="F344" i="2"/>
  <c r="F345" i="2"/>
  <c r="F346" i="2"/>
  <c r="F347" i="2"/>
  <c r="F348" i="2"/>
  <c r="F349" i="2"/>
  <c r="E341" i="2"/>
  <c r="E340" i="2"/>
  <c r="E339" i="2"/>
  <c r="E338" i="2"/>
  <c r="E336" i="2"/>
  <c r="E337" i="2" s="1"/>
  <c r="E335" i="2"/>
  <c r="E334" i="2"/>
  <c r="D341" i="2"/>
  <c r="D340" i="2"/>
  <c r="D339" i="2"/>
  <c r="F339" i="2" s="1"/>
  <c r="D338" i="2"/>
  <c r="D335" i="2"/>
  <c r="D336" i="2"/>
  <c r="D337" i="2"/>
  <c r="D334" i="2"/>
  <c r="D319" i="2"/>
  <c r="F319" i="2" s="1"/>
  <c r="D318" i="2"/>
  <c r="F318" i="2" s="1"/>
  <c r="D317" i="2"/>
  <c r="F317" i="2" s="1"/>
  <c r="D316" i="2"/>
  <c r="F316" i="2" s="1"/>
  <c r="F19" i="2"/>
  <c r="F335" i="2" l="1"/>
  <c r="F334" i="2"/>
  <c r="F336" i="2"/>
  <c r="F340" i="2"/>
  <c r="F341" i="2"/>
  <c r="F338" i="2"/>
  <c r="F337" i="2"/>
  <c r="A42" i="20" l="1"/>
  <c r="A45" i="20" s="1"/>
  <c r="A47" i="20" s="1"/>
  <c r="D127" i="2"/>
  <c r="F154" i="2"/>
  <c r="E261" i="2" l="1"/>
  <c r="E275" i="2" l="1"/>
  <c r="G275" i="2" s="1"/>
  <c r="E274" i="2"/>
  <c r="G274" i="2" s="1"/>
  <c r="E273" i="2"/>
  <c r="G273" i="2" s="1"/>
  <c r="D242" i="2"/>
  <c r="G276" i="2" l="1"/>
  <c r="D278" i="2" s="1"/>
  <c r="D282" i="2" s="1"/>
  <c r="D21" i="3" s="1"/>
  <c r="K132" i="2"/>
  <c r="N132" i="2"/>
  <c r="K133" i="2"/>
  <c r="N133" i="2"/>
  <c r="K131" i="2"/>
  <c r="N131" i="2"/>
  <c r="K130" i="2"/>
  <c r="K111" i="2"/>
  <c r="K124" i="2"/>
  <c r="K119" i="2"/>
  <c r="K118" i="2"/>
  <c r="O111" i="2"/>
  <c r="L111" i="2"/>
  <c r="K110" i="2"/>
  <c r="K101" i="2"/>
  <c r="K97" i="2"/>
  <c r="K96" i="2"/>
  <c r="K68" i="2"/>
  <c r="D48" i="3" l="1"/>
  <c r="K83" i="2"/>
  <c r="K79" i="2"/>
  <c r="K77" i="2"/>
  <c r="N130" i="2" l="1"/>
  <c r="N129" i="2"/>
  <c r="N124" i="2"/>
  <c r="N122" i="2"/>
  <c r="N121" i="2"/>
  <c r="N119" i="2"/>
  <c r="N118" i="2"/>
  <c r="N111" i="2"/>
  <c r="N110" i="2"/>
  <c r="N108" i="2"/>
  <c r="N106" i="2"/>
  <c r="N104" i="2"/>
  <c r="N103" i="2"/>
  <c r="N101" i="2"/>
  <c r="N99" i="2"/>
  <c r="N97" i="2"/>
  <c r="N96" i="2"/>
  <c r="N89" i="2"/>
  <c r="N88" i="2"/>
  <c r="N84" i="2"/>
  <c r="N85" i="2"/>
  <c r="N86" i="2"/>
  <c r="N83" i="2"/>
  <c r="N81" i="2"/>
  <c r="N79" i="2"/>
  <c r="N77" i="2"/>
  <c r="N75" i="2"/>
  <c r="N68" i="2"/>
  <c r="N67" i="2"/>
  <c r="N65" i="2"/>
  <c r="N63" i="2"/>
  <c r="N62" i="2"/>
  <c r="N60" i="2"/>
  <c r="N55" i="2"/>
  <c r="N56" i="2"/>
  <c r="N57" i="2"/>
  <c r="N58" i="2"/>
  <c r="N54" i="2"/>
  <c r="N52" i="2" l="1"/>
  <c r="N49" i="2"/>
  <c r="N51" i="2"/>
  <c r="N50" i="2"/>
  <c r="N47" i="2" l="1"/>
  <c r="N46" i="2"/>
  <c r="H333" i="2" l="1"/>
  <c r="H325" i="2"/>
  <c r="D220" i="2"/>
  <c r="F143" i="2"/>
  <c r="F144" i="2"/>
  <c r="F145" i="2"/>
  <c r="F146" i="2"/>
  <c r="G141" i="2"/>
  <c r="G31" i="2"/>
  <c r="G32" i="2"/>
  <c r="F33" i="2"/>
  <c r="G33" i="2" s="1"/>
  <c r="G147" i="2" s="1"/>
  <c r="E215" i="2"/>
  <c r="E206" i="2"/>
  <c r="D167" i="2"/>
  <c r="F167" i="2"/>
  <c r="D166" i="2"/>
  <c r="F166" i="2"/>
  <c r="D165" i="2"/>
  <c r="F165" i="2"/>
  <c r="D164" i="2"/>
  <c r="F164" i="2"/>
  <c r="D157" i="2"/>
  <c r="D156" i="2"/>
  <c r="E133" i="2"/>
  <c r="M133" i="2" s="1"/>
  <c r="P133" i="2" s="1"/>
  <c r="E132" i="2"/>
  <c r="M132" i="2" s="1"/>
  <c r="P132" i="2" s="1"/>
  <c r="E131" i="2"/>
  <c r="M131" i="2" s="1"/>
  <c r="P131" i="2" s="1"/>
  <c r="E130" i="2"/>
  <c r="E129" i="2"/>
  <c r="D114" i="2"/>
  <c r="E124" i="2"/>
  <c r="E122" i="2"/>
  <c r="E121" i="2"/>
  <c r="E111" i="2"/>
  <c r="M111" i="2" s="1"/>
  <c r="P111" i="2" s="1"/>
  <c r="E110" i="2"/>
  <c r="E108" i="2"/>
  <c r="E106" i="2"/>
  <c r="E104" i="2"/>
  <c r="E103" i="2"/>
  <c r="E101" i="2"/>
  <c r="E99" i="2"/>
  <c r="E97" i="2"/>
  <c r="E96" i="2"/>
  <c r="D92" i="2"/>
  <c r="D71" i="2"/>
  <c r="D42" i="2"/>
  <c r="E89" i="2"/>
  <c r="E88" i="2"/>
  <c r="E86" i="2"/>
  <c r="E85" i="2"/>
  <c r="E84" i="2"/>
  <c r="E83" i="2"/>
  <c r="E81" i="2"/>
  <c r="E79" i="2"/>
  <c r="E77" i="2"/>
  <c r="E75" i="2"/>
  <c r="E68" i="2"/>
  <c r="E67" i="2"/>
  <c r="E65" i="2"/>
  <c r="E63" i="2"/>
  <c r="E62" i="2"/>
  <c r="E60" i="2"/>
  <c r="E58" i="2"/>
  <c r="E57" i="2"/>
  <c r="E56" i="2"/>
  <c r="E55" i="2"/>
  <c r="E54" i="2"/>
  <c r="E50" i="2"/>
  <c r="E51" i="2"/>
  <c r="E52" i="2"/>
  <c r="E49" i="2"/>
  <c r="E47" i="2"/>
  <c r="E46" i="2"/>
  <c r="D326" i="2" l="1"/>
  <c r="D325" i="2"/>
  <c r="D328" i="2"/>
  <c r="D327" i="2"/>
  <c r="H334" i="2"/>
  <c r="Q132" i="2"/>
  <c r="Q133" i="2"/>
  <c r="Q131" i="2"/>
  <c r="G85" i="2"/>
  <c r="H85" i="2" s="1"/>
  <c r="M85" i="2"/>
  <c r="P85" i="2" s="1"/>
  <c r="Q85" i="2" s="1"/>
  <c r="G77" i="2"/>
  <c r="H77" i="2" s="1"/>
  <c r="M77" i="2"/>
  <c r="G89" i="2"/>
  <c r="H89" i="2" s="1"/>
  <c r="M89" i="2"/>
  <c r="P89" i="2" s="1"/>
  <c r="Q89" i="2" s="1"/>
  <c r="G103" i="2"/>
  <c r="H103" i="2" s="1"/>
  <c r="M103" i="2"/>
  <c r="P103" i="2" s="1"/>
  <c r="Q103" i="2" s="1"/>
  <c r="G121" i="2"/>
  <c r="H121" i="2" s="1"/>
  <c r="M121" i="2"/>
  <c r="P121" i="2" s="1"/>
  <c r="Q121" i="2" s="1"/>
  <c r="G52" i="2"/>
  <c r="H52" i="2" s="1"/>
  <c r="M52" i="2"/>
  <c r="P52" i="2" s="1"/>
  <c r="Q52" i="2" s="1"/>
  <c r="G104" i="2"/>
  <c r="H104" i="2" s="1"/>
  <c r="M104" i="2"/>
  <c r="P104" i="2" s="1"/>
  <c r="Q104" i="2" s="1"/>
  <c r="G122" i="2"/>
  <c r="H122" i="2" s="1"/>
  <c r="M122" i="2"/>
  <c r="P122" i="2" s="1"/>
  <c r="Q122" i="2" s="1"/>
  <c r="G51" i="2"/>
  <c r="H51" i="2" s="1"/>
  <c r="M51" i="2"/>
  <c r="P51" i="2" s="1"/>
  <c r="Q51" i="2" s="1"/>
  <c r="G62" i="2"/>
  <c r="H62" i="2" s="1"/>
  <c r="M62" i="2"/>
  <c r="P62" i="2" s="1"/>
  <c r="Q62" i="2" s="1"/>
  <c r="E174" i="2"/>
  <c r="M81" i="2"/>
  <c r="P81" i="2" s="1"/>
  <c r="Q81" i="2" s="1"/>
  <c r="G106" i="2"/>
  <c r="H106" i="2" s="1"/>
  <c r="M106" i="2"/>
  <c r="P106" i="2" s="1"/>
  <c r="Q106" i="2" s="1"/>
  <c r="G124" i="2"/>
  <c r="H124" i="2" s="1"/>
  <c r="M124" i="2"/>
  <c r="P124" i="2" s="1"/>
  <c r="Q124" i="2" s="1"/>
  <c r="G55" i="2"/>
  <c r="H55" i="2" s="1"/>
  <c r="M55" i="2"/>
  <c r="P55" i="2" s="1"/>
  <c r="Q55" i="2" s="1"/>
  <c r="G67" i="2"/>
  <c r="H67" i="2" s="1"/>
  <c r="M67" i="2"/>
  <c r="P67" i="2" s="1"/>
  <c r="Q67" i="2" s="1"/>
  <c r="G97" i="2"/>
  <c r="H97" i="2" s="1"/>
  <c r="M97" i="2"/>
  <c r="P97" i="2" s="1"/>
  <c r="Q97" i="2" s="1"/>
  <c r="G111" i="2"/>
  <c r="H111" i="2" s="1"/>
  <c r="Q111" i="2"/>
  <c r="G130" i="2"/>
  <c r="H130" i="2" s="1"/>
  <c r="M130" i="2"/>
  <c r="G47" i="2"/>
  <c r="H47" i="2" s="1"/>
  <c r="M47" i="2"/>
  <c r="P47" i="2" s="1"/>
  <c r="Q47" i="2" s="1"/>
  <c r="G57" i="2"/>
  <c r="H57" i="2" s="1"/>
  <c r="M57" i="2"/>
  <c r="P57" i="2" s="1"/>
  <c r="Q57" i="2" s="1"/>
  <c r="G75" i="2"/>
  <c r="H75" i="2" s="1"/>
  <c r="M75" i="2"/>
  <c r="G88" i="2"/>
  <c r="H88" i="2" s="1"/>
  <c r="M88" i="2"/>
  <c r="P88" i="2" s="1"/>
  <c r="Q88" i="2" s="1"/>
  <c r="G101" i="2"/>
  <c r="H101" i="2" s="1"/>
  <c r="M101" i="2"/>
  <c r="P101" i="2" s="1"/>
  <c r="Q101" i="2" s="1"/>
  <c r="G119" i="2"/>
  <c r="H119" i="2" s="1"/>
  <c r="M119" i="2"/>
  <c r="P119" i="2" s="1"/>
  <c r="Q119" i="2" s="1"/>
  <c r="G132" i="2"/>
  <c r="H132" i="2" s="1"/>
  <c r="G49" i="2"/>
  <c r="H49" i="2" s="1"/>
  <c r="M49" i="2"/>
  <c r="P49" i="2" s="1"/>
  <c r="Q49" i="2" s="1"/>
  <c r="G58" i="2"/>
  <c r="H58" i="2" s="1"/>
  <c r="M58" i="2"/>
  <c r="P58" i="2" s="1"/>
  <c r="Q58" i="2" s="1"/>
  <c r="G133" i="2"/>
  <c r="H133" i="2" s="1"/>
  <c r="G60" i="2"/>
  <c r="H60" i="2" s="1"/>
  <c r="M60" i="2"/>
  <c r="P60" i="2" s="1"/>
  <c r="Q60" i="2" s="1"/>
  <c r="G79" i="2"/>
  <c r="H79" i="2" s="1"/>
  <c r="M79" i="2"/>
  <c r="P79" i="2" s="1"/>
  <c r="Q79" i="2" s="1"/>
  <c r="G50" i="2"/>
  <c r="H50" i="2" s="1"/>
  <c r="M50" i="2"/>
  <c r="P50" i="2" s="1"/>
  <c r="Q50" i="2" s="1"/>
  <c r="G63" i="2"/>
  <c r="H63" i="2" s="1"/>
  <c r="M63" i="2"/>
  <c r="P63" i="2" s="1"/>
  <c r="Q63" i="2" s="1"/>
  <c r="G83" i="2"/>
  <c r="H83" i="2" s="1"/>
  <c r="M83" i="2"/>
  <c r="P83" i="2" s="1"/>
  <c r="Q83" i="2" s="1"/>
  <c r="G108" i="2"/>
  <c r="H108" i="2" s="1"/>
  <c r="M108" i="2"/>
  <c r="P108" i="2" s="1"/>
  <c r="Q108" i="2" s="1"/>
  <c r="G54" i="2"/>
  <c r="H54" i="2" s="1"/>
  <c r="M54" i="2"/>
  <c r="P54" i="2" s="1"/>
  <c r="Q54" i="2" s="1"/>
  <c r="G65" i="2"/>
  <c r="H65" i="2" s="1"/>
  <c r="M65" i="2"/>
  <c r="P65" i="2" s="1"/>
  <c r="Q65" i="2" s="1"/>
  <c r="G84" i="2"/>
  <c r="H84" i="2" s="1"/>
  <c r="M84" i="2"/>
  <c r="P84" i="2" s="1"/>
  <c r="Q84" i="2" s="1"/>
  <c r="G96" i="2"/>
  <c r="H96" i="2" s="1"/>
  <c r="M96" i="2"/>
  <c r="P96" i="2" s="1"/>
  <c r="Q96" i="2" s="1"/>
  <c r="G110" i="2"/>
  <c r="H110" i="2" s="1"/>
  <c r="M110" i="2"/>
  <c r="P110" i="2" s="1"/>
  <c r="Q110" i="2" s="1"/>
  <c r="G129" i="2"/>
  <c r="H129" i="2" s="1"/>
  <c r="M129" i="2"/>
  <c r="P129" i="2" s="1"/>
  <c r="Q129" i="2" s="1"/>
  <c r="G46" i="2"/>
  <c r="H46" i="2" s="1"/>
  <c r="M46" i="2"/>
  <c r="P46" i="2" s="1"/>
  <c r="Q46" i="2" s="1"/>
  <c r="G56" i="2"/>
  <c r="H56" i="2" s="1"/>
  <c r="M56" i="2"/>
  <c r="P56" i="2" s="1"/>
  <c r="Q56" i="2" s="1"/>
  <c r="G68" i="2"/>
  <c r="H68" i="2" s="1"/>
  <c r="M68" i="2"/>
  <c r="G86" i="2"/>
  <c r="H86" i="2" s="1"/>
  <c r="M86" i="2"/>
  <c r="P86" i="2" s="1"/>
  <c r="Q86" i="2" s="1"/>
  <c r="G99" i="2"/>
  <c r="H99" i="2" s="1"/>
  <c r="M99" i="2"/>
  <c r="P99" i="2" s="1"/>
  <c r="Q99" i="2" s="1"/>
  <c r="G118" i="2"/>
  <c r="H118" i="2" s="1"/>
  <c r="M118" i="2"/>
  <c r="P118" i="2" s="1"/>
  <c r="Q118" i="2" s="1"/>
  <c r="G131" i="2"/>
  <c r="H131" i="2" s="1"/>
  <c r="G145" i="2"/>
  <c r="G143" i="2"/>
  <c r="G144" i="2"/>
  <c r="G146" i="2"/>
  <c r="G81" i="2"/>
  <c r="H81" i="2" s="1"/>
  <c r="F147" i="2"/>
  <c r="E167" i="2"/>
  <c r="G167" i="2" s="1"/>
  <c r="E178" i="2"/>
  <c r="E179" i="2"/>
  <c r="E165" i="2"/>
  <c r="G165" i="2" s="1"/>
  <c r="E177" i="2"/>
  <c r="E199" i="2"/>
  <c r="E198" i="2"/>
  <c r="E193" i="2"/>
  <c r="E192" i="2"/>
  <c r="E183" i="2"/>
  <c r="E182" i="2"/>
  <c r="E176" i="2"/>
  <c r="E171" i="2"/>
  <c r="E211" i="2"/>
  <c r="E170" i="2"/>
  <c r="E185" i="2"/>
  <c r="E169" i="2"/>
  <c r="E191" i="2"/>
  <c r="E184" i="2"/>
  <c r="E190" i="2"/>
  <c r="E175" i="2"/>
  <c r="E197" i="2"/>
  <c r="E189" i="2"/>
  <c r="E201" i="2"/>
  <c r="E196" i="2"/>
  <c r="E188" i="2"/>
  <c r="E181" i="2"/>
  <c r="E173" i="2"/>
  <c r="E195" i="2"/>
  <c r="E187" i="2"/>
  <c r="E213" i="2"/>
  <c r="E180" i="2"/>
  <c r="E172" i="2"/>
  <c r="E194" i="2"/>
  <c r="E212" i="2"/>
  <c r="E166" i="2"/>
  <c r="G166" i="2" s="1"/>
  <c r="E153" i="2"/>
  <c r="E164" i="2"/>
  <c r="G164" i="2" s="1"/>
  <c r="E134" i="2"/>
  <c r="E154" i="2"/>
  <c r="E163" i="2"/>
  <c r="E160" i="2"/>
  <c r="E157" i="2"/>
  <c r="E158" i="2"/>
  <c r="E155" i="2"/>
  <c r="E162" i="2"/>
  <c r="E161" i="2"/>
  <c r="E125" i="2"/>
  <c r="E159" i="2"/>
  <c r="E156" i="2"/>
  <c r="E112" i="2"/>
  <c r="E90" i="2"/>
  <c r="D215" i="2"/>
  <c r="F217" i="2"/>
  <c r="G217" i="2" s="1"/>
  <c r="F216" i="2"/>
  <c r="G216" i="2" s="1"/>
  <c r="F212" i="2"/>
  <c r="F213" i="2"/>
  <c r="F214" i="2"/>
  <c r="G214" i="2" s="1"/>
  <c r="F211" i="2"/>
  <c r="D213" i="2"/>
  <c r="D212" i="2"/>
  <c r="D211" i="2"/>
  <c r="D134" i="2"/>
  <c r="F208" i="2"/>
  <c r="G208" i="2" s="1"/>
  <c r="F209" i="2"/>
  <c r="G209" i="2" s="1"/>
  <c r="F207" i="2"/>
  <c r="G207" i="2" s="1"/>
  <c r="D206" i="2"/>
  <c r="F205" i="2"/>
  <c r="F204" i="2"/>
  <c r="F203" i="2"/>
  <c r="F202" i="2"/>
  <c r="F201" i="2"/>
  <c r="F199" i="2"/>
  <c r="F198" i="2"/>
  <c r="D199" i="2"/>
  <c r="D198" i="2"/>
  <c r="D197" i="2"/>
  <c r="F197" i="2"/>
  <c r="D196" i="2"/>
  <c r="F196" i="2"/>
  <c r="D195" i="2"/>
  <c r="D192" i="2"/>
  <c r="D193" i="2"/>
  <c r="F193" i="2"/>
  <c r="D194" i="2"/>
  <c r="F194" i="2"/>
  <c r="F195" i="2"/>
  <c r="D191" i="2"/>
  <c r="D190" i="2"/>
  <c r="D189" i="2"/>
  <c r="D188" i="2"/>
  <c r="D187" i="2"/>
  <c r="F192" i="2"/>
  <c r="F191" i="2"/>
  <c r="F190" i="2"/>
  <c r="F189" i="2"/>
  <c r="F188" i="2"/>
  <c r="F187" i="2"/>
  <c r="F183" i="2"/>
  <c r="F184" i="2"/>
  <c r="F185" i="2"/>
  <c r="D185" i="2"/>
  <c r="D184" i="2"/>
  <c r="F182" i="2"/>
  <c r="D183" i="2"/>
  <c r="D182" i="2"/>
  <c r="F180" i="2"/>
  <c r="F181" i="2"/>
  <c r="D181" i="2"/>
  <c r="D180" i="2"/>
  <c r="D179" i="2"/>
  <c r="D178" i="2"/>
  <c r="D177" i="2"/>
  <c r="D176" i="2"/>
  <c r="F177" i="2"/>
  <c r="F176" i="2"/>
  <c r="D175" i="2"/>
  <c r="D174" i="2"/>
  <c r="D173" i="2"/>
  <c r="D172" i="2"/>
  <c r="D171" i="2"/>
  <c r="D170" i="2"/>
  <c r="D169" i="2"/>
  <c r="F179" i="2"/>
  <c r="F178" i="2"/>
  <c r="F175" i="2"/>
  <c r="F174" i="2"/>
  <c r="F173" i="2"/>
  <c r="F172" i="2"/>
  <c r="F171" i="2"/>
  <c r="F170" i="2"/>
  <c r="F169" i="2"/>
  <c r="F160" i="2"/>
  <c r="F161" i="2"/>
  <c r="F162" i="2"/>
  <c r="F163" i="2"/>
  <c r="D163" i="2"/>
  <c r="D162" i="2"/>
  <c r="D161" i="2"/>
  <c r="D160" i="2"/>
  <c r="F158" i="2"/>
  <c r="F159" i="2"/>
  <c r="F157" i="2"/>
  <c r="F156" i="2"/>
  <c r="F155" i="2"/>
  <c r="F153" i="2"/>
  <c r="D159" i="2"/>
  <c r="D158" i="2"/>
  <c r="D155" i="2"/>
  <c r="D154" i="2"/>
  <c r="D153" i="2"/>
  <c r="P130" i="2" l="1"/>
  <c r="Q130" i="2" s="1"/>
  <c r="Q134" i="2" s="1"/>
  <c r="E229" i="2" s="1"/>
  <c r="F229" i="2" s="1"/>
  <c r="P77" i="2"/>
  <c r="Q77" i="2" s="1"/>
  <c r="P75" i="2"/>
  <c r="Q75" i="2" s="1"/>
  <c r="Q90" i="2" s="1"/>
  <c r="E226" i="2" s="1"/>
  <c r="F226" i="2" s="1"/>
  <c r="P68" i="2"/>
  <c r="Q68" i="2" s="1"/>
  <c r="Q69" i="2" s="1"/>
  <c r="E225" i="2" s="1"/>
  <c r="F225" i="2" s="1"/>
  <c r="D202" i="2"/>
  <c r="E202" i="2" s="1"/>
  <c r="G202" i="2" s="1"/>
  <c r="D204" i="2"/>
  <c r="E204" i="2" s="1"/>
  <c r="D205" i="2"/>
  <c r="E205" i="2" s="1"/>
  <c r="G205" i="2" s="1"/>
  <c r="D203" i="2"/>
  <c r="E203" i="2" s="1"/>
  <c r="G203" i="2" s="1"/>
  <c r="G174" i="2"/>
  <c r="Q125" i="2"/>
  <c r="E228" i="2" s="1"/>
  <c r="F228" i="2" s="1"/>
  <c r="Q112" i="2"/>
  <c r="E227" i="2" s="1"/>
  <c r="F227" i="2" s="1"/>
  <c r="G177" i="2"/>
  <c r="G213" i="2"/>
  <c r="G211" i="2"/>
  <c r="G212" i="2"/>
  <c r="G178" i="2"/>
  <c r="G179" i="2"/>
  <c r="G193" i="2"/>
  <c r="G183" i="2"/>
  <c r="G192" i="2"/>
  <c r="G199" i="2"/>
  <c r="G159" i="2"/>
  <c r="G194" i="2"/>
  <c r="G198" i="2"/>
  <c r="G195" i="2"/>
  <c r="G175" i="2"/>
  <c r="G173" i="2"/>
  <c r="G156" i="2"/>
  <c r="G157" i="2"/>
  <c r="G190" i="2"/>
  <c r="G160" i="2"/>
  <c r="E210" i="2"/>
  <c r="G182" i="2"/>
  <c r="G176" i="2"/>
  <c r="G171" i="2"/>
  <c r="G184" i="2"/>
  <c r="G161" i="2"/>
  <c r="G181" i="2"/>
  <c r="G170" i="2"/>
  <c r="G188" i="2"/>
  <c r="G162" i="2"/>
  <c r="G154" i="2"/>
  <c r="G196" i="2"/>
  <c r="G180" i="2"/>
  <c r="G191" i="2"/>
  <c r="G155" i="2"/>
  <c r="G189" i="2"/>
  <c r="G169" i="2"/>
  <c r="E168" i="2"/>
  <c r="D152" i="2"/>
  <c r="G163" i="2"/>
  <c r="G172" i="2"/>
  <c r="G201" i="2"/>
  <c r="G158" i="2"/>
  <c r="G153" i="2"/>
  <c r="E152" i="2"/>
  <c r="E186" i="2"/>
  <c r="G187" i="2"/>
  <c r="G197" i="2"/>
  <c r="G185" i="2"/>
  <c r="G215" i="2"/>
  <c r="D210" i="2"/>
  <c r="H134" i="2"/>
  <c r="G134" i="2"/>
  <c r="G206" i="2"/>
  <c r="D168" i="2"/>
  <c r="D186" i="2"/>
  <c r="E200" i="2" l="1"/>
  <c r="E218" i="2" s="1"/>
  <c r="D200" i="2"/>
  <c r="D218" i="2" s="1"/>
  <c r="G204" i="2"/>
  <c r="G200" i="2" s="1"/>
  <c r="I146" i="2" s="1"/>
  <c r="G152" i="2"/>
  <c r="I143" i="2" s="1"/>
  <c r="G186" i="2"/>
  <c r="I145" i="2" s="1"/>
  <c r="G168" i="2"/>
  <c r="I144" i="2" s="1"/>
  <c r="D308" i="2" l="1"/>
  <c r="D312" i="2" s="1"/>
  <c r="D307" i="2"/>
  <c r="D311" i="2" s="1"/>
  <c r="D69" i="2"/>
  <c r="E69" i="2" s="1"/>
  <c r="E136" i="2" s="1"/>
  <c r="D125" i="2"/>
  <c r="H125" i="2" l="1"/>
  <c r="G125" i="2"/>
  <c r="D112" i="2"/>
  <c r="D90" i="2"/>
  <c r="D136" i="2" l="1"/>
  <c r="H112" i="2"/>
  <c r="G112" i="2"/>
  <c r="G90" i="2"/>
  <c r="H90" i="2"/>
  <c r="A44" i="2"/>
  <c r="G69" i="2" l="1"/>
  <c r="G136" i="2" s="1"/>
  <c r="A73" i="2"/>
  <c r="A94" i="2" s="1"/>
  <c r="H69" i="2"/>
  <c r="D352" i="2"/>
  <c r="F320" i="2"/>
  <c r="D374" i="2" l="1"/>
  <c r="D369" i="2"/>
  <c r="D370" i="2"/>
  <c r="D367" i="2"/>
  <c r="D368" i="2"/>
  <c r="D372" i="2"/>
  <c r="D366" i="2"/>
  <c r="D360" i="2"/>
  <c r="D364" i="2"/>
  <c r="D359" i="2"/>
  <c r="D373" i="2"/>
  <c r="D371" i="2"/>
  <c r="D361" i="2"/>
  <c r="D362" i="2"/>
  <c r="D365" i="2"/>
  <c r="D363" i="2"/>
  <c r="H136" i="2"/>
  <c r="D40" i="2" s="1"/>
  <c r="A116" i="2"/>
  <c r="A127" i="2" s="1"/>
  <c r="D358" i="2" l="1"/>
  <c r="D356" i="2"/>
  <c r="D357" i="2"/>
  <c r="D355" i="2"/>
  <c r="G210" i="2" l="1"/>
  <c r="F350" i="2"/>
  <c r="G218" i="2" l="1"/>
  <c r="I147" i="2"/>
  <c r="I148" i="2" s="1"/>
  <c r="I149" i="2" l="1"/>
  <c r="A150" i="2" l="1"/>
  <c r="A220" i="2" l="1"/>
  <c r="A224" i="2" s="1"/>
  <c r="A232" i="2" s="1"/>
  <c r="A235" i="2" s="1"/>
  <c r="D291" i="2" l="1"/>
  <c r="D81" i="20"/>
  <c r="C22" i="3"/>
  <c r="C33" i="3"/>
  <c r="D6" i="2"/>
  <c r="C21" i="3"/>
  <c r="C48" i="3" s="1"/>
  <c r="D296" i="2" l="1"/>
  <c r="D8" i="2"/>
  <c r="E33" i="2" s="1"/>
  <c r="D86" i="20"/>
  <c r="D8" i="20"/>
  <c r="E18" i="20" l="1"/>
  <c r="D297" i="2"/>
  <c r="D298" i="2"/>
  <c r="F239" i="2"/>
  <c r="F240" i="2"/>
  <c r="F241" i="2"/>
  <c r="F242" i="2" l="1"/>
  <c r="D245" i="2" s="1"/>
  <c r="D251" i="2" s="1"/>
  <c r="D20" i="3" s="1"/>
  <c r="D301" i="2"/>
  <c r="D306" i="2" s="1"/>
  <c r="D17" i="2"/>
  <c r="E147" i="2"/>
  <c r="H147" i="2" s="1"/>
  <c r="J147" i="2" s="1"/>
  <c r="H33" i="2"/>
  <c r="I33" i="2" s="1"/>
  <c r="D18" i="2"/>
  <c r="F18" i="2" s="1"/>
  <c r="C20" i="3" l="1"/>
  <c r="C19" i="3" s="1"/>
  <c r="D19" i="3" s="1"/>
  <c r="D310" i="2"/>
  <c r="D29" i="3" s="1"/>
  <c r="D18" i="20"/>
  <c r="D20" i="2"/>
  <c r="D23" i="2" s="1"/>
  <c r="F17" i="2"/>
  <c r="F20" i="2" s="1"/>
  <c r="E20" i="2"/>
  <c r="E23" i="2" s="1"/>
  <c r="E32" i="2" l="1"/>
  <c r="E146" i="2" s="1"/>
  <c r="H146" i="2" s="1"/>
  <c r="J146" i="2" s="1"/>
  <c r="E31" i="2"/>
  <c r="E145" i="2" s="1"/>
  <c r="H145" i="2" s="1"/>
  <c r="J145" i="2" s="1"/>
  <c r="F23" i="2"/>
  <c r="C14" i="3" s="1"/>
  <c r="D14" i="3" s="1"/>
  <c r="D36" i="3" s="1"/>
  <c r="E29" i="2"/>
  <c r="H29" i="2" s="1"/>
  <c r="E25" i="20"/>
  <c r="E30" i="2" s="1"/>
  <c r="D28" i="3"/>
  <c r="C29" i="3"/>
  <c r="C28" i="3" s="1"/>
  <c r="C36" i="3" l="1"/>
  <c r="H30" i="2"/>
  <c r="I30" i="2" s="1"/>
  <c r="E144" i="2"/>
  <c r="H144" i="2" s="1"/>
  <c r="J144" i="2" s="1"/>
  <c r="H32" i="2"/>
  <c r="I32" i="2" s="1"/>
  <c r="C50" i="3" s="1"/>
  <c r="D50" i="3" s="1"/>
  <c r="C49" i="3"/>
  <c r="C18" i="3"/>
  <c r="D18" i="3" s="1"/>
  <c r="H31" i="2"/>
  <c r="I31" i="2" s="1"/>
  <c r="C25" i="3"/>
  <c r="D25" i="3" s="1"/>
  <c r="I29" i="2"/>
  <c r="E143" i="2"/>
  <c r="H143" i="2" s="1"/>
  <c r="J143" i="2" s="1"/>
  <c r="C24" i="3"/>
  <c r="D24" i="3" s="1"/>
  <c r="I34" i="2" l="1"/>
  <c r="C15" i="3" s="1"/>
  <c r="D15" i="3" s="1"/>
  <c r="D23" i="3"/>
  <c r="C47" i="3"/>
  <c r="D49" i="3"/>
  <c r="D47" i="3" s="1"/>
  <c r="C23" i="3"/>
  <c r="J148" i="2"/>
  <c r="J149" i="2" s="1"/>
  <c r="C16" i="3" s="1"/>
  <c r="D16" i="3" s="1"/>
  <c r="D380" i="2" l="1"/>
  <c r="D378" i="2"/>
  <c r="D379" i="2" s="1"/>
  <c r="A376" i="2"/>
  <c r="D32" i="3"/>
  <c r="D381" i="2" l="1"/>
  <c r="D26" i="3" s="1"/>
  <c r="C26" i="3" s="1"/>
  <c r="C17" i="3" s="1"/>
  <c r="C13" i="3" s="1"/>
  <c r="C32" i="3"/>
  <c r="C31" i="3" s="1"/>
  <c r="D31" i="3"/>
  <c r="D17" i="3" l="1"/>
  <c r="D37" i="3" s="1"/>
  <c r="D40" i="3" s="1"/>
  <c r="C8" i="3"/>
  <c r="C35" i="3"/>
  <c r="C37" i="3" s="1"/>
  <c r="C40" i="3" s="1"/>
  <c r="D13" i="3" l="1"/>
  <c r="D8" i="3" s="1"/>
  <c r="D43" i="3"/>
  <c r="D41" i="3"/>
  <c r="C41" i="3"/>
  <c r="C43" i="3"/>
  <c r="D35"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tc={36FAA5CF-AFAD-4EA2-8019-9F2CA479BF53}</author>
    <author>tc={18D2362A-4E7E-41FE-88FC-6709A3CB9141}</author>
    <author>tc={62442426-661A-4C4B-86FE-FE8AD7D5F1A6}</author>
  </authors>
  <commentList>
    <comment ref="K68" authorId="0" shapeId="0" xr:uid="{36FAA5CF-AFAD-4EA2-8019-9F2CA479BF53}">
      <text>
        <t>[Threaded comment]
Your version of Excel allows you to read this threaded comment; however, any edits to it will get removed if the file is opened in a newer version of Excel. Learn more: https://go.microsoft.com/fwlink/?linkid=870924
Comment:
    HSD Fuel rate</t>
      </text>
    </comment>
    <comment ref="L68" authorId="1" shapeId="0" xr:uid="{18D2362A-4E7E-41FE-88FC-6709A3CB9141}">
      <text>
        <t>[Threaded comment]
Your version of Excel allows you to read this threaded comment; however, any edits to it will get removed if the file is opened in a newer version of Excel. Learn more: https://go.microsoft.com/fwlink/?linkid=870924
Comment:
    Litres per hour</t>
      </text>
    </comment>
    <comment ref="P68" authorId="2" shapeId="0" xr:uid="{62442426-661A-4C4B-86FE-FE8AD7D5F1A6}">
      <text>
        <t>[Threaded comment]
Your version of Excel allows you to read this threaded comment; however, any edits to it will get removed if the file is opened in a newer version of Excel. Learn more: https://go.microsoft.com/fwlink/?linkid=870924
Comment:
    Fuel Cost per month</t>
      </text>
    </comment>
  </commentList>
</comments>
</file>

<file path=xl/sharedStrings.xml><?xml version="1.0" encoding="utf-8"?>
<sst xmlns="http://schemas.openxmlformats.org/spreadsheetml/2006/main" count="916" uniqueCount="429">
  <si>
    <t>INR/MT</t>
  </si>
  <si>
    <t>MT</t>
  </si>
  <si>
    <t>INR</t>
  </si>
  <si>
    <t>Total Cost</t>
  </si>
  <si>
    <t>Infrastructure &amp; Set-up</t>
  </si>
  <si>
    <t>Plant &amp; Machinery</t>
  </si>
  <si>
    <t>Puchase Cost</t>
  </si>
  <si>
    <t>Total</t>
  </si>
  <si>
    <t>Rate</t>
  </si>
  <si>
    <t>Manpower</t>
  </si>
  <si>
    <t>Mobilization Cost</t>
  </si>
  <si>
    <t>Utility, Lighting etc</t>
  </si>
  <si>
    <t>Toilet</t>
  </si>
  <si>
    <t>Cost of infrastructure &amp; setup</t>
  </si>
  <si>
    <t>%</t>
  </si>
  <si>
    <t>Spares &amp; consumables</t>
  </si>
  <si>
    <t>Utility and consumables</t>
  </si>
  <si>
    <t>Salaries</t>
  </si>
  <si>
    <t>Manpower Accomodation &amp; Conveyance</t>
  </si>
  <si>
    <t>Overhead</t>
  </si>
  <si>
    <t>HR &amp; Admin expense</t>
  </si>
  <si>
    <t>Management expense including HO</t>
  </si>
  <si>
    <t>HO overheads including admin expense</t>
  </si>
  <si>
    <t>Raw Materials</t>
  </si>
  <si>
    <t>Wastage</t>
  </si>
  <si>
    <t>Total Salary/month</t>
  </si>
  <si>
    <t>Salary/month</t>
  </si>
  <si>
    <t>Store Container</t>
  </si>
  <si>
    <t>Input</t>
  </si>
  <si>
    <t>Machinery</t>
  </si>
  <si>
    <t>i)</t>
  </si>
  <si>
    <t>ii)</t>
  </si>
  <si>
    <t>Power rating</t>
  </si>
  <si>
    <t>PF</t>
  </si>
  <si>
    <t>Demand load</t>
  </si>
  <si>
    <t>Working hours (monthly)</t>
  </si>
  <si>
    <t>Staff Office Container (2)</t>
  </si>
  <si>
    <t>Monthly Rental</t>
  </si>
  <si>
    <t>Overheads</t>
  </si>
  <si>
    <t>Contingency</t>
  </si>
  <si>
    <t>-</t>
  </si>
  <si>
    <t>&gt;</t>
  </si>
  <si>
    <t>Electricity Cost/month</t>
  </si>
  <si>
    <t>Cost</t>
  </si>
  <si>
    <t>Payable quantity</t>
  </si>
  <si>
    <t>Total structural steel requirement</t>
  </si>
  <si>
    <t>Cutting Equipment</t>
  </si>
  <si>
    <t>Drilling and Punching Machines</t>
  </si>
  <si>
    <t>Bending and Forming Equipment</t>
  </si>
  <si>
    <t>Welding Equipment</t>
  </si>
  <si>
    <t>Surface Preparation and Finishing</t>
  </si>
  <si>
    <t>Days</t>
  </si>
  <si>
    <t>Work-days per month</t>
  </si>
  <si>
    <t>Work-hours per day</t>
  </si>
  <si>
    <t>Hours</t>
  </si>
  <si>
    <t>Others</t>
  </si>
  <si>
    <t>Civil</t>
  </si>
  <si>
    <t>CNC Plasma Cutting Machine (Multi-Torch)</t>
  </si>
  <si>
    <t>Plate Blasting Machine</t>
  </si>
  <si>
    <t>Material Handling</t>
  </si>
  <si>
    <t>EOT Crane 10T</t>
  </si>
  <si>
    <t>EOT Crane 5T</t>
  </si>
  <si>
    <t>Blasting &amp; Painting</t>
  </si>
  <si>
    <t>Distance from vendor to site</t>
  </si>
  <si>
    <t>Km</t>
  </si>
  <si>
    <t>Truck Load Efficiency</t>
  </si>
  <si>
    <t>Years</t>
  </si>
  <si>
    <t>Depreciation</t>
  </si>
  <si>
    <t>Capacity (MT/month)</t>
  </si>
  <si>
    <t>Depreciated cost</t>
  </si>
  <si>
    <t>Plant Barrication</t>
  </si>
  <si>
    <t>Shearing Machine 6000 X 20</t>
  </si>
  <si>
    <t>CNC Multi Torch</t>
  </si>
  <si>
    <t>Shearing Machine 2000 X 6</t>
  </si>
  <si>
    <t>H Beam Welding</t>
  </si>
  <si>
    <t>Welding Machine</t>
  </si>
  <si>
    <t>4 Roll Flange Strt Machine</t>
  </si>
  <si>
    <t>CNC Plate Driling -Base Plate</t>
  </si>
  <si>
    <t>CNC Plate Drilling -Component</t>
  </si>
  <si>
    <t>Manual Punching Machine</t>
  </si>
  <si>
    <t>Radial Drilling Machine</t>
  </si>
  <si>
    <t>Light Shear 500X12</t>
  </si>
  <si>
    <t>Compressor 500CFM</t>
  </si>
  <si>
    <t>Bogie</t>
  </si>
  <si>
    <t>i</t>
  </si>
  <si>
    <t>ii</t>
  </si>
  <si>
    <t>iii</t>
  </si>
  <si>
    <t>iv</t>
  </si>
  <si>
    <t>v</t>
  </si>
  <si>
    <t>vi</t>
  </si>
  <si>
    <t>Press brake Machine 3000X10</t>
  </si>
  <si>
    <t>vii</t>
  </si>
  <si>
    <t>Other equipments</t>
  </si>
  <si>
    <t>Total (Built-Up  fabrication &amp; Bits Shop)</t>
  </si>
  <si>
    <t>EOT Crane 20T</t>
  </si>
  <si>
    <t>CNC Plate Drilling - Thick Plate</t>
  </si>
  <si>
    <t>Plate Rolling Machine</t>
  </si>
  <si>
    <t>Compressor 250CFM</t>
  </si>
  <si>
    <t>Test Rig</t>
  </si>
  <si>
    <t>Total (Bridge &amp; Girder  fabrication)</t>
  </si>
  <si>
    <t xml:space="preserve">Cambering refers to the process of inducing a slight upward curve in a steel beam or girder to compensate for expected deflection under load. Widely used in bridges, long-span structures, and PEB construction to improve stability and performance.
</t>
  </si>
  <si>
    <t>Cambering Machine</t>
  </si>
  <si>
    <t>Profile Rolling / Bending Machine</t>
  </si>
  <si>
    <t>Profile Rolling refers to the cold or hot bending of metal sections (I-beams, angles, pipes, channels) into curved, spiral, or circular shapes without compromising structural integrity. Commonly used for arches, domes, circular staircases, curved beams, and piping systems.</t>
  </si>
  <si>
    <t>Used for providing compressed air for blasting, cutting, welding support, bolting, and painting. It provides the necessary power and efficiency for various pneumatic tools and processes, ensuring faster and high-quality steel fabrication.</t>
  </si>
  <si>
    <t>H Beam Blasting Machine</t>
  </si>
  <si>
    <t>Surface treatment machine used for cleaning, descaling, and preparing H-beams, I-beams, and other structural steel components before further processing like painting, coating, or welding.</t>
  </si>
  <si>
    <t>CNC H Beam Drilling</t>
  </si>
  <si>
    <t>Manual Band Saw</t>
  </si>
  <si>
    <t>Hand-operated cutting machine used for cutting steel beams, pipes, channels, and other metal profiles.</t>
  </si>
  <si>
    <t>Electric Overhead Traveling Crane with a lifting capacity of 5 tons</t>
  </si>
  <si>
    <t>Electric Overhead Traveling Crane with a lifting capacity of 10 tons</t>
  </si>
  <si>
    <t>Applies load, pressure, vibration, or other forces to a component or structure to assess its performance, strength, and failure limits</t>
  </si>
  <si>
    <t>Electric Overhead Traveling Crane with a lifting capacity of 20 tons</t>
  </si>
  <si>
    <t>A CNC (Computer Numerical Control) machine that automates the cutting process.
Equipped with multiple torches (Plasma or Oxy-Fuel) to cut several steel plates or sections at the same time.</t>
  </si>
  <si>
    <t>Computer-controlled drilling system used to drill precise holes in thick steel plates</t>
  </si>
  <si>
    <t>Used to bend and roll metal plates into cylindrical, conical, or curved shapes.</t>
  </si>
  <si>
    <t>Column and Boom Welding Machine</t>
  </si>
  <si>
    <t>Automated welding system used for welding large, heavy-duty steel components (H-beams, I-beams, and steel columns)</t>
  </si>
  <si>
    <t>Heavy Girder Built up I -Beam Machine</t>
  </si>
  <si>
    <t>Manual welding machine</t>
  </si>
  <si>
    <t>Automated welding and assembly system used to manufacture large, heavy-duty I-beams and box girde</t>
  </si>
  <si>
    <t>Box Column Welding Machine</t>
  </si>
  <si>
    <t>Automated welding system used to fabricate heavy-duty box columns from steel plates</t>
  </si>
  <si>
    <t>Manual Blasting &amp; Painting</t>
  </si>
  <si>
    <t>Manual Blasting Booth</t>
  </si>
  <si>
    <t>Manual Painting Booth</t>
  </si>
  <si>
    <t>A closed, ventilated enclosure where an operator manually performs abrasive blasting using a high-pressure air and abrasive media system. Removes rust, mill scale, paint, and contaminants from steel surfaces. Prepares surfaces for better adhesion of coatings, paint, or galvanizing.</t>
  </si>
  <si>
    <t>Blasting/Painting Systems</t>
  </si>
  <si>
    <t>A ventilated, enclosed space where an operator manually sprays paint, primer, or protective coatings onto metal surfaces. Equipped with air filtration, exhaust systems, and lighting to ensure a clean and safe painting process. Can be used for liquid painting, powder coating, and fire-resistant coatings.</t>
  </si>
  <si>
    <t>CNC (Computer Numerical Control) technology automates the drilling of bolt holes, slots, and countersinks in steel base plates. Base plates are thick steel plates used as foundation supports for columns, beams, and industrial equipment.</t>
  </si>
  <si>
    <t>A hand-operated or foot-operated machine that punches holes in steel plates, beams, and metal sheets using a die and punch mechanism. Works by applying mechanical or hydraulic force to shear out a hole in the material.</t>
  </si>
  <si>
    <t>A drilling machine with a movable radial arm that allows the drill head to be positioned over a large workpiece without moving the workpiece itself.</t>
  </si>
  <si>
    <t>A heavy-duty machine designed to correct flange deformations in structural steel beams. Eliminates welding-induced warping, bending, and flange misalignment.</t>
  </si>
  <si>
    <t>A Shearing Machine 6000 X 20 is a metal cutting machine used to cut steel plates up to 6 meters (6000 mm) in length and 20 mm in thickness.</t>
  </si>
  <si>
    <t>Cut steel plates up to 2000 mm (2 meters) in length and 6 mm in thickness</t>
  </si>
  <si>
    <t>Cut metal sheets up to 500 mm (0.5 meters) in length and 12 mm in thickness</t>
  </si>
  <si>
    <t>A hydraulic or mechanical bending machine used to form metal sheets into angles, channels, and other shapes.</t>
  </si>
  <si>
    <t>Specialized welding system used to fabricate H-beams or I-beams by welding steel plates together.</t>
  </si>
  <si>
    <t>Descaling, and preparing metal plates (such as steel plates) before fabrication or coating. It uses abrasive blasting (typically steel shots or grit) to remove rust, scale, paint, and contaminants from the surface, improving adhesion for welding, painting, or coating.</t>
  </si>
  <si>
    <t>Movable cart or trolley used to transport heavy steel components, such as beams, plates, or welded structures, within a fabrication shop or production line. It helps in moving materials efficiently between different workstations, such as cutting, welding, blasting, and painting stations.</t>
  </si>
  <si>
    <t>Bay No-1: Built-Up  fabrication &amp; Bits Shop (200m*20m)</t>
  </si>
  <si>
    <t>Hot roll fabrication, Bay-3</t>
  </si>
  <si>
    <t>Bay No-2: Bridge &amp; Girder Fabrication Bay (200m*20m)</t>
  </si>
  <si>
    <t>Bay No-3: Hot Roll fabrication (200m*20m)</t>
  </si>
  <si>
    <t>Bay No-4: Manual Blasting and Painting (100m*20m)</t>
  </si>
  <si>
    <t>PEB: Built-Up  fabrication &amp; Bits Shop (200m*20m)</t>
  </si>
  <si>
    <t>PEB: Bridge &amp; Girder Fabrication Bay (200m*20m)</t>
  </si>
  <si>
    <t>PEB: Hot Roll fabrication (200m*20m)</t>
  </si>
  <si>
    <t>PEB: Manual Blasting and Painting (100m*20m)</t>
  </si>
  <si>
    <t xml:space="preserve">Electicity &amp; Utility: Built-Up  fabrication &amp; Bits Shop (1350KW) </t>
  </si>
  <si>
    <t>Electicity &amp; Utility: Hot Roll fabrication (600KW)</t>
  </si>
  <si>
    <t>Electicity &amp; Utility: Bridge &amp; Girder Fabrication Bay (700KW)</t>
  </si>
  <si>
    <t>Electicity &amp; Utility: Manual Blasting and Painting (500KW)</t>
  </si>
  <si>
    <t>Civil ( Utility Room - 10m*50m)</t>
  </si>
  <si>
    <t>PEB ( Utility - 10m*50m)</t>
  </si>
  <si>
    <t>INR/MT/km</t>
  </si>
  <si>
    <t>Truck Charges</t>
  </si>
  <si>
    <t>Total Truck Charges</t>
  </si>
  <si>
    <t>Transportation to Erection Site</t>
  </si>
  <si>
    <t>Stage 2: Transportation from Vendor to Erection Site</t>
  </si>
  <si>
    <t>Stage 1: Fabrication at vendor unit</t>
  </si>
  <si>
    <t>Transportation costs</t>
  </si>
  <si>
    <t>Built-Up fabrication &amp; Bits Shop , Bay No-1</t>
  </si>
  <si>
    <t>Built-Up fabrication &amp; Bits Shop</t>
  </si>
  <si>
    <t>Manpower per shift</t>
  </si>
  <si>
    <t>Bending and Forming Equipment - Operator</t>
  </si>
  <si>
    <t>Operator</t>
  </si>
  <si>
    <t>Helper</t>
  </si>
  <si>
    <t>Cutting Equipment - Operator</t>
  </si>
  <si>
    <t>Cutting Equipment - Helper</t>
  </si>
  <si>
    <t>Drilling &amp; Punching - Operator</t>
  </si>
  <si>
    <t>Drilling &amp; Punching - Helper</t>
  </si>
  <si>
    <t>Bending and Forming Equipment - Helper</t>
  </si>
  <si>
    <t>H Beam Welding - Operator</t>
  </si>
  <si>
    <t>H Beam Welding - Helper</t>
  </si>
  <si>
    <t>Welding Machine - Helper</t>
  </si>
  <si>
    <t>Welding Machine - Operator</t>
  </si>
  <si>
    <t>Operator - Welding</t>
  </si>
  <si>
    <t>Bridge &amp; Girder fabrication</t>
  </si>
  <si>
    <t>Column and Boom Welding Machine - Operator</t>
  </si>
  <si>
    <t>Column and Boom Welding Machine - Helper</t>
  </si>
  <si>
    <t>Heavy Girder Built up I -Beam Machine - Operator</t>
  </si>
  <si>
    <t>Heavy Girder Built up I -Beam Machine - Helper</t>
  </si>
  <si>
    <t>Box Column Welding Machine - Operator</t>
  </si>
  <si>
    <t>Box Column Welding Machine - Helper</t>
  </si>
  <si>
    <t>Test Rig - Operator</t>
  </si>
  <si>
    <t>Test Rig - Helper</t>
  </si>
  <si>
    <t>Hot Roll fabrication</t>
  </si>
  <si>
    <t>Cambering Machine - Operator</t>
  </si>
  <si>
    <t>Cambering Machine - Helper</t>
  </si>
  <si>
    <t>Profile Rolling / Bending Machine - Operator</t>
  </si>
  <si>
    <t>Profile Rolling / Bending Machine - Helper</t>
  </si>
  <si>
    <t>H Beam Blasting Machine - Operator</t>
  </si>
  <si>
    <t>H Beam Blasting Machine - Helper</t>
  </si>
  <si>
    <t>Material Handling - Operator</t>
  </si>
  <si>
    <t>Blasting Booth - Operator</t>
  </si>
  <si>
    <t>Blasting Booth - Helper</t>
  </si>
  <si>
    <t>Painting Booth - Operator</t>
  </si>
  <si>
    <t>Painting Booth - Helper</t>
  </si>
  <si>
    <t>Bay Supervisors</t>
  </si>
  <si>
    <t>Unit Head</t>
  </si>
  <si>
    <t>Shift Head</t>
  </si>
  <si>
    <t>Management staff</t>
  </si>
  <si>
    <t>Generator 2MW</t>
  </si>
  <si>
    <t>Other Equipment</t>
  </si>
  <si>
    <t>Transformer - Voltage Regulation: Steps up or steps down voltage levels to ensure the correct power supply for fabrication machines
A substation manages the distribution of electricity, ensuring safe and reliable power supply for the entire fabrication plant</t>
  </si>
  <si>
    <t>Fork Lift 5 ton</t>
  </si>
  <si>
    <t>Fork Lift 10 ton</t>
  </si>
  <si>
    <t>Assisting in Machine Feeding, Transporting Fabricated Components, Loading &amp; Unloading Steel Beams &amp; Plates</t>
  </si>
  <si>
    <t>Specialized forklift</t>
  </si>
  <si>
    <t>Fork Lift 5 ton - Operator</t>
  </si>
  <si>
    <t>Fork Lift 10 ton - Operator</t>
  </si>
  <si>
    <t>Side Loader - Operator</t>
  </si>
  <si>
    <t>Material Handling - Helper</t>
  </si>
  <si>
    <t>Quality - Helper</t>
  </si>
  <si>
    <t>Quality - Staff</t>
  </si>
  <si>
    <t xml:space="preserve">Built-Up fabrication &amp; Bits Shop </t>
  </si>
  <si>
    <t>Bridge &amp; Girder  fabrication</t>
  </si>
  <si>
    <t>Hot roll fabrication</t>
  </si>
  <si>
    <t>Blasting &amp; Painting, Bay-4</t>
  </si>
  <si>
    <t>Yes/No</t>
  </si>
  <si>
    <t>Fabrication Type</t>
  </si>
  <si>
    <t>Yes</t>
  </si>
  <si>
    <t>q</t>
  </si>
  <si>
    <t>Updated No.s</t>
  </si>
  <si>
    <t>Original No.s</t>
  </si>
  <si>
    <t>Bridge &amp; Girder fabrication, Bay-2</t>
  </si>
  <si>
    <r>
      <t xml:space="preserve">Fabrication Requirement: </t>
    </r>
    <r>
      <rPr>
        <sz val="11"/>
        <color theme="1"/>
        <rFont val="Aptos Narrow"/>
        <family val="2"/>
        <scheme val="minor"/>
      </rPr>
      <t>Built-Up fabrication &amp; Bits Shop</t>
    </r>
  </si>
  <si>
    <r>
      <t xml:space="preserve">Fabrication Requirement: </t>
    </r>
    <r>
      <rPr>
        <sz val="11"/>
        <color theme="1"/>
        <rFont val="Aptos Narrow"/>
        <family val="2"/>
        <scheme val="minor"/>
      </rPr>
      <t>Bridge &amp; Girder fabrication</t>
    </r>
  </si>
  <si>
    <r>
      <t xml:space="preserve">Fabrication Requirement: </t>
    </r>
    <r>
      <rPr>
        <sz val="11"/>
        <color theme="1"/>
        <rFont val="Aptos Narrow"/>
        <family val="2"/>
        <scheme val="minor"/>
      </rPr>
      <t>Hot roll fabrication</t>
    </r>
  </si>
  <si>
    <r>
      <t xml:space="preserve">Fabrication Requirement: </t>
    </r>
    <r>
      <rPr>
        <sz val="11"/>
        <color theme="1"/>
        <rFont val="Aptos Narrow"/>
        <family val="2"/>
        <scheme val="minor"/>
      </rPr>
      <t>Blasting &amp; Painting</t>
    </r>
  </si>
  <si>
    <t>Grand Total: All Equipments</t>
  </si>
  <si>
    <t>Bay No-4: Blasting and Painting (100m*20m)</t>
  </si>
  <si>
    <t>Plate Blasting Machine - Operator</t>
  </si>
  <si>
    <t>Plate Blasting Machine - Helper</t>
  </si>
  <si>
    <t>Bogie - Operator</t>
  </si>
  <si>
    <t>Bogie - Helper</t>
  </si>
  <si>
    <t>Material Handling - Loading/Unloading</t>
  </si>
  <si>
    <t>Requirement (MT)</t>
  </si>
  <si>
    <t>Capacity (MT)/month</t>
  </si>
  <si>
    <t>Actual Production (MT)/month</t>
  </si>
  <si>
    <t>Requirement (Months)</t>
  </si>
  <si>
    <t>Staff</t>
  </si>
  <si>
    <t>Capacity Utilisation</t>
  </si>
  <si>
    <t>Monthly Salary Cost (INR)</t>
  </si>
  <si>
    <t>Built-Up  fabrication &amp; Bits Shop (200m*20m)</t>
  </si>
  <si>
    <t>Bridge &amp; Girder Fabrication Bay (200m*20m)</t>
  </si>
  <si>
    <t>Hot Roll fabrication (200m*20m)</t>
  </si>
  <si>
    <t>Manual Blasting and Painting (100m*20m)</t>
  </si>
  <si>
    <t>Consumables - Welding</t>
  </si>
  <si>
    <t>b)</t>
  </si>
  <si>
    <t>Power</t>
  </si>
  <si>
    <t>Electricity Cost/MT</t>
  </si>
  <si>
    <t>Usage hours</t>
  </si>
  <si>
    <t>Total (Hot Roll Fabrication)</t>
  </si>
  <si>
    <t>Total (Blasting &amp; Painting)</t>
  </si>
  <si>
    <t>Total (Other Equipment)</t>
  </si>
  <si>
    <t>Transformer and Sub Station</t>
  </si>
  <si>
    <t>Electricity Tariff</t>
  </si>
  <si>
    <t>HSD</t>
  </si>
  <si>
    <t>Side Loader 10 ton</t>
  </si>
  <si>
    <t>Monthly Depreciation</t>
  </si>
  <si>
    <t>Water Requirement</t>
  </si>
  <si>
    <t>Water Cost</t>
  </si>
  <si>
    <t>INR/KL</t>
  </si>
  <si>
    <t>Utilities (Power, Water)</t>
  </si>
  <si>
    <t>kL/MT</t>
  </si>
  <si>
    <t>Kg/MT</t>
  </si>
  <si>
    <t>% of total requirement</t>
  </si>
  <si>
    <t>Welding material requirement</t>
  </si>
  <si>
    <t>INR/Kg</t>
  </si>
  <si>
    <t>Weld metal cost</t>
  </si>
  <si>
    <t>Total weld metal cost</t>
  </si>
  <si>
    <t>Other welding consumables (e.g., Shielding gas/Flux)</t>
  </si>
  <si>
    <t>Weld Metal (Kg)</t>
  </si>
  <si>
    <t>Total welding consumables cost</t>
  </si>
  <si>
    <t>a)</t>
  </si>
  <si>
    <t>m2/MT</t>
  </si>
  <si>
    <t>Plate-heavy sections</t>
  </si>
  <si>
    <t>Lighter, open profiles</t>
  </si>
  <si>
    <t>Painting Surface Area</t>
  </si>
  <si>
    <t>Overall</t>
  </si>
  <si>
    <t>Type of Paint</t>
  </si>
  <si>
    <t>No. of Coats</t>
  </si>
  <si>
    <t>Paint Requirement</t>
  </si>
  <si>
    <t>Litres/m2</t>
  </si>
  <si>
    <t>Paint Solids</t>
  </si>
  <si>
    <t>% of total</t>
  </si>
  <si>
    <t>Total Paint Requirement</t>
  </si>
  <si>
    <t>Litres/MT</t>
  </si>
  <si>
    <t>INR/litre</t>
  </si>
  <si>
    <t>Total Paint Cost</t>
  </si>
  <si>
    <r>
      <t xml:space="preserve">Wastage </t>
    </r>
    <r>
      <rPr>
        <sz val="11"/>
        <color rgb="FF000000"/>
        <rFont val="Aptos Narrow"/>
        <family val="2"/>
      </rPr>
      <t>(application loss, over-spray)</t>
    </r>
  </si>
  <si>
    <r>
      <t xml:space="preserve">Blasting consumables </t>
    </r>
    <r>
      <rPr>
        <sz val="11"/>
        <color rgb="FF000000"/>
        <rFont val="Aptos Narrow"/>
        <family val="2"/>
      </rPr>
      <t>(e.g., steel shots)</t>
    </r>
  </si>
  <si>
    <r>
      <t xml:space="preserve">Total Blasting &amp; Painting Cost </t>
    </r>
    <r>
      <rPr>
        <sz val="11"/>
        <color rgb="FF000000"/>
        <rFont val="Aptos Narrow"/>
        <family val="2"/>
      </rPr>
      <t>(Including wastage)</t>
    </r>
  </si>
  <si>
    <t>c)</t>
  </si>
  <si>
    <t>Consumables</t>
  </si>
  <si>
    <t>- Welding</t>
  </si>
  <si>
    <t>- Blasting &amp; Painting</t>
  </si>
  <si>
    <t>- Others (e., tools, heating gases)</t>
  </si>
  <si>
    <r>
      <t xml:space="preserve">Other Consumables </t>
    </r>
    <r>
      <rPr>
        <sz val="11"/>
        <color rgb="FF000000"/>
        <rFont val="Aptos Narrow"/>
        <family val="2"/>
      </rPr>
      <t>(e.g., tools, heating gases)</t>
    </r>
  </si>
  <si>
    <t>Losses/Inefficiences</t>
  </si>
  <si>
    <t>- Light structure</t>
  </si>
  <si>
    <t>- Medium/Heavy structure</t>
  </si>
  <si>
    <t>of Purchase cost (Assuming 100% depreciation over 8 years)</t>
  </si>
  <si>
    <t>Equipment Description</t>
  </si>
  <si>
    <t>Power Consumption</t>
  </si>
  <si>
    <t>Diesel Generatio 2 MW</t>
  </si>
  <si>
    <t>Precision equipment used to drill holes automatically in H-beams (also called I-beams or universal beams) as per design requirements</t>
  </si>
  <si>
    <t>MIG/Flux cored arc welding machine</t>
  </si>
  <si>
    <t>Total Equipment Cost for current requirement (INR)</t>
  </si>
  <si>
    <t>Total Salary Cost for current requirement (INR)</t>
  </si>
  <si>
    <t>Water Requirement (e.g. Surface Cleaning &amp; Preparation, Equipment Cooling)</t>
  </si>
  <si>
    <t>Low complexity</t>
  </si>
  <si>
    <t>Moderate complexity</t>
  </si>
  <si>
    <t>Heavy complexity</t>
  </si>
  <si>
    <t>Truck Charges (considering load efficiency)</t>
  </si>
  <si>
    <t>Profit Margin</t>
  </si>
  <si>
    <t>Selling Price</t>
  </si>
  <si>
    <t>Structural Steel Fabrication Requirement</t>
  </si>
  <si>
    <t>Other Staff (e.g., supervisors,material handling, quality)</t>
  </si>
  <si>
    <t>Actual Production (MT/month)</t>
  </si>
  <si>
    <t>Original Cost</t>
  </si>
  <si>
    <t>Updated Cost</t>
  </si>
  <si>
    <t>Current requirement</t>
  </si>
  <si>
    <t>Power Requirement (KW)</t>
  </si>
  <si>
    <t>Set up cost per KW</t>
  </si>
  <si>
    <t>- Light Structure</t>
  </si>
  <si>
    <t>- Medium/Heavy Structure</t>
  </si>
  <si>
    <t>Cost (INR/MT)</t>
  </si>
  <si>
    <t>Total Cost for Requirement</t>
  </si>
  <si>
    <t>Current Requirement</t>
  </si>
  <si>
    <t>Power Cost</t>
  </si>
  <si>
    <r>
      <t xml:space="preserve">Water Cost </t>
    </r>
    <r>
      <rPr>
        <sz val="11"/>
        <color rgb="FF000000"/>
        <rFont val="Aptos Narrow"/>
        <family val="2"/>
      </rPr>
      <t>(e.g. Surface Cleaning &amp; Preparation, Equipment Cooling)</t>
    </r>
  </si>
  <si>
    <t>Blasting Requirement</t>
  </si>
  <si>
    <t>Painting Requirement</t>
  </si>
  <si>
    <t>Type of painting requirement</t>
  </si>
  <si>
    <t>Wastage recoveries</t>
  </si>
  <si>
    <t>Wastage Recoveries</t>
  </si>
  <si>
    <t>Accomodation Expenses (% of Total costs)</t>
  </si>
  <si>
    <t>Fabrication Selling Price</t>
  </si>
  <si>
    <t>Admin expense</t>
  </si>
  <si>
    <t>Fabrication Profit</t>
  </si>
  <si>
    <t>Model - Plant Capacity</t>
  </si>
  <si>
    <t>Vendor - Plant Capacity</t>
  </si>
  <si>
    <t>Machinery cost impact due to vendor capacity</t>
  </si>
  <si>
    <t>Vendor Capacity/Model Capacity</t>
  </si>
  <si>
    <t>MT/month</t>
  </si>
  <si>
    <t>Vendor Capacity/Plant Capacity</t>
  </si>
  <si>
    <t>Machinery Cost</t>
  </si>
  <si>
    <t>Grade 1 (E.g., E250)</t>
  </si>
  <si>
    <t>Grade 3</t>
  </si>
  <si>
    <t>Grade 2 (E.g., E350)</t>
  </si>
  <si>
    <t>Cost Model - Calculation Sheet</t>
  </si>
  <si>
    <t>Cost Model - Output Sheet</t>
  </si>
  <si>
    <t>Output: Total Costs (exlcuding profit)</t>
  </si>
  <si>
    <t>Paint Material Cost</t>
  </si>
  <si>
    <t>Intermediate Coat</t>
  </si>
  <si>
    <t>Intermediate Coat 1</t>
  </si>
  <si>
    <t>Final Coat</t>
  </si>
  <si>
    <t>1st coat - Primer</t>
  </si>
  <si>
    <t>No. of Coat</t>
  </si>
  <si>
    <t>Requirement</t>
  </si>
  <si>
    <t>Total Dry Film Thickness (μm)</t>
  </si>
  <si>
    <t>Dry Film Thickness (μm)/coat</t>
  </si>
  <si>
    <t>Requirement (Yes/No)</t>
  </si>
  <si>
    <t>No inputs required</t>
  </si>
  <si>
    <t>Blasting &amp; Painting Cost</t>
  </si>
  <si>
    <t>&lt;200 Km</t>
  </si>
  <si>
    <t>200-500Km</t>
  </si>
  <si>
    <t>500kms</t>
  </si>
  <si>
    <t>Truck charges variation with distance (e.g., to account for labour loading/unloading cost) - INR/MT/Km</t>
  </si>
  <si>
    <t>People/MT/day</t>
  </si>
  <si>
    <t>Civil, Infra &amp; Mobilization Costs</t>
  </si>
  <si>
    <t>iii)</t>
  </si>
  <si>
    <t>Stage 1: Total Costs</t>
  </si>
  <si>
    <t>Fabrication Cost</t>
  </si>
  <si>
    <t>Raw Material Cost</t>
  </si>
  <si>
    <t>Raw Material (incl. wastage)</t>
  </si>
  <si>
    <t>- Civil &amp; PEB/electricity infra (amortized, facility-level)</t>
  </si>
  <si>
    <t>- Site utility, mobilization &amp; setup (fixed, recovered over this order)</t>
  </si>
  <si>
    <t>Cost categorisation</t>
  </si>
  <si>
    <t>Vendor Profit Margin</t>
  </si>
  <si>
    <t>Maximum permissable vendor margin</t>
  </si>
  <si>
    <t>% of cost price</t>
  </si>
  <si>
    <t>Cost Model - Input Sheet - To be filled by buyer</t>
  </si>
  <si>
    <t>&gt;&gt; As per maximum allowable vendor margin provided in input sheet</t>
  </si>
  <si>
    <t>&gt;&gt;Typically (2-5%) for rolled sections, (5-8%) for built up sections &amp; (8-10%) for bridge &amp; girder fabrication</t>
  </si>
  <si>
    <t>24 Rs conversion - including wastage</t>
  </si>
  <si>
    <t>painting  - 7.8 rs</t>
  </si>
  <si>
    <t xml:space="preserve">Transportation ODC 50%  - </t>
  </si>
  <si>
    <t>Coating Name</t>
  </si>
  <si>
    <t>Layer</t>
  </si>
  <si>
    <t>Price per Litre (INR)</t>
  </si>
  <si>
    <t>Source URL</t>
  </si>
  <si>
    <t>Red Oxide Metal Primer</t>
  </si>
  <si>
    <t>1 — Primer</t>
  </si>
  <si>
    <t>https://m.indiamart.com/plasmacoating-products/metal-primer.html</t>
  </si>
  <si>
    <t>Red Oxide Zinc Chromate Primer</t>
  </si>
  <si>
    <t>Epoxy Zinc Phosphate Primer (Jagdamba)</t>
  </si>
  <si>
    <t>https://m.indiamart.com/impcat/epoxy-primer-paint.html</t>
  </si>
  <si>
    <t>Apcodur HB ZP Primer (Asian Paints)</t>
  </si>
  <si>
    <t>https://m.indiamart.com/impcat/phosphate-primer.html</t>
  </si>
  <si>
    <t>Epoxy ZP Grey Primer (Plasma Paints)</t>
  </si>
  <si>
    <t>Neropoxy HB MIO Primer Grey (Berger)</t>
  </si>
  <si>
    <t>2 — Intermediate</t>
  </si>
  <si>
    <t>https://m.indiamart.com/aimpolymers/epoxy-primer.html</t>
  </si>
  <si>
    <t>Epoxy Grey Primer HB (Plasma Paints)</t>
  </si>
  <si>
    <t>PU Finish Paint (Alfa Paints)</t>
  </si>
  <si>
    <t>3 — Final Coat</t>
  </si>
  <si>
    <t>Nerothane PU Enamel (Berger)</t>
  </si>
  <si>
    <t>% of bolts required</t>
  </si>
  <si>
    <t>Price of Bolts</t>
  </si>
  <si>
    <t>Boltings</t>
  </si>
  <si>
    <t>Erection Charges</t>
  </si>
  <si>
    <t>Bolting Charges (Nuts, Bolts, Washers)</t>
  </si>
  <si>
    <t>iv)</t>
  </si>
  <si>
    <t>Erection rate (flat)</t>
  </si>
  <si>
    <t>Bolt weight (% of total steel weight)</t>
  </si>
  <si>
    <t>Total Bolt Weight</t>
  </si>
  <si>
    <t>Kg</t>
  </si>
  <si>
    <t>Total Bolting Cost</t>
  </si>
  <si>
    <t>No</t>
  </si>
  <si>
    <t>Stage 3: Erection charges</t>
  </si>
  <si>
    <t>Hollow section</t>
  </si>
  <si>
    <t>Low productivity</t>
  </si>
  <si>
    <t>1.5x of hot roll fabrication</t>
  </si>
  <si>
    <t>Add benchmarks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</si>
</sst>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
    <numFmt numFmtId="165" formatCode="0.0%"/>
    <numFmt numFmtId="166" formatCode="_ * #,##0_ ;_ * \-#,##0_ ;_ * &quot;-&quot;??_ ;_ @_ "/>
    <numFmt numFmtId="167" formatCode="0.0"/>
  </numFmts>
  <fonts count="22"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rgb="FF000000"/>
      <name val="Aptos Narrow"/>
      <family val="2"/>
    </font>
    <font>
      <b/>
      <sz val="10"/>
      <color indexed="9"/>
      <name val="Arial"/>
      <family val="2"/>
    </font>
    <font>
      <sz val="10"/>
      <color indexed="9"/>
      <name val="Arial"/>
      <family val="2"/>
    </font>
    <font>
      <sz val="10"/>
      <color indexed="56"/>
      <name val="Arial"/>
      <family val="2"/>
    </font>
    <font>
      <b/>
      <sz val="11"/>
      <color rgb="FF000000"/>
      <name val="Aptos Narrow"/>
      <family val="2"/>
    </font>
    <font>
      <i/>
      <sz val="11"/>
      <color theme="1"/>
      <name val="Aptos Narrow"/>
      <family val="2"/>
      <scheme val="minor"/>
    </font>
    <font>
      <b/>
      <sz val="10"/>
      <color indexed="56"/>
      <name val="Arial"/>
      <family val="2"/>
    </font>
    <font>
      <b/>
      <sz val="10"/>
      <name val="Arial"/>
      <family val="2"/>
    </font>
    <font>
      <sz val="11"/>
      <color theme="0" tint="-0.499984740745262"/>
      <name val="Aptos Narrow"/>
      <family val="2"/>
    </font>
    <font>
      <b/>
      <u/>
      <sz val="11"/>
      <color theme="1"/>
      <name val="Aptos Narrow"/>
      <family val="2"/>
      <scheme val="minor"/>
    </font>
    <font>
      <b/>
      <sz val="10"/>
      <color indexed="56"/>
      <name val="Arial"/>
      <family val="2"/>
    </font>
    <font>
      <sz val="10"/>
      <color indexed="56"/>
      <name val="Arial"/>
      <family val="2"/>
    </font>
    <font>
      <u/>
      <sz val="11"/>
      <color theme="10"/>
      <name val="Aptos Narrow"/>
      <family val="2"/>
      <scheme val="minor"/>
    </font>
    <font>
      <sz val="10"/>
      <name val="Arial"/>
      <family val="2"/>
    </font>
    <font>
      <u/>
      <sz val="11"/>
      <color theme="1"/>
      <name val="Aptos Narrow"/>
      <family val="2"/>
      <scheme val="minor"/>
    </font>
    <font>
      <sz val="11"/>
      <color theme="0" tint="-0.249977111117893"/>
      <name val="Wingdings 3"/>
      <family val="1"/>
      <charset val="2"/>
    </font>
    <font>
      <i/>
      <sz val="11"/>
      <color rgb="FF000000"/>
      <name val="Aptos Narrow"/>
      <family val="2"/>
    </font>
    <font>
      <b/>
      <sz val="12"/>
      <color theme="1"/>
      <name val="Aptos Narrow"/>
      <family val="2"/>
      <scheme val="minor"/>
    </font>
    <font>
      <i/>
      <u/>
      <sz val="11"/>
      <color theme="1"/>
      <name val="Aptos Narrow"/>
      <family val="2"/>
      <scheme val="minor"/>
    </font>
  </fonts>
  <fills count="8">
    <fill>
      <patternFill patternType="none"/>
    </fill>
    <fill>
      <patternFill patternType="gray125"/>
    </fill>
    <fill>
      <patternFill patternType="solid">
        <fgColor rgb="FFFFFF99"/>
        <bgColor indexed="64"/>
      </patternFill>
    </fill>
    <fill>
      <patternFill patternType="solid">
        <fgColor indexed="48"/>
        <bgColor indexed="64"/>
      </patternFill>
    </fill>
    <fill>
      <patternFill patternType="solid">
        <fgColor indexed="43"/>
        <bgColor indexed="64"/>
      </patternFill>
    </fill>
    <fill>
      <patternFill patternType="solid">
        <fgColor theme="3" tint="0.89999084444715716"/>
        <bgColor indexed="64"/>
      </patternFill>
    </fill>
    <fill>
      <patternFill patternType="solid">
        <fgColor theme="2"/>
        <bgColor indexed="64"/>
      </patternFill>
    </fill>
    <fill>
      <patternFill patternType="solid">
        <fgColor theme="2" tint="-0.499984740745262"/>
        <bgColor indexed="64"/>
      </patternFill>
    </fill>
  </fills>
  <borders count="17">
    <border>
      <left/>
      <right/>
      <top/>
      <bottom/>
      <diagonal/>
    </border>
    <border>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dashed">
        <color theme="0" tint="-0.499984740745262"/>
      </left>
      <right style="dashed">
        <color theme="0" tint="-0.499984740745262"/>
      </right>
      <top style="dashed">
        <color theme="0" tint="-0.499984740745262"/>
      </top>
      <bottom style="dashed">
        <color theme="0" tint="-0.499984740745262"/>
      </bottom>
      <diagonal/>
    </border>
    <border>
      <left style="dotted">
        <color indexed="64"/>
      </left>
      <right style="dotted">
        <color indexed="64"/>
      </right>
      <top style="dotted">
        <color indexed="64"/>
      </top>
      <bottom style="dotted">
        <color indexed="64"/>
      </bottom>
      <diagonal/>
    </border>
    <border>
      <left/>
      <right/>
      <top style="double">
        <color indexed="64"/>
      </top>
      <bottom/>
      <diagonal/>
    </border>
    <border>
      <left/>
      <right style="hair">
        <color indexed="64"/>
      </right>
      <top style="hair">
        <color indexed="64"/>
      </top>
      <bottom style="hair">
        <color indexed="64"/>
      </bottom>
      <diagonal/>
    </border>
    <border>
      <left style="hair">
        <color indexed="64"/>
      </left>
      <right style="hair">
        <color indexed="64"/>
      </right>
      <top style="thin">
        <color indexed="64"/>
      </top>
      <bottom style="thin">
        <color indexed="64"/>
      </bottom>
      <diagonal/>
    </border>
  </borders>
  <cellStyleXfs count="8">
    <xf numFmtId="0" fontId="0" fillId="0" borderId="0"/>
    <xf numFmtId="9" fontId="2" fillId="0" borderId="0" applyFont="0" applyFill="0" applyBorder="0" applyAlignment="0" applyProtection="0"/>
    <xf numFmtId="0" fontId="3" fillId="0" borderId="0" applyNumberFormat="0" applyFont="0" applyBorder="0" applyProtection="0"/>
    <xf numFmtId="0" fontId="15" fillId="0" borderId="0" applyNumberFormat="0" applyFill="0" applyBorder="0" applyAlignment="0" applyProtection="0"/>
    <xf numFmtId="0" fontId="16" fillId="0" borderId="0"/>
    <xf numFmtId="43" fontId="2" fillId="0" borderId="0" applyFont="0" applyFill="0" applyBorder="0" applyAlignment="0" applyProtection="0"/>
    <xf numFmtId="9" fontId="2" fillId="0" borderId="0" applyFont="0" applyFill="0" applyBorder="0" applyAlignment="0" applyProtection="0"/>
    <xf numFmtId="0" fontId="2" fillId="0" borderId="0"/>
  </cellStyleXfs>
  <cellXfs count="152">
    <xf numFmtId="0" fontId="0" fillId="0" borderId="0" xfId="0"/>
    <xf numFmtId="0" fontId="4" fillId="3" borderId="1" xfId="2" applyFont="1" applyFill="1" applyBorder="1"/>
    <xf numFmtId="0" fontId="0" fillId="0" borderId="0" xfId="0" applyAlignment="1">
      <alignment vertical="center" wrapText="1"/>
    </xf>
    <xf numFmtId="0" fontId="1" fillId="5" borderId="0" xfId="0" applyFont="1" applyFill="1"/>
    <xf numFmtId="0" fontId="0" fillId="0" borderId="0" xfId="0" applyAlignment="1">
      <alignment horizontal="right"/>
    </xf>
    <xf numFmtId="0" fontId="1" fillId="6" borderId="0" xfId="0" applyFont="1" applyFill="1" applyAlignment="1">
      <alignment horizontal="right"/>
    </xf>
    <xf numFmtId="0" fontId="1" fillId="6" borderId="0" xfId="0" applyFont="1" applyFill="1"/>
    <xf numFmtId="0" fontId="8" fillId="0" borderId="0" xfId="0" quotePrefix="1" applyFont="1" applyAlignment="1">
      <alignment horizontal="left" indent="1"/>
    </xf>
    <xf numFmtId="0" fontId="0" fillId="0" borderId="0" xfId="0" applyAlignment="1">
      <alignment vertical="center"/>
    </xf>
    <xf numFmtId="3" fontId="1" fillId="6" borderId="0" xfId="0" applyNumberFormat="1" applyFont="1" applyFill="1" applyAlignment="1">
      <alignment horizontal="right" vertical="center"/>
    </xf>
    <xf numFmtId="3" fontId="1" fillId="6" borderId="0" xfId="0" applyNumberFormat="1" applyFont="1" applyFill="1" applyAlignment="1">
      <alignment horizontal="right"/>
    </xf>
    <xf numFmtId="0" fontId="0" fillId="0" borderId="7" xfId="0" applyBorder="1"/>
    <xf numFmtId="3" fontId="6" fillId="0" borderId="2" xfId="2" applyNumberFormat="1" applyFont="1" applyBorder="1" applyAlignment="1">
      <alignment horizontal="right"/>
    </xf>
    <xf numFmtId="3" fontId="6" fillId="0" borderId="5" xfId="2" applyNumberFormat="1" applyFont="1" applyBorder="1" applyAlignment="1">
      <alignment horizontal="right"/>
    </xf>
    <xf numFmtId="3" fontId="14" fillId="0" borderId="2" xfId="2" applyNumberFormat="1" applyFont="1" applyBorder="1" applyAlignment="1">
      <alignment horizontal="right"/>
    </xf>
    <xf numFmtId="3" fontId="1" fillId="0" borderId="8" xfId="0" applyNumberFormat="1" applyFont="1" applyBorder="1" applyAlignment="1">
      <alignment horizontal="right"/>
    </xf>
    <xf numFmtId="0" fontId="8" fillId="0" borderId="0" xfId="0" applyFont="1" applyAlignment="1">
      <alignment horizontal="right"/>
    </xf>
    <xf numFmtId="0" fontId="1" fillId="0" borderId="0" xfId="0" applyFont="1" applyAlignment="1">
      <alignment vertical="center"/>
    </xf>
    <xf numFmtId="0" fontId="0" fillId="2" borderId="0" xfId="0" applyFill="1" applyAlignment="1">
      <alignment horizontal="center" vertical="center"/>
    </xf>
    <xf numFmtId="0" fontId="4" fillId="7" borderId="1" xfId="2" applyFont="1" applyFill="1" applyBorder="1" applyAlignment="1">
      <alignment vertical="center"/>
    </xf>
    <xf numFmtId="0" fontId="5" fillId="7" borderId="1" xfId="2" applyFont="1" applyFill="1" applyBorder="1" applyAlignment="1">
      <alignment vertical="center"/>
    </xf>
    <xf numFmtId="0" fontId="5" fillId="7" borderId="1" xfId="2" applyFont="1" applyFill="1" applyBorder="1" applyAlignment="1">
      <alignment horizontal="center" vertical="center"/>
    </xf>
    <xf numFmtId="0" fontId="0" fillId="7" borderId="0" xfId="0" applyFill="1" applyAlignment="1">
      <alignment vertical="center"/>
    </xf>
    <xf numFmtId="0" fontId="0" fillId="0" borderId="1" xfId="0" applyBorder="1" applyAlignment="1">
      <alignment vertical="center"/>
    </xf>
    <xf numFmtId="0" fontId="4" fillId="3" borderId="1" xfId="2" applyFont="1" applyFill="1" applyBorder="1" applyAlignment="1">
      <alignment vertical="center"/>
    </xf>
    <xf numFmtId="0" fontId="5" fillId="3" borderId="1" xfId="2" applyFont="1" applyFill="1" applyBorder="1" applyAlignment="1">
      <alignment vertical="center"/>
    </xf>
    <xf numFmtId="0" fontId="5" fillId="3" borderId="1" xfId="2" applyFont="1" applyFill="1" applyBorder="1" applyAlignment="1">
      <alignment horizontal="center" vertical="center"/>
    </xf>
    <xf numFmtId="3" fontId="6" fillId="4" borderId="2" xfId="2" applyNumberFormat="1" applyFont="1" applyFill="1" applyBorder="1" applyAlignment="1">
      <alignment horizontal="center" vertical="center"/>
    </xf>
    <xf numFmtId="0" fontId="8" fillId="0" borderId="0" xfId="0" applyFont="1" applyAlignment="1">
      <alignment vertical="center"/>
    </xf>
    <xf numFmtId="0" fontId="7" fillId="0" borderId="3" xfId="0" applyFont="1" applyBorder="1" applyAlignment="1">
      <alignment horizontal="left" vertical="center"/>
    </xf>
    <xf numFmtId="3" fontId="6" fillId="0" borderId="4" xfId="2" applyNumberFormat="1" applyFont="1" applyBorder="1" applyAlignment="1">
      <alignment horizontal="center" vertical="center"/>
    </xf>
    <xf numFmtId="0" fontId="0" fillId="0" borderId="0" xfId="0" applyAlignment="1">
      <alignment horizontal="left" vertical="center"/>
    </xf>
    <xf numFmtId="3" fontId="6" fillId="4" borderId="6" xfId="2" applyNumberFormat="1" applyFont="1" applyFill="1" applyBorder="1" applyAlignment="1">
      <alignment horizontal="center" vertical="center"/>
    </xf>
    <xf numFmtId="0" fontId="1" fillId="0" borderId="7" xfId="0" applyFont="1" applyBorder="1" applyAlignment="1">
      <alignment vertical="center"/>
    </xf>
    <xf numFmtId="0" fontId="1" fillId="0" borderId="8" xfId="0" applyFont="1" applyBorder="1" applyAlignment="1">
      <alignment vertical="center"/>
    </xf>
    <xf numFmtId="3" fontId="13" fillId="0" borderId="9" xfId="2" applyNumberFormat="1" applyFont="1" applyBorder="1" applyAlignment="1">
      <alignment horizontal="center" vertical="center"/>
    </xf>
    <xf numFmtId="0" fontId="1" fillId="0" borderId="0" xfId="0" applyFont="1" applyAlignment="1">
      <alignment horizontal="center" vertical="center"/>
    </xf>
    <xf numFmtId="3" fontId="6" fillId="0" borderId="2" xfId="2" applyNumberFormat="1" applyFont="1" applyBorder="1" applyAlignment="1">
      <alignment horizontal="center" vertical="center"/>
    </xf>
    <xf numFmtId="9" fontId="6" fillId="4" borderId="2" xfId="2" applyNumberFormat="1" applyFont="1" applyFill="1" applyBorder="1" applyAlignment="1">
      <alignment horizontal="center" vertical="center"/>
    </xf>
    <xf numFmtId="0" fontId="1" fillId="0" borderId="3" xfId="0" applyFont="1" applyBorder="1" applyAlignment="1">
      <alignment vertical="center"/>
    </xf>
    <xf numFmtId="3" fontId="9" fillId="0" borderId="4" xfId="2" applyNumberFormat="1" applyFont="1" applyBorder="1" applyAlignment="1">
      <alignment horizontal="center" vertical="center"/>
    </xf>
    <xf numFmtId="0" fontId="7" fillId="0" borderId="0" xfId="0" applyFont="1" applyAlignment="1">
      <alignment horizontal="left" vertical="center"/>
    </xf>
    <xf numFmtId="0" fontId="11" fillId="0" borderId="0" xfId="0" applyFont="1" applyAlignment="1">
      <alignment vertical="center"/>
    </xf>
    <xf numFmtId="0" fontId="1" fillId="5" borderId="0" xfId="0" applyFont="1" applyFill="1" applyAlignment="1">
      <alignment vertical="center"/>
    </xf>
    <xf numFmtId="0" fontId="0" fillId="5" borderId="0" xfId="0" applyFill="1" applyAlignment="1">
      <alignment vertical="center"/>
    </xf>
    <xf numFmtId="3" fontId="6" fillId="5" borderId="2" xfId="2" applyNumberFormat="1" applyFont="1" applyFill="1" applyBorder="1" applyAlignment="1">
      <alignment horizontal="center" vertical="center"/>
    </xf>
    <xf numFmtId="0" fontId="1" fillId="0" borderId="3" xfId="0" applyFont="1" applyBorder="1" applyAlignment="1">
      <alignment horizontal="left" vertical="center"/>
    </xf>
    <xf numFmtId="0" fontId="0" fillId="0" borderId="3" xfId="0" applyBorder="1" applyAlignment="1">
      <alignment horizontal="left" vertical="center"/>
    </xf>
    <xf numFmtId="3" fontId="1" fillId="0" borderId="3" xfId="0" applyNumberFormat="1" applyFont="1" applyBorder="1" applyAlignment="1">
      <alignment horizontal="center" vertical="center"/>
    </xf>
    <xf numFmtId="0" fontId="0" fillId="0" borderId="3" xfId="0" applyBorder="1" applyAlignment="1">
      <alignment vertical="center"/>
    </xf>
    <xf numFmtId="3" fontId="1" fillId="0" borderId="0" xfId="0" applyNumberFormat="1" applyFont="1" applyAlignment="1">
      <alignment horizontal="center" vertical="center"/>
    </xf>
    <xf numFmtId="9" fontId="6" fillId="0" borderId="4" xfId="1" applyFont="1" applyBorder="1" applyAlignment="1">
      <alignment horizontal="center" vertical="center"/>
    </xf>
    <xf numFmtId="0" fontId="0" fillId="0" borderId="0" xfId="0" applyAlignment="1">
      <alignment horizontal="right" vertical="center"/>
    </xf>
    <xf numFmtId="0" fontId="0" fillId="0" borderId="0" xfId="0" applyAlignment="1">
      <alignment horizontal="center" vertical="center"/>
    </xf>
    <xf numFmtId="0" fontId="1" fillId="0" borderId="10" xfId="0" applyFont="1" applyBorder="1"/>
    <xf numFmtId="3" fontId="0" fillId="0" borderId="0" xfId="0" applyNumberFormat="1"/>
    <xf numFmtId="10" fontId="0" fillId="0" borderId="0" xfId="0" applyNumberFormat="1" applyAlignment="1">
      <alignment vertical="center"/>
    </xf>
    <xf numFmtId="3" fontId="6" fillId="0" borderId="0" xfId="2" applyNumberFormat="1" applyFont="1" applyBorder="1" applyAlignment="1">
      <alignment horizontal="center" vertical="center"/>
    </xf>
    <xf numFmtId="0" fontId="15" fillId="0" borderId="0" xfId="3" applyAlignment="1">
      <alignment vertical="center"/>
    </xf>
    <xf numFmtId="0" fontId="17" fillId="0" borderId="0" xfId="0" applyFont="1" applyAlignment="1">
      <alignment vertical="center"/>
    </xf>
    <xf numFmtId="3" fontId="9" fillId="0" borderId="2" xfId="2" applyNumberFormat="1" applyFont="1" applyBorder="1" applyAlignment="1">
      <alignment horizontal="center" vertical="center"/>
    </xf>
    <xf numFmtId="0" fontId="4" fillId="7" borderId="1" xfId="2" applyFont="1" applyFill="1" applyBorder="1" applyAlignment="1">
      <alignment horizontal="right" vertical="center"/>
    </xf>
    <xf numFmtId="0" fontId="4" fillId="3" borderId="1" xfId="2" applyFont="1" applyFill="1" applyBorder="1" applyAlignment="1">
      <alignment horizontal="right" vertical="center"/>
    </xf>
    <xf numFmtId="0" fontId="10" fillId="0" borderId="0" xfId="2" applyFont="1" applyAlignment="1">
      <alignment horizontal="right" vertical="center"/>
    </xf>
    <xf numFmtId="0" fontId="1" fillId="0" borderId="0" xfId="0" applyFont="1" applyAlignment="1">
      <alignment horizontal="left" vertical="center"/>
    </xf>
    <xf numFmtId="0" fontId="17" fillId="0" borderId="0" xfId="0" applyFont="1" applyAlignment="1">
      <alignment horizontal="left" vertical="center"/>
    </xf>
    <xf numFmtId="0" fontId="8" fillId="0" borderId="0" xfId="0" quotePrefix="1" applyFont="1" applyAlignment="1">
      <alignment horizontal="left" vertical="center" indent="1"/>
    </xf>
    <xf numFmtId="164" fontId="6" fillId="4" borderId="2" xfId="2" applyNumberFormat="1" applyFont="1" applyFill="1" applyBorder="1" applyAlignment="1">
      <alignment horizontal="center" vertical="center"/>
    </xf>
    <xf numFmtId="0" fontId="8" fillId="0" borderId="0" xfId="0" applyFont="1" applyAlignment="1">
      <alignment horizontal="left" indent="1"/>
    </xf>
    <xf numFmtId="0" fontId="0" fillId="6" borderId="0" xfId="0" applyFill="1" applyAlignment="1">
      <alignment horizontal="right" vertical="center"/>
    </xf>
    <xf numFmtId="0" fontId="1" fillId="6" borderId="0" xfId="0" applyFont="1" applyFill="1" applyAlignment="1">
      <alignment vertical="center"/>
    </xf>
    <xf numFmtId="0" fontId="0" fillId="6" borderId="0" xfId="0" applyFill="1" applyAlignment="1">
      <alignment vertical="center"/>
    </xf>
    <xf numFmtId="3" fontId="6" fillId="6" borderId="2" xfId="2" applyNumberFormat="1" applyFont="1" applyFill="1" applyBorder="1" applyAlignment="1">
      <alignment horizontal="center" vertical="center"/>
    </xf>
    <xf numFmtId="0" fontId="1" fillId="6" borderId="0" xfId="0" applyFont="1" applyFill="1" applyAlignment="1">
      <alignment vertical="center" wrapText="1"/>
    </xf>
    <xf numFmtId="3" fontId="6" fillId="6" borderId="6" xfId="2" applyNumberFormat="1" applyFont="1" applyFill="1" applyBorder="1" applyAlignment="1">
      <alignment horizontal="center" vertical="center"/>
    </xf>
    <xf numFmtId="3" fontId="6" fillId="4" borderId="12" xfId="2" applyNumberFormat="1" applyFont="1" applyFill="1" applyBorder="1" applyAlignment="1">
      <alignment horizontal="center" vertical="center"/>
    </xf>
    <xf numFmtId="0" fontId="18" fillId="0" borderId="0" xfId="0" applyFont="1" applyAlignment="1">
      <alignment vertical="center"/>
    </xf>
    <xf numFmtId="3" fontId="6" fillId="4" borderId="13" xfId="2" applyNumberFormat="1" applyFont="1" applyFill="1" applyBorder="1" applyAlignment="1">
      <alignment horizontal="center" vertical="center"/>
    </xf>
    <xf numFmtId="3" fontId="13" fillId="0" borderId="0" xfId="2" applyNumberFormat="1" applyFont="1" applyBorder="1" applyAlignment="1">
      <alignment horizontal="center" vertical="center"/>
    </xf>
    <xf numFmtId="9" fontId="6" fillId="0" borderId="0" xfId="1" applyFont="1" applyBorder="1" applyAlignment="1">
      <alignment horizontal="center" vertical="center"/>
    </xf>
    <xf numFmtId="3" fontId="9" fillId="0" borderId="0" xfId="2" applyNumberFormat="1" applyFont="1" applyBorder="1" applyAlignment="1">
      <alignment horizontal="center" vertical="center"/>
    </xf>
    <xf numFmtId="0" fontId="1" fillId="0" borderId="0" xfId="0" applyFont="1" applyAlignment="1">
      <alignment horizontal="right" vertical="center"/>
    </xf>
    <xf numFmtId="3" fontId="9" fillId="0" borderId="13" xfId="2" applyNumberFormat="1" applyFont="1" applyBorder="1" applyAlignment="1">
      <alignment horizontal="center" vertical="center"/>
    </xf>
    <xf numFmtId="3" fontId="9" fillId="0" borderId="13" xfId="2" applyNumberFormat="1" applyFont="1" applyBorder="1" applyAlignment="1" applyProtection="1">
      <alignment horizontal="center" vertical="center"/>
      <protection locked="0"/>
    </xf>
    <xf numFmtId="0" fontId="0" fillId="0" borderId="0" xfId="0" applyAlignment="1" applyProtection="1">
      <alignment vertical="center"/>
      <protection locked="0"/>
    </xf>
    <xf numFmtId="4" fontId="6" fillId="0" borderId="2" xfId="2" applyNumberFormat="1" applyFont="1" applyBorder="1" applyAlignment="1">
      <alignment horizontal="center" vertical="center"/>
    </xf>
    <xf numFmtId="166" fontId="0" fillId="0" borderId="0" xfId="5" applyNumberFormat="1" applyFont="1" applyAlignment="1">
      <alignment vertical="center"/>
    </xf>
    <xf numFmtId="4" fontId="9" fillId="0" borderId="0" xfId="2" applyNumberFormat="1" applyFont="1" applyBorder="1" applyAlignment="1">
      <alignment horizontal="center" vertical="center"/>
    </xf>
    <xf numFmtId="9" fontId="6" fillId="0" borderId="2" xfId="2" applyNumberFormat="1" applyFont="1" applyBorder="1" applyAlignment="1">
      <alignment horizontal="center" vertical="center"/>
    </xf>
    <xf numFmtId="165" fontId="6" fillId="4" borderId="2" xfId="2" applyNumberFormat="1" applyFont="1" applyFill="1" applyBorder="1" applyAlignment="1">
      <alignment horizontal="center" vertical="center"/>
    </xf>
    <xf numFmtId="0" fontId="0" fillId="0" borderId="0" xfId="0" applyAlignment="1">
      <alignment horizontal="left" vertical="center" indent="2"/>
    </xf>
    <xf numFmtId="0" fontId="3" fillId="0" borderId="0" xfId="0" applyFont="1" applyAlignment="1">
      <alignment horizontal="left" vertical="center"/>
    </xf>
    <xf numFmtId="0" fontId="16" fillId="0" borderId="0" xfId="2" applyFont="1" applyAlignment="1">
      <alignment horizontal="right" vertical="center"/>
    </xf>
    <xf numFmtId="164" fontId="6" fillId="5" borderId="2" xfId="2" applyNumberFormat="1" applyFont="1" applyFill="1" applyBorder="1" applyAlignment="1">
      <alignment horizontal="center" vertical="center"/>
    </xf>
    <xf numFmtId="9" fontId="6" fillId="5" borderId="2" xfId="2" applyNumberFormat="1" applyFont="1" applyFill="1" applyBorder="1" applyAlignment="1">
      <alignment horizontal="center" vertical="center"/>
    </xf>
    <xf numFmtId="164" fontId="6" fillId="0" borderId="2" xfId="2" applyNumberFormat="1" applyFont="1" applyBorder="1" applyAlignment="1">
      <alignment horizontal="center" vertical="center"/>
    </xf>
    <xf numFmtId="9" fontId="9" fillId="0" borderId="2" xfId="2" applyNumberFormat="1" applyFont="1" applyBorder="1" applyAlignment="1">
      <alignment horizontal="center" vertical="center"/>
    </xf>
    <xf numFmtId="0" fontId="6" fillId="4" borderId="2" xfId="1" applyNumberFormat="1" applyFont="1" applyFill="1" applyBorder="1" applyAlignment="1">
      <alignment horizontal="center" vertical="center"/>
    </xf>
    <xf numFmtId="9" fontId="9" fillId="0" borderId="0" xfId="2" applyNumberFormat="1" applyFont="1" applyBorder="1" applyAlignment="1">
      <alignment horizontal="center" vertical="center"/>
    </xf>
    <xf numFmtId="9" fontId="6" fillId="0" borderId="0" xfId="2" applyNumberFormat="1" applyFont="1" applyBorder="1" applyAlignment="1">
      <alignment horizontal="center" vertical="center"/>
    </xf>
    <xf numFmtId="1" fontId="6" fillId="0" borderId="2" xfId="2" applyNumberFormat="1" applyFont="1" applyBorder="1" applyAlignment="1">
      <alignment horizontal="center" vertical="center"/>
    </xf>
    <xf numFmtId="3" fontId="6" fillId="0" borderId="2" xfId="2" applyNumberFormat="1" applyFont="1" applyBorder="1" applyAlignment="1">
      <alignment horizontal="left" vertical="center" wrapText="1"/>
    </xf>
    <xf numFmtId="3" fontId="1" fillId="5" borderId="0" xfId="0" applyNumberFormat="1" applyFont="1" applyFill="1" applyAlignment="1">
      <alignment horizontal="right"/>
    </xf>
    <xf numFmtId="0" fontId="20" fillId="0" borderId="10" xfId="0" applyFont="1" applyBorder="1"/>
    <xf numFmtId="0" fontId="1" fillId="5" borderId="0" xfId="0" applyFont="1" applyFill="1" applyAlignment="1">
      <alignment horizontal="right" vertical="center"/>
    </xf>
    <xf numFmtId="0" fontId="10" fillId="5" borderId="0" xfId="2" applyFont="1" applyFill="1" applyAlignment="1">
      <alignment horizontal="right" vertical="center"/>
    </xf>
    <xf numFmtId="3" fontId="6" fillId="0" borderId="0" xfId="2" applyNumberFormat="1" applyFont="1" applyBorder="1" applyAlignment="1">
      <alignment horizontal="left"/>
    </xf>
    <xf numFmtId="0" fontId="8" fillId="0" borderId="0" xfId="0" applyFont="1"/>
    <xf numFmtId="3" fontId="1" fillId="0" borderId="8" xfId="0" applyNumberFormat="1" applyFont="1" applyBorder="1"/>
    <xf numFmtId="0" fontId="19" fillId="0" borderId="0" xfId="0" applyFont="1" applyAlignment="1">
      <alignment horizontal="left" vertical="center"/>
    </xf>
    <xf numFmtId="0" fontId="8" fillId="0" borderId="0" xfId="0" quotePrefix="1" applyFont="1" applyAlignment="1">
      <alignment horizontal="left" vertical="center"/>
    </xf>
    <xf numFmtId="3" fontId="4" fillId="3" borderId="1" xfId="2" applyNumberFormat="1" applyFont="1" applyFill="1" applyBorder="1"/>
    <xf numFmtId="0" fontId="4" fillId="0" borderId="0" xfId="2" applyFont="1" applyBorder="1"/>
    <xf numFmtId="3" fontId="4" fillId="0" borderId="0" xfId="2" applyNumberFormat="1" applyFont="1" applyBorder="1"/>
    <xf numFmtId="0" fontId="12" fillId="0" borderId="0" xfId="0" applyFont="1" applyAlignment="1">
      <alignment vertical="center"/>
    </xf>
    <xf numFmtId="1" fontId="0" fillId="0" borderId="0" xfId="0" applyNumberFormat="1" applyAlignment="1">
      <alignment vertical="center"/>
    </xf>
    <xf numFmtId="3" fontId="6" fillId="0" borderId="6" xfId="2" applyNumberFormat="1" applyFont="1" applyBorder="1" applyAlignment="1">
      <alignment horizontal="center" vertical="center"/>
    </xf>
    <xf numFmtId="3" fontId="6" fillId="0" borderId="12" xfId="2" applyNumberFormat="1" applyFont="1" applyBorder="1" applyAlignment="1">
      <alignment horizontal="center" vertical="center"/>
    </xf>
    <xf numFmtId="9" fontId="6" fillId="4" borderId="6" xfId="2" applyNumberFormat="1" applyFont="1" applyFill="1" applyBorder="1" applyAlignment="1">
      <alignment horizontal="center" vertical="center"/>
    </xf>
    <xf numFmtId="1" fontId="6" fillId="4" borderId="2" xfId="2" applyNumberFormat="1" applyFont="1" applyFill="1" applyBorder="1" applyAlignment="1">
      <alignment horizontal="center" vertical="center"/>
    </xf>
    <xf numFmtId="4" fontId="6" fillId="4" borderId="15" xfId="2" applyNumberFormat="1" applyFont="1" applyFill="1" applyBorder="1" applyAlignment="1">
      <alignment horizontal="center" vertical="center"/>
    </xf>
    <xf numFmtId="3" fontId="0" fillId="5" borderId="11" xfId="0" applyNumberFormat="1" applyFill="1" applyBorder="1"/>
    <xf numFmtId="165" fontId="6" fillId="0" borderId="2" xfId="2" applyNumberFormat="1" applyFont="1" applyBorder="1" applyAlignment="1">
      <alignment horizontal="center" vertical="center"/>
    </xf>
    <xf numFmtId="9" fontId="6" fillId="4" borderId="9" xfId="2" applyNumberFormat="1" applyFont="1" applyFill="1" applyBorder="1" applyAlignment="1">
      <alignment horizontal="center" vertical="center"/>
    </xf>
    <xf numFmtId="167" fontId="6" fillId="0" borderId="2" xfId="2" applyNumberFormat="1" applyFont="1" applyBorder="1" applyAlignment="1">
      <alignment horizontal="center" vertical="center"/>
    </xf>
    <xf numFmtId="167" fontId="6" fillId="0" borderId="0" xfId="2" applyNumberFormat="1" applyFont="1" applyBorder="1" applyAlignment="1">
      <alignment horizontal="center" vertical="center"/>
    </xf>
    <xf numFmtId="0" fontId="6" fillId="0" borderId="2" xfId="2" applyNumberFormat="1" applyFont="1" applyBorder="1" applyAlignment="1">
      <alignment horizontal="center" vertical="center"/>
    </xf>
    <xf numFmtId="165" fontId="6" fillId="4" borderId="5" xfId="2" applyNumberFormat="1" applyFont="1" applyFill="1" applyBorder="1" applyAlignment="1">
      <alignment horizontal="center" vertical="center"/>
    </xf>
    <xf numFmtId="3" fontId="6" fillId="0" borderId="16" xfId="2" applyNumberFormat="1" applyFont="1" applyBorder="1" applyAlignment="1">
      <alignment horizontal="center" vertical="center"/>
    </xf>
    <xf numFmtId="0" fontId="21" fillId="0" borderId="0" xfId="0" applyFont="1" applyAlignment="1">
      <alignment vertical="center"/>
    </xf>
    <xf numFmtId="165" fontId="6" fillId="0" borderId="4" xfId="1" applyNumberFormat="1" applyFont="1" applyBorder="1" applyAlignment="1">
      <alignment horizontal="center" vertical="center"/>
    </xf>
    <xf numFmtId="2" fontId="0" fillId="0" borderId="0" xfId="0" applyNumberFormat="1" applyAlignment="1">
      <alignment vertical="center"/>
    </xf>
    <xf numFmtId="1" fontId="0" fillId="0" borderId="0" xfId="0" applyNumberFormat="1"/>
    <xf numFmtId="3" fontId="1" fillId="0" borderId="0" xfId="0" applyNumberFormat="1" applyFont="1"/>
    <xf numFmtId="4" fontId="6" fillId="4" borderId="2" xfId="2" applyNumberFormat="1" applyFont="1" applyFill="1" applyBorder="1" applyAlignment="1">
      <alignment horizontal="center" vertical="center"/>
    </xf>
    <xf numFmtId="0" fontId="6" fillId="0" borderId="0" xfId="2" applyNumberFormat="1" applyFont="1" applyBorder="1" applyAlignment="1">
      <alignment horizontal="center" vertical="center"/>
    </xf>
    <xf numFmtId="3" fontId="1" fillId="5" borderId="0" xfId="0" applyNumberFormat="1" applyFont="1" applyFill="1"/>
    <xf numFmtId="0" fontId="12" fillId="0" borderId="0" xfId="0" applyFont="1"/>
    <xf numFmtId="0" fontId="1" fillId="0" borderId="0" xfId="0" applyFont="1" applyAlignment="1">
      <alignment horizontal="right"/>
    </xf>
    <xf numFmtId="3" fontId="6" fillId="0" borderId="14" xfId="2" applyNumberFormat="1" applyFont="1" applyBorder="1"/>
    <xf numFmtId="165" fontId="0" fillId="0" borderId="0" xfId="1" applyNumberFormat="1" applyFont="1"/>
    <xf numFmtId="0" fontId="0" fillId="0" borderId="0" xfId="0" quotePrefix="1"/>
    <xf numFmtId="9" fontId="0" fillId="0" borderId="0" xfId="0" applyNumberFormat="1" applyAlignment="1">
      <alignment horizontal="center" vertical="center"/>
    </xf>
    <xf numFmtId="0" fontId="0" fillId="0" borderId="11" xfId="0" applyBorder="1"/>
    <xf numFmtId="3" fontId="6" fillId="0" borderId="0" xfId="2" applyNumberFormat="1" applyFont="1" applyBorder="1" applyAlignment="1">
      <alignment horizontal="right"/>
    </xf>
    <xf numFmtId="0" fontId="4" fillId="0" borderId="0" xfId="2" applyFont="1" applyBorder="1" applyAlignment="1">
      <alignment horizontal="right" vertical="center"/>
    </xf>
    <xf numFmtId="0" fontId="4" fillId="0" borderId="0" xfId="2" applyFont="1" applyBorder="1" applyAlignment="1">
      <alignment vertical="center"/>
    </xf>
    <xf numFmtId="0" fontId="5" fillId="0" borderId="0" xfId="2" applyFont="1" applyBorder="1" applyAlignment="1">
      <alignment vertical="center"/>
    </xf>
    <xf numFmtId="0" fontId="5" fillId="0" borderId="0" xfId="2" applyFont="1" applyBorder="1" applyAlignment="1">
      <alignment horizontal="center" vertical="center"/>
    </xf>
    <xf numFmtId="9" fontId="0" fillId="0" borderId="0" xfId="0" applyNumberFormat="1" applyAlignment="1">
      <alignment vertical="center"/>
    </xf>
    <xf numFmtId="3" fontId="6" fillId="0" borderId="5" xfId="2" applyNumberFormat="1" applyFont="1" applyBorder="1" applyAlignment="1">
      <alignment horizontal="left" vertical="center" wrapText="1"/>
    </xf>
    <xf numFmtId="3" fontId="6" fillId="0" borderId="6" xfId="2" applyNumberFormat="1" applyFont="1" applyBorder="1" applyAlignment="1">
      <alignment horizontal="left" vertical="center" wrapText="1"/>
    </xf>
  </cellXfs>
  <cellStyles count="8">
    <cellStyle name="Comma" xfId="5" builtinId="3"/>
    <cellStyle name="Hyperlink" xfId="3" builtinId="8"/>
    <cellStyle name="Normal" xfId="0" builtinId="0"/>
    <cellStyle name="Normal 2" xfId="2" xr:uid="{66D4769D-3644-4821-A80B-A17358E11CDF}"/>
    <cellStyle name="Normal 2 2" xfId="7" xr:uid="{16E08035-E84F-4E58-A60D-8B746CFB0AF2}"/>
    <cellStyle name="Normal 3" xfId="4" xr:uid="{ADEED0B3-9528-4269-A124-E230CB30AE84}"/>
    <cellStyle name="Percent" xfId="1" builtinId="5"/>
    <cellStyle name="Percent 3" xfId="6" xr:uid="{1F8C4FAA-3728-40BB-9AD9-DC4A8A3FBD7A}"/>
  </cellStyles>
  <dxfs count="0"/>
  <tableStyles count="0" defaultTableStyle="TableStyleMedium2" defaultPivotStyle="PivotStyleLight16"/>
  <colors>
    <mruColors>
      <color rgb="FFFFFF99"/>
      <color rgb="FFB8D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drcserver1\DESIGN\Infra\Geotech\Crep\Soil-inv\O1097\DJB-0509\Spt-BH.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9%20Working%20files/Business%20Case/RMC%20Batching%20plant/MRO/100225_MRO_BP_v2.xlsx" TargetMode="External"/><Relationship Id="rId1" Type="http://schemas.openxmlformats.org/officeDocument/2006/relationships/externalLinkPath" Target="/sites/Tplbusinesstransformation/Shared%20Documents/General/Tata%20Projects/9%20Working%20files/Business%20Case/RMC%20Batching%20plant/MRO/100225_MRO_BP_v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drcserver1\design\user\Cement\KVPgroup\E-Kvp\KVP-Engrs\PPRM-Housing\Namakkal%20Housing\School\T1037%20Entire%20Schoo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ENDIX-I"/>
      <sheetName val="Corr-spt"/>
      <sheetName val="Obs-spt"/>
      <sheetName val="SPT vs PHI"/>
      <sheetName val="Indices"/>
      <sheetName val="Concrete"/>
      <sheetName val="reinft"/>
      <sheetName val="glass project concrete"/>
      <sheetName val="glass project reift"/>
      <sheetName val="glass project indices"/>
      <sheetName val="Boq"/>
      <sheetName val="Lab"/>
      <sheetName val="office"/>
      <sheetName val="Material&amp;equipment"/>
      <sheetName val="sept-plan"/>
      <sheetName val="Other"/>
      <sheetName val="Summary"/>
      <sheetName val="SBC-BH-1"/>
      <sheetName val="gen"/>
      <sheetName val="SBC-BH 19"/>
      <sheetName val="SBC-BH-16"/>
      <sheetName val="BH-20"/>
      <sheetName val="BH-15"/>
      <sheetName val="BH-14"/>
      <sheetName val="BH-16"/>
      <sheetName val="BH-17"/>
      <sheetName val="sbc-ABH-1"/>
      <sheetName val="ABH-1"/>
      <sheetName val="BH-19"/>
      <sheetName val="BH-1"/>
      <sheetName val="SBC-BH-3"/>
      <sheetName val="BH-3"/>
      <sheetName val="Sheet4"/>
      <sheetName val="Spt-BH"/>
      <sheetName val="Rate Analysis"/>
      <sheetName val="Summary 0506"/>
      <sheetName val="Summary 0607- 31.MAR"/>
      <sheetName val="#REF!"/>
      <sheetName val="Form 6"/>
      <sheetName val="SPT_vs_PHI"/>
      <sheetName val="glass_project_concrete"/>
      <sheetName val="glass_project_reift"/>
      <sheetName val="glass_project_indices"/>
      <sheetName val="Qty"/>
      <sheetName val="PointNo.5"/>
      <sheetName val="Table10"/>
      <sheetName val="Table11"/>
      <sheetName val="Table12"/>
      <sheetName val="Table9"/>
      <sheetName val="FitOutConfCentre"/>
      <sheetName val="Sheet1"/>
      <sheetName val="BH 12-11-10-13"/>
      <sheetName val="BH 12-11-10-9"/>
      <sheetName val="BH 36-15-37"/>
      <sheetName val="BH 16-35-25-17"/>
      <sheetName val="BH 35-25-17"/>
      <sheetName val="Sheet1 (2)"/>
      <sheetName val="Sheet2"/>
      <sheetName val="SPT_vs_PHI1"/>
      <sheetName val="glass_project_concrete1"/>
      <sheetName val="glass_project_reift1"/>
      <sheetName val="glass_project_indices1"/>
      <sheetName val="SBC-BH_19"/>
      <sheetName val="Rate_Analysis"/>
      <sheetName val="BH_12-11-10-13"/>
      <sheetName val="BH_12-11-10-9"/>
      <sheetName val="BH_36-15-37"/>
      <sheetName val="BH_16-35-25-17"/>
      <sheetName val="BH_35-25-17"/>
      <sheetName val="Sheet1_(2)"/>
      <sheetName val="Civil Boq"/>
      <sheetName val="Supplier"/>
      <sheetName val="Pile cap"/>
      <sheetName val="final abstract"/>
      <sheetName val="BOQ (2)"/>
      <sheetName val="BOQ_Direct_selling cost"/>
      <sheetName val="Summary_0506"/>
      <sheetName val="Summary_0607-_31_MAR"/>
      <sheetName val="Form_6"/>
      <sheetName val="Mix Design"/>
      <sheetName val="std-rates"/>
      <sheetName val="PRECAST lightconc-II"/>
      <sheetName val="d-safe DELUXE"/>
      <sheetName val="Legal Risk Analysis"/>
      <sheetName val="RCC,Ret. Wall"/>
      <sheetName val="BLK2"/>
      <sheetName val="BLK3"/>
      <sheetName val="E &amp; R"/>
      <sheetName val="radar"/>
      <sheetName val="UG"/>
      <sheetName val="Design"/>
      <sheetName val="Break up Sheet"/>
      <sheetName val="TBAL9697 -group wise  sdpl"/>
      <sheetName val="Abstract Sheet"/>
      <sheetName val="V.O.4 - PCC Qty"/>
      <sheetName val="Fill this out first..."/>
      <sheetName val="LABOUR"/>
      <sheetName val="REVISED4A PROG PERF-SITE 1"/>
      <sheetName val="WWR"/>
      <sheetName val="GBW"/>
      <sheetName val="Load Details-220kV"/>
      <sheetName val="8"/>
      <sheetName val="CABLE DATA"/>
      <sheetName val="Stock-II"/>
      <sheetName val="R20_R30_work"/>
      <sheetName val="Flight-1"/>
      <sheetName val="Publicbuilding"/>
      <sheetName val="FT-05-02IsoBOM"/>
      <sheetName val="beam-reinft-IIInd floor"/>
      <sheetName val="SANJAY PAL"/>
      <sheetName val="P A SELVAM"/>
      <sheetName val="ANSARI "/>
      <sheetName val="abdesh pal"/>
      <sheetName val="sujay bagchi"/>
      <sheetName val="S.K.SINHA BASU"/>
      <sheetName val="NEDUNCHEZHIYAN"/>
      <sheetName val="RAJARAM"/>
      <sheetName val="KRISHNA PRASAD"/>
      <sheetName val="BARATH &amp; CO"/>
      <sheetName val="L B YADAV"/>
      <sheetName val="DEEPAK KUMAR"/>
      <sheetName val="MUKLAL YADAV"/>
      <sheetName val="MADHU SUDHAN"/>
      <sheetName val="SAUD ALAM "/>
      <sheetName val="RAMESH BABU"/>
      <sheetName val="SUKHENDUPAL"/>
      <sheetName val="SAILEN SARKAR"/>
      <sheetName val="elongovan"/>
      <sheetName val="SANJAY JENA1"/>
      <sheetName val="upendra saw "/>
      <sheetName val="ALLOK KUMAR "/>
      <sheetName val="analysis"/>
      <sheetName val="except wiring"/>
      <sheetName val="A-General"/>
      <sheetName val="RA"/>
      <sheetName val="11-hsd"/>
      <sheetName val="13-septic"/>
      <sheetName val="7-ug"/>
      <sheetName val="2-utility"/>
      <sheetName val="18-misc"/>
      <sheetName val="5-pipe"/>
      <sheetName val="Fee Rate Summary"/>
      <sheetName val="cubes_M20"/>
      <sheetName val="Rev S1 Abstract"/>
      <sheetName val="Quantity Abstract"/>
      <sheetName val=""/>
      <sheetName val="Abstract"/>
      <sheetName val="Input"/>
      <sheetName val="Activity"/>
      <sheetName val="Staff Acco."/>
      <sheetName val="Crew"/>
      <sheetName val="Piping"/>
      <sheetName val="Pipe Supports"/>
      <sheetName val="Parapet"/>
      <sheetName val="M-Book for Conc"/>
      <sheetName val="M-Book for FW"/>
      <sheetName val="VCH-SLC"/>
      <sheetName val="sheet6"/>
      <sheetName val="RA-markate"/>
      <sheetName val="INPUT SHEET"/>
      <sheetName val="RES-PLANNING"/>
      <sheetName val="Sump"/>
      <sheetName val="COLUMN"/>
      <sheetName val="Footings"/>
      <sheetName val="B@__x005f_x0000__x005f_x0004_@_x005f_x0000__x0000"/>
      <sheetName val="Project Budget Worksheet"/>
      <sheetName val="switch"/>
      <sheetName val="BS1"/>
      <sheetName val="#REF"/>
      <sheetName val="Site wise NADs"/>
      <sheetName val="Sheet3"/>
      <sheetName val="BOQ -II ph 2"/>
      <sheetName val="Macro1"/>
      <sheetName val="Cost_any"/>
      <sheetName val="Process"/>
      <sheetName val="pt_cw"/>
      <sheetName val="Metso - Forth &amp; Slurry 11.02.10"/>
      <sheetName val="Rein-Final (Ph 1+Ph2)"/>
      <sheetName val="B@_"/>
      <sheetName val="B@___x0004_@_____$__"/>
      <sheetName val="1"/>
      <sheetName val="Stress Calculation"/>
      <sheetName val="dummy"/>
      <sheetName val="NPV"/>
      <sheetName val="d-safe specs"/>
      <sheetName val="STAFFSCHED "/>
      <sheetName val="SUMM"/>
      <sheetName val="B@[_x005f_x0000__x005f_x0004_@_x005f_x0000__x0000"/>
      <sheetName val="p&amp;m"/>
      <sheetName val="x-items"/>
      <sheetName val="DADAN-1"/>
      <sheetName val="class &amp; category"/>
      <sheetName val="FUNDFLOW"/>
      <sheetName val="Quote Sheet"/>
      <sheetName val="India F&amp;S Template"/>
      <sheetName val="合成単価作成表-BLDG"/>
      <sheetName val="Lead"/>
      <sheetName val="AOR"/>
      <sheetName val="SPT_vs_PHI2"/>
      <sheetName val="glass_project_concrete2"/>
      <sheetName val="glass_project_reift2"/>
      <sheetName val="glass_project_indices2"/>
      <sheetName val="SBC-BH_191"/>
      <sheetName val="Rate_Analysis1"/>
      <sheetName val="BH_12-11-10-131"/>
      <sheetName val="BH_12-11-10-91"/>
      <sheetName val="BH_36-15-371"/>
      <sheetName val="BH_16-35-25-171"/>
      <sheetName val="BH_35-25-171"/>
      <sheetName val="Sheet1_(2)1"/>
      <sheetName val="Summary_05061"/>
      <sheetName val="Summary_0607-_31_MAR1"/>
      <sheetName val="Civil_Boq"/>
      <sheetName val="Pile_cap"/>
      <sheetName val="PRECAST_lightconc-II"/>
      <sheetName val="d-safe_DELUXE"/>
      <sheetName val="Mix_Design"/>
      <sheetName val="RCC,Ret__Wall"/>
      <sheetName val="Form_61"/>
      <sheetName val="PointNo_5"/>
      <sheetName val="Legal_Risk_Analysis"/>
      <sheetName val="E_&amp;_R"/>
      <sheetName val="Break_up_Sheet"/>
      <sheetName val="TBAL9697_-group_wise__sdpl"/>
      <sheetName val="Abstract_Sheet"/>
      <sheetName val="V_O_4_-_PCC_Qty"/>
      <sheetName val="Fill_this_out_first___"/>
      <sheetName val="REVISED4A_PROG_PERF-SITE_1"/>
      <sheetName val="BOQ_Direct_selling_cost"/>
      <sheetName val="Load_Details-220kV"/>
      <sheetName val="beam-reinft-IIInd_floor"/>
      <sheetName val="BOQ_(2)"/>
      <sheetName val="CABLE_DATA"/>
      <sheetName val="final_abstract"/>
      <sheetName val="Rev_S1_Abstract"/>
      <sheetName val="Quantity_Abstract"/>
      <sheetName val="Staff_Acco_"/>
      <sheetName val="Pipe_Supports"/>
      <sheetName val="M-Book_for_Conc"/>
      <sheetName val="M-Book_for_FW"/>
      <sheetName val="INPUT_SHEET"/>
      <sheetName val="SANJAY_PAL"/>
      <sheetName val="P_A_SELVAM"/>
      <sheetName val="ANSARI_"/>
      <sheetName val="abdesh_pal"/>
      <sheetName val="sujay_bagchi"/>
      <sheetName val="S_K_SINHA_BASU"/>
      <sheetName val="KRISHNA_PRASAD"/>
      <sheetName val="BARATH_&amp;_CO"/>
      <sheetName val="L_B_YADAV"/>
      <sheetName val="DEEPAK_KUMAR"/>
      <sheetName val="MUKLAL_YADAV"/>
      <sheetName val="MADHU_SUDHAN"/>
      <sheetName val="SAUD_ALAM_"/>
      <sheetName val="RAMESH_BABU"/>
      <sheetName val="SAILEN_SARKAR"/>
      <sheetName val="SANJAY_JENA1"/>
      <sheetName val="upendra_saw_"/>
      <sheetName val="ALLOK_KUMAR_"/>
      <sheetName val="except_wiring"/>
      <sheetName val="B@__@_____$__"/>
      <sheetName val="Project_Budget_Worksheet"/>
      <sheetName val="BOQ_-II_ph_2"/>
      <sheetName val="HPL"/>
      <sheetName val="col-reinft1"/>
      <sheetName val="Formulas"/>
      <sheetName val="maingirder"/>
      <sheetName val="basic-data"/>
      <sheetName val="Build-up"/>
      <sheetName val="B@___x005f_x0004_@_____$__"/>
      <sheetName val="B@__x005f_x005f_x005f_x0000__x005f_x005f_x005f_x0004_@_"/>
      <sheetName val="220 11  BS "/>
      <sheetName val="SSR &amp; NSSR Market final"/>
      <sheetName val="Headings"/>
      <sheetName val="attach(2)"/>
      <sheetName val="precast RC element"/>
      <sheetName val="Title"/>
      <sheetName val="Costing"/>
      <sheetName val="T&amp;M"/>
      <sheetName val="SOR"/>
      <sheetName val="PriceSummary"/>
      <sheetName val="RA RCC F"/>
      <sheetName val="Cal"/>
      <sheetName val="Data"/>
      <sheetName val="Voucher"/>
      <sheetName val="Materials Cost(PCC)"/>
      <sheetName val="Qty-Opt1"/>
      <sheetName val="Coefficients"/>
      <sheetName val="IS3370"/>
      <sheetName val="IS456"/>
      <sheetName val="MGS"/>
      <sheetName val="2gii"/>
      <sheetName val="Abstract for Variation"/>
      <sheetName val="LBD VARIATION"/>
      <sheetName val="Debits as on 12.04.08"/>
      <sheetName val="Assmpns"/>
      <sheetName val="PRRM Dashboard"/>
      <sheetName val="Mappings"/>
      <sheetName val="FOOTING"/>
      <sheetName val="COLUMNS"/>
      <sheetName val="plinth Beam + Stirrups "/>
      <sheetName val="GF COLUMNS"/>
      <sheetName val="G.F ROOF BEAM "/>
      <sheetName val="GF SLAB STEEL"/>
      <sheetName val="GF Lintel"/>
      <sheetName val="GF Stair"/>
      <sheetName val="FF COLUMNS"/>
      <sheetName val="F.F. Steel FINAL (2)"/>
      <sheetName val="FF Lintel"/>
      <sheetName val="FF Stair"/>
      <sheetName val="S.F. Steel FINAL "/>
      <sheetName val="SF Lintel"/>
      <sheetName val="B@_@__$"/>
      <sheetName val="Report"/>
      <sheetName val="C"/>
      <sheetName val="B"/>
      <sheetName val="Mx1012a"/>
      <sheetName val="Metso_-_Forth_&amp;_Slurry_11_02_10"/>
      <sheetName val="Material List "/>
      <sheetName val="Detail"/>
      <sheetName val="SPT_vs_PHI5"/>
      <sheetName val="glass_project_concrete5"/>
      <sheetName val="glass_project_reift5"/>
      <sheetName val="glass_project_indices5"/>
      <sheetName val="SBC-BH_194"/>
      <sheetName val="Rate_Analysis4"/>
      <sheetName val="Summary_05064"/>
      <sheetName val="Summary_0607-_31_MAR4"/>
      <sheetName val="Civil_Boq3"/>
      <sheetName val="Pile_cap3"/>
      <sheetName val="V_O_4_-_PCC_Qty3"/>
      <sheetName val="TBAL9697_-group_wise__sdpl3"/>
      <sheetName val="Abstract_Sheet3"/>
      <sheetName val="Legal_Risk_Analysis3"/>
      <sheetName val="BH_12-11-10-134"/>
      <sheetName val="BH_12-11-10-94"/>
      <sheetName val="BH_36-15-374"/>
      <sheetName val="BH_16-35-25-174"/>
      <sheetName val="BH_35-25-174"/>
      <sheetName val="Sheet1_(2)4"/>
      <sheetName val="PRECAST_lightconc-II3"/>
      <sheetName val="Mix_Design3"/>
      <sheetName val="d-safe_DELUXE3"/>
      <sheetName val="RCC,Ret__Wall3"/>
      <sheetName val="Form_64"/>
      <sheetName val="PointNo_53"/>
      <sheetName val="E_&amp;_R3"/>
      <sheetName val="Break_up_Sheet3"/>
      <sheetName val="Fill_this_out_first___3"/>
      <sheetName val="REVISED4A_PROG_PERF-SITE_13"/>
      <sheetName val="BOQ_Direct_selling_cost3"/>
      <sheetName val="final_abstract2"/>
      <sheetName val="BOQ_(2)3"/>
      <sheetName val="beam-reinft-IIInd_floor2"/>
      <sheetName val="Staff_Acco_3"/>
      <sheetName val="Pipe_Supports3"/>
      <sheetName val="M-Book_for_Conc2"/>
      <sheetName val="M-Book_for_FW2"/>
      <sheetName val="CABLE_DATA3"/>
      <sheetName val="Load_Details-220kV2"/>
      <sheetName val="SANJAY_PAL2"/>
      <sheetName val="P_A_SELVAM2"/>
      <sheetName val="ANSARI_2"/>
      <sheetName val="abdesh_pal2"/>
      <sheetName val="sujay_bagchi2"/>
      <sheetName val="S_K_SINHA_BASU2"/>
      <sheetName val="KRISHNA_PRASAD2"/>
      <sheetName val="BARATH_&amp;_CO2"/>
      <sheetName val="L_B_YADAV2"/>
      <sheetName val="DEEPAK_KUMAR2"/>
      <sheetName val="MUKLAL_YADAV2"/>
      <sheetName val="MADHU_SUDHAN2"/>
      <sheetName val="SAUD_ALAM_2"/>
      <sheetName val="RAMESH_BABU2"/>
      <sheetName val="SAILEN_SARKAR2"/>
      <sheetName val="SANJAY_JENA12"/>
      <sheetName val="upendra_saw_2"/>
      <sheetName val="ALLOK_KUMAR_2"/>
      <sheetName val="except_wiring2"/>
      <sheetName val="Rev_S1_Abstract2"/>
      <sheetName val="Quantity_Abstract2"/>
      <sheetName val="INPUT_SHEET2"/>
      <sheetName val="Project_Budget_Worksheet2"/>
      <sheetName val="Metso_-_Forth_&amp;_Slurry_11_02_11"/>
      <sheetName val="BOQ_-II_ph_22"/>
      <sheetName val="Fee_Rate_Summary1"/>
      <sheetName val="STAFFSCHED_1"/>
      <sheetName val="d-safe_specs1"/>
      <sheetName val="class_&amp;_category1"/>
      <sheetName val="Rein-Final_(Ph_1+Ph2)1"/>
      <sheetName val="India_F&amp;S_Template1"/>
      <sheetName val="220_11__BS_1"/>
      <sheetName val="SSR_&amp;_NSSR_Market_final1"/>
      <sheetName val="Site_wise_NADs1"/>
      <sheetName val="Quote_Sheet1"/>
      <sheetName val="RA_RCC_F1"/>
      <sheetName val="SPT_vs_PHI3"/>
      <sheetName val="glass_project_concrete3"/>
      <sheetName val="glass_project_reift3"/>
      <sheetName val="glass_project_indices3"/>
      <sheetName val="SBC-BH_192"/>
      <sheetName val="Rate_Analysis2"/>
      <sheetName val="Summary_05062"/>
      <sheetName val="Summary_0607-_31_MAR2"/>
      <sheetName val="Civil_Boq1"/>
      <sheetName val="Pile_cap1"/>
      <sheetName val="V_O_4_-_PCC_Qty1"/>
      <sheetName val="TBAL9697_-group_wise__sdpl1"/>
      <sheetName val="Abstract_Sheet1"/>
      <sheetName val="Legal_Risk_Analysis1"/>
      <sheetName val="BH_12-11-10-132"/>
      <sheetName val="BH_12-11-10-92"/>
      <sheetName val="BH_36-15-372"/>
      <sheetName val="BH_16-35-25-172"/>
      <sheetName val="BH_35-25-172"/>
      <sheetName val="Sheet1_(2)2"/>
      <sheetName val="PRECAST_lightconc-II1"/>
      <sheetName val="Mix_Design1"/>
      <sheetName val="d-safe_DELUXE1"/>
      <sheetName val="RCC,Ret__Wall1"/>
      <sheetName val="Form_62"/>
      <sheetName val="PointNo_51"/>
      <sheetName val="E_&amp;_R1"/>
      <sheetName val="Break_up_Sheet1"/>
      <sheetName val="Fill_this_out_first___1"/>
      <sheetName val="REVISED4A_PROG_PERF-SITE_11"/>
      <sheetName val="BOQ_Direct_selling_cost1"/>
      <sheetName val="final_abstract1"/>
      <sheetName val="BOQ_(2)1"/>
      <sheetName val="beam-reinft-IIInd_floor1"/>
      <sheetName val="Staff_Acco_1"/>
      <sheetName val="Pipe_Supports1"/>
      <sheetName val="M-Book_for_Conc1"/>
      <sheetName val="M-Book_for_FW1"/>
      <sheetName val="CABLE_DATA1"/>
      <sheetName val="Load_Details-220kV1"/>
      <sheetName val="SANJAY_PAL1"/>
      <sheetName val="P_A_SELVAM1"/>
      <sheetName val="ANSARI_1"/>
      <sheetName val="abdesh_pal1"/>
      <sheetName val="sujay_bagchi1"/>
      <sheetName val="S_K_SINHA_BASU1"/>
      <sheetName val="KRISHNA_PRASAD1"/>
      <sheetName val="BARATH_&amp;_CO1"/>
      <sheetName val="L_B_YADAV1"/>
      <sheetName val="DEEPAK_KUMAR1"/>
      <sheetName val="MUKLAL_YADAV1"/>
      <sheetName val="MADHU_SUDHAN1"/>
      <sheetName val="SAUD_ALAM_1"/>
      <sheetName val="RAMESH_BABU1"/>
      <sheetName val="SAILEN_SARKAR1"/>
      <sheetName val="SANJAY_JENA11"/>
      <sheetName val="upendra_saw_1"/>
      <sheetName val="ALLOK_KUMAR_1"/>
      <sheetName val="except_wiring1"/>
      <sheetName val="Rev_S1_Abstract1"/>
      <sheetName val="Quantity_Abstract1"/>
      <sheetName val="INPUT_SHEET1"/>
      <sheetName val="Project_Budget_Worksheet1"/>
      <sheetName val="BOQ_-II_ph_21"/>
      <sheetName val="Fee_Rate_Summary"/>
      <sheetName val="STAFFSCHED_"/>
      <sheetName val="d-safe_specs"/>
      <sheetName val="class_&amp;_category"/>
      <sheetName val="Rein-Final_(Ph_1+Ph2)"/>
      <sheetName val="India_F&amp;S_Template"/>
      <sheetName val="220_11__BS_"/>
      <sheetName val="SSR_&amp;_NSSR_Market_final"/>
      <sheetName val="Site_wise_NADs"/>
      <sheetName val="Quote_Sheet"/>
      <sheetName val="RA_RCC_F"/>
      <sheetName val="SPT_vs_PHI4"/>
      <sheetName val="glass_project_concrete4"/>
      <sheetName val="glass_project_reift4"/>
      <sheetName val="glass_project_indices4"/>
      <sheetName val="SBC-BH_193"/>
      <sheetName val="Rate_Analysis3"/>
      <sheetName val="Summary_05063"/>
      <sheetName val="Summary_0607-_31_MAR3"/>
      <sheetName val="PRECAST_lightconc-II2"/>
      <sheetName val="Civil_Boq2"/>
      <sheetName val="Pile_cap2"/>
      <sheetName val="BH_12-11-10-133"/>
      <sheetName val="BH_12-11-10-93"/>
      <sheetName val="BH_36-15-373"/>
      <sheetName val="BH_16-35-25-173"/>
      <sheetName val="BH_35-25-173"/>
      <sheetName val="Sheet1_(2)3"/>
      <sheetName val="d-safe_DELUXE2"/>
      <sheetName val="Legal_Risk_Analysis2"/>
      <sheetName val="Mix_Design2"/>
      <sheetName val="Form_63"/>
      <sheetName val="PointNo_52"/>
      <sheetName val="RCC,Ret__Wall2"/>
      <sheetName val="E_&amp;_R2"/>
      <sheetName val="Break_up_Sheet2"/>
      <sheetName val="TBAL9697_-group_wise__sdpl2"/>
      <sheetName val="Abstract_Sheet2"/>
      <sheetName val="V_O_4_-_PCC_Qty2"/>
      <sheetName val="Fill_this_out_first___2"/>
      <sheetName val="REVISED4A_PROG_PERF-SITE_12"/>
      <sheetName val="BOQ_(2)2"/>
      <sheetName val="BOQ_Direct_selling_cost2"/>
      <sheetName val="CABLE_DATA2"/>
      <sheetName val="Staff_Acco_2"/>
      <sheetName val="Pipe_Supports2"/>
      <sheetName val="Names&amp;Cases"/>
      <sheetName val="Control"/>
      <sheetName val="Assumptions"/>
      <sheetName val="ASS"/>
      <sheetName val="Summary_output"/>
      <sheetName val="Fin__Assumpt__-_Sensitivities"/>
      <sheetName val="GUT_(2)"/>
      <sheetName val="Data_Input"/>
      <sheetName val="Cases"/>
      <sheetName val="ACE-OUT"/>
      <sheetName val="WORK_TABLE"/>
      <sheetName val="PCC"/>
      <sheetName val="Staff Forecast spread"/>
      <sheetName val="B@__x005f_x0000__x005f_x0004_@_x005f_x0000___$_x0"/>
      <sheetName val="B@___x005f_x005f_x005f_x0004_@_____$__"/>
      <sheetName val="B@__x005f_x005f_x005f_x005f_x005f_x005f_x005f_x0000__x0"/>
      <sheetName val="IDCCALHYD-GOO"/>
      <sheetName val="inWords"/>
      <sheetName val="LT Motor catalog"/>
      <sheetName val="Cable cat"/>
      <sheetName val="3"/>
      <sheetName val="B@__x0000__x0004_@_x0000__x0000"/>
      <sheetName val="B@__x005f_x0000__x005f_x0004_@_"/>
      <sheetName val="BHANDUP"/>
      <sheetName val="B@[_x005f_x005f_x005f_x0000__x005f_x005f_x005f_x0004_@_"/>
      <sheetName val="재1"/>
      <sheetName val="SubmitCal"/>
      <sheetName val="EDWise"/>
      <sheetName val="ComboSheet"/>
      <sheetName val="Index "/>
      <sheetName val="Instructions"/>
      <sheetName val="Email Approval Template"/>
      <sheetName val="1 Executive Summary"/>
      <sheetName val="2 Risk Assessment Analysis"/>
      <sheetName val="3 Pre-Approval"/>
      <sheetName val="Map"/>
      <sheetName val="4 CIS"/>
      <sheetName val="5 Change Order"/>
      <sheetName val="5.1  Re-book De-book order"/>
      <sheetName val="6 Contract Re-estimates"/>
      <sheetName val="7a BG Approval Form"/>
      <sheetName val="7b BG Email Approval Template"/>
      <sheetName val="8 LAD Approval Form"/>
      <sheetName val="9 LOI Checklist"/>
      <sheetName val="10 RPS Information Form"/>
      <sheetName val="11 Proj Cashflow "/>
      <sheetName val="11.1 Cash-flow Chart"/>
      <sheetName val="Threshold Calculator"/>
      <sheetName val="Version Control"/>
      <sheetName val="Prebid Review"/>
      <sheetName val="DJC Parameters"/>
      <sheetName val="Offer"/>
      <sheetName val="Selling Summary"/>
      <sheetName val="1-BAS (cost)"/>
      <sheetName val="Controller Configuration"/>
      <sheetName val="IO Summary"/>
      <sheetName val="2-FAS (cost)"/>
      <sheetName val="Cost Summary"/>
      <sheetName val="3-PA (cost)"/>
      <sheetName val="Approved Make"/>
      <sheetName val="Basis of offer"/>
      <sheetName val="High Level Summary"/>
      <sheetName val="4-ACS  (cost)"/>
      <sheetName val="5-CCTV  (cost)"/>
      <sheetName val="6-FFT  (cost)"/>
      <sheetName val="7- Service Retrofit  (cost)"/>
      <sheetName val="8-Service PSA,O&amp;M  (cost)"/>
      <sheetName val="9- Service L&amp;M  (cost)"/>
      <sheetName val="non fixed DJC "/>
      <sheetName val="10-UPG (cost)"/>
      <sheetName val="11-ESG  (cost)"/>
      <sheetName val="12-Products (cost)"/>
      <sheetName val="13-VAV  (cost)"/>
      <sheetName val="14-REF (cost)"/>
      <sheetName val="15 - Local Chiller (cost)"/>
      <sheetName val="Selling-Local Chiller"/>
      <sheetName val="Material Cost JCS"/>
      <sheetName val="Costing USD Chiller"/>
      <sheetName val="Selling-USD Chiller"/>
      <sheetName val="PRICE MATRIX -JCIPL"/>
      <sheetName val="COST SUMMARY- JCIPL"/>
      <sheetName val="1-BAS-JCIPL"/>
      <sheetName val="2-FAS-JCIPL"/>
      <sheetName val="3-PA-JCIPL"/>
      <sheetName val="4-ACS-JCIPL"/>
      <sheetName val="5-CCTV-JCIPL"/>
      <sheetName val="6 -FFT-JCIPL"/>
      <sheetName val="7-Ser Retro -JCIPL"/>
      <sheetName val="8-Ser PSA, O&amp;M -JCIPL"/>
      <sheetName val="9-Ser L&amp;M -JCIPL"/>
      <sheetName val="10-UPG JCIPL"/>
      <sheetName val="11-ESG JCIPL"/>
      <sheetName val="12-Products JCIPL"/>
      <sheetName val="13-VAV JCIPL"/>
      <sheetName val="14-REF JCMRL "/>
      <sheetName val="Proj. DJC-JCIPL"/>
      <sheetName val=" L0 DDC 1"/>
      <sheetName val="L0 DDC-2"/>
      <sheetName val="L16 DDC-3"/>
      <sheetName val="L16-DDC-4"/>
      <sheetName val="L16 DDC-5"/>
      <sheetName val="L17 DDC-6"/>
      <sheetName val="L17 DDC-7 "/>
      <sheetName val="L18 DDC-8"/>
      <sheetName val="L18-DDC-9"/>
      <sheetName val="2-AutoDialer Sys"/>
      <sheetName val="1-BAS1 (cost)"/>
      <sheetName val="2-BAS2 (cost)"/>
      <sheetName val="Deviations-Project Risks"/>
      <sheetName val="IO Schedule"/>
      <sheetName val="Direct cost shed A-2 "/>
      <sheetName val="Cost of O &amp; O"/>
      <sheetName val="Inputs &amp; Summary Output"/>
      <sheetName val="Broad Refresher Model"/>
      <sheetName val="BLOCK-E"/>
      <sheetName val="Fin Sum"/>
      <sheetName val="Back"/>
      <sheetName val="Basicrates"/>
      <sheetName val="IO List"/>
      <sheetName val="Stress_Calculation"/>
      <sheetName val="Stress_Calculation1"/>
      <sheetName val="B@__x0000__x0004_@_x0000___$_x0"/>
      <sheetName val="B@__x005f_x005f_x005f_x0000__x0"/>
      <sheetName val="B@___x0004_@___$_"/>
      <sheetName val="ELECT"/>
      <sheetName val="pr.cal"/>
      <sheetName val="measurement"/>
      <sheetName val="[Spt-BH.xls][Spt-BH.xls]B___216"/>
      <sheetName val="[Spt-BH.xls][Spt-BH.xls]B___217"/>
      <sheetName val="[Spt-BH.xls][Spt-BH.xls]_Spt_62"/>
      <sheetName val="[Spt-BH.xls][Spt-BH.xls]B___218"/>
      <sheetName val="[Spt-BH.xls][Spt-BH.xls]B___219"/>
      <sheetName val="[Spt-BH.xls][Spt-BH.xls]B___220"/>
      <sheetName val="[Spt-BH.xls][Spt-BH.xls]_Spt_61"/>
      <sheetName val="[Spt-BH.xls][Spt-BH.xls]B___222"/>
      <sheetName val="[Spt-BH.xls][Spt-BH.xls]B___223"/>
      <sheetName val="[Spt-BH.xls][Spt-BH.xls]_Spt_63"/>
      <sheetName val="[Spt-BH.xls][Spt-BH.xls]B___224"/>
      <sheetName val="[Spt-BH.xls][Spt-BH.xls]B___225"/>
      <sheetName val="[Spt-BH.xls]B____x005f_x0004_______16"/>
      <sheetName val="[Spt-BH.xls]B___x005f_x0000__x005f_x0004_16"/>
      <sheetName val="[Spt-BH.xls][Spt-BH.xls]B___226"/>
      <sheetName val="[Spt-BH.xls]B@[_x005f_x0000__x005f_x0004_@_"/>
      <sheetName val=" AT-1-220 "/>
      <sheetName val=" BC-220"/>
      <sheetName val="Components"/>
      <sheetName val="DETAILED  BOQ"/>
      <sheetName val="[Spt-BH.xls][Spt-BH.xls]B_____2"/>
      <sheetName val="[Spt-BH.xls][Spt-BH.xls]B_____3"/>
      <sheetName val="[Spt-BH.xls][Spt-BH.xls]_Spt__4"/>
      <sheetName val="[Spt-BH.xls][Spt-BH.xls]B_____4"/>
      <sheetName val="[Spt-BH.xls][Spt-BH.xls]B_____5"/>
      <sheetName val="[Spt-BH.xls][Spt-BH.xls]B_____6"/>
      <sheetName val="[Spt-BH.xls][Spt-BH.xls]_Spt__3"/>
      <sheetName val="[Spt-BH.xls][Spt-BH.xls]B_____7"/>
      <sheetName val="[Spt-BH.xls][Spt-BH.xls]B_____8"/>
      <sheetName val="[Spt-BH.xls][Spt-BH.xls]_Spt_11"/>
      <sheetName val="[Spt-BH.xls][Spt-BH.xls]B_____9"/>
      <sheetName val="[Spt-BH.xls][Spt-BH.xls]B____10"/>
      <sheetName val="[Spt-BH.xls]B____x005f_x0004________2"/>
      <sheetName val="[Spt-BH.xls]B___x005f_x0000__x005f_x0004__2"/>
      <sheetName val="[Spt-BH.xls][Spt-BH.xls]B____11"/>
      <sheetName val="[Spt-BH.xls][Spt-BH.xls]_Spt__2"/>
      <sheetName val="[Spt-BH.xls][Spt-BH.xls]B____22"/>
      <sheetName val="[Spt-BH.xls][Spt-BH.xls]B____23"/>
      <sheetName val="[Spt-BH.xls][Spt-BH.xls]_Spt_14"/>
      <sheetName val="[Spt-BH.xls][Spt-BH.xls]B____24"/>
      <sheetName val="[Spt-BH.xls][Spt-BH.xls]B____25"/>
      <sheetName val="[Spt-BH.xls][Spt-BH.xls]B____26"/>
      <sheetName val="[Spt-BH.xls][Spt-BH.xls]_Spt__5"/>
      <sheetName val="[Spt-BH.xls][Spt-BH.xls]_Spt__6"/>
      <sheetName val="[Spt-BH.xls][Spt-BH.xls]B____12"/>
      <sheetName val="[Spt-BH.xls][Spt-BH.xls]B____13"/>
      <sheetName val="[Spt-BH.xls][Spt-BH.xls]_Spt__7"/>
      <sheetName val="[Spt-BH.xls][Spt-BH.xls]B____14"/>
      <sheetName val="[Spt-BH.xls][Spt-BH.xls]B____15"/>
      <sheetName val="[Spt-BH.xls][Spt-BH.xls]B____16"/>
      <sheetName val="[Spt-BH.xls][Spt-BH.xls]_Spt__8"/>
      <sheetName val="[Spt-BH.xls][Spt-BH.xls]B____17"/>
      <sheetName val="[Spt-BH.xls][Spt-BH.xls]B____18"/>
      <sheetName val="[Spt-BH.xls][Spt-BH.xls]B____19"/>
      <sheetName val="[Spt-BH.xls][Spt-BH.xls]B____20"/>
      <sheetName val="[Spt-BH.xls][Spt-BH.xls]B____21"/>
      <sheetName val="[Spt-BH.xls][Spt-BH.xls]_Spt__9"/>
      <sheetName val="[Spt-BH.xls][Spt-BH.xls]_Spt_10"/>
      <sheetName val="[Spt-BH.xls][Spt-BH.xls]B____37"/>
      <sheetName val="[Spt-BH.xls][Spt-BH.xls]B____38"/>
      <sheetName val="[Spt-BH.xls][Spt-BH.xls]B____39"/>
      <sheetName val="[Spt-BH.xls][Spt-BH.xls]B____40"/>
      <sheetName val="[Spt-BH.xls][Spt-BH.xls]B____41"/>
      <sheetName val="[Spt-BH.xls][Spt-BH.xls]_Spt_12"/>
      <sheetName val="[Spt-BH.xls][Spt-BH.xls]B____27"/>
      <sheetName val="[Spt-BH.xls][Spt-BH.xls]B____28"/>
      <sheetName val="[Spt-BH.xls][Spt-BH.xls]B____29"/>
      <sheetName val="[Spt-BH.xls][Spt-BH.xls]B____30"/>
      <sheetName val="[Spt-BH.xls][Spt-BH.xls]B____31"/>
      <sheetName val="[Spt-BH.xls][Spt-BH.xls]_Spt_13"/>
      <sheetName val="[Spt-BH.xls][Spt-BH.xls]B____32"/>
      <sheetName val="[Spt-BH.xls][Spt-BH.xls]B____33"/>
      <sheetName val="[Spt-BH.xls][Spt-BH.xls]B____34"/>
      <sheetName val="[Spt-BH.xls][Spt-BH.xls]B____35"/>
      <sheetName val="[Spt-BH.xls][Spt-BH.xls]B____36"/>
      <sheetName val="[Spt-BH.xls][Spt-BH.xls]_Spt_17"/>
      <sheetName val="[Spt-BH.xls][Spt-BH.xls]B____47"/>
      <sheetName val="[Spt-BH.xls][Spt-BH.xls]B____48"/>
      <sheetName val="[Spt-BH.xls][Spt-BH.xls]B____49"/>
      <sheetName val="[Spt-BH.xls][Spt-BH.xls]B____50"/>
      <sheetName val="[Spt-BH.xls][Spt-BH.xls]B____51"/>
      <sheetName val="[Spt-BH.xls][Spt-BH.xls]_Spt_15"/>
      <sheetName val="[Spt-BH.xls][Spt-BH.xls]B____42"/>
      <sheetName val="[Spt-BH.xls][Spt-BH.xls]B____43"/>
      <sheetName val="[Spt-BH.xls][Spt-BH.xls]B____44"/>
      <sheetName val="[Spt-BH.xls][Spt-BH.xls]B____45"/>
      <sheetName val="[Spt-BH.xls][Spt-BH.xls]B____46"/>
      <sheetName val="[Spt-BH.xls][Spt-BH.xls]_Spt_16"/>
      <sheetName val="[Spt-BH.xls][Spt-BH.xls]_Spt_18"/>
      <sheetName val="[Spt-BH.xls][Spt-BH.xls]_Spt_19"/>
      <sheetName val="[Spt-BH.xls][Spt-BH.xls]B____57"/>
      <sheetName val="[Spt-BH.xls][Spt-BH.xls]B____58"/>
      <sheetName val="[Spt-BH.xls][Spt-BH.xls]B____59"/>
      <sheetName val="[Spt-BH.xls][Spt-BH.xls]B____60"/>
      <sheetName val="[Spt-BH.xls]B____x005f_x0004________3"/>
      <sheetName val="[Spt-BH.xls]B___x005f_x0000__x005f_x0004__3"/>
      <sheetName val="[Spt-BH.xls][Spt-BH.xls]B____61"/>
      <sheetName val="[Spt-BH.xls][Spt-BH.xls]B____52"/>
      <sheetName val="[Spt-BH.xls][Spt-BH.xls]B____53"/>
      <sheetName val="[Spt-BH.xls][Spt-BH.xls]_Spt_20"/>
      <sheetName val="[Spt-BH.xls][Spt-BH.xls]B____54"/>
      <sheetName val="[Spt-BH.xls][Spt-BH.xls]B____55"/>
      <sheetName val="[Spt-BH.xls][Spt-BH.xls]B____56"/>
      <sheetName val="Material "/>
      <sheetName val="Labour &amp; Plant"/>
      <sheetName val="Tees"/>
      <sheetName val="TRF details"/>
      <sheetName val="Materials Cost"/>
      <sheetName val="TABLES"/>
      <sheetName val="SàQa_x0005_@_x0000__x0000__x0000_²"/>
      <sheetName val="upa"/>
      <sheetName val="Coalmine"/>
      <sheetName val="database"/>
      <sheetName val="ISA"/>
      <sheetName val="Joints"/>
      <sheetName val="2.2 띠장의 설계"/>
      <sheetName val="HVAC"/>
      <sheetName val="precast_RC_element"/>
      <sheetName val="Abstract_for_Variation"/>
      <sheetName val="LBD_VARIATION"/>
      <sheetName val="LT_Motor_catalog"/>
      <sheetName val="Cable_cat"/>
      <sheetName val="PRRM_Dashboard"/>
      <sheetName val="02"/>
      <sheetName val="03"/>
      <sheetName val="04"/>
      <sheetName val="05"/>
      <sheetName val="Works - Quote Sheet"/>
      <sheetName val="B@["/>
      <sheetName val="bricks"/>
      <sheetName val="Page 1"/>
      <sheetName val="Page 2"/>
      <sheetName val="Page 3"/>
      <sheetName val="Page 4 Installed"/>
      <sheetName val="Page 4 Required"/>
      <sheetName val="Page 5a"/>
      <sheetName val="Page 5b"/>
      <sheetName val="Page 5c"/>
      <sheetName val="Page 5d"/>
      <sheetName val="Page 5e"/>
      <sheetName val="Page 5f"/>
      <sheetName val="Page 5f (2)"/>
      <sheetName val="Page 6a"/>
      <sheetName val="Page 6b"/>
      <sheetName val="Page 7-1"/>
      <sheetName val="Page 7-2a1-I"/>
      <sheetName val="Page 7-2a1-II"/>
      <sheetName val="Page 7-2a1-III"/>
      <sheetName val="Page 7-2a2"/>
      <sheetName val="Page 7-3"/>
      <sheetName val="Page 7-5a"/>
      <sheetName val="Page 7-5b1"/>
      <sheetName val="Page 7-5b2"/>
      <sheetName val="Page 7-5c"/>
      <sheetName val="Page 7-9a"/>
      <sheetName val="Page 7-9b1"/>
      <sheetName val="Page 7-9b2"/>
      <sheetName val="Page 7-9c"/>
      <sheetName val="Page 7-11a1-I"/>
      <sheetName val="Page 7-11a1-II"/>
      <sheetName val="Page 7-11a1-III"/>
      <sheetName val="Page 7-11a2"/>
      <sheetName val="Page 7-15"/>
      <sheetName val="Page 7-16a"/>
      <sheetName val="Page 7-16b"/>
      <sheetName val="Page 8"/>
      <sheetName val="Macros"/>
      <sheetName val="Fee_Rate_Summary2"/>
      <sheetName val="Metso_-_Forth_&amp;_Slurry_11_02_12"/>
      <sheetName val="Site_wise_NADs2"/>
      <sheetName val="Rein-Final_(Ph_1+Ph2)2"/>
      <sheetName val="STAFFSCHED_2"/>
      <sheetName val="Stress_Calculation2"/>
      <sheetName val="d-safe_specs2"/>
      <sheetName val="class_&amp;_category2"/>
      <sheetName val="Quote_Sheet2"/>
      <sheetName val="Staff_Forecast_spread"/>
      <sheetName val="Direct_cost_shed_A-2_"/>
      <sheetName val="Materials_Cost(PCC)"/>
      <sheetName val="[Spt-BH.xls][Spt-BH.xls]B____62"/>
      <sheetName val="Debits_as_on_12_04_08"/>
      <sheetName val="B@___x005f_x005f_x005f_x005f_x005f_x005f_x005f_x0004_@_"/>
      <sheetName val="B@__x005f_x005f_x005f_x005f_x005f_x005f_x005f_x005f_x00"/>
      <sheetName val="B@___x005f_x005f_x005f_x005f_x005f_x005f_x005f_x005f_x0"/>
      <sheetName val="plinth_Beam_+_Stirrups_"/>
      <sheetName val="GF_COLUMNS"/>
      <sheetName val="G_F_ROOF_BEAM_"/>
      <sheetName val="GF_SLAB_STEEL"/>
      <sheetName val="GF_Lintel"/>
      <sheetName val="GF_Stair"/>
      <sheetName val="FF_COLUMNS"/>
      <sheetName val="F_F__Steel_FINAL_(2)"/>
      <sheetName val="FF_Lintel"/>
      <sheetName val="FF_Stair"/>
      <sheetName val="S_F__Steel_FINAL_"/>
      <sheetName val="SF_Lintel"/>
      <sheetName val="final_abstract3"/>
      <sheetName val="Rev_S1_Abstract3"/>
      <sheetName val="Quantity_Abstract3"/>
      <sheetName val="M-Book_for_Conc3"/>
      <sheetName val="M-Book_for_FW3"/>
      <sheetName val="Load_Details-220kV3"/>
      <sheetName val="beam-reinft-IIInd_floor3"/>
      <sheetName val="INPUT_SHEET3"/>
      <sheetName val="Project_Budget_Worksheet3"/>
      <sheetName val="SANJAY_PAL3"/>
      <sheetName val="P_A_SELVAM3"/>
      <sheetName val="ANSARI_3"/>
      <sheetName val="abdesh_pal3"/>
      <sheetName val="sujay_bagchi3"/>
      <sheetName val="S_K_SINHA_BASU3"/>
      <sheetName val="KRISHNA_PRASAD3"/>
      <sheetName val="BARATH_&amp;_CO3"/>
      <sheetName val="L_B_YADAV3"/>
      <sheetName val="DEEPAK_KUMAR3"/>
      <sheetName val="MUKLAL_YADAV3"/>
      <sheetName val="MADHU_SUDHAN3"/>
      <sheetName val="SAUD_ALAM_3"/>
      <sheetName val="RAMESH_BABU3"/>
      <sheetName val="SAILEN_SARKAR3"/>
      <sheetName val="SANJAY_JENA13"/>
      <sheetName val="upendra_saw_3"/>
      <sheetName val="ALLOK_KUMAR_3"/>
      <sheetName val="except_wiring3"/>
      <sheetName val="BOQ_-II_ph_23"/>
      <sheetName val="Materials_Cost(PCC)2"/>
      <sheetName val="220_11__BS_2"/>
      <sheetName val="SSR_&amp;_NSSR_Market_final2"/>
      <sheetName val="RA_RCC_F2"/>
      <sheetName val="India_F&amp;S_Template2"/>
      <sheetName val="precast_RC_element2"/>
      <sheetName val="plinth_Beam_+_Stirrups_2"/>
      <sheetName val="GF_COLUMNS2"/>
      <sheetName val="G_F_ROOF_BEAM_2"/>
      <sheetName val="GF_SLAB_STEEL2"/>
      <sheetName val="GF_Lintel2"/>
      <sheetName val="GF_Stair2"/>
      <sheetName val="FF_COLUMNS2"/>
      <sheetName val="F_F__Steel_FINAL_(2)2"/>
      <sheetName val="FF_Lintel2"/>
      <sheetName val="FF_Stair2"/>
      <sheetName val="S_F__Steel_FINAL_2"/>
      <sheetName val="SF_Lintel2"/>
      <sheetName val="estimate"/>
      <sheetName val="Havells  LT (XLPE)"/>
      <sheetName val="PL Inst RA 12"/>
      <sheetName val="Code"/>
      <sheetName val="Materials_Cost(PCC)1"/>
      <sheetName val="precast_RC_element1"/>
      <sheetName val="plinth_Beam_+_Stirrups_1"/>
      <sheetName val="GF_COLUMNS1"/>
      <sheetName val="G_F_ROOF_BEAM_1"/>
      <sheetName val="GF_SLAB_STEEL1"/>
      <sheetName val="GF_Lintel1"/>
      <sheetName val="GF_Stair1"/>
      <sheetName val="FF_COLUMNS1"/>
      <sheetName val="F_F__Steel_FINAL_(2)1"/>
      <sheetName val="FF_Lintel1"/>
      <sheetName val="FF_Stair1"/>
      <sheetName val="S_F__Steel_FINAL_1"/>
      <sheetName val="SF_Lintel1"/>
      <sheetName val="SPT_vs_PHI6"/>
      <sheetName val="glass_project_concrete6"/>
      <sheetName val="glass_project_reift6"/>
      <sheetName val="glass_project_indices6"/>
      <sheetName val="SBC-BH_195"/>
      <sheetName val="Rate_Analysis5"/>
      <sheetName val="Summary_05065"/>
      <sheetName val="Summary_0607-_31_MAR5"/>
      <sheetName val="Civil_Boq4"/>
      <sheetName val="Pile_cap4"/>
      <sheetName val="BH_12-11-10-135"/>
      <sheetName val="BH_12-11-10-95"/>
      <sheetName val="BH_36-15-375"/>
      <sheetName val="BH_16-35-25-175"/>
      <sheetName val="BH_35-25-175"/>
      <sheetName val="Sheet1_(2)5"/>
      <sheetName val="d-safe_DELUXE4"/>
      <sheetName val="PRECAST_lightconc-II4"/>
      <sheetName val="Legal_Risk_Analysis4"/>
      <sheetName val="Mix_Design4"/>
      <sheetName val="Form_65"/>
      <sheetName val="PointNo_54"/>
      <sheetName val="RCC,Ret__Wall4"/>
      <sheetName val="E_&amp;_R4"/>
      <sheetName val="Break_up_Sheet4"/>
      <sheetName val="TBAL9697_-group_wise__sdpl4"/>
      <sheetName val="Abstract_Sheet4"/>
      <sheetName val="V_O_4_-_PCC_Qty4"/>
      <sheetName val="Fill_this_out_first___4"/>
      <sheetName val="REVISED4A_PROG_PERF-SITE_14"/>
      <sheetName val="BOQ_Direct_selling_cost4"/>
      <sheetName val="BOQ_(2)4"/>
      <sheetName val="CABLE_DATA4"/>
      <sheetName val="Staff_Acco_4"/>
      <sheetName val="Pipe_Supports4"/>
      <sheetName val="final_abstract4"/>
      <sheetName val="Rev_S1_Abstract4"/>
      <sheetName val="Quantity_Abstract4"/>
      <sheetName val="M-Book_for_Conc4"/>
      <sheetName val="M-Book_for_FW4"/>
      <sheetName val="Load_Details-220kV4"/>
      <sheetName val="beam-reinft-IIInd_floor4"/>
      <sheetName val="INPUT_SHEET4"/>
      <sheetName val="Project_Budget_Worksheet4"/>
      <sheetName val="SANJAY_PAL4"/>
      <sheetName val="P_A_SELVAM4"/>
      <sheetName val="ANSARI_4"/>
      <sheetName val="abdesh_pal4"/>
      <sheetName val="sujay_bagchi4"/>
      <sheetName val="S_K_SINHA_BASU4"/>
      <sheetName val="KRISHNA_PRASAD4"/>
      <sheetName val="BARATH_&amp;_CO4"/>
      <sheetName val="L_B_YADAV4"/>
      <sheetName val="DEEPAK_KUMAR4"/>
      <sheetName val="MUKLAL_YADAV4"/>
      <sheetName val="MADHU_SUDHAN4"/>
      <sheetName val="SAUD_ALAM_4"/>
      <sheetName val="RAMESH_BABU4"/>
      <sheetName val="SAILEN_SARKAR4"/>
      <sheetName val="SANJAY_JENA14"/>
      <sheetName val="upendra_saw_4"/>
      <sheetName val="ALLOK_KUMAR_4"/>
      <sheetName val="except_wiring4"/>
      <sheetName val="BOQ_-II_ph_24"/>
      <sheetName val="STAFFSCHED_3"/>
      <sheetName val="Metso_-_Forth_&amp;_Slurry_11_02_13"/>
      <sheetName val="Fee_Rate_Summary3"/>
      <sheetName val="d-safe_specs3"/>
      <sheetName val="Quote_Sheet3"/>
      <sheetName val="class_&amp;_category3"/>
      <sheetName val="Rein-Final_(Ph_1+Ph2)3"/>
      <sheetName val="Materials_Cost(PCC)3"/>
      <sheetName val="220_11__BS_3"/>
      <sheetName val="SSR_&amp;_NSSR_Market_final3"/>
      <sheetName val="Site_wise_NADs3"/>
      <sheetName val="RA_RCC_F3"/>
      <sheetName val="India_F&amp;S_Template3"/>
      <sheetName val="Stress_Calculation3"/>
      <sheetName val="precast_RC_element3"/>
      <sheetName val="plinth_Beam_+_Stirrups_3"/>
      <sheetName val="GF_COLUMNS3"/>
      <sheetName val="G_F_ROOF_BEAM_3"/>
      <sheetName val="GF_SLAB_STEEL3"/>
      <sheetName val="GF_Lintel3"/>
      <sheetName val="GF_Stair3"/>
      <sheetName val="FF_COLUMNS3"/>
      <sheetName val="F_F__Steel_FINAL_(2)3"/>
      <sheetName val="FF_Lintel3"/>
      <sheetName val="FF_Stair3"/>
      <sheetName val="S_F__Steel_FINAL_3"/>
      <sheetName val="SF_Lintel3"/>
      <sheetName val="SPT_vs_PHI7"/>
      <sheetName val="glass_project_concrete7"/>
      <sheetName val="glass_project_reift7"/>
      <sheetName val="glass_project_indices7"/>
      <sheetName val="SBC-BH_196"/>
      <sheetName val="Rate_Analysis6"/>
      <sheetName val="Summary_05066"/>
      <sheetName val="Summary_0607-_31_MAR6"/>
      <sheetName val="Civil_Boq5"/>
      <sheetName val="Pile_cap5"/>
      <sheetName val="BH_12-11-10-136"/>
      <sheetName val="BH_12-11-10-96"/>
      <sheetName val="BH_36-15-376"/>
      <sheetName val="BH_16-35-25-176"/>
      <sheetName val="BH_35-25-176"/>
      <sheetName val="Sheet1_(2)6"/>
      <sheetName val="d-safe_DELUXE5"/>
      <sheetName val="PRECAST_lightconc-II5"/>
      <sheetName val="Legal_Risk_Analysis5"/>
      <sheetName val="Mix_Design5"/>
      <sheetName val="Form_66"/>
      <sheetName val="PointNo_55"/>
      <sheetName val="RCC,Ret__Wall5"/>
      <sheetName val="E_&amp;_R5"/>
      <sheetName val="Break_up_Sheet5"/>
      <sheetName val="TBAL9697_-group_wise__sdpl5"/>
      <sheetName val="Abstract_Sheet5"/>
      <sheetName val="V_O_4_-_PCC_Qty5"/>
      <sheetName val="Fill_this_out_first___5"/>
      <sheetName val="REVISED4A_PROG_PERF-SITE_15"/>
      <sheetName val="BOQ_Direct_selling_cost5"/>
      <sheetName val="BOQ_(2)5"/>
      <sheetName val="CABLE_DATA5"/>
      <sheetName val="Staff_Acco_5"/>
      <sheetName val="Pipe_Supports5"/>
      <sheetName val="final_abstract5"/>
      <sheetName val="Rev_S1_Abstract5"/>
      <sheetName val="Quantity_Abstract5"/>
      <sheetName val="M-Book_for_Conc5"/>
      <sheetName val="M-Book_for_FW5"/>
      <sheetName val="Load_Details-220kV5"/>
      <sheetName val="beam-reinft-IIInd_floor5"/>
      <sheetName val="INPUT_SHEET5"/>
      <sheetName val="Project_Budget_Worksheet5"/>
      <sheetName val="SANJAY_PAL5"/>
      <sheetName val="P_A_SELVAM5"/>
      <sheetName val="ANSARI_5"/>
      <sheetName val="abdesh_pal5"/>
      <sheetName val="sujay_bagchi5"/>
      <sheetName val="S_K_SINHA_BASU5"/>
      <sheetName val="KRISHNA_PRASAD5"/>
      <sheetName val="BARATH_&amp;_CO5"/>
      <sheetName val="L_B_YADAV5"/>
      <sheetName val="DEEPAK_KUMAR5"/>
      <sheetName val="MUKLAL_YADAV5"/>
      <sheetName val="MADHU_SUDHAN5"/>
      <sheetName val="SAUD_ALAM_5"/>
      <sheetName val="RAMESH_BABU5"/>
      <sheetName val="SAILEN_SARKAR5"/>
      <sheetName val="SANJAY_JENA15"/>
      <sheetName val="upendra_saw_5"/>
      <sheetName val="ALLOK_KUMAR_5"/>
      <sheetName val="except_wiring5"/>
      <sheetName val="BOQ_-II_ph_25"/>
      <sheetName val="STAFFSCHED_4"/>
      <sheetName val="Metso_-_Forth_&amp;_Slurry_11_02_14"/>
      <sheetName val="Fee_Rate_Summary4"/>
      <sheetName val="d-safe_specs4"/>
      <sheetName val="Quote_Sheet4"/>
      <sheetName val="class_&amp;_category4"/>
      <sheetName val="Rein-Final_(Ph_1+Ph2)4"/>
      <sheetName val="Materials_Cost(PCC)4"/>
      <sheetName val="220_11__BS_4"/>
      <sheetName val="SSR_&amp;_NSSR_Market_final4"/>
      <sheetName val="Site_wise_NADs4"/>
      <sheetName val="RA_RCC_F4"/>
      <sheetName val="India_F&amp;S_Template4"/>
      <sheetName val="Stress_Calculation4"/>
      <sheetName val="precast_RC_element4"/>
      <sheetName val="plinth_Beam_+_Stirrups_4"/>
      <sheetName val="GF_COLUMNS4"/>
      <sheetName val="G_F_ROOF_BEAM_4"/>
      <sheetName val="GF_SLAB_STEEL4"/>
      <sheetName val="GF_Lintel4"/>
      <sheetName val="GF_Stair4"/>
      <sheetName val="FF_COLUMNS4"/>
      <sheetName val="F_F__Steel_FINAL_(2)4"/>
      <sheetName val="FF_Lintel4"/>
      <sheetName val="FF_Stair4"/>
      <sheetName val="S_F__Steel_FINAL_4"/>
      <sheetName val="SF_Lintel4"/>
      <sheetName val="SPT_vs_PHI8"/>
      <sheetName val="glass_project_concrete8"/>
      <sheetName val="glass_project_reift8"/>
      <sheetName val="glass_project_indices8"/>
      <sheetName val="SBC-BH_197"/>
      <sheetName val="Rate_Analysis7"/>
      <sheetName val="Summary_05067"/>
      <sheetName val="Summary_0607-_31_MAR7"/>
      <sheetName val="Civil_Boq6"/>
      <sheetName val="Pile_cap6"/>
      <sheetName val="BH_12-11-10-137"/>
      <sheetName val="BH_12-11-10-97"/>
      <sheetName val="BH_36-15-377"/>
      <sheetName val="BH_16-35-25-177"/>
      <sheetName val="BH_35-25-177"/>
      <sheetName val="Sheet1_(2)7"/>
      <sheetName val="d-safe_DELUXE6"/>
      <sheetName val="PRECAST_lightconc-II6"/>
      <sheetName val="Legal_Risk_Analysis6"/>
      <sheetName val="Mix_Design6"/>
      <sheetName val="Form_67"/>
      <sheetName val="PointNo_56"/>
      <sheetName val="RCC,Ret__Wall6"/>
      <sheetName val="E_&amp;_R6"/>
      <sheetName val="Break_up_Sheet6"/>
      <sheetName val="TBAL9697_-group_wise__sdpl6"/>
      <sheetName val="Abstract_Sheet6"/>
      <sheetName val="V_O_4_-_PCC_Qty6"/>
      <sheetName val="Fill_this_out_first___6"/>
      <sheetName val="REVISED4A_PROG_PERF-SITE_16"/>
      <sheetName val="BOQ_Direct_selling_cost6"/>
      <sheetName val="BOQ_(2)6"/>
      <sheetName val="CABLE_DATA6"/>
      <sheetName val="Staff_Acco_6"/>
      <sheetName val="Pipe_Supports6"/>
      <sheetName val="final_abstract6"/>
      <sheetName val="Rev_S1_Abstract6"/>
      <sheetName val="Quantity_Abstract6"/>
      <sheetName val="M-Book_for_Conc6"/>
      <sheetName val="M-Book_for_FW6"/>
      <sheetName val="Load_Details-220kV6"/>
      <sheetName val="beam-reinft-IIInd_floor6"/>
      <sheetName val="INPUT_SHEET6"/>
      <sheetName val="Project_Budget_Worksheet6"/>
      <sheetName val="SANJAY_PAL6"/>
      <sheetName val="P_A_SELVAM6"/>
      <sheetName val="ANSARI_6"/>
      <sheetName val="abdesh_pal6"/>
      <sheetName val="sujay_bagchi6"/>
      <sheetName val="S_K_SINHA_BASU6"/>
      <sheetName val="KRISHNA_PRASAD6"/>
      <sheetName val="BARATH_&amp;_CO6"/>
      <sheetName val="L_B_YADAV6"/>
      <sheetName val="DEEPAK_KUMAR6"/>
      <sheetName val="MUKLAL_YADAV6"/>
      <sheetName val="MADHU_SUDHAN6"/>
      <sheetName val="SAUD_ALAM_6"/>
      <sheetName val="RAMESH_BABU6"/>
      <sheetName val="SAILEN_SARKAR6"/>
      <sheetName val="SANJAY_JENA16"/>
      <sheetName val="upendra_saw_6"/>
      <sheetName val="ALLOK_KUMAR_6"/>
      <sheetName val="except_wiring6"/>
      <sheetName val="BOQ_-II_ph_26"/>
      <sheetName val="STAFFSCHED_5"/>
      <sheetName val="Metso_-_Forth_&amp;_Slurry_11_02_15"/>
      <sheetName val="Fee_Rate_Summary5"/>
      <sheetName val="d-safe_specs5"/>
      <sheetName val="Quote_Sheet5"/>
      <sheetName val="class_&amp;_category5"/>
      <sheetName val="Rein-Final_(Ph_1+Ph2)5"/>
      <sheetName val="Materials_Cost(PCC)5"/>
      <sheetName val="220_11__BS_5"/>
      <sheetName val="SSR_&amp;_NSSR_Market_final5"/>
      <sheetName val="Site_wise_NADs5"/>
      <sheetName val="RA_RCC_F5"/>
      <sheetName val="India_F&amp;S_Template5"/>
      <sheetName val="Stress_Calculation5"/>
      <sheetName val="precast_RC_element5"/>
      <sheetName val="plinth_Beam_+_Stirrups_5"/>
      <sheetName val="GF_COLUMNS5"/>
      <sheetName val="G_F_ROOF_BEAM_5"/>
      <sheetName val="GF_SLAB_STEEL5"/>
      <sheetName val="GF_Lintel5"/>
      <sheetName val="GF_Stair5"/>
      <sheetName val="FF_COLUMNS5"/>
      <sheetName val="F_F__Steel_FINAL_(2)5"/>
      <sheetName val="FF_Lintel5"/>
      <sheetName val="FF_Stair5"/>
      <sheetName val="S_F__Steel_FINAL_5"/>
      <sheetName val="SF_Lintel5"/>
      <sheetName val="SPT_vs_PHI9"/>
      <sheetName val="glass_project_concrete9"/>
      <sheetName val="glass_project_reift9"/>
      <sheetName val="glass_project_indices9"/>
      <sheetName val="SBC-BH_198"/>
      <sheetName val="Rate_Analysis8"/>
      <sheetName val="Summary_05068"/>
      <sheetName val="Summary_0607-_31_MAR8"/>
      <sheetName val="Civil_Boq7"/>
      <sheetName val="Pile_cap7"/>
      <sheetName val="BH_12-11-10-138"/>
      <sheetName val="BH_12-11-10-98"/>
      <sheetName val="BH_36-15-378"/>
      <sheetName val="BH_16-35-25-178"/>
      <sheetName val="BH_35-25-178"/>
      <sheetName val="Sheet1_(2)8"/>
      <sheetName val="d-safe_DELUXE7"/>
      <sheetName val="PRECAST_lightconc-II7"/>
      <sheetName val="Legal_Risk_Analysis7"/>
      <sheetName val="Mix_Design7"/>
      <sheetName val="Form_68"/>
      <sheetName val="PointNo_57"/>
      <sheetName val="RCC,Ret__Wall7"/>
      <sheetName val="E_&amp;_R7"/>
      <sheetName val="Break_up_Sheet7"/>
      <sheetName val="TBAL9697_-group_wise__sdpl7"/>
      <sheetName val="Abstract_Sheet7"/>
      <sheetName val="V_O_4_-_PCC_Qty7"/>
      <sheetName val="Fill_this_out_first___7"/>
      <sheetName val="REVISED4A_PROG_PERF-SITE_17"/>
      <sheetName val="BOQ_Direct_selling_cost7"/>
      <sheetName val="BOQ_(2)7"/>
      <sheetName val="CABLE_DATA7"/>
      <sheetName val="Staff_Acco_7"/>
      <sheetName val="Pipe_Supports7"/>
      <sheetName val="final_abstract7"/>
      <sheetName val="Rev_S1_Abstract7"/>
      <sheetName val="Quantity_Abstract7"/>
      <sheetName val="M-Book_for_Conc7"/>
      <sheetName val="M-Book_for_FW7"/>
      <sheetName val="Load_Details-220kV7"/>
      <sheetName val="beam-reinft-IIInd_floor7"/>
      <sheetName val="INPUT_SHEET7"/>
      <sheetName val="Project_Budget_Worksheet7"/>
      <sheetName val="SANJAY_PAL7"/>
      <sheetName val="P_A_SELVAM7"/>
      <sheetName val="ANSARI_7"/>
      <sheetName val="abdesh_pal7"/>
      <sheetName val="sujay_bagchi7"/>
      <sheetName val="S_K_SINHA_BASU7"/>
      <sheetName val="KRISHNA_PRASAD7"/>
      <sheetName val="BARATH_&amp;_CO7"/>
      <sheetName val="L_B_YADAV7"/>
      <sheetName val="DEEPAK_KUMAR7"/>
      <sheetName val="MUKLAL_YADAV7"/>
      <sheetName val="MADHU_SUDHAN7"/>
      <sheetName val="SAUD_ALAM_7"/>
      <sheetName val="RAMESH_BABU7"/>
      <sheetName val="SAILEN_SARKAR7"/>
      <sheetName val="SANJAY_JENA17"/>
      <sheetName val="upendra_saw_7"/>
      <sheetName val="ALLOK_KUMAR_7"/>
      <sheetName val="except_wiring7"/>
      <sheetName val="BOQ_-II_ph_27"/>
      <sheetName val="STAFFSCHED_6"/>
      <sheetName val="Metso_-_Forth_&amp;_Slurry_11_02_16"/>
      <sheetName val="Fee_Rate_Summary6"/>
      <sheetName val="d-safe_specs6"/>
      <sheetName val="Quote_Sheet6"/>
      <sheetName val="class_&amp;_category6"/>
      <sheetName val="Rein-Final_(Ph_1+Ph2)6"/>
      <sheetName val="Materials_Cost(PCC)6"/>
      <sheetName val="220_11__BS_6"/>
      <sheetName val="SSR_&amp;_NSSR_Market_final6"/>
      <sheetName val="Site_wise_NADs6"/>
      <sheetName val="RA_RCC_F6"/>
      <sheetName val="India_F&amp;S_Template6"/>
      <sheetName val="Stress_Calculation6"/>
      <sheetName val="precast_RC_element6"/>
      <sheetName val="plinth_Beam_+_Stirrups_6"/>
      <sheetName val="GF_COLUMNS6"/>
      <sheetName val="G_F_ROOF_BEAM_6"/>
      <sheetName val="GF_SLAB_STEEL6"/>
      <sheetName val="GF_Lintel6"/>
      <sheetName val="GF_Stair6"/>
      <sheetName val="FF_COLUMNS6"/>
      <sheetName val="F_F__Steel_FINAL_(2)6"/>
      <sheetName val="FF_Lintel6"/>
      <sheetName val="FF_Stair6"/>
      <sheetName val="S_F__Steel_FINAL_6"/>
      <sheetName val="SF_Lintel6"/>
      <sheetName val="SPT_vs_PHI10"/>
      <sheetName val="glass_project_concrete10"/>
      <sheetName val="glass_project_reift10"/>
      <sheetName val="glass_project_indices10"/>
      <sheetName val="SBC-BH_199"/>
      <sheetName val="Rate_Analysis9"/>
      <sheetName val="Summary_05069"/>
      <sheetName val="Summary_0607-_31_MAR9"/>
      <sheetName val="Civil_Boq8"/>
      <sheetName val="Pile_cap8"/>
      <sheetName val="BH_12-11-10-139"/>
      <sheetName val="BH_12-11-10-99"/>
      <sheetName val="BH_36-15-379"/>
      <sheetName val="BH_16-35-25-179"/>
      <sheetName val="BH_35-25-179"/>
      <sheetName val="Sheet1_(2)9"/>
      <sheetName val="d-safe_DELUXE8"/>
      <sheetName val="PRECAST_lightconc-II8"/>
      <sheetName val="Legal_Risk_Analysis8"/>
      <sheetName val="Mix_Design8"/>
      <sheetName val="Form_69"/>
      <sheetName val="PointNo_58"/>
      <sheetName val="RCC,Ret__Wall8"/>
      <sheetName val="E_&amp;_R8"/>
      <sheetName val="Break_up_Sheet8"/>
      <sheetName val="TBAL9697_-group_wise__sdpl8"/>
      <sheetName val="Abstract_Sheet8"/>
      <sheetName val="V_O_4_-_PCC_Qty8"/>
      <sheetName val="Fill_this_out_first___8"/>
      <sheetName val="REVISED4A_PROG_PERF-SITE_18"/>
      <sheetName val="BOQ_Direct_selling_cost8"/>
      <sheetName val="BOQ_(2)8"/>
      <sheetName val="CABLE_DATA8"/>
      <sheetName val="Staff_Acco_8"/>
      <sheetName val="Pipe_Supports8"/>
      <sheetName val="final_abstract8"/>
      <sheetName val="Rev_S1_Abstract8"/>
      <sheetName val="Quantity_Abstract8"/>
      <sheetName val="M-Book_for_Conc8"/>
      <sheetName val="M-Book_for_FW8"/>
      <sheetName val="Load_Details-220kV8"/>
      <sheetName val="beam-reinft-IIInd_floor8"/>
      <sheetName val="INPUT_SHEET8"/>
      <sheetName val="Project_Budget_Worksheet8"/>
      <sheetName val="SANJAY_PAL8"/>
      <sheetName val="P_A_SELVAM8"/>
      <sheetName val="ANSARI_8"/>
      <sheetName val="abdesh_pal8"/>
      <sheetName val="sujay_bagchi8"/>
      <sheetName val="S_K_SINHA_BASU8"/>
      <sheetName val="KRISHNA_PRASAD8"/>
      <sheetName val="BARATH_&amp;_CO8"/>
      <sheetName val="L_B_YADAV8"/>
      <sheetName val="DEEPAK_KUMAR8"/>
      <sheetName val="MUKLAL_YADAV8"/>
      <sheetName val="MADHU_SUDHAN8"/>
      <sheetName val="SAUD_ALAM_8"/>
      <sheetName val="RAMESH_BABU8"/>
      <sheetName val="SAILEN_SARKAR8"/>
      <sheetName val="SANJAY_JENA18"/>
      <sheetName val="upendra_saw_8"/>
      <sheetName val="ALLOK_KUMAR_8"/>
      <sheetName val="except_wiring8"/>
      <sheetName val="BOQ_-II_ph_28"/>
      <sheetName val="STAFFSCHED_7"/>
      <sheetName val="Metso_-_Forth_&amp;_Slurry_11_02_17"/>
      <sheetName val="Fee_Rate_Summary7"/>
      <sheetName val="d-safe_specs7"/>
      <sheetName val="Quote_Sheet7"/>
      <sheetName val="class_&amp;_category7"/>
      <sheetName val="Rein-Final_(Ph_1+Ph2)7"/>
      <sheetName val="Materials_Cost(PCC)7"/>
      <sheetName val="220_11__BS_7"/>
      <sheetName val="SSR_&amp;_NSSR_Market_final7"/>
      <sheetName val="Site_wise_NADs7"/>
      <sheetName val="RA_RCC_F7"/>
      <sheetName val="India_F&amp;S_Template7"/>
      <sheetName val="Stress_Calculation7"/>
      <sheetName val="precast_RC_element7"/>
      <sheetName val="plinth_Beam_+_Stirrups_7"/>
      <sheetName val="GF_COLUMNS7"/>
      <sheetName val="G_F_ROOF_BEAM_7"/>
      <sheetName val="GF_SLAB_STEEL7"/>
      <sheetName val="GF_Lintel7"/>
      <sheetName val="GF_Stair7"/>
      <sheetName val="FF_COLUMNS7"/>
      <sheetName val="F_F__Steel_FINAL_(2)7"/>
      <sheetName val="FF_Lintel7"/>
      <sheetName val="FF_Stair7"/>
      <sheetName val="S_F__Steel_FINAL_7"/>
      <sheetName val="SF_Lintel7"/>
      <sheetName val="SPT_vs_PHI11"/>
      <sheetName val="glass_project_concrete11"/>
      <sheetName val="glass_project_reift11"/>
      <sheetName val="glass_project_indices11"/>
      <sheetName val="SBC-BH_1910"/>
      <sheetName val="Rate_Analysis10"/>
      <sheetName val="Summary_050610"/>
      <sheetName val="Summary_0607-_31_MAR10"/>
      <sheetName val="Civil_Boq9"/>
      <sheetName val="Pile_cap9"/>
      <sheetName val="BH_12-11-10-1310"/>
      <sheetName val="BH_12-11-10-910"/>
      <sheetName val="BH_36-15-3710"/>
      <sheetName val="BH_16-35-25-1710"/>
      <sheetName val="BH_35-25-1710"/>
      <sheetName val="Sheet1_(2)10"/>
      <sheetName val="d-safe_DELUXE9"/>
      <sheetName val="PRECAST_lightconc-II9"/>
      <sheetName val="Legal_Risk_Analysis9"/>
      <sheetName val="Mix_Design9"/>
      <sheetName val="Form_610"/>
      <sheetName val="PointNo_59"/>
      <sheetName val="RCC,Ret__Wall9"/>
      <sheetName val="E_&amp;_R9"/>
      <sheetName val="Break_up_Sheet9"/>
      <sheetName val="TBAL9697_-group_wise__sdpl9"/>
      <sheetName val="Abstract_Sheet9"/>
      <sheetName val="V_O_4_-_PCC_Qty9"/>
      <sheetName val="Fill_this_out_first___9"/>
      <sheetName val="REVISED4A_PROG_PERF-SITE_19"/>
      <sheetName val="BOQ_Direct_selling_cost9"/>
      <sheetName val="BOQ_(2)9"/>
      <sheetName val="CABLE_DATA9"/>
      <sheetName val="Staff_Acco_9"/>
      <sheetName val="Pipe_Supports9"/>
      <sheetName val="final_abstract9"/>
      <sheetName val="Rev_S1_Abstract9"/>
      <sheetName val="Quantity_Abstract9"/>
      <sheetName val="M-Book_for_Conc9"/>
      <sheetName val="M-Book_for_FW9"/>
      <sheetName val="Load_Details-220kV9"/>
      <sheetName val="beam-reinft-IIInd_floor9"/>
      <sheetName val="INPUT_SHEET9"/>
      <sheetName val="Project_Budget_Worksheet9"/>
      <sheetName val="SANJAY_PAL9"/>
      <sheetName val="P_A_SELVAM9"/>
      <sheetName val="ANSARI_9"/>
      <sheetName val="abdesh_pal9"/>
      <sheetName val="sujay_bagchi9"/>
      <sheetName val="S_K_SINHA_BASU9"/>
      <sheetName val="KRISHNA_PRASAD9"/>
      <sheetName val="BARATH_&amp;_CO9"/>
      <sheetName val="L_B_YADAV9"/>
      <sheetName val="DEEPAK_KUMAR9"/>
      <sheetName val="MUKLAL_YADAV9"/>
      <sheetName val="MADHU_SUDHAN9"/>
      <sheetName val="SAUD_ALAM_9"/>
      <sheetName val="RAMESH_BABU9"/>
      <sheetName val="SAILEN_SARKAR9"/>
      <sheetName val="SANJAY_JENA19"/>
      <sheetName val="upendra_saw_9"/>
      <sheetName val="ALLOK_KUMAR_9"/>
      <sheetName val="except_wiring9"/>
      <sheetName val="BOQ_-II_ph_29"/>
      <sheetName val="STAFFSCHED_8"/>
      <sheetName val="Metso_-_Forth_&amp;_Slurry_11_02_18"/>
      <sheetName val="Fee_Rate_Summary8"/>
      <sheetName val="d-safe_specs8"/>
      <sheetName val="Quote_Sheet8"/>
      <sheetName val="class_&amp;_category8"/>
      <sheetName val="Rein-Final_(Ph_1+Ph2)8"/>
      <sheetName val="Materials_Cost(PCC)8"/>
      <sheetName val="220_11__BS_8"/>
      <sheetName val="SSR_&amp;_NSSR_Market_final8"/>
      <sheetName val="Site_wise_NADs8"/>
      <sheetName val="RA_RCC_F8"/>
      <sheetName val="India_F&amp;S_Template8"/>
      <sheetName val="Stress_Calculation8"/>
      <sheetName val="precast_RC_element8"/>
      <sheetName val="plinth_Beam_+_Stirrups_8"/>
      <sheetName val="GF_COLUMNS8"/>
      <sheetName val="G_F_ROOF_BEAM_8"/>
      <sheetName val="GF_SLAB_STEEL8"/>
      <sheetName val="GF_Lintel8"/>
      <sheetName val="GF_Stair8"/>
      <sheetName val="FF_COLUMNS8"/>
      <sheetName val="F_F__Steel_FINAL_(2)8"/>
      <sheetName val="FF_Lintel8"/>
      <sheetName val="FF_Stair8"/>
      <sheetName val="S_F__Steel_FINAL_8"/>
      <sheetName val="SF_Lintel8"/>
      <sheetName val="PACK (B)"/>
      <sheetName val="FT-05-02Is-_x0000_5y"/>
      <sheetName val="DB_ET200(R. A)"/>
      <sheetName val="石炭性状"/>
      <sheetName val="SP&amp;ST 제출가"/>
      <sheetName val="산업"/>
      <sheetName val="제출계산서"/>
      <sheetName val="공사내역"/>
      <sheetName val="eq_data"/>
      <sheetName val="가격분석@1100(990104)"/>
      <sheetName val="Escalation"/>
      <sheetName val="예가표"/>
      <sheetName val="TASKRSRC"/>
      <sheetName val="Ra  stair"/>
      <sheetName val="SàQa_x005f_x0005_@_x005f_x0000__x005f_x0000__x000"/>
      <sheetName val="Pipe_SupportÈ"/>
      <sheetName val="SPT_vs_PHI17"/>
      <sheetName val="glass_project_concrete17"/>
      <sheetName val="glass_project_reift17"/>
      <sheetName val="glass_project_indices17"/>
      <sheetName val="SBC-BH_1916"/>
      <sheetName val="Rate_Analysis16"/>
      <sheetName val="Summary_050616"/>
      <sheetName val="Summary_0607-_31_MAR16"/>
      <sheetName val="Civil_Boq15"/>
      <sheetName val="Pile_cap15"/>
      <sheetName val="BH_12-11-10-1316"/>
      <sheetName val="BH_12-11-10-916"/>
      <sheetName val="BH_36-15-3716"/>
      <sheetName val="BH_16-35-25-1716"/>
      <sheetName val="BH_35-25-1716"/>
      <sheetName val="Sheet1_(2)16"/>
      <sheetName val="d-safe_DELUXE15"/>
      <sheetName val="PRECAST_lightconc-II15"/>
      <sheetName val="Legal_Risk_Analysis15"/>
      <sheetName val="Mix_Design15"/>
      <sheetName val="Form_616"/>
      <sheetName val="PointNo_515"/>
      <sheetName val="RCC,Ret__Wall15"/>
      <sheetName val="E_&amp;_R15"/>
      <sheetName val="Break_up_Sheet15"/>
      <sheetName val="TBAL9697_-group_wise__sdpl15"/>
      <sheetName val="Abstract_Sheet15"/>
      <sheetName val="V_O_4_-_PCC_Qty15"/>
      <sheetName val="Fill_this_out_first___15"/>
      <sheetName val="REVISED4A_PROG_PERF-SITE_115"/>
      <sheetName val="BOQ_Direct_selling_cost15"/>
      <sheetName val="BOQ_(2)15"/>
      <sheetName val="CABLE_DATA15"/>
      <sheetName val="Staff_Acco_15"/>
      <sheetName val="Pipe_Supports15"/>
      <sheetName val="final_abstract15"/>
      <sheetName val="Rev_S1_Abstract15"/>
      <sheetName val="Quantity_Abstract15"/>
      <sheetName val="M-Book_for_Conc15"/>
      <sheetName val="M-Book_for_FW15"/>
      <sheetName val="Load_Details-220kV15"/>
      <sheetName val="beam-reinft-IIInd_floor15"/>
      <sheetName val="INPUT_SHEET15"/>
      <sheetName val="Project_Budget_Worksheet15"/>
      <sheetName val="SANJAY_PAL15"/>
      <sheetName val="P_A_SELVAM15"/>
      <sheetName val="ANSARI_15"/>
      <sheetName val="abdesh_pal15"/>
      <sheetName val="sujay_bagchi15"/>
      <sheetName val="S_K_SINHA_BASU15"/>
      <sheetName val="KRISHNA_PRASAD15"/>
      <sheetName val="BARATH_&amp;_CO15"/>
      <sheetName val="L_B_YADAV15"/>
      <sheetName val="DEEPAK_KUMAR15"/>
      <sheetName val="MUKLAL_YADAV15"/>
      <sheetName val="MADHU_SUDHAN15"/>
      <sheetName val="SAUD_ALAM_15"/>
      <sheetName val="RAMESH_BABU15"/>
      <sheetName val="SAILEN_SARKAR15"/>
      <sheetName val="SANJAY_JENA115"/>
      <sheetName val="upendra_saw_15"/>
      <sheetName val="ALLOK_KUMAR_15"/>
      <sheetName val="except_wiring15"/>
      <sheetName val="BOQ_-II_ph_215"/>
      <sheetName val="STAFFSCHED_14"/>
      <sheetName val="Metso_-_Forth_&amp;_Slurry_11_02_24"/>
      <sheetName val="Fee_Rate_Summary14"/>
      <sheetName val="d-safe_specs14"/>
      <sheetName val="Quote_Sheet14"/>
      <sheetName val="class_&amp;_category14"/>
      <sheetName val="Rein-Final_(Ph_1+Ph2)14"/>
      <sheetName val="Materials_Cost(PCC)14"/>
      <sheetName val="220_11__BS_14"/>
      <sheetName val="SSR_&amp;_NSSR_Market_final14"/>
      <sheetName val="Site_wise_NADs14"/>
      <sheetName val="RA_RCC_F14"/>
      <sheetName val="India_F&amp;S_Template14"/>
      <sheetName val="Stress_Calculation14"/>
      <sheetName val="precast_RC_element14"/>
      <sheetName val="plinth_Beam_+_Stirrups_14"/>
      <sheetName val="GF_COLUMNS14"/>
      <sheetName val="G_F_ROOF_BEAM_14"/>
      <sheetName val="GF_SLAB_STEEL14"/>
      <sheetName val="GF_Lintel14"/>
      <sheetName val="GF_Stair14"/>
      <sheetName val="FF_COLUMNS14"/>
      <sheetName val="F_F__Steel_FINAL_(2)14"/>
      <sheetName val="FF_Lintel14"/>
      <sheetName val="FF_Stair14"/>
      <sheetName val="S_F__Steel_FINAL_14"/>
      <sheetName val="SF_Lintel14"/>
      <sheetName val="SPT_vs_PHI13"/>
      <sheetName val="glass_project_concrete13"/>
      <sheetName val="glass_project_reift13"/>
      <sheetName val="glass_project_indices13"/>
      <sheetName val="SBC-BH_1912"/>
      <sheetName val="Rate_Analysis12"/>
      <sheetName val="Summary_050612"/>
      <sheetName val="Summary_0607-_31_MAR12"/>
      <sheetName val="Civil_Boq11"/>
      <sheetName val="Pile_cap11"/>
      <sheetName val="BH_12-11-10-1312"/>
      <sheetName val="BH_12-11-10-912"/>
      <sheetName val="BH_36-15-3712"/>
      <sheetName val="BH_16-35-25-1712"/>
      <sheetName val="BH_35-25-1712"/>
      <sheetName val="Sheet1_(2)12"/>
      <sheetName val="d-safe_DELUXE11"/>
      <sheetName val="PRECAST_lightconc-II11"/>
      <sheetName val="Legal_Risk_Analysis11"/>
      <sheetName val="Mix_Design11"/>
      <sheetName val="Form_612"/>
      <sheetName val="PointNo_511"/>
      <sheetName val="RCC,Ret__Wall11"/>
      <sheetName val="E_&amp;_R11"/>
      <sheetName val="Break_up_Sheet11"/>
      <sheetName val="TBAL9697_-group_wise__sdpl11"/>
      <sheetName val="Abstract_Sheet11"/>
      <sheetName val="V_O_4_-_PCC_Qty11"/>
      <sheetName val="Fill_this_out_first___11"/>
      <sheetName val="REVISED4A_PROG_PERF-SITE_111"/>
      <sheetName val="BOQ_Direct_selling_cost11"/>
      <sheetName val="BOQ_(2)11"/>
      <sheetName val="CABLE_DATA11"/>
      <sheetName val="Staff_Acco_11"/>
      <sheetName val="Pipe_Supports11"/>
      <sheetName val="final_abstract11"/>
      <sheetName val="Rev_S1_Abstract11"/>
      <sheetName val="Quantity_Abstract11"/>
      <sheetName val="M-Book_for_Conc11"/>
      <sheetName val="M-Book_for_FW11"/>
      <sheetName val="Load_Details-220kV11"/>
      <sheetName val="beam-reinft-IIInd_floor11"/>
      <sheetName val="INPUT_SHEET11"/>
      <sheetName val="Project_Budget_Worksheet11"/>
      <sheetName val="SANJAY_PAL11"/>
      <sheetName val="P_A_SELVAM11"/>
      <sheetName val="ANSARI_11"/>
      <sheetName val="abdesh_pal11"/>
      <sheetName val="sujay_bagchi11"/>
      <sheetName val="S_K_SINHA_BASU11"/>
      <sheetName val="KRISHNA_PRASAD11"/>
      <sheetName val="BARATH_&amp;_CO11"/>
      <sheetName val="L_B_YADAV11"/>
      <sheetName val="DEEPAK_KUMAR11"/>
      <sheetName val="MUKLAL_YADAV11"/>
      <sheetName val="MADHU_SUDHAN11"/>
      <sheetName val="SAUD_ALAM_11"/>
      <sheetName val="RAMESH_BABU11"/>
      <sheetName val="SAILEN_SARKAR11"/>
      <sheetName val="SANJAY_JENA111"/>
      <sheetName val="upendra_saw_11"/>
      <sheetName val="ALLOK_KUMAR_11"/>
      <sheetName val="except_wiring11"/>
      <sheetName val="BOQ_-II_ph_211"/>
      <sheetName val="STAFFSCHED_10"/>
      <sheetName val="Metso_-_Forth_&amp;_Slurry_11_02_20"/>
      <sheetName val="Fee_Rate_Summary10"/>
      <sheetName val="d-safe_specs10"/>
      <sheetName val="Quote_Sheet10"/>
      <sheetName val="class_&amp;_category10"/>
      <sheetName val="Rein-Final_(Ph_1+Ph2)10"/>
      <sheetName val="Materials_Cost(PCC)10"/>
      <sheetName val="220_11__BS_10"/>
      <sheetName val="SSR_&amp;_NSSR_Market_final10"/>
      <sheetName val="Site_wise_NADs10"/>
      <sheetName val="RA_RCC_F10"/>
      <sheetName val="India_F&amp;S_Template10"/>
      <sheetName val="Stress_Calculation10"/>
      <sheetName val="precast_RC_element10"/>
      <sheetName val="plinth_Beam_+_Stirrups_10"/>
      <sheetName val="GF_COLUMNS10"/>
      <sheetName val="G_F_ROOF_BEAM_10"/>
      <sheetName val="GF_SLAB_STEEL10"/>
      <sheetName val="GF_Lintel10"/>
      <sheetName val="GF_Stair10"/>
      <sheetName val="FF_COLUMNS10"/>
      <sheetName val="F_F__Steel_FINAL_(2)10"/>
      <sheetName val="FF_Lintel10"/>
      <sheetName val="FF_Stair10"/>
      <sheetName val="S_F__Steel_FINAL_10"/>
      <sheetName val="SF_Lintel10"/>
      <sheetName val="SPT_vs_PHI12"/>
      <sheetName val="glass_project_concrete12"/>
      <sheetName val="glass_project_reift12"/>
      <sheetName val="glass_project_indices12"/>
      <sheetName val="SBC-BH_1911"/>
      <sheetName val="Rate_Analysis11"/>
      <sheetName val="Summary_050611"/>
      <sheetName val="Summary_0607-_31_MAR11"/>
      <sheetName val="Civil_Boq10"/>
      <sheetName val="Pile_cap10"/>
      <sheetName val="BH_12-11-10-1311"/>
      <sheetName val="BH_12-11-10-911"/>
      <sheetName val="BH_36-15-3711"/>
      <sheetName val="BH_16-35-25-1711"/>
      <sheetName val="BH_35-25-1711"/>
      <sheetName val="Sheet1_(2)11"/>
      <sheetName val="d-safe_DELUXE10"/>
      <sheetName val="PRECAST_lightconc-II10"/>
      <sheetName val="Legal_Risk_Analysis10"/>
      <sheetName val="Mix_Design10"/>
      <sheetName val="Form_611"/>
      <sheetName val="PointNo_510"/>
      <sheetName val="RCC,Ret__Wall10"/>
      <sheetName val="E_&amp;_R10"/>
      <sheetName val="Break_up_Sheet10"/>
      <sheetName val="TBAL9697_-group_wise__sdpl10"/>
      <sheetName val="Abstract_Sheet10"/>
      <sheetName val="V_O_4_-_PCC_Qty10"/>
      <sheetName val="Fill_this_out_first___10"/>
      <sheetName val="REVISED4A_PROG_PERF-SITE_110"/>
      <sheetName val="BOQ_Direct_selling_cost10"/>
      <sheetName val="BOQ_(2)10"/>
      <sheetName val="CABLE_DATA10"/>
      <sheetName val="Staff_Acco_10"/>
      <sheetName val="Pipe_Supports10"/>
      <sheetName val="final_abstract10"/>
      <sheetName val="Rev_S1_Abstract10"/>
      <sheetName val="Quantity_Abstract10"/>
      <sheetName val="M-Book_for_Conc10"/>
      <sheetName val="M-Book_for_FW10"/>
      <sheetName val="Load_Details-220kV10"/>
      <sheetName val="beam-reinft-IIInd_floor10"/>
      <sheetName val="INPUT_SHEET10"/>
      <sheetName val="Project_Budget_Worksheet10"/>
      <sheetName val="SANJAY_PAL10"/>
      <sheetName val="P_A_SELVAM10"/>
      <sheetName val="ANSARI_10"/>
      <sheetName val="abdesh_pal10"/>
      <sheetName val="sujay_bagchi10"/>
      <sheetName val="S_K_SINHA_BASU10"/>
      <sheetName val="KRISHNA_PRASAD10"/>
      <sheetName val="BARATH_&amp;_CO10"/>
      <sheetName val="L_B_YADAV10"/>
      <sheetName val="DEEPAK_KUMAR10"/>
      <sheetName val="MUKLAL_YADAV10"/>
      <sheetName val="MADHU_SUDHAN10"/>
      <sheetName val="SAUD_ALAM_10"/>
      <sheetName val="RAMESH_BABU10"/>
      <sheetName val="SAILEN_SARKAR10"/>
      <sheetName val="SANJAY_JENA110"/>
      <sheetName val="upendra_saw_10"/>
      <sheetName val="ALLOK_KUMAR_10"/>
      <sheetName val="except_wiring10"/>
      <sheetName val="BOQ_-II_ph_210"/>
      <sheetName val="STAFFSCHED_9"/>
      <sheetName val="Metso_-_Forth_&amp;_Slurry_11_02_19"/>
      <sheetName val="Fee_Rate_Summary9"/>
      <sheetName val="d-safe_specs9"/>
      <sheetName val="Quote_Sheet9"/>
      <sheetName val="class_&amp;_category9"/>
      <sheetName val="Rein-Final_(Ph_1+Ph2)9"/>
      <sheetName val="Materials_Cost(PCC)9"/>
      <sheetName val="220_11__BS_9"/>
      <sheetName val="SSR_&amp;_NSSR_Market_final9"/>
      <sheetName val="Site_wise_NADs9"/>
      <sheetName val="RA_RCC_F9"/>
      <sheetName val="India_F&amp;S_Template9"/>
      <sheetName val="Stress_Calculation9"/>
      <sheetName val="precast_RC_element9"/>
      <sheetName val="plinth_Beam_+_Stirrups_9"/>
      <sheetName val="GF_COLUMNS9"/>
      <sheetName val="G_F_ROOF_BEAM_9"/>
      <sheetName val="GF_SLAB_STEEL9"/>
      <sheetName val="GF_Lintel9"/>
      <sheetName val="GF_Stair9"/>
      <sheetName val="FF_COLUMNS9"/>
      <sheetName val="F_F__Steel_FINAL_(2)9"/>
      <sheetName val="FF_Lintel9"/>
      <sheetName val="FF_Stair9"/>
      <sheetName val="S_F__Steel_FINAL_9"/>
      <sheetName val="SF_Lintel9"/>
      <sheetName val="SPT_vs_PHI14"/>
      <sheetName val="glass_project_concrete14"/>
      <sheetName val="glass_project_reift14"/>
      <sheetName val="glass_project_indices14"/>
      <sheetName val="SBC-BH_1913"/>
      <sheetName val="Rate_Analysis13"/>
      <sheetName val="Summary_050613"/>
      <sheetName val="Summary_0607-_31_MAR13"/>
      <sheetName val="Civil_Boq12"/>
      <sheetName val="Pile_cap12"/>
      <sheetName val="BH_12-11-10-1313"/>
      <sheetName val="BH_12-11-10-913"/>
      <sheetName val="BH_36-15-3713"/>
      <sheetName val="BH_16-35-25-1713"/>
      <sheetName val="BH_35-25-1713"/>
      <sheetName val="Sheet1_(2)13"/>
      <sheetName val="d-safe_DELUXE12"/>
      <sheetName val="PRECAST_lightconc-II12"/>
      <sheetName val="Legal_Risk_Analysis12"/>
      <sheetName val="Mix_Design12"/>
      <sheetName val="Form_613"/>
      <sheetName val="PointNo_512"/>
      <sheetName val="RCC,Ret__Wall12"/>
      <sheetName val="E_&amp;_R12"/>
      <sheetName val="Break_up_Sheet12"/>
      <sheetName val="TBAL9697_-group_wise__sdpl12"/>
      <sheetName val="Abstract_Sheet12"/>
      <sheetName val="V_O_4_-_PCC_Qty12"/>
      <sheetName val="Fill_this_out_first___12"/>
      <sheetName val="REVISED4A_PROG_PERF-SITE_112"/>
      <sheetName val="BOQ_Direct_selling_cost12"/>
      <sheetName val="BOQ_(2)12"/>
      <sheetName val="CABLE_DATA12"/>
      <sheetName val="Staff_Acco_12"/>
      <sheetName val="Pipe_Supports12"/>
      <sheetName val="final_abstract12"/>
      <sheetName val="Rev_S1_Abstract12"/>
      <sheetName val="Quantity_Abstract12"/>
      <sheetName val="M-Book_for_Conc12"/>
      <sheetName val="M-Book_for_FW12"/>
      <sheetName val="Load_Details-220kV12"/>
      <sheetName val="beam-reinft-IIInd_floor12"/>
      <sheetName val="INPUT_SHEET12"/>
      <sheetName val="Project_Budget_Worksheet12"/>
      <sheetName val="SANJAY_PAL12"/>
      <sheetName val="P_A_SELVAM12"/>
      <sheetName val="ANSARI_12"/>
      <sheetName val="abdesh_pal12"/>
      <sheetName val="sujay_bagchi12"/>
      <sheetName val="S_K_SINHA_BASU12"/>
      <sheetName val="KRISHNA_PRASAD12"/>
      <sheetName val="BARATH_&amp;_CO12"/>
      <sheetName val="L_B_YADAV12"/>
      <sheetName val="DEEPAK_KUMAR12"/>
      <sheetName val="MUKLAL_YADAV12"/>
      <sheetName val="MADHU_SUDHAN12"/>
      <sheetName val="SAUD_ALAM_12"/>
      <sheetName val="RAMESH_BABU12"/>
      <sheetName val="SAILEN_SARKAR12"/>
      <sheetName val="SANJAY_JENA112"/>
      <sheetName val="upendra_saw_12"/>
      <sheetName val="ALLOK_KUMAR_12"/>
      <sheetName val="except_wiring12"/>
      <sheetName val="BOQ_-II_ph_212"/>
      <sheetName val="STAFFSCHED_11"/>
      <sheetName val="Metso_-_Forth_&amp;_Slurry_11_02_21"/>
      <sheetName val="Fee_Rate_Summary11"/>
      <sheetName val="d-safe_specs11"/>
      <sheetName val="Quote_Sheet11"/>
      <sheetName val="class_&amp;_category11"/>
      <sheetName val="Rein-Final_(Ph_1+Ph2)11"/>
      <sheetName val="Materials_Cost(PCC)11"/>
      <sheetName val="220_11__BS_11"/>
      <sheetName val="SSR_&amp;_NSSR_Market_final11"/>
      <sheetName val="Site_wise_NADs11"/>
      <sheetName val="RA_RCC_F11"/>
      <sheetName val="India_F&amp;S_Template11"/>
      <sheetName val="Stress_Calculation11"/>
      <sheetName val="precast_RC_element11"/>
      <sheetName val="plinth_Beam_+_Stirrups_11"/>
      <sheetName val="GF_COLUMNS11"/>
      <sheetName val="G_F_ROOF_BEAM_11"/>
      <sheetName val="GF_SLAB_STEEL11"/>
      <sheetName val="GF_Lintel11"/>
      <sheetName val="GF_Stair11"/>
      <sheetName val="FF_COLUMNS11"/>
      <sheetName val="F_F__Steel_FINAL_(2)11"/>
      <sheetName val="FF_Lintel11"/>
      <sheetName val="FF_Stair11"/>
      <sheetName val="S_F__Steel_FINAL_11"/>
      <sheetName val="SF_Lintel11"/>
      <sheetName val="SPT_vs_PHI15"/>
      <sheetName val="glass_project_concrete15"/>
      <sheetName val="glass_project_reift15"/>
      <sheetName val="glass_project_indices15"/>
      <sheetName val="SBC-BH_1914"/>
      <sheetName val="Rate_Analysis14"/>
      <sheetName val="Summary_050614"/>
      <sheetName val="Summary_0607-_31_MAR14"/>
      <sheetName val="Civil_Boq13"/>
      <sheetName val="Pile_cap13"/>
      <sheetName val="BH_12-11-10-1314"/>
      <sheetName val="BH_12-11-10-914"/>
      <sheetName val="BH_36-15-3714"/>
      <sheetName val="BH_16-35-25-1714"/>
      <sheetName val="BH_35-25-1714"/>
      <sheetName val="Sheet1_(2)14"/>
      <sheetName val="d-safe_DELUXE13"/>
      <sheetName val="PRECAST_lightconc-II13"/>
      <sheetName val="Legal_Risk_Analysis13"/>
      <sheetName val="Mix_Design13"/>
      <sheetName val="Form_614"/>
      <sheetName val="PointNo_513"/>
      <sheetName val="RCC,Ret__Wall13"/>
      <sheetName val="E_&amp;_R13"/>
      <sheetName val="Break_up_Sheet13"/>
      <sheetName val="TBAL9697_-group_wise__sdpl13"/>
      <sheetName val="Abstract_Sheet13"/>
      <sheetName val="V_O_4_-_PCC_Qty13"/>
      <sheetName val="Fill_this_out_first___13"/>
      <sheetName val="REVISED4A_PROG_PERF-SITE_113"/>
      <sheetName val="BOQ_Direct_selling_cost13"/>
      <sheetName val="BOQ_(2)13"/>
      <sheetName val="CABLE_DATA13"/>
      <sheetName val="Staff_Acco_13"/>
      <sheetName val="Pipe_Supports13"/>
      <sheetName val="final_abstract13"/>
      <sheetName val="Rev_S1_Abstract13"/>
      <sheetName val="Quantity_Abstract13"/>
      <sheetName val="M-Book_for_Conc13"/>
      <sheetName val="M-Book_for_FW13"/>
      <sheetName val="Load_Details-220kV13"/>
      <sheetName val="beam-reinft-IIInd_floor13"/>
      <sheetName val="INPUT_SHEET13"/>
      <sheetName val="Project_Budget_Worksheet13"/>
      <sheetName val="SANJAY_PAL13"/>
      <sheetName val="P_A_SELVAM13"/>
      <sheetName val="ANSARI_13"/>
      <sheetName val="abdesh_pal13"/>
      <sheetName val="sujay_bagchi13"/>
      <sheetName val="S_K_SINHA_BASU13"/>
      <sheetName val="KRISHNA_PRASAD13"/>
      <sheetName val="BARATH_&amp;_CO13"/>
      <sheetName val="L_B_YADAV13"/>
      <sheetName val="DEEPAK_KUMAR13"/>
      <sheetName val="MUKLAL_YADAV13"/>
      <sheetName val="MADHU_SUDHAN13"/>
      <sheetName val="SAUD_ALAM_13"/>
      <sheetName val="RAMESH_BABU13"/>
      <sheetName val="SAILEN_SARKAR13"/>
      <sheetName val="SANJAY_JENA113"/>
      <sheetName val="upendra_saw_13"/>
      <sheetName val="ALLOK_KUMAR_13"/>
      <sheetName val="except_wiring13"/>
      <sheetName val="BOQ_-II_ph_213"/>
      <sheetName val="STAFFSCHED_12"/>
      <sheetName val="Metso_-_Forth_&amp;_Slurry_11_02_22"/>
      <sheetName val="Fee_Rate_Summary12"/>
      <sheetName val="d-safe_specs12"/>
      <sheetName val="Quote_Sheet12"/>
      <sheetName val="class_&amp;_category12"/>
      <sheetName val="Rein-Final_(Ph_1+Ph2)12"/>
      <sheetName val="Materials_Cost(PCC)12"/>
      <sheetName val="220_11__BS_12"/>
      <sheetName val="SSR_&amp;_NSSR_Market_final12"/>
      <sheetName val="Site_wise_NADs12"/>
      <sheetName val="RA_RCC_F12"/>
      <sheetName val="India_F&amp;S_Template12"/>
      <sheetName val="Stress_Calculation12"/>
      <sheetName val="precast_RC_element12"/>
      <sheetName val="plinth_Beam_+_Stirrups_12"/>
      <sheetName val="GF_COLUMNS12"/>
      <sheetName val="G_F_ROOF_BEAM_12"/>
      <sheetName val="GF_SLAB_STEEL12"/>
      <sheetName val="GF_Lintel12"/>
      <sheetName val="GF_Stair12"/>
      <sheetName val="FF_COLUMNS12"/>
      <sheetName val="F_F__Steel_FINAL_(2)12"/>
      <sheetName val="FF_Lintel12"/>
      <sheetName val="FF_Stair12"/>
      <sheetName val="S_F__Steel_FINAL_12"/>
      <sheetName val="SF_Lintel12"/>
      <sheetName val="SPT_vs_PHI16"/>
      <sheetName val="glass_project_concrete16"/>
      <sheetName val="glass_project_reift16"/>
      <sheetName val="glass_project_indices16"/>
      <sheetName val="SBC-BH_1915"/>
      <sheetName val="Rate_Analysis15"/>
      <sheetName val="Summary_050615"/>
      <sheetName val="Summary_0607-_31_MAR15"/>
      <sheetName val="Civil_Boq14"/>
      <sheetName val="Pile_cap14"/>
      <sheetName val="BH_12-11-10-1315"/>
      <sheetName val="BH_12-11-10-915"/>
      <sheetName val="BH_36-15-3715"/>
      <sheetName val="BH_16-35-25-1715"/>
      <sheetName val="BH_35-25-1715"/>
      <sheetName val="Sheet1_(2)15"/>
      <sheetName val="d-safe_DELUXE14"/>
      <sheetName val="PRECAST_lightconc-II14"/>
      <sheetName val="Legal_Risk_Analysis14"/>
      <sheetName val="Mix_Design14"/>
      <sheetName val="Form_615"/>
      <sheetName val="PointNo_514"/>
      <sheetName val="RCC,Ret__Wall14"/>
      <sheetName val="E_&amp;_R14"/>
      <sheetName val="Break_up_Sheet14"/>
      <sheetName val="TBAL9697_-group_wise__sdpl14"/>
      <sheetName val="Abstract_Sheet14"/>
      <sheetName val="V_O_4_-_PCC_Qty14"/>
      <sheetName val="Fill_this_out_first___14"/>
      <sheetName val="REVISED4A_PROG_PERF-SITE_114"/>
      <sheetName val="BOQ_Direct_selling_cost14"/>
      <sheetName val="BOQ_(2)14"/>
      <sheetName val="CABLE_DATA14"/>
      <sheetName val="Staff_Acco_14"/>
      <sheetName val="Pipe_Supports14"/>
      <sheetName val="final_abstract14"/>
      <sheetName val="Rev_S1_Abstract14"/>
      <sheetName val="Quantity_Abstract14"/>
      <sheetName val="M-Book_for_Conc14"/>
      <sheetName val="M-Book_for_FW14"/>
      <sheetName val="Load_Details-220kV14"/>
      <sheetName val="beam-reinft-IIInd_floor14"/>
      <sheetName val="INPUT_SHEET14"/>
      <sheetName val="Project_Budget_Worksheet14"/>
      <sheetName val="SANJAY_PAL14"/>
      <sheetName val="P_A_SELVAM14"/>
      <sheetName val="ANSARI_14"/>
      <sheetName val="abdesh_pal14"/>
      <sheetName val="sujay_bagchi14"/>
      <sheetName val="S_K_SINHA_BASU14"/>
      <sheetName val="KRISHNA_PRASAD14"/>
      <sheetName val="BARATH_&amp;_CO14"/>
      <sheetName val="L_B_YADAV14"/>
      <sheetName val="DEEPAK_KUMAR14"/>
      <sheetName val="MUKLAL_YADAV14"/>
      <sheetName val="MADHU_SUDHAN14"/>
      <sheetName val="SAUD_ALAM_14"/>
      <sheetName val="RAMESH_BABU14"/>
      <sheetName val="SAILEN_SARKAR14"/>
      <sheetName val="SANJAY_JENA114"/>
      <sheetName val="upendra_saw_14"/>
      <sheetName val="ALLOK_KUMAR_14"/>
      <sheetName val="except_wiring14"/>
      <sheetName val="BOQ_-II_ph_214"/>
      <sheetName val="STAFFSCHED_13"/>
      <sheetName val="Metso_-_Forth_&amp;_Slurry_11_02_23"/>
      <sheetName val="Fee_Rate_Summary13"/>
      <sheetName val="d-safe_specs13"/>
      <sheetName val="Quote_Sheet13"/>
      <sheetName val="class_&amp;_category13"/>
      <sheetName val="Rein-Final_(Ph_1+Ph2)13"/>
      <sheetName val="Materials_Cost(PCC)13"/>
      <sheetName val="220_11__BS_13"/>
      <sheetName val="SSR_&amp;_NSSR_Market_final13"/>
      <sheetName val="Site_wise_NADs13"/>
      <sheetName val="RA_RCC_F13"/>
      <sheetName val="India_F&amp;S_Template13"/>
      <sheetName val="Stress_Calculation13"/>
      <sheetName val="precast_RC_element13"/>
      <sheetName val="plinth_Beam_+_Stirrups_13"/>
      <sheetName val="GF_COLUMNS13"/>
      <sheetName val="G_F_ROOF_BEAM_13"/>
      <sheetName val="GF_SLAB_STEEL13"/>
      <sheetName val="GF_Lintel13"/>
      <sheetName val="GF_Stair13"/>
      <sheetName val="FF_COLUMNS13"/>
      <sheetName val="F_F__Steel_FINAL_(2)13"/>
      <sheetName val="FF_Lintel13"/>
      <sheetName val="FF_Stair13"/>
      <sheetName val="S_F__Steel_FINAL_13"/>
      <sheetName val="SF_Lintel13"/>
      <sheetName val="SPT_vs_PHI23"/>
      <sheetName val="glass_project_concrete23"/>
      <sheetName val="glass_project_reift23"/>
      <sheetName val="glass_project_indices23"/>
      <sheetName val="SBC-BH_1922"/>
      <sheetName val="Rate_Analysis22"/>
      <sheetName val="Summary_050622"/>
      <sheetName val="Summary_0607-_31_MAR22"/>
      <sheetName val="Civil_Boq21"/>
      <sheetName val="Pile_cap21"/>
      <sheetName val="BH_12-11-10-1322"/>
      <sheetName val="BH_12-11-10-922"/>
      <sheetName val="BH_36-15-3722"/>
      <sheetName val="BH_16-35-25-1722"/>
      <sheetName val="BH_35-25-1722"/>
      <sheetName val="Sheet1_(2)22"/>
      <sheetName val="d-safe_DELUXE21"/>
      <sheetName val="PRECAST_lightconc-II21"/>
      <sheetName val="Legal_Risk_Analysis21"/>
      <sheetName val="Mix_Design21"/>
      <sheetName val="Form_622"/>
      <sheetName val="PointNo_521"/>
      <sheetName val="RCC,Ret__Wall21"/>
      <sheetName val="E_&amp;_R21"/>
      <sheetName val="Break_up_Sheet21"/>
      <sheetName val="TBAL9697_-group_wise__sdpl21"/>
      <sheetName val="Abstract_Sheet21"/>
      <sheetName val="V_O_4_-_PCC_Qty21"/>
      <sheetName val="Fill_this_out_first___21"/>
      <sheetName val="REVISED4A_PROG_PERF-SITE_121"/>
      <sheetName val="BOQ_Direct_selling_cost21"/>
      <sheetName val="BOQ_(2)21"/>
      <sheetName val="CABLE_DATA21"/>
      <sheetName val="Staff_Acco_21"/>
      <sheetName val="Pipe_Supports21"/>
      <sheetName val="final_abstract21"/>
      <sheetName val="Rev_S1_Abstract21"/>
      <sheetName val="Quantity_Abstract21"/>
      <sheetName val="M-Book_for_Conc21"/>
      <sheetName val="M-Book_for_FW21"/>
      <sheetName val="Load_Details-220kV21"/>
      <sheetName val="beam-reinft-IIInd_floor21"/>
      <sheetName val="INPUT_SHEET21"/>
      <sheetName val="Project_Budget_Worksheet21"/>
      <sheetName val="SANJAY_PAL21"/>
      <sheetName val="P_A_SELVAM21"/>
      <sheetName val="ANSARI_21"/>
      <sheetName val="abdesh_pal21"/>
      <sheetName val="sujay_bagchi21"/>
      <sheetName val="S_K_SINHA_BASU21"/>
      <sheetName val="KRISHNA_PRASAD21"/>
      <sheetName val="BARATH_&amp;_CO21"/>
      <sheetName val="L_B_YADAV21"/>
      <sheetName val="DEEPAK_KUMAR21"/>
      <sheetName val="MUKLAL_YADAV21"/>
      <sheetName val="MADHU_SUDHAN21"/>
      <sheetName val="SAUD_ALAM_21"/>
      <sheetName val="RAMESH_BABU21"/>
      <sheetName val="SAILEN_SARKAR21"/>
      <sheetName val="SANJAY_JENA121"/>
      <sheetName val="upendra_saw_21"/>
      <sheetName val="ALLOK_KUMAR_21"/>
      <sheetName val="except_wiring21"/>
      <sheetName val="BOQ_-II_ph_221"/>
      <sheetName val="STAFFSCHED_20"/>
      <sheetName val="Metso_-_Forth_&amp;_Slurry_11_02_30"/>
      <sheetName val="Fee_Rate_Summary20"/>
      <sheetName val="d-safe_specs20"/>
      <sheetName val="Quote_Sheet20"/>
      <sheetName val="class_&amp;_category20"/>
      <sheetName val="Rein-Final_(Ph_1+Ph2)20"/>
      <sheetName val="Materials_Cost(PCC)20"/>
      <sheetName val="220_11__BS_20"/>
      <sheetName val="SSR_&amp;_NSSR_Market_final20"/>
      <sheetName val="Site_wise_NADs20"/>
      <sheetName val="RA_RCC_F20"/>
      <sheetName val="India_F&amp;S_Template20"/>
      <sheetName val="Stress_Calculation20"/>
      <sheetName val="precast_RC_element20"/>
      <sheetName val="plinth_Beam_+_Stirrups_20"/>
      <sheetName val="GF_COLUMNS20"/>
      <sheetName val="G_F_ROOF_BEAM_20"/>
      <sheetName val="GF_SLAB_STEEL20"/>
      <sheetName val="GF_Lintel20"/>
      <sheetName val="GF_Stair20"/>
      <sheetName val="FF_COLUMNS20"/>
      <sheetName val="F_F__Steel_FINAL_(2)20"/>
      <sheetName val="FF_Lintel20"/>
      <sheetName val="FF_Stair20"/>
      <sheetName val="S_F__Steel_FINAL_20"/>
      <sheetName val="SF_Lintel20"/>
      <sheetName val="SPT_vs_PHI18"/>
      <sheetName val="glass_project_concrete18"/>
      <sheetName val="glass_project_reift18"/>
      <sheetName val="glass_project_indices18"/>
      <sheetName val="SBC-BH_1917"/>
      <sheetName val="Rate_Analysis17"/>
      <sheetName val="Summary_050617"/>
      <sheetName val="Summary_0607-_31_MAR17"/>
      <sheetName val="Civil_Boq16"/>
      <sheetName val="Pile_cap16"/>
      <sheetName val="BH_12-11-10-1317"/>
      <sheetName val="BH_12-11-10-917"/>
      <sheetName val="BH_36-15-3717"/>
      <sheetName val="BH_16-35-25-1717"/>
      <sheetName val="BH_35-25-1717"/>
      <sheetName val="Sheet1_(2)17"/>
      <sheetName val="d-safe_DELUXE16"/>
      <sheetName val="PRECAST_lightconc-II16"/>
      <sheetName val="Legal_Risk_Analysis16"/>
      <sheetName val="Mix_Design16"/>
      <sheetName val="Form_617"/>
      <sheetName val="PointNo_516"/>
      <sheetName val="RCC,Ret__Wall16"/>
      <sheetName val="E_&amp;_R16"/>
      <sheetName val="Break_up_Sheet16"/>
      <sheetName val="TBAL9697_-group_wise__sdpl16"/>
      <sheetName val="Abstract_Sheet16"/>
      <sheetName val="V_O_4_-_PCC_Qty16"/>
      <sheetName val="Fill_this_out_first___16"/>
      <sheetName val="REVISED4A_PROG_PERF-SITE_116"/>
      <sheetName val="BOQ_Direct_selling_cost16"/>
      <sheetName val="BOQ_(2)16"/>
      <sheetName val="CABLE_DATA16"/>
      <sheetName val="Staff_Acco_16"/>
      <sheetName val="Pipe_Supports16"/>
      <sheetName val="final_abstract16"/>
      <sheetName val="Rev_S1_Abstract16"/>
      <sheetName val="Quantity_Abstract16"/>
      <sheetName val="M-Book_for_Conc16"/>
      <sheetName val="M-Book_for_FW16"/>
      <sheetName val="Load_Details-220kV16"/>
      <sheetName val="beam-reinft-IIInd_floor16"/>
      <sheetName val="INPUT_SHEET16"/>
      <sheetName val="Project_Budget_Worksheet16"/>
      <sheetName val="SANJAY_PAL16"/>
      <sheetName val="P_A_SELVAM16"/>
      <sheetName val="ANSARI_16"/>
      <sheetName val="abdesh_pal16"/>
      <sheetName val="sujay_bagchi16"/>
      <sheetName val="S_K_SINHA_BASU16"/>
      <sheetName val="KRISHNA_PRASAD16"/>
      <sheetName val="BARATH_&amp;_CO16"/>
      <sheetName val="L_B_YADAV16"/>
      <sheetName val="DEEPAK_KUMAR16"/>
      <sheetName val="MUKLAL_YADAV16"/>
      <sheetName val="MADHU_SUDHAN16"/>
      <sheetName val="SAUD_ALAM_16"/>
      <sheetName val="RAMESH_BABU16"/>
      <sheetName val="SAILEN_SARKAR16"/>
      <sheetName val="SANJAY_JENA116"/>
      <sheetName val="upendra_saw_16"/>
      <sheetName val="ALLOK_KUMAR_16"/>
      <sheetName val="except_wiring16"/>
      <sheetName val="BOQ_-II_ph_216"/>
      <sheetName val="STAFFSCHED_15"/>
      <sheetName val="Metso_-_Forth_&amp;_Slurry_11_02_25"/>
      <sheetName val="Fee_Rate_Summary15"/>
      <sheetName val="d-safe_specs15"/>
      <sheetName val="Quote_Sheet15"/>
      <sheetName val="class_&amp;_category15"/>
      <sheetName val="Rein-Final_(Ph_1+Ph2)15"/>
      <sheetName val="Materials_Cost(PCC)15"/>
      <sheetName val="220_11__BS_15"/>
      <sheetName val="SSR_&amp;_NSSR_Market_final15"/>
      <sheetName val="Site_wise_NADs15"/>
      <sheetName val="RA_RCC_F15"/>
      <sheetName val="India_F&amp;S_Template15"/>
      <sheetName val="Stress_Calculation15"/>
      <sheetName val="precast_RC_element15"/>
      <sheetName val="plinth_Beam_+_Stirrups_15"/>
      <sheetName val="GF_COLUMNS15"/>
      <sheetName val="G_F_ROOF_BEAM_15"/>
      <sheetName val="GF_SLAB_STEEL15"/>
      <sheetName val="GF_Lintel15"/>
      <sheetName val="GF_Stair15"/>
      <sheetName val="FF_COLUMNS15"/>
      <sheetName val="F_F__Steel_FINAL_(2)15"/>
      <sheetName val="FF_Lintel15"/>
      <sheetName val="FF_Stair15"/>
      <sheetName val="S_F__Steel_FINAL_15"/>
      <sheetName val="SF_Lintel15"/>
      <sheetName val="SPT_vs_PHI19"/>
      <sheetName val="glass_project_concrete19"/>
      <sheetName val="glass_project_reift19"/>
      <sheetName val="glass_project_indices19"/>
      <sheetName val="SBC-BH_1918"/>
      <sheetName val="Rate_Analysis18"/>
      <sheetName val="Summary_050618"/>
      <sheetName val="Summary_0607-_31_MAR18"/>
      <sheetName val="Civil_Boq17"/>
      <sheetName val="Pile_cap17"/>
      <sheetName val="BH_12-11-10-1318"/>
      <sheetName val="BH_12-11-10-918"/>
      <sheetName val="BH_36-15-3718"/>
      <sheetName val="BH_16-35-25-1718"/>
      <sheetName val="BH_35-25-1718"/>
      <sheetName val="Sheet1_(2)18"/>
      <sheetName val="d-safe_DELUXE17"/>
      <sheetName val="PRECAST_lightconc-II17"/>
      <sheetName val="Legal_Risk_Analysis17"/>
      <sheetName val="Mix_Design17"/>
      <sheetName val="Form_618"/>
      <sheetName val="PointNo_517"/>
      <sheetName val="RCC,Ret__Wall17"/>
      <sheetName val="E_&amp;_R17"/>
      <sheetName val="Break_up_Sheet17"/>
      <sheetName val="TBAL9697_-group_wise__sdpl17"/>
      <sheetName val="Abstract_Sheet17"/>
      <sheetName val="V_O_4_-_PCC_Qty17"/>
      <sheetName val="Fill_this_out_first___17"/>
      <sheetName val="REVISED4A_PROG_PERF-SITE_117"/>
      <sheetName val="BOQ_Direct_selling_cost17"/>
      <sheetName val="BOQ_(2)17"/>
      <sheetName val="CABLE_DATA17"/>
      <sheetName val="Staff_Acco_17"/>
      <sheetName val="Pipe_Supports17"/>
      <sheetName val="final_abstract17"/>
      <sheetName val="Rev_S1_Abstract17"/>
      <sheetName val="Quantity_Abstract17"/>
      <sheetName val="M-Book_for_Conc17"/>
      <sheetName val="M-Book_for_FW17"/>
      <sheetName val="Load_Details-220kV17"/>
      <sheetName val="beam-reinft-IIInd_floor17"/>
      <sheetName val="INPUT_SHEET17"/>
      <sheetName val="Project_Budget_Worksheet17"/>
      <sheetName val="SANJAY_PAL17"/>
      <sheetName val="P_A_SELVAM17"/>
      <sheetName val="ANSARI_17"/>
      <sheetName val="abdesh_pal17"/>
      <sheetName val="sujay_bagchi17"/>
      <sheetName val="S_K_SINHA_BASU17"/>
      <sheetName val="KRISHNA_PRASAD17"/>
      <sheetName val="BARATH_&amp;_CO17"/>
      <sheetName val="L_B_YADAV17"/>
      <sheetName val="DEEPAK_KUMAR17"/>
      <sheetName val="MUKLAL_YADAV17"/>
      <sheetName val="MADHU_SUDHAN17"/>
      <sheetName val="SAUD_ALAM_17"/>
      <sheetName val="RAMESH_BABU17"/>
      <sheetName val="SAILEN_SARKAR17"/>
      <sheetName val="SANJAY_JENA117"/>
      <sheetName val="upendra_saw_17"/>
      <sheetName val="ALLOK_KUMAR_17"/>
      <sheetName val="except_wiring17"/>
      <sheetName val="BOQ_-II_ph_217"/>
      <sheetName val="STAFFSCHED_16"/>
      <sheetName val="Metso_-_Forth_&amp;_Slurry_11_02_26"/>
      <sheetName val="Fee_Rate_Summary16"/>
      <sheetName val="d-safe_specs16"/>
      <sheetName val="Quote_Sheet16"/>
      <sheetName val="class_&amp;_category16"/>
      <sheetName val="Rein-Final_(Ph_1+Ph2)16"/>
      <sheetName val="Materials_Cost(PCC)16"/>
      <sheetName val="220_11__BS_16"/>
      <sheetName val="SSR_&amp;_NSSR_Market_final16"/>
      <sheetName val="Site_wise_NADs16"/>
      <sheetName val="RA_RCC_F16"/>
      <sheetName val="India_F&amp;S_Template16"/>
      <sheetName val="Stress_Calculation16"/>
      <sheetName val="precast_RC_element16"/>
      <sheetName val="plinth_Beam_+_Stirrups_16"/>
      <sheetName val="GF_COLUMNS16"/>
      <sheetName val="G_F_ROOF_BEAM_16"/>
      <sheetName val="GF_SLAB_STEEL16"/>
      <sheetName val="GF_Lintel16"/>
      <sheetName val="GF_Stair16"/>
      <sheetName val="FF_COLUMNS16"/>
      <sheetName val="F_F__Steel_FINAL_(2)16"/>
      <sheetName val="FF_Lintel16"/>
      <sheetName val="FF_Stair16"/>
      <sheetName val="S_F__Steel_FINAL_16"/>
      <sheetName val="SF_Lintel16"/>
      <sheetName val="Debits_as_on_12_04_083"/>
      <sheetName val="PRRM_Dashboard3"/>
      <sheetName val="SPT_vs_PHI20"/>
      <sheetName val="glass_project_concrete20"/>
      <sheetName val="glass_project_reift20"/>
      <sheetName val="glass_project_indices20"/>
      <sheetName val="SBC-BH_1919"/>
      <sheetName val="Rate_Analysis19"/>
      <sheetName val="Summary_050619"/>
      <sheetName val="Summary_0607-_31_MAR19"/>
      <sheetName val="Civil_Boq18"/>
      <sheetName val="Pile_cap18"/>
      <sheetName val="BH_12-11-10-1319"/>
      <sheetName val="BH_12-11-10-919"/>
      <sheetName val="BH_36-15-3719"/>
      <sheetName val="BH_16-35-25-1719"/>
      <sheetName val="BH_35-25-1719"/>
      <sheetName val="Sheet1_(2)19"/>
      <sheetName val="d-safe_DELUXE18"/>
      <sheetName val="PRECAST_lightconc-II18"/>
      <sheetName val="Legal_Risk_Analysis18"/>
      <sheetName val="Mix_Design18"/>
      <sheetName val="Form_619"/>
      <sheetName val="PointNo_518"/>
      <sheetName val="RCC,Ret__Wall18"/>
      <sheetName val="E_&amp;_R18"/>
      <sheetName val="Break_up_Sheet18"/>
      <sheetName val="TBAL9697_-group_wise__sdpl18"/>
      <sheetName val="Abstract_Sheet18"/>
      <sheetName val="V_O_4_-_PCC_Qty18"/>
      <sheetName val="Fill_this_out_first___18"/>
      <sheetName val="REVISED4A_PROG_PERF-SITE_118"/>
      <sheetName val="BOQ_Direct_selling_cost18"/>
      <sheetName val="BOQ_(2)18"/>
      <sheetName val="CABLE_DATA18"/>
      <sheetName val="Staff_Acco_18"/>
      <sheetName val="Pipe_Supports18"/>
      <sheetName val="final_abstract18"/>
      <sheetName val="Rev_S1_Abstract18"/>
      <sheetName val="Quantity_Abstract18"/>
      <sheetName val="M-Book_for_Conc18"/>
      <sheetName val="M-Book_for_FW18"/>
      <sheetName val="Load_Details-220kV18"/>
      <sheetName val="beam-reinft-IIInd_floor18"/>
      <sheetName val="INPUT_SHEET18"/>
      <sheetName val="Project_Budget_Worksheet18"/>
      <sheetName val="SANJAY_PAL18"/>
      <sheetName val="P_A_SELVAM18"/>
      <sheetName val="ANSARI_18"/>
      <sheetName val="abdesh_pal18"/>
      <sheetName val="sujay_bagchi18"/>
      <sheetName val="S_K_SINHA_BASU18"/>
      <sheetName val="KRISHNA_PRASAD18"/>
      <sheetName val="BARATH_&amp;_CO18"/>
      <sheetName val="L_B_YADAV18"/>
      <sheetName val="DEEPAK_KUMAR18"/>
      <sheetName val="MUKLAL_YADAV18"/>
      <sheetName val="MADHU_SUDHAN18"/>
      <sheetName val="SAUD_ALAM_18"/>
      <sheetName val="RAMESH_BABU18"/>
      <sheetName val="SAILEN_SARKAR18"/>
      <sheetName val="SANJAY_JENA118"/>
      <sheetName val="upendra_saw_18"/>
      <sheetName val="ALLOK_KUMAR_18"/>
      <sheetName val="except_wiring18"/>
      <sheetName val="BOQ_-II_ph_218"/>
      <sheetName val="STAFFSCHED_17"/>
      <sheetName val="Metso_-_Forth_&amp;_Slurry_11_02_27"/>
      <sheetName val="Fee_Rate_Summary17"/>
      <sheetName val="d-safe_specs17"/>
      <sheetName val="Quote_Sheet17"/>
      <sheetName val="class_&amp;_category17"/>
      <sheetName val="Rein-Final_(Ph_1+Ph2)17"/>
      <sheetName val="Materials_Cost(PCC)17"/>
      <sheetName val="220_11__BS_17"/>
      <sheetName val="SSR_&amp;_NSSR_Market_final17"/>
      <sheetName val="Site_wise_NADs17"/>
      <sheetName val="RA_RCC_F17"/>
      <sheetName val="India_F&amp;S_Template17"/>
      <sheetName val="Stress_Calculation17"/>
      <sheetName val="precast_RC_element17"/>
      <sheetName val="plinth_Beam_+_Stirrups_17"/>
      <sheetName val="GF_COLUMNS17"/>
      <sheetName val="G_F_ROOF_BEAM_17"/>
      <sheetName val="GF_SLAB_STEEL17"/>
      <sheetName val="GF_Lintel17"/>
      <sheetName val="GF_Stair17"/>
      <sheetName val="FF_COLUMNS17"/>
      <sheetName val="F_F__Steel_FINAL_(2)17"/>
      <sheetName val="FF_Lintel17"/>
      <sheetName val="FF_Stair17"/>
      <sheetName val="S_F__Steel_FINAL_17"/>
      <sheetName val="SF_Lintel17"/>
      <sheetName val="SPT_vs_PHI21"/>
      <sheetName val="glass_project_concrete21"/>
      <sheetName val="glass_project_reift21"/>
      <sheetName val="glass_project_indices21"/>
      <sheetName val="SBC-BH_1920"/>
      <sheetName val="Rate_Analysis20"/>
      <sheetName val="Summary_050620"/>
      <sheetName val="Summary_0607-_31_MAR20"/>
      <sheetName val="Civil_Boq19"/>
      <sheetName val="Pile_cap19"/>
      <sheetName val="BH_12-11-10-1320"/>
      <sheetName val="BH_12-11-10-920"/>
      <sheetName val="BH_36-15-3720"/>
      <sheetName val="BH_16-35-25-1720"/>
      <sheetName val="BH_35-25-1720"/>
      <sheetName val="Sheet1_(2)20"/>
      <sheetName val="d-safe_DELUXE19"/>
      <sheetName val="PRECAST_lightconc-II19"/>
      <sheetName val="Legal_Risk_Analysis19"/>
      <sheetName val="Mix_Design19"/>
      <sheetName val="Form_620"/>
      <sheetName val="PointNo_519"/>
      <sheetName val="RCC,Ret__Wall19"/>
      <sheetName val="E_&amp;_R19"/>
      <sheetName val="Break_up_Sheet19"/>
      <sheetName val="TBAL9697_-group_wise__sdpl19"/>
      <sheetName val="Abstract_Sheet19"/>
      <sheetName val="V_O_4_-_PCC_Qty19"/>
      <sheetName val="Fill_this_out_first___19"/>
      <sheetName val="REVISED4A_PROG_PERF-SITE_119"/>
      <sheetName val="BOQ_Direct_selling_cost19"/>
      <sheetName val="BOQ_(2)19"/>
      <sheetName val="CABLE_DATA19"/>
      <sheetName val="Staff_Acco_19"/>
      <sheetName val="Pipe_Supports19"/>
      <sheetName val="final_abstract19"/>
      <sheetName val="Rev_S1_Abstract19"/>
      <sheetName val="Quantity_Abstract19"/>
      <sheetName val="M-Book_for_Conc19"/>
      <sheetName val="M-Book_for_FW19"/>
      <sheetName val="Load_Details-220kV19"/>
      <sheetName val="beam-reinft-IIInd_floor19"/>
      <sheetName val="INPUT_SHEET19"/>
      <sheetName val="Project_Budget_Worksheet19"/>
      <sheetName val="SANJAY_PAL19"/>
      <sheetName val="P_A_SELVAM19"/>
      <sheetName val="ANSARI_19"/>
      <sheetName val="abdesh_pal19"/>
      <sheetName val="sujay_bagchi19"/>
      <sheetName val="S_K_SINHA_BASU19"/>
      <sheetName val="KRISHNA_PRASAD19"/>
      <sheetName val="BARATH_&amp;_CO19"/>
      <sheetName val="L_B_YADAV19"/>
      <sheetName val="DEEPAK_KUMAR19"/>
      <sheetName val="MUKLAL_YADAV19"/>
      <sheetName val="MADHU_SUDHAN19"/>
      <sheetName val="SAUD_ALAM_19"/>
      <sheetName val="RAMESH_BABU19"/>
      <sheetName val="SAILEN_SARKAR19"/>
      <sheetName val="SANJAY_JENA119"/>
      <sheetName val="upendra_saw_19"/>
      <sheetName val="ALLOK_KUMAR_19"/>
      <sheetName val="except_wiring19"/>
      <sheetName val="BOQ_-II_ph_219"/>
      <sheetName val="STAFFSCHED_18"/>
      <sheetName val="Metso_-_Forth_&amp;_Slurry_11_02_28"/>
      <sheetName val="Fee_Rate_Summary18"/>
      <sheetName val="d-safe_specs18"/>
      <sheetName val="Quote_Sheet18"/>
      <sheetName val="class_&amp;_category18"/>
      <sheetName val="Rein-Final_(Ph_1+Ph2)18"/>
      <sheetName val="Materials_Cost(PCC)18"/>
      <sheetName val="220_11__BS_18"/>
      <sheetName val="SSR_&amp;_NSSR_Market_final18"/>
      <sheetName val="Site_wise_NADs18"/>
      <sheetName val="RA_RCC_F18"/>
      <sheetName val="India_F&amp;S_Template18"/>
      <sheetName val="Stress_Calculation18"/>
      <sheetName val="precast_RC_element18"/>
      <sheetName val="plinth_Beam_+_Stirrups_18"/>
      <sheetName val="GF_COLUMNS18"/>
      <sheetName val="G_F_ROOF_BEAM_18"/>
      <sheetName val="GF_SLAB_STEEL18"/>
      <sheetName val="GF_Lintel18"/>
      <sheetName val="GF_Stair18"/>
      <sheetName val="FF_COLUMNS18"/>
      <sheetName val="F_F__Steel_FINAL_(2)18"/>
      <sheetName val="FF_Lintel18"/>
      <sheetName val="FF_Stair18"/>
      <sheetName val="S_F__Steel_FINAL_18"/>
      <sheetName val="SF_Lintel18"/>
      <sheetName val="Debits_as_on_12_04_081"/>
      <sheetName val="PRRM_Dashboard1"/>
      <sheetName val="SPT_vs_PHI22"/>
      <sheetName val="glass_project_concrete22"/>
      <sheetName val="glass_project_reift22"/>
      <sheetName val="glass_project_indices22"/>
      <sheetName val="SBC-BH_1921"/>
      <sheetName val="Rate_Analysis21"/>
      <sheetName val="Summary_050621"/>
      <sheetName val="Summary_0607-_31_MAR21"/>
      <sheetName val="Civil_Boq20"/>
      <sheetName val="Pile_cap20"/>
      <sheetName val="BH_12-11-10-1321"/>
      <sheetName val="BH_12-11-10-921"/>
      <sheetName val="BH_36-15-3721"/>
      <sheetName val="BH_16-35-25-1721"/>
      <sheetName val="BH_35-25-1721"/>
      <sheetName val="Sheet1_(2)21"/>
      <sheetName val="d-safe_DELUXE20"/>
      <sheetName val="PRECAST_lightconc-II20"/>
      <sheetName val="Legal_Risk_Analysis20"/>
      <sheetName val="Mix_Design20"/>
      <sheetName val="Form_621"/>
      <sheetName val="PointNo_520"/>
      <sheetName val="RCC,Ret__Wall20"/>
      <sheetName val="E_&amp;_R20"/>
      <sheetName val="Break_up_Sheet20"/>
      <sheetName val="TBAL9697_-group_wise__sdpl20"/>
      <sheetName val="Abstract_Sheet20"/>
      <sheetName val="V_O_4_-_PCC_Qty20"/>
      <sheetName val="Fill_this_out_first___20"/>
      <sheetName val="REVISED4A_PROG_PERF-SITE_120"/>
      <sheetName val="BOQ_Direct_selling_cost20"/>
      <sheetName val="BOQ_(2)20"/>
      <sheetName val="CABLE_DATA20"/>
      <sheetName val="Staff_Acco_20"/>
      <sheetName val="Pipe_Supports20"/>
      <sheetName val="final_abstract20"/>
      <sheetName val="Rev_S1_Abstract20"/>
      <sheetName val="Quantity_Abstract20"/>
      <sheetName val="M-Book_for_Conc20"/>
      <sheetName val="M-Book_for_FW20"/>
      <sheetName val="Load_Details-220kV20"/>
      <sheetName val="beam-reinft-IIInd_floor20"/>
      <sheetName val="INPUT_SHEET20"/>
      <sheetName val="Project_Budget_Worksheet20"/>
      <sheetName val="SANJAY_PAL20"/>
      <sheetName val="P_A_SELVAM20"/>
      <sheetName val="ANSARI_20"/>
      <sheetName val="abdesh_pal20"/>
      <sheetName val="sujay_bagchi20"/>
      <sheetName val="S_K_SINHA_BASU20"/>
      <sheetName val="KRISHNA_PRASAD20"/>
      <sheetName val="BARATH_&amp;_CO20"/>
      <sheetName val="L_B_YADAV20"/>
      <sheetName val="DEEPAK_KUMAR20"/>
      <sheetName val="MUKLAL_YADAV20"/>
      <sheetName val="MADHU_SUDHAN20"/>
      <sheetName val="SAUD_ALAM_20"/>
      <sheetName val="RAMESH_BABU20"/>
      <sheetName val="SAILEN_SARKAR20"/>
      <sheetName val="SANJAY_JENA120"/>
      <sheetName val="upendra_saw_20"/>
      <sheetName val="ALLOK_KUMAR_20"/>
      <sheetName val="except_wiring20"/>
      <sheetName val="BOQ_-II_ph_220"/>
      <sheetName val="STAFFSCHED_19"/>
      <sheetName val="Metso_-_Forth_&amp;_Slurry_11_02_29"/>
      <sheetName val="Fee_Rate_Summary19"/>
      <sheetName val="d-safe_specs19"/>
      <sheetName val="Quote_Sheet19"/>
      <sheetName val="class_&amp;_category19"/>
      <sheetName val="Rein-Final_(Ph_1+Ph2)19"/>
      <sheetName val="Materials_Cost(PCC)19"/>
      <sheetName val="220_11__BS_19"/>
      <sheetName val="SSR_&amp;_NSSR_Market_final19"/>
      <sheetName val="Site_wise_NADs19"/>
      <sheetName val="RA_RCC_F19"/>
      <sheetName val="India_F&amp;S_Template19"/>
      <sheetName val="Stress_Calculation19"/>
      <sheetName val="precast_RC_element19"/>
      <sheetName val="plinth_Beam_+_Stirrups_19"/>
      <sheetName val="GF_COLUMNS19"/>
      <sheetName val="G_F_ROOF_BEAM_19"/>
      <sheetName val="GF_SLAB_STEEL19"/>
      <sheetName val="GF_Lintel19"/>
      <sheetName val="GF_Stair19"/>
      <sheetName val="FF_COLUMNS19"/>
      <sheetName val="F_F__Steel_FINAL_(2)19"/>
      <sheetName val="FF_Lintel19"/>
      <sheetName val="FF_Stair19"/>
      <sheetName val="S_F__Steel_FINAL_19"/>
      <sheetName val="SF_Lintel19"/>
      <sheetName val="Debits_as_on_12_04_082"/>
      <sheetName val="PRRM_Dashboard2"/>
      <sheetName val="SPT_vs_PHI24"/>
      <sheetName val="glass_project_concrete24"/>
      <sheetName val="glass_project_reift24"/>
      <sheetName val="glass_project_indices24"/>
      <sheetName val="SBC-BH_1923"/>
      <sheetName val="Rate_Analysis23"/>
      <sheetName val="Summary_050623"/>
      <sheetName val="Summary_0607-_31_MAR23"/>
      <sheetName val="Civil_Boq22"/>
      <sheetName val="Pile_cap22"/>
      <sheetName val="BH_12-11-10-1323"/>
      <sheetName val="BH_12-11-10-923"/>
      <sheetName val="BH_36-15-3723"/>
      <sheetName val="BH_16-35-25-1723"/>
      <sheetName val="BH_35-25-1723"/>
      <sheetName val="Sheet1_(2)23"/>
      <sheetName val="d-safe_DELUXE22"/>
      <sheetName val="PRECAST_lightconc-II22"/>
      <sheetName val="Legal_Risk_Analysis22"/>
      <sheetName val="Mix_Design22"/>
      <sheetName val="Form_623"/>
      <sheetName val="PointNo_522"/>
      <sheetName val="RCC,Ret__Wall22"/>
      <sheetName val="E_&amp;_R22"/>
      <sheetName val="Break_up_Sheet22"/>
      <sheetName val="TBAL9697_-group_wise__sdpl22"/>
      <sheetName val="Abstract_Sheet22"/>
      <sheetName val="V_O_4_-_PCC_Qty22"/>
      <sheetName val="Fill_this_out_first___22"/>
      <sheetName val="REVISED4A_PROG_PERF-SITE_122"/>
      <sheetName val="BOQ_Direct_selling_cost22"/>
      <sheetName val="BOQ_(2)22"/>
      <sheetName val="CABLE_DATA22"/>
      <sheetName val="Staff_Acco_22"/>
      <sheetName val="Pipe_Supports22"/>
      <sheetName val="final_abstract22"/>
      <sheetName val="Rev_S1_Abstract22"/>
      <sheetName val="Quantity_Abstract22"/>
      <sheetName val="M-Book_for_Conc22"/>
      <sheetName val="M-Book_for_FW22"/>
      <sheetName val="Load_Details-220kV22"/>
      <sheetName val="beam-reinft-IIInd_floor22"/>
      <sheetName val="INPUT_SHEET22"/>
      <sheetName val="Project_Budget_Worksheet22"/>
      <sheetName val="SANJAY_PAL22"/>
      <sheetName val="P_A_SELVAM22"/>
      <sheetName val="ANSARI_22"/>
      <sheetName val="abdesh_pal22"/>
      <sheetName val="sujay_bagchi22"/>
      <sheetName val="S_K_SINHA_BASU22"/>
      <sheetName val="KRISHNA_PRASAD22"/>
      <sheetName val="BARATH_&amp;_CO22"/>
      <sheetName val="L_B_YADAV22"/>
      <sheetName val="DEEPAK_KUMAR22"/>
      <sheetName val="MUKLAL_YADAV22"/>
      <sheetName val="MADHU_SUDHAN22"/>
      <sheetName val="SAUD_ALAM_22"/>
      <sheetName val="RAMESH_BABU22"/>
      <sheetName val="SAILEN_SARKAR22"/>
      <sheetName val="SANJAY_JENA122"/>
      <sheetName val="upendra_saw_22"/>
      <sheetName val="ALLOK_KUMAR_22"/>
      <sheetName val="except_wiring22"/>
      <sheetName val="BOQ_-II_ph_222"/>
      <sheetName val="STAFFSCHED_21"/>
      <sheetName val="Metso_-_Forth_&amp;_Slurry_11_02_31"/>
      <sheetName val="Fee_Rate_Summary21"/>
      <sheetName val="d-safe_specs21"/>
      <sheetName val="Quote_Sheet21"/>
      <sheetName val="class_&amp;_category21"/>
      <sheetName val="Rein-Final_(Ph_1+Ph2)21"/>
      <sheetName val="Materials_Cost(PCC)21"/>
      <sheetName val="220_11__BS_21"/>
      <sheetName val="SSR_&amp;_NSSR_Market_final21"/>
      <sheetName val="Site_wise_NADs21"/>
      <sheetName val="RA_RCC_F21"/>
      <sheetName val="India_F&amp;S_Template21"/>
      <sheetName val="Stress_Calculation21"/>
      <sheetName val="precast_RC_element21"/>
      <sheetName val="plinth_Beam_+_Stirrups_21"/>
      <sheetName val="GF_COLUMNS21"/>
      <sheetName val="G_F_ROOF_BEAM_21"/>
      <sheetName val="GF_SLAB_STEEL21"/>
      <sheetName val="GF_Lintel21"/>
      <sheetName val="GF_Stair21"/>
      <sheetName val="FF_COLUMNS21"/>
      <sheetName val="F_F__Steel_FINAL_(2)21"/>
      <sheetName val="FF_Lintel21"/>
      <sheetName val="FF_Stair21"/>
      <sheetName val="S_F__Steel_FINAL_21"/>
      <sheetName val="SF_Lintel21"/>
      <sheetName val="Debits_as_on_12_04_084"/>
      <sheetName val="PRRM_Dashboard4"/>
      <sheetName val="SPT_vs_PHI25"/>
      <sheetName val="glass_project_concrete25"/>
      <sheetName val="glass_project_reift25"/>
      <sheetName val="glass_project_indices25"/>
      <sheetName val="SBC-BH_1924"/>
      <sheetName val="Rate_Analysis24"/>
      <sheetName val="Summary_050624"/>
      <sheetName val="Summary_0607-_31_MAR24"/>
      <sheetName val="Civil_Boq23"/>
      <sheetName val="Pile_cap23"/>
      <sheetName val="BH_12-11-10-1324"/>
      <sheetName val="BH_12-11-10-924"/>
      <sheetName val="BH_36-15-3724"/>
      <sheetName val="BH_16-35-25-1724"/>
      <sheetName val="BH_35-25-1724"/>
      <sheetName val="Sheet1_(2)24"/>
      <sheetName val="d-safe_DELUXE23"/>
      <sheetName val="PRECAST_lightconc-II23"/>
      <sheetName val="Legal_Risk_Analysis23"/>
      <sheetName val="Mix_Design23"/>
      <sheetName val="Form_624"/>
      <sheetName val="PointNo_523"/>
      <sheetName val="RCC,Ret__Wall23"/>
      <sheetName val="E_&amp;_R23"/>
      <sheetName val="Break_up_Sheet23"/>
      <sheetName val="TBAL9697_-group_wise__sdpl23"/>
      <sheetName val="Abstract_Sheet23"/>
      <sheetName val="V_O_4_-_PCC_Qty23"/>
      <sheetName val="Fill_this_out_first___23"/>
      <sheetName val="REVISED4A_PROG_PERF-SITE_123"/>
      <sheetName val="BOQ_Direct_selling_cost23"/>
      <sheetName val="BOQ_(2)23"/>
      <sheetName val="CABLE_DATA23"/>
      <sheetName val="Staff_Acco_23"/>
      <sheetName val="Pipe_Supports23"/>
      <sheetName val="final_abstract23"/>
      <sheetName val="Rev_S1_Abstract23"/>
      <sheetName val="Quantity_Abstract23"/>
      <sheetName val="M-Book_for_Conc23"/>
      <sheetName val="M-Book_for_FW23"/>
      <sheetName val="Load_Details-220kV23"/>
      <sheetName val="beam-reinft-IIInd_floor23"/>
      <sheetName val="INPUT_SHEET23"/>
      <sheetName val="Project_Budget_Worksheet23"/>
      <sheetName val="SANJAY_PAL23"/>
      <sheetName val="P_A_SELVAM23"/>
      <sheetName val="ANSARI_23"/>
      <sheetName val="abdesh_pal23"/>
      <sheetName val="sujay_bagchi23"/>
      <sheetName val="S_K_SINHA_BASU23"/>
      <sheetName val="KRISHNA_PRASAD23"/>
      <sheetName val="BARATH_&amp;_CO23"/>
      <sheetName val="L_B_YADAV23"/>
      <sheetName val="DEEPAK_KUMAR23"/>
      <sheetName val="MUKLAL_YADAV23"/>
      <sheetName val="MADHU_SUDHAN23"/>
      <sheetName val="SAUD_ALAM_23"/>
      <sheetName val="RAMESH_BABU23"/>
      <sheetName val="SAILEN_SARKAR23"/>
      <sheetName val="SANJAY_JENA123"/>
      <sheetName val="upendra_saw_23"/>
      <sheetName val="ALLOK_KUMAR_23"/>
      <sheetName val="except_wiring23"/>
      <sheetName val="BOQ_-II_ph_223"/>
      <sheetName val="STAFFSCHED_22"/>
      <sheetName val="Metso_-_Forth_&amp;_Slurry_11_02_32"/>
      <sheetName val="Fee_Rate_Summary22"/>
      <sheetName val="d-safe_specs22"/>
      <sheetName val="Quote_Sheet22"/>
      <sheetName val="class_&amp;_category22"/>
      <sheetName val="Rein-Final_(Ph_1+Ph2)22"/>
      <sheetName val="Materials_Cost(PCC)22"/>
      <sheetName val="220_11__BS_22"/>
      <sheetName val="SSR_&amp;_NSSR_Market_final22"/>
      <sheetName val="Site_wise_NADs22"/>
      <sheetName val="RA_RCC_F22"/>
      <sheetName val="India_F&amp;S_Template22"/>
      <sheetName val="Stress_Calculation22"/>
      <sheetName val="precast_RC_element22"/>
      <sheetName val="plinth_Beam_+_Stirrups_22"/>
      <sheetName val="GF_COLUMNS22"/>
      <sheetName val="G_F_ROOF_BEAM_22"/>
      <sheetName val="GF_SLAB_STEEL22"/>
      <sheetName val="GF_Lintel22"/>
      <sheetName val="GF_Stair22"/>
      <sheetName val="FF_COLUMNS22"/>
      <sheetName val="F_F__Steel_FINAL_(2)22"/>
      <sheetName val="FF_Lintel22"/>
      <sheetName val="FF_Stair22"/>
      <sheetName val="S_F__Steel_FINAL_22"/>
      <sheetName val="SF_Lintel22"/>
      <sheetName val="Debits_as_on_12_04_085"/>
      <sheetName val="PRRM_Dashboard5"/>
      <sheetName val="Rates"/>
      <sheetName val="Cost_of_O_&amp;_O"/>
      <sheetName val="pr_cal"/>
      <sheetName val="Inputs_&amp;_Summary_Output"/>
      <sheetName val="Broad_Refresher_Model"/>
      <sheetName val="B@__@___$_"/>
      <sheetName val="B@__x0000__x0004_@_"/>
      <sheetName val="SàQa_x0005_@"/>
      <sheetName val="B@__x005f_x0000__x0"/>
      <sheetName val="SPT_vs_PHI26"/>
      <sheetName val="glass_project_concrete26"/>
      <sheetName val="glass_project_reift26"/>
      <sheetName val="glass_project_indices26"/>
      <sheetName val="SBC-BH_1925"/>
      <sheetName val="Rate_Analysis25"/>
      <sheetName val="Summary_050625"/>
      <sheetName val="Summary_0607-_31_MAR25"/>
      <sheetName val="Civil_Boq24"/>
      <sheetName val="Pile_cap24"/>
      <sheetName val="BH_12-11-10-1325"/>
      <sheetName val="BH_12-11-10-925"/>
      <sheetName val="BH_36-15-3725"/>
      <sheetName val="BH_16-35-25-1725"/>
      <sheetName val="BH_35-25-1725"/>
      <sheetName val="Sheet1_(2)25"/>
      <sheetName val="d-safe_DELUXE24"/>
      <sheetName val="PRECAST_lightconc-II24"/>
      <sheetName val="Legal_Risk_Analysis24"/>
      <sheetName val="Mix_Design24"/>
      <sheetName val="Form_625"/>
      <sheetName val="PointNo_524"/>
      <sheetName val="RCC,Ret__Wall24"/>
      <sheetName val="E_&amp;_R24"/>
      <sheetName val="Break_up_Sheet24"/>
      <sheetName val="TBAL9697_-group_wise__sdpl24"/>
      <sheetName val="Abstract_Sheet24"/>
      <sheetName val="V_O_4_-_PCC_Qty24"/>
      <sheetName val="Fill_this_out_first___24"/>
      <sheetName val="REVISED4A_PROG_PERF-SITE_124"/>
      <sheetName val="BOQ_Direct_selling_cost24"/>
      <sheetName val="BOQ_(2)24"/>
      <sheetName val="CABLE_DATA24"/>
      <sheetName val="Staff_Acco_24"/>
      <sheetName val="Pipe_Supports24"/>
      <sheetName val="final_abstract24"/>
      <sheetName val="Rev_S1_Abstract24"/>
      <sheetName val="Quantity_Abstract24"/>
      <sheetName val="M-Book_for_Conc24"/>
      <sheetName val="M-Book_for_FW24"/>
      <sheetName val="Load_Details-220kV24"/>
      <sheetName val="beam-reinft-IIInd_floor24"/>
      <sheetName val="INPUT_SHEET24"/>
      <sheetName val="Project_Budget_Worksheet24"/>
      <sheetName val="SANJAY_PAL24"/>
      <sheetName val="P_A_SELVAM24"/>
      <sheetName val="ANSARI_24"/>
      <sheetName val="abdesh_pal24"/>
      <sheetName val="sujay_bagchi24"/>
      <sheetName val="S_K_SINHA_BASU24"/>
      <sheetName val="KRISHNA_PRASAD24"/>
      <sheetName val="BARATH_&amp;_CO24"/>
      <sheetName val="L_B_YADAV24"/>
      <sheetName val="DEEPAK_KUMAR24"/>
      <sheetName val="MUKLAL_YADAV24"/>
      <sheetName val="MADHU_SUDHAN24"/>
      <sheetName val="SAUD_ALAM_24"/>
      <sheetName val="RAMESH_BABU24"/>
      <sheetName val="SAILEN_SARKAR24"/>
      <sheetName val="SANJAY_JENA124"/>
      <sheetName val="upendra_saw_24"/>
      <sheetName val="ALLOK_KUMAR_24"/>
      <sheetName val="except_wiring24"/>
      <sheetName val="BOQ_-II_ph_224"/>
      <sheetName val="STAFFSCHED_23"/>
      <sheetName val="Metso_-_Forth_&amp;_Slurry_11_02_33"/>
      <sheetName val="Fee_Rate_Summary23"/>
      <sheetName val="d-safe_specs23"/>
      <sheetName val="Quote_Sheet23"/>
      <sheetName val="class_&amp;_category23"/>
      <sheetName val="Rein-Final_(Ph_1+Ph2)23"/>
      <sheetName val="Materials_Cost(PCC)23"/>
      <sheetName val="220_11__BS_23"/>
      <sheetName val="SSR_&amp;_NSSR_Market_final23"/>
      <sheetName val="Site_wise_NADs23"/>
      <sheetName val="RA_RCC_F23"/>
      <sheetName val="India_F&amp;S_Template23"/>
      <sheetName val="Stress_Calculation23"/>
      <sheetName val="precast_RC_element23"/>
      <sheetName val="plinth_Beam_+_Stirrups_23"/>
      <sheetName val="GF_COLUMNS23"/>
      <sheetName val="G_F_ROOF_BEAM_23"/>
      <sheetName val="GF_SLAB_STEEL23"/>
      <sheetName val="GF_Lintel23"/>
      <sheetName val="GF_Stair23"/>
      <sheetName val="FF_COLUMNS23"/>
      <sheetName val="F_F__Steel_FINAL_(2)23"/>
      <sheetName val="FF_Lintel23"/>
      <sheetName val="FF_Stair23"/>
      <sheetName val="S_F__Steel_FINAL_23"/>
      <sheetName val="SF_Lintel23"/>
      <sheetName val="Debits_as_on_12_04_086"/>
      <sheetName val="PRRM_Dashboard6"/>
      <sheetName val="SPT_vs_PHI27"/>
      <sheetName val="glass_project_concrete27"/>
      <sheetName val="glass_project_reift27"/>
      <sheetName val="glass_project_indices27"/>
      <sheetName val="SBC-BH_1926"/>
      <sheetName val="Rate_Analysis26"/>
      <sheetName val="Summary_050626"/>
      <sheetName val="Summary_0607-_31_MAR26"/>
      <sheetName val="Civil_Boq25"/>
      <sheetName val="Pile_cap25"/>
      <sheetName val="BH_12-11-10-1326"/>
      <sheetName val="BH_12-11-10-926"/>
      <sheetName val="BH_36-15-3726"/>
      <sheetName val="BH_16-35-25-1726"/>
      <sheetName val="BH_35-25-1726"/>
      <sheetName val="Sheet1_(2)26"/>
      <sheetName val="d-safe_DELUXE25"/>
      <sheetName val="PRECAST_lightconc-II25"/>
      <sheetName val="Legal_Risk_Analysis25"/>
      <sheetName val="Mix_Design25"/>
      <sheetName val="Form_626"/>
      <sheetName val="PointNo_525"/>
      <sheetName val="RCC,Ret__Wall25"/>
      <sheetName val="E_&amp;_R25"/>
      <sheetName val="Break_up_Sheet25"/>
      <sheetName val="TBAL9697_-group_wise__sdpl25"/>
      <sheetName val="Abstract_Sheet25"/>
      <sheetName val="V_O_4_-_PCC_Qty25"/>
      <sheetName val="Fill_this_out_first___25"/>
      <sheetName val="REVISED4A_PROG_PERF-SITE_125"/>
      <sheetName val="BOQ_Direct_selling_cost25"/>
      <sheetName val="BOQ_(2)25"/>
      <sheetName val="CABLE_DATA25"/>
      <sheetName val="Staff_Acco_25"/>
      <sheetName val="Pipe_Supports25"/>
      <sheetName val="final_abstract25"/>
      <sheetName val="Rev_S1_Abstract25"/>
      <sheetName val="Quantity_Abstract25"/>
      <sheetName val="M-Book_for_Conc25"/>
      <sheetName val="M-Book_for_FW25"/>
      <sheetName val="Load_Details-220kV25"/>
      <sheetName val="beam-reinft-IIInd_floor25"/>
      <sheetName val="INPUT_SHEET25"/>
      <sheetName val="Project_Budget_Worksheet25"/>
      <sheetName val="SANJAY_PAL25"/>
      <sheetName val="P_A_SELVAM25"/>
      <sheetName val="ANSARI_25"/>
      <sheetName val="abdesh_pal25"/>
      <sheetName val="sujay_bagchi25"/>
      <sheetName val="S_K_SINHA_BASU25"/>
      <sheetName val="KRISHNA_PRASAD25"/>
      <sheetName val="BARATH_&amp;_CO25"/>
      <sheetName val="L_B_YADAV25"/>
      <sheetName val="DEEPAK_KUMAR25"/>
      <sheetName val="MUKLAL_YADAV25"/>
      <sheetName val="MADHU_SUDHAN25"/>
      <sheetName val="SAUD_ALAM_25"/>
      <sheetName val="RAMESH_BABU25"/>
      <sheetName val="SAILEN_SARKAR25"/>
      <sheetName val="SANJAY_JENA125"/>
      <sheetName val="upendra_saw_25"/>
      <sheetName val="ALLOK_KUMAR_25"/>
      <sheetName val="except_wiring25"/>
      <sheetName val="BOQ_-II_ph_225"/>
      <sheetName val="STAFFSCHED_24"/>
      <sheetName val="Metso_-_Forth_&amp;_Slurry_11_02_34"/>
      <sheetName val="Fee_Rate_Summary24"/>
      <sheetName val="d-safe_specs24"/>
      <sheetName val="Quote_Sheet24"/>
      <sheetName val="class_&amp;_category24"/>
      <sheetName val="Rein-Final_(Ph_1+Ph2)24"/>
      <sheetName val="Materials_Cost(PCC)24"/>
      <sheetName val="220_11__BS_24"/>
      <sheetName val="SSR_&amp;_NSSR_Market_final24"/>
      <sheetName val="Site_wise_NADs24"/>
      <sheetName val="RA_RCC_F24"/>
      <sheetName val="India_F&amp;S_Template24"/>
      <sheetName val="Stress_Calculation24"/>
      <sheetName val="precast_RC_element24"/>
      <sheetName val="plinth_Beam_+_Stirrups_24"/>
      <sheetName val="GF_COLUMNS24"/>
      <sheetName val="G_F_ROOF_BEAM_24"/>
      <sheetName val="GF_SLAB_STEEL24"/>
      <sheetName val="GF_Lintel24"/>
      <sheetName val="GF_Stair24"/>
      <sheetName val="FF_COLUMNS24"/>
      <sheetName val="F_F__Steel_FINAL_(2)24"/>
      <sheetName val="FF_Lintel24"/>
      <sheetName val="FF_Stair24"/>
      <sheetName val="S_F__Steel_FINAL_24"/>
      <sheetName val="SF_Lintel24"/>
      <sheetName val="Debits_as_on_12_04_087"/>
      <sheetName val="PRRM_Dashboard7"/>
      <sheetName val="Measurements"/>
      <sheetName val="Flooring"/>
      <sheetName val="Ceilings"/>
      <sheetName val="ACAD Finishes"/>
      <sheetName val="Site Details"/>
      <sheetName val="Chair"/>
      <sheetName val="Site Area Statement"/>
      <sheetName val="Doors"/>
      <sheetName val="4NEXRA"/>
      <sheetName val=" "/>
      <sheetName val="Basic Rate"/>
      <sheetName val="INFLUENCES ON GM"/>
      <sheetName val="Ins &amp; Bonds"/>
      <sheetName val="Site facilities"/>
      <sheetName val="Clients Requirements"/>
      <sheetName val="Legend"/>
      <sheetName val="B@___x005f_x005f_x005f_x0004_@_"/>
      <sheetName val="B@__x005f_x005f_x005f_x005f_x00"/>
      <sheetName val="SàQa_x0005_@_x0000__x0000__x000"/>
      <sheetName val="B@___x005f_x005f_x005f_x005f_x0"/>
      <sheetName val="MASTER_RATE ANALYSIS"/>
      <sheetName val="syndicate codes"/>
      <sheetName val="1.01 (a)"/>
      <sheetName val="PL-ST-6"/>
      <sheetName val="Labour Rate "/>
      <sheetName val="(M+L)"/>
      <sheetName val="BTB"/>
      <sheetName val="cf"/>
      <sheetName val="orders"/>
      <sheetName val="Vind - BtB"/>
      <sheetName val="R2"/>
      <sheetName val="[Spt-BH.xls]B____x005f_x0004________4"/>
      <sheetName val="[Spt-BH.xls]B___x005f_x0000__x005f_x0004__4"/>
      <sheetName val="[Spt-BH.xls][Spt-BH.xls]B___221"/>
      <sheetName val="[Spt-BH.xls][Spt-BH.xls]B___227"/>
      <sheetName val="[Spt-BH.xls][Spt-BH.xls]B____63"/>
      <sheetName val="[Spt-BH.xls][Spt-BH.xls]B____64"/>
      <sheetName val="[Spt-BH.xls][Spt-BH.xls]_Spt_27"/>
      <sheetName val="[Spt-BH.xls][Spt-BH.xls]B____65"/>
      <sheetName val="[Spt-BH.xls][Spt-BH.xls]B____66"/>
      <sheetName val="[Spt-BH.xls][Spt-BH.xls]B____67"/>
      <sheetName val="[Spt-BH.xls][Spt-BH.xls]_Spt_22"/>
      <sheetName val="[Spt-BH.xls][Spt-BH.xls]B____93"/>
      <sheetName val="[Spt-BH.xls][Spt-BH.xls]B____94"/>
      <sheetName val="[Spt-BH.xls][Spt-BH.xls]_Spt_29"/>
      <sheetName val="[Spt-BH.xls][Spt-BH.xls]B____95"/>
      <sheetName val="[Spt-BH.xls][Spt-BH.xls]B____96"/>
      <sheetName val="[Spt-BH.xls]B____x005f_x0004________5"/>
      <sheetName val="[Spt-BH.xls]B___x005f_x0000__x005f_x0004__5"/>
      <sheetName val="[Spt-BH.xls][Spt-BH.xls]B____97"/>
      <sheetName val="[Spt-BH.xls][Spt-BH.xls]B____68"/>
      <sheetName val="[Spt-BH.xls][Spt-BH.xls]B____98"/>
      <sheetName val="[Spt-BH.xls][Spt-BH.xls]_Spt_21"/>
      <sheetName val="[Spt-BH.xls][Spt-BH.xls]_Spt_26"/>
      <sheetName val="[Spt-BH.xls][Spt-BH.xls]B____87"/>
      <sheetName val="[Spt-BH.xls][Spt-BH.xls]B____88"/>
      <sheetName val="[Spt-BH.xls][Spt-BH.xls]B____89"/>
      <sheetName val="[Spt-BH.xls][Spt-BH.xls]B____90"/>
      <sheetName val="[Spt-BH.xls][Spt-BH.xls]B____91"/>
      <sheetName val="[Spt-BH.xls][Spt-BH.xls]B____92"/>
      <sheetName val="[Spt-BH.xls][Spt-BH.xls]B____69"/>
      <sheetName val="[Spt-BH.xls][Spt-BH.xls]B____70"/>
      <sheetName val="[Spt-BH.xls][Spt-BH.xls]_Spt_24"/>
      <sheetName val="[Spt-BH.xls][Spt-BH.xls]B____71"/>
      <sheetName val="[Spt-BH.xls][Spt-BH.xls]B____72"/>
      <sheetName val="[Spt-BH.xls][Spt-BH.xls]B____73"/>
      <sheetName val="[Spt-BH.xls][Spt-BH.xls]_Spt_23"/>
      <sheetName val="[Spt-BH.xls][Spt-BH.xls]B____74"/>
      <sheetName val="[Spt-BH.xls][Spt-BH.xls]B____75"/>
      <sheetName val="[Spt-BH.xls][Spt-BH.xls]B____76"/>
      <sheetName val="[Spt-BH.xls][Spt-BH.xls]B____77"/>
      <sheetName val="[Spt-BH.xls][Spt-BH.xls]B____78"/>
      <sheetName val="[Spt-BH.xls]B____x005f_x0004________6"/>
      <sheetName val="[Spt-BH.xls]B___x005f_x0000__x005f_x0004__6"/>
      <sheetName val="[Spt-BH.xls][Spt-BH.xls]B____79"/>
      <sheetName val="[Spt-BH.xls][Spt-BH.xls]B____80"/>
      <sheetName val="[Spt-BH.xls]B____x005f_x0004________7"/>
      <sheetName val="[Spt-BH.xls]B___x005f_x0000__x005f_x0004__7"/>
      <sheetName val="[Spt-BH.xls][Spt-BH.xls]_Spt_25"/>
      <sheetName val="[Spt-BH.xls][Spt-BH.xls]B____81"/>
      <sheetName val="[Spt-BH.xls][Spt-BH.xls]B____82"/>
      <sheetName val="[Spt-BH.xls][Spt-BH.xls]B____83"/>
      <sheetName val="[Spt-BH.xls][Spt-BH.xls]B____84"/>
      <sheetName val="[Spt-BH.xls][Spt-BH.xls]B____85"/>
      <sheetName val="[Spt-BH.xls][Spt-BH.xls]B____86"/>
      <sheetName val="[Spt-BH.xls][Spt-BH.xls]B____99"/>
      <sheetName val="[Spt-BH.xls][Spt-BH.xls]B___100"/>
      <sheetName val="[Spt-BH.xls][Spt-BH.xls]_Spt_33"/>
      <sheetName val="[Spt-BH.xls][Spt-BH.xls]B___101"/>
      <sheetName val="[Spt-BH.xls][Spt-BH.xls]B___102"/>
      <sheetName val="[Spt-BH.xls][Spt-BH.xls]B___103"/>
      <sheetName val="[Spt-BH.xls][Spt-BH.xls]B___117"/>
      <sheetName val="[Spt-BH.xls][Spt-BH.xls]B___118"/>
      <sheetName val="[Spt-BH.xls][Spt-BH.xls]_Spt_34"/>
      <sheetName val="[Spt-BH.xls][Spt-BH.xls]B___119"/>
      <sheetName val="[Spt-BH.xls][Spt-BH.xls]B___120"/>
      <sheetName val="[Spt-BH.xls]B____x005f_x0004________8"/>
      <sheetName val="[Spt-BH.xls]B___x005f_x0000__x005f_x0004__8"/>
      <sheetName val="[Spt-BH.xls][Spt-BH.xls]B___121"/>
      <sheetName val="[Spt-BH.xls][Spt-BH.xls]B___104"/>
      <sheetName val="[Spt-BH.xls][Spt-BH.xls]B___122"/>
      <sheetName val="[Spt-BH.xls][Spt-BH.xls]_Spt_28"/>
      <sheetName val="[Spt-BH.xls][Spt-BH.xls]_Spt_30"/>
      <sheetName val="[Spt-BH.xls][Spt-BH.xls]B___105"/>
      <sheetName val="[Spt-BH.xls][Spt-BH.xls]B___106"/>
      <sheetName val="[Spt-BH.xls][Spt-BH.xls]_Spt_31"/>
      <sheetName val="[Spt-BH.xls][Spt-BH.xls]B___107"/>
      <sheetName val="[Spt-BH.xls][Spt-BH.xls]B___108"/>
      <sheetName val="[Spt-BH.xls][Spt-BH.xls]B___109"/>
      <sheetName val="[Spt-BH.xls][Spt-BH.xls]B___110"/>
      <sheetName val="[Spt-BH.xls][Spt-BH.xls]B___111"/>
      <sheetName val="[Spt-BH.xls][Spt-BH.xls]B___112"/>
      <sheetName val="[Spt-BH.xls][Spt-BH.xls]_Spt_32"/>
      <sheetName val="[Spt-BH.xls][Spt-BH.xls]B___113"/>
      <sheetName val="[Spt-BH.xls][Spt-BH.xls]B___114"/>
      <sheetName val="[Spt-BH.xls][Spt-BH.xls]B___115"/>
      <sheetName val="[Spt-BH.xls][Spt-BH.xls]B___116"/>
      <sheetName val="[Spt-BH.xls][Spt-BH.xls]B___123"/>
      <sheetName val="[Spt-BH.xls][Spt-BH.xls]B___124"/>
      <sheetName val="[Spt-BH.xls][Spt-BH.xls]_Spt_38"/>
      <sheetName val="[Spt-BH.xls][Spt-BH.xls]B___125"/>
      <sheetName val="[Spt-BH.xls][Spt-BH.xls]B___126"/>
      <sheetName val="[Spt-BH.xls][Spt-BH.xls]B___127"/>
      <sheetName val="[Spt-BH.xls][Spt-BH.xls]B___141"/>
      <sheetName val="[Spt-BH.xls][Spt-BH.xls]B___142"/>
      <sheetName val="[Spt-BH.xls][Spt-BH.xls]_Spt_39"/>
      <sheetName val="[Spt-BH.xls][Spt-BH.xls]B___143"/>
      <sheetName val="[Spt-BH.xls][Spt-BH.xls]B___144"/>
      <sheetName val="[Spt-BH.xls]B____x005f_x0004________9"/>
      <sheetName val="[Spt-BH.xls]B___x005f_x0000__x005f_x0004__9"/>
      <sheetName val="[Spt-BH.xls][Spt-BH.xls]B___145"/>
      <sheetName val="[Spt-BH.xls][Spt-BH.xls]B___128"/>
      <sheetName val="[Spt-BH.xls][Spt-BH.xls]B___146"/>
      <sheetName val="[Spt-BH.xls][Spt-BH.xls]B___135"/>
      <sheetName val="[Spt-BH.xls][Spt-BH.xls]B___136"/>
      <sheetName val="[Spt-BH.xls][Spt-BH.xls]B___137"/>
      <sheetName val="[Spt-BH.xls][Spt-BH.xls]B___138"/>
      <sheetName val="[Spt-BH.xls][Spt-BH.xls]B___139"/>
      <sheetName val="[Spt-BH.xls][Spt-BH.xls]_Spt_37"/>
      <sheetName val="[Spt-BH.xls]B____x005f_x0004_______11"/>
      <sheetName val="[Spt-BH.xls]B___x005f_x0000__x005f_x0004_11"/>
      <sheetName val="[Spt-BH.xls][Spt-BH.xls]B___140"/>
      <sheetName val="[Spt-BH.xls][Spt-BH.xls]_Spt_35"/>
      <sheetName val="[Spt-BH.xls][Spt-BH.xls]B___129"/>
      <sheetName val="[Spt-BH.xls][Spt-BH.xls]B___130"/>
      <sheetName val="[Spt-BH.xls][Spt-BH.xls]B___131"/>
      <sheetName val="[Spt-BH.xls][Spt-BH.xls]B___132"/>
      <sheetName val="[Spt-BH.xls][Spt-BH.xls]B___133"/>
      <sheetName val="[Spt-BH.xls][Spt-BH.xls]_Spt_36"/>
      <sheetName val="[Spt-BH.xls]B____x005f_x0004_______10"/>
      <sheetName val="[Spt-BH.xls]B___x005f_x0000__x005f_x0004_10"/>
      <sheetName val="[Spt-BH.xls][Spt-BH.xls]B___134"/>
      <sheetName val="[Spt-BH.xls][Spt-BH.xls]_Spt_40"/>
      <sheetName val="[Spt-BH.xls][Spt-BH.xls]B___147"/>
      <sheetName val="[Spt-BH.xls][Spt-BH.xls]B___148"/>
      <sheetName val="[Spt-BH.xls][Spt-BH.xls]_Spt_47"/>
      <sheetName val="[Spt-BH.xls][Spt-BH.xls]B___149"/>
      <sheetName val="[Spt-BH.xls][Spt-BH.xls]B___150"/>
      <sheetName val="[Spt-BH.xls][Spt-BH.xls]B___151"/>
      <sheetName val="[Spt-BH.xls][Spt-BH.xls]B___152"/>
      <sheetName val="[Spt-BH.xls][Spt-BH.xls]B___165"/>
      <sheetName val="[Spt-BH.xls][Spt-BH.xls]B___166"/>
      <sheetName val="[Spt-BH.xls][Spt-BH.xls]_Spt_48"/>
      <sheetName val="[Spt-BH.xls][Spt-BH.xls]B___167"/>
      <sheetName val="[Spt-BH.xls][Spt-BH.xls]B___168"/>
      <sheetName val="[Spt-BH.xls][Spt-BH.xls]B___169"/>
      <sheetName val="[Spt-BH.xls][Spt-BH.xls]B___171"/>
      <sheetName val="[Spt-BH.xls][Spt-BH.xls]B___172"/>
      <sheetName val="[Spt-BH.xls][Spt-BH.xls]_Spt_49"/>
      <sheetName val="[Spt-BH.xls][Spt-BH.xls]B___173"/>
      <sheetName val="[Spt-BH.xls][Spt-BH.xls]B___174"/>
      <sheetName val="[Spt-BH.xls]B____x005f_x0004_______13"/>
      <sheetName val="[Spt-BH.xls]B___x005f_x0000__x005f_x0004_13"/>
      <sheetName val="[Spt-BH.xls][Spt-BH.xls]B___175"/>
      <sheetName val="[Spt-BH.xls][Spt-BH.xls]B___170"/>
      <sheetName val="[Spt-BH.xls][Spt-BH.xls]B___176"/>
      <sheetName val="[Spt-BH.xls][Spt-BH.xls]_Spt_42"/>
      <sheetName val="[Spt-BH.xls][Spt-BH.xls]_Spt_41"/>
      <sheetName val="[Spt-BH.xls][Spt-BH.xls]_Spt_43"/>
      <sheetName val="[Spt-BH.xls][Spt-BH.xls]_Spt_44"/>
      <sheetName val="[Spt-BH.xls][Spt-BH.xls]B___153"/>
      <sheetName val="[Spt-BH.xls][Spt-BH.xls]B___154"/>
      <sheetName val="[Spt-BH.xls][Spt-BH.xls]_Spt_45"/>
      <sheetName val="[Spt-BH.xls][Spt-BH.xls]B___155"/>
      <sheetName val="[Spt-BH.xls][Spt-BH.xls]B___156"/>
      <sheetName val="[Spt-BH.xls][Spt-BH.xls]B___157"/>
      <sheetName val="[Spt-BH.xls][Spt-BH.xls]B___158"/>
      <sheetName val="[Spt-BH.xls][Spt-BH.xls]_Spt_46"/>
      <sheetName val="[Spt-BH.xls][Spt-BH.xls]B___159"/>
      <sheetName val="[Spt-BH.xls][Spt-BH.xls]B___160"/>
      <sheetName val="[Spt-BH.xls][Spt-BH.xls]B___161"/>
      <sheetName val="[Spt-BH.xls][Spt-BH.xls]B___162"/>
      <sheetName val="[Spt-BH.xls][Spt-BH.xls]B___163"/>
      <sheetName val="[Spt-BH.xls]B____x005f_x0004_______12"/>
      <sheetName val="[Spt-BH.xls]B___x005f_x0000__x005f_x0004_12"/>
      <sheetName val="[Spt-BH.xls][Spt-BH.xls]B___164"/>
      <sheetName val="[Spt-BH.xls][Spt-BH.xls]B___177"/>
      <sheetName val="[Spt-BH.xls][Spt-BH.xls]B___178"/>
      <sheetName val="[Spt-BH.xls][Spt-BH.xls]_Spt_53"/>
      <sheetName val="[Spt-BH.xls][Spt-BH.xls]B___179"/>
      <sheetName val="[Spt-BH.xls][Spt-BH.xls]B___180"/>
      <sheetName val="[Spt-BH.xls]B____x005f_x0004_______14"/>
      <sheetName val="[Spt-BH.xls]B___x005f_x0000__x005f_x0004_14"/>
      <sheetName val="[Spt-BH.xls][Spt-BH.xls]B___181"/>
      <sheetName val="[Spt-BH.xls][Spt-BH.xls]B___182"/>
      <sheetName val="[Spt-BH.xls][Spt-BH.xls]_Spt_51"/>
      <sheetName val="[Spt-BH.xls][Spt-BH.xls]_Spt_52"/>
      <sheetName val="[Spt-BH.xls][Spt-BH.xls]_Spt_50"/>
      <sheetName val="[Spt-BH.xls][Spt-BH.xls]B___183"/>
      <sheetName val="[Spt-BH.xls][Spt-BH.xls]B___184"/>
      <sheetName val="[Spt-BH.xls][Spt-BH.xls]B___185"/>
      <sheetName val="[Spt-BH.xls][Spt-BH.xls]B___186"/>
      <sheetName val="[Spt-BH.xls][Spt-BH.xls]B___187"/>
      <sheetName val="[Spt-BH.xls][Spt-BH.xls]B___188"/>
      <sheetName val="[Spt-BH.xls][Spt-BH.xls]B___189"/>
      <sheetName val="[Spt-BH.xls][Spt-BH.xls]B___190"/>
      <sheetName val="[Spt-BH.xls][Spt-BH.xls]_Spt_54"/>
      <sheetName val="[Spt-BH.xls][Spt-BH.xls]B___191"/>
      <sheetName val="[Spt-BH.xls][Spt-BH.xls]B___192"/>
      <sheetName val="[Spt-BH.xls][Spt-BH.xls]B___193"/>
      <sheetName val="Break_Up (bc)"/>
      <sheetName val="Break_Up (bc1)"/>
      <sheetName val="Break_Up (bc2)"/>
      <sheetName val="SPT_vs_PHI28"/>
      <sheetName val="glass_project_concrete28"/>
      <sheetName val="glass_project_reift28"/>
      <sheetName val="glass_project_indices28"/>
      <sheetName val="Summary_050627"/>
      <sheetName val="Summary_0607-_31_MAR27"/>
      <sheetName val="Civil_Boq26"/>
      <sheetName val="Break_up_Sheet26"/>
      <sheetName val="SBC-BH_1927"/>
      <sheetName val="Rate_Analysis27"/>
      <sheetName val="TBAL9697_-group_wise__sdpl26"/>
      <sheetName val="Abstract_Sheet26"/>
      <sheetName val="Pile_cap26"/>
      <sheetName val="V_O_4_-_PCC_Qty26"/>
      <sheetName val="Legal_Risk_Analysis26"/>
      <sheetName val="BH_12-11-10-1327"/>
      <sheetName val="BH_12-11-10-927"/>
      <sheetName val="BH_36-15-3727"/>
      <sheetName val="BH_16-35-25-1727"/>
      <sheetName val="BH_35-25-1727"/>
      <sheetName val="Sheet1_(2)27"/>
      <sheetName val="d-safe_DELUXE26"/>
      <sheetName val="PRECAST_lightconc-II26"/>
      <sheetName val="RCC,Ret__Wall26"/>
      <sheetName val="Form_627"/>
      <sheetName val="PointNo_526"/>
      <sheetName val="E_&amp;_R26"/>
      <sheetName val="Mix_Design26"/>
      <sheetName val="CABLE_DATA26"/>
      <sheetName val="Fill_this_out_first___26"/>
      <sheetName val="REVISED4A_PROG_PERF-SITE_126"/>
      <sheetName val="BOQ_Direct_selling_cost26"/>
      <sheetName val="BOQ_(2)26"/>
      <sheetName val="final_abstract26"/>
      <sheetName val="Rev_S1_Abstract26"/>
      <sheetName val="Quantity_Abstract26"/>
      <sheetName val="Staff_Acco_26"/>
      <sheetName val="Pipe_Supports26"/>
      <sheetName val="M-Book_for_Conc26"/>
      <sheetName val="M-Book_for_FW26"/>
      <sheetName val="beam-reinft-IIInd_floor26"/>
      <sheetName val="INPUT_SHEET26"/>
      <sheetName val="Load_Details-220kV26"/>
      <sheetName val="Project_Budget_Worksheet26"/>
      <sheetName val="SANJAY_PAL26"/>
      <sheetName val="P_A_SELVAM26"/>
      <sheetName val="ANSARI_26"/>
      <sheetName val="abdesh_pal26"/>
      <sheetName val="sujay_bagchi26"/>
      <sheetName val="S_K_SINHA_BASU26"/>
      <sheetName val="KRISHNA_PRASAD26"/>
      <sheetName val="BARATH_&amp;_CO26"/>
      <sheetName val="L_B_YADAV26"/>
      <sheetName val="DEEPAK_KUMAR26"/>
      <sheetName val="MUKLAL_YADAV26"/>
      <sheetName val="MADHU_SUDHAN26"/>
      <sheetName val="SAUD_ALAM_26"/>
      <sheetName val="RAMESH_BABU26"/>
      <sheetName val="SAILEN_SARKAR26"/>
      <sheetName val="SANJAY_JENA126"/>
      <sheetName val="upendra_saw_26"/>
      <sheetName val="ALLOK_KUMAR_26"/>
      <sheetName val="except_wiring26"/>
      <sheetName val="BOQ_-II_ph_226"/>
      <sheetName val="STAFFSCHED_25"/>
      <sheetName val="Fee_Rate_Summary25"/>
      <sheetName val="d-safe_specs25"/>
      <sheetName val="Metso_-_Forth_&amp;_Slurry_11_02_35"/>
      <sheetName val="Site_wise_NADs25"/>
      <sheetName val="class_&amp;_category25"/>
      <sheetName val="Quote_Sheet25"/>
      <sheetName val="220_11__BS_25"/>
      <sheetName val="Rein-Final_(Ph_1+Ph2)25"/>
      <sheetName val="Materials_Cost(PCC)25"/>
      <sheetName val="SSR_&amp;_NSSR_Market_final25"/>
      <sheetName val="Debits_as_on_12_04_088"/>
      <sheetName val="India_F&amp;S_Template25"/>
      <sheetName val="PRRM_Dashboard8"/>
      <sheetName val="Stress_Calculation25"/>
      <sheetName val="precast_RC_element25"/>
      <sheetName val="RA_RCC_F25"/>
      <sheetName val="plinth_Beam_+_Stirrups_25"/>
      <sheetName val="GF_COLUMNS25"/>
      <sheetName val="G_F_ROOF_BEAM_25"/>
      <sheetName val="GF_SLAB_STEEL25"/>
      <sheetName val="GF_Lintel25"/>
      <sheetName val="GF_Stair25"/>
      <sheetName val="FF_COLUMNS25"/>
      <sheetName val="F_F__Steel_FINAL_(2)25"/>
      <sheetName val="FF_Lintel25"/>
      <sheetName val="FF_Stair25"/>
      <sheetName val="S_F__Steel_FINAL_25"/>
      <sheetName val="SF_Lintel25"/>
      <sheetName val="Material_List_"/>
      <sheetName val="B@_@_x0000"/>
      <sheetName val="SPT_vs_PHI29"/>
      <sheetName val="glass_project_concrete29"/>
      <sheetName val="glass_project_reift29"/>
      <sheetName val="glass_project_indices29"/>
      <sheetName val="Summary_050628"/>
      <sheetName val="Summary_0607-_31_MAR28"/>
      <sheetName val="Civil_Boq27"/>
      <sheetName val="Break_up_Sheet27"/>
      <sheetName val="SBC-BH_1928"/>
      <sheetName val="Rate_Analysis28"/>
      <sheetName val="TBAL9697_-group_wise__sdpl27"/>
      <sheetName val="Abstract_Sheet27"/>
      <sheetName val="Pile_cap27"/>
      <sheetName val="V_O_4_-_PCC_Qty27"/>
      <sheetName val="Legal_Risk_Analysis27"/>
      <sheetName val="BH_12-11-10-1328"/>
      <sheetName val="BH_12-11-10-928"/>
      <sheetName val="BH_36-15-3728"/>
      <sheetName val="BH_16-35-25-1728"/>
      <sheetName val="BH_35-25-1728"/>
      <sheetName val="Sheet1_(2)28"/>
      <sheetName val="d-safe_DELUXE27"/>
      <sheetName val="PRECAST_lightconc-II27"/>
      <sheetName val="RCC,Ret__Wall27"/>
      <sheetName val="Form_628"/>
      <sheetName val="PointNo_527"/>
      <sheetName val="E_&amp;_R27"/>
      <sheetName val="Mix_Design27"/>
      <sheetName val="CABLE_DATA27"/>
      <sheetName val="Fill_this_out_first___27"/>
      <sheetName val="REVISED4A_PROG_PERF-SITE_127"/>
      <sheetName val="BOQ_Direct_selling_cost27"/>
      <sheetName val="BOQ_(2)27"/>
      <sheetName val="final_abstract27"/>
      <sheetName val="Rev_S1_Abstract27"/>
      <sheetName val="Quantity_Abstract27"/>
      <sheetName val="Staff_Acco_27"/>
      <sheetName val="Pipe_Supports27"/>
      <sheetName val="M-Book_for_Conc27"/>
      <sheetName val="M-Book_for_FW27"/>
      <sheetName val="beam-reinft-IIInd_floor27"/>
      <sheetName val="INPUT_SHEET27"/>
      <sheetName val="Load_Details-220kV27"/>
      <sheetName val="Project_Budget_Worksheet27"/>
      <sheetName val="SANJAY_PAL27"/>
      <sheetName val="P_A_SELVAM27"/>
      <sheetName val="ANSARI_27"/>
      <sheetName val="abdesh_pal27"/>
      <sheetName val="sujay_bagchi27"/>
      <sheetName val="S_K_SINHA_BASU27"/>
      <sheetName val="KRISHNA_PRASAD27"/>
      <sheetName val="BARATH_&amp;_CO27"/>
      <sheetName val="L_B_YADAV27"/>
      <sheetName val="DEEPAK_KUMAR27"/>
      <sheetName val="MUKLAL_YADAV27"/>
      <sheetName val="MADHU_SUDHAN27"/>
      <sheetName val="SAUD_ALAM_27"/>
      <sheetName val="RAMESH_BABU27"/>
      <sheetName val="SAILEN_SARKAR27"/>
      <sheetName val="SANJAY_JENA127"/>
      <sheetName val="upendra_saw_27"/>
      <sheetName val="ALLOK_KUMAR_27"/>
      <sheetName val="except_wiring27"/>
      <sheetName val="BOQ_-II_ph_227"/>
      <sheetName val="STAFFSCHED_26"/>
      <sheetName val="Fee_Rate_Summary26"/>
      <sheetName val="d-safe_specs26"/>
      <sheetName val="Metso_-_Forth_&amp;_Slurry_11_02_36"/>
      <sheetName val="Site_wise_NADs26"/>
      <sheetName val="class_&amp;_category26"/>
      <sheetName val="Quote_Sheet26"/>
      <sheetName val="220_11__BS_26"/>
      <sheetName val="Rein-Final_(Ph_1+Ph2)26"/>
      <sheetName val="Materials_Cost(PCC)26"/>
      <sheetName val="SSR_&amp;_NSSR_Market_final26"/>
      <sheetName val="Debits_as_on_12_04_089"/>
      <sheetName val="India_F&amp;S_Template26"/>
      <sheetName val="PRRM_Dashboard9"/>
      <sheetName val="Stress_Calculation26"/>
      <sheetName val="precast_RC_element26"/>
      <sheetName val="RA_RCC_F26"/>
      <sheetName val="plinth_Beam_+_Stirrups_26"/>
      <sheetName val="GF_COLUMNS26"/>
      <sheetName val="G_F_ROOF_BEAM_26"/>
      <sheetName val="GF_SLAB_STEEL26"/>
      <sheetName val="GF_Lintel26"/>
      <sheetName val="GF_Stair26"/>
      <sheetName val="FF_COLUMNS26"/>
      <sheetName val="F_F__Steel_FINAL_(2)26"/>
      <sheetName val="FF_Lintel26"/>
      <sheetName val="FF_Stair26"/>
      <sheetName val="S_F__Steel_FINAL_26"/>
      <sheetName val="SF_Lintel26"/>
      <sheetName val="Inputs_&amp;_Summary_Output1"/>
      <sheetName val="Broad_Refresher_Model1"/>
      <sheetName val="Assumption Inputs"/>
      <sheetName val="Steel Payment Doc"/>
      <sheetName val="[Spt-BH.xls][Spt-BH.xls]B___204"/>
      <sheetName val="[Spt-BH.xls][Spt-BH.xls]B___205"/>
      <sheetName val="[Spt-BH.xls][Spt-BH.xls]_Spt_57"/>
      <sheetName val="[Spt-BH.xls][Spt-BH.xls]B___206"/>
      <sheetName val="[Spt-BH.xls][Spt-BH.xls]B___207"/>
      <sheetName val="[Spt-BH.xls][Spt-BH.xls]B___208"/>
      <sheetName val="[Spt-BH.xls][Spt-BH.xls]_Spt_56"/>
      <sheetName val="[Spt-BH.xls][Spt-BH.xls]B___194"/>
      <sheetName val="[Spt-BH.xls][Spt-BH.xls]B___195"/>
      <sheetName val="[Spt-BH.xls][Spt-BH.xls]B___196"/>
      <sheetName val="[Spt-BH.xls][Spt-BH.xls]B___197"/>
      <sheetName val="[Spt-BH.xls][Spt-BH.xls]B___198"/>
      <sheetName val="[Spt-BH.xls][Spt-BH.xls]B___210"/>
      <sheetName val="[Spt-BH.xls][Spt-BH.xls]B___211"/>
      <sheetName val="[Spt-BH.xls][Spt-BH.xls]_Spt_58"/>
      <sheetName val="[Spt-BH.xls][Spt-BH.xls]B___212"/>
      <sheetName val="[Spt-BH.xls][Spt-BH.xls]B___213"/>
      <sheetName val="[Spt-BH.xls]B____x005f_x0004_______15"/>
      <sheetName val="[Spt-BH.xls]B___x005f_x0000__x005f_x0004_15"/>
      <sheetName val="[Spt-BH.xls][Spt-BH.xls]B___214"/>
      <sheetName val="[Spt-BH.xls][Spt-BH.xls]B___209"/>
      <sheetName val="[Spt-BH.xls][Spt-BH.xls]B___215"/>
      <sheetName val="[Spt-BH.xls][Spt-BH.xls]B___199"/>
      <sheetName val="[Spt-BH.xls][Spt-BH.xls]B___200"/>
      <sheetName val="[Spt-BH.xls][Spt-BH.xls]B___201"/>
      <sheetName val="[Spt-BH.xls][Spt-BH.xls]B___202"/>
      <sheetName val="[Spt-BH.xls][Spt-BH.xls]B___203"/>
      <sheetName val="[Spt-BH.xls][Spt-BH.xls]_Spt_55"/>
      <sheetName val="[Spt-BH.xls][Spt-BH.xls]_Spt_60"/>
      <sheetName val="[Spt-BH.xls][Spt-BH.xls]_Spt_59"/>
      <sheetName val="2 BHK"/>
      <sheetName val="BALANCE-IOTL "/>
      <sheetName val="Basic Rates"/>
      <sheetName val="activit-graph  "/>
      <sheetName val="Pay_Sep06"/>
      <sheetName val="commercial"/>
      <sheetName val="Tender Appraisal"/>
      <sheetName val="LTG-STG"/>
      <sheetName val="FT-05-02Is-5y"/>
      <sheetName val="钢筋"/>
      <sheetName val="HOSPI-01"/>
      <sheetName val="LIST-SUB-CON"/>
      <sheetName val="para"/>
      <sheetName val="kppl pl"/>
      <sheetName val="Mat.Cost"/>
      <sheetName val="Notes"/>
      <sheetName val="見積書"/>
      <sheetName val="inter"/>
      <sheetName val="[Spt-BH.xls][Spt-BH.xls]B@[_x0000__x0004_@_x0000_"/>
      <sheetName val="[Spt-BH.xls][Spt-BH.xls]B@[?_x0004_@?"/>
      <sheetName val="[Spt-BH.xls][Spt-BH.xls]B@[?@??"/>
      <sheetName val="電気設備表"/>
      <sheetName val="[Spt-BH.xls][Spt-BH.xls][Spt-BH"/>
      <sheetName val="conc-foot-gradeslab"/>
      <sheetName val="Steel-Circular"/>
      <sheetName val="Material_"/>
      <sheetName val="Labour_&amp;_Plant"/>
      <sheetName val="TRF_details"/>
      <sheetName val="Materials_Cost"/>
      <sheetName val="매크로"/>
      <sheetName val="[Spt-BH.xls][Spt-BH.xls]B@[?_x0"/>
      <sheetName val="SàQa_x005f_x0005_@_x005f_x0000_"/>
      <sheetName val="간접비내역-1"/>
      <sheetName val="95삼성급(본사)"/>
      <sheetName val="BQ List"/>
      <sheetName val="LANGUAGE"/>
      <sheetName val="Abstract_for_Variation1"/>
      <sheetName val="LBD_VARIATION1"/>
      <sheetName val="LT_Motor_catalog1"/>
      <sheetName val="Cable_cat1"/>
      <sheetName val="Index_"/>
      <sheetName val="Email_Approval_Template"/>
      <sheetName val="1_Executive_Summary"/>
      <sheetName val="2_Risk_Assessment_Analysis"/>
      <sheetName val="3_Pre-Approval"/>
      <sheetName val="4_CIS"/>
      <sheetName val="5_Change_Order"/>
      <sheetName val="5_1__Re-book_De-book_order"/>
      <sheetName val="6_Contract_Re-estimates"/>
      <sheetName val="7a_BG_Approval_Form"/>
      <sheetName val="7b_BG_Email_Approval_Template"/>
      <sheetName val="8_LAD_Approval_Form"/>
      <sheetName val="9_LOI_Checklist"/>
      <sheetName val="10_RPS_Information_Form"/>
      <sheetName val="11_Proj_Cashflow_"/>
      <sheetName val="11_1_Cash-flow_Chart"/>
      <sheetName val="Threshold_Calculator"/>
      <sheetName val="Version_Control"/>
      <sheetName val="Prebid_Review"/>
      <sheetName val="DJC_Parameters"/>
      <sheetName val="Selling_Summary"/>
      <sheetName val="1-BAS_(cost)"/>
      <sheetName val="Controller_Configuration"/>
      <sheetName val="IO_Summary"/>
      <sheetName val="2-FAS_(cost)"/>
      <sheetName val="Cost_Summary"/>
      <sheetName val="3-PA_(cost)"/>
      <sheetName val="Approved_Make"/>
      <sheetName val="Basis_of_offer"/>
      <sheetName val="High_Level_Summary"/>
      <sheetName val="4-ACS__(cost)"/>
      <sheetName val="5-CCTV__(cost)"/>
      <sheetName val="6-FFT__(cost)"/>
      <sheetName val="7-_Service_Retrofit__(cost)"/>
      <sheetName val="8-Service_PSA,O&amp;M__(cost)"/>
      <sheetName val="9-_Service_L&amp;M__(cost)"/>
      <sheetName val="non_fixed_DJC_"/>
      <sheetName val="10-UPG_(cost)"/>
      <sheetName val="11-ESG__(cost)"/>
      <sheetName val="12-Products_(cost)"/>
      <sheetName val="13-VAV__(cost)"/>
      <sheetName val="14-REF_(cost)"/>
      <sheetName val="15_-_Local_Chiller_(cost)"/>
      <sheetName val="Selling-Local_Chiller"/>
      <sheetName val="Material_Cost_JCS"/>
      <sheetName val="Costing_USD_Chiller"/>
      <sheetName val="Selling-USD_Chiller"/>
      <sheetName val="PRICE_MATRIX_-JCIPL"/>
      <sheetName val="COST_SUMMARY-_JCIPL"/>
      <sheetName val="6_-FFT-JCIPL"/>
      <sheetName val="7-Ser_Retro_-JCIPL"/>
      <sheetName val="8-Ser_PSA,_O&amp;M_-JCIPL"/>
      <sheetName val="9-Ser_L&amp;M_-JCIPL"/>
      <sheetName val="10-UPG_JCIPL"/>
      <sheetName val="11-ESG_JCIPL"/>
      <sheetName val="12-Products_JCIPL"/>
      <sheetName val="13-VAV_JCIPL"/>
      <sheetName val="14-REF_JCMRL_"/>
      <sheetName val="Proj__DJC-JCIPL"/>
      <sheetName val="_L0_DDC_1"/>
      <sheetName val="L0_DDC-2"/>
      <sheetName val="L16_DDC-3"/>
      <sheetName val="L16_DDC-5"/>
      <sheetName val="L17_DDC-6"/>
      <sheetName val="L17_DDC-7_"/>
      <sheetName val="L18_DDC-8"/>
      <sheetName val="2-AutoDialer_Sys"/>
      <sheetName val="1-BAS1_(cost)"/>
      <sheetName val="2-BAS2_(cost)"/>
      <sheetName val="Deviations-Project_Risks"/>
      <sheetName val="IO_Schedule"/>
      <sheetName val="st"/>
      <sheetName val="B@__x005f_x005f_x005f_x005F_x005f_x0000__x0"/>
      <sheetName val="PANEL ANNEXURE"/>
      <sheetName val="2_2_띠장의_설계"/>
      <sheetName val="2_2_띠장의_설계1"/>
      <sheetName val="Abstract_for_Variation3"/>
      <sheetName val="LBD_VARIATION3"/>
      <sheetName val="2_2_띠장의_설계3"/>
      <sheetName val="LT_Motor_catalog3"/>
      <sheetName val="Cable_cat3"/>
      <sheetName val="Abstract_for_Variation2"/>
      <sheetName val="LBD_VARIATION2"/>
      <sheetName val="2_2_띠장의_설계2"/>
      <sheetName val="LT_Motor_catalog2"/>
      <sheetName val="Cable_cat2"/>
      <sheetName val="Abstract_for_Variation4"/>
      <sheetName val="LBD_VARIATION4"/>
      <sheetName val="2_2_띠장의_설계4"/>
      <sheetName val="LT_Motor_catalog4"/>
      <sheetName val="Cable_cat4"/>
      <sheetName val="foot-slab reinft"/>
      <sheetName val="B@___x0004_@__x0000"/>
      <sheetName val="CPIPE"/>
      <sheetName val="Civil-works"/>
      <sheetName val="CGL"/>
      <sheetName val="ALL"/>
      <sheetName val="DM tANK Allow"/>
      <sheetName val="PG-DIA.SEA"/>
      <sheetName val="RCC-Rates"/>
      <sheetName val="BPL"/>
      <sheetName val="MG"/>
      <sheetName val="beam-reinft-machine rm"/>
      <sheetName val="Schedule(4)"/>
      <sheetName val="1010"/>
      <sheetName val="1020"/>
      <sheetName val="1090"/>
      <sheetName val="Camp Power Cost"/>
      <sheetName val="Camp_Power_Cost"/>
      <sheetName val="Rate analysis civil"/>
      <sheetName val="material and Labour rate"/>
      <sheetName val="GR.slab-reinft"/>
      <sheetName val="FT-05-02Is-"/>
      <sheetName val="[Spt-BH.xls]B@["/>
      <sheetName val="[Spt-BH.xls][Spt-BH.xls]B@["/>
      <sheetName val="Wing Wise Status"/>
      <sheetName val="Data sheet"/>
      <sheetName val="HDPE"/>
      <sheetName val="DI"/>
      <sheetName val="pvc"/>
      <sheetName val="SP Break Up"/>
      <sheetName val="Staff_Forecast_spread1"/>
      <sheetName val="Direct_cost_shed_A-2_1"/>
      <sheetName val="SàQa@²"/>
      <sheetName val="Works_-_Quote_Sheet"/>
      <sheetName val="Fin_Sum"/>
      <sheetName val="Page_1"/>
      <sheetName val="Page_2"/>
      <sheetName val="Page_3"/>
      <sheetName val="Page_4_Installed"/>
      <sheetName val="Page_4_Required"/>
      <sheetName val="Page_5a"/>
      <sheetName val="Page_5b"/>
      <sheetName val="Page_5c"/>
      <sheetName val="Page_5d"/>
      <sheetName val="Page_5e"/>
      <sheetName val="Page_5f"/>
      <sheetName val="Page_5f_(2)"/>
      <sheetName val="Page_6a"/>
      <sheetName val="Page_6b"/>
      <sheetName val="Page_7-1"/>
      <sheetName val="Page_7-2a1-I"/>
      <sheetName val="Page_7-2a1-II"/>
      <sheetName val="Page_7-2a1-III"/>
      <sheetName val="Page_7-2a2"/>
      <sheetName val="Page_7-3"/>
      <sheetName val="Page_7-5a"/>
      <sheetName val="Page_7-5b1"/>
      <sheetName val="Page_7-5b2"/>
      <sheetName val="Page_7-5c"/>
      <sheetName val="Page_7-9a"/>
      <sheetName val="Page_7-9b1"/>
      <sheetName val="Page_7-9b2"/>
      <sheetName val="Page_7-9c"/>
      <sheetName val="Page_7-11a1-I"/>
      <sheetName val="Page_7-11a1-II"/>
      <sheetName val="Page_7-11a1-III"/>
      <sheetName val="Page_7-11a2"/>
      <sheetName val="Page_7-15"/>
      <sheetName val="Page_7-16a"/>
      <sheetName val="Page_7-16b"/>
      <sheetName val="Page_8"/>
      <sheetName val="IO_List"/>
      <sheetName val="B@_@__$_x0"/>
      <sheetName val="_"/>
      <sheetName val="_AT-1-220_"/>
      <sheetName val="_BC-220"/>
      <sheetName val="DETAILED__BOQ"/>
      <sheetName val="Steel_Payment_Doc"/>
      <sheetName val="Break_Up_(bc)"/>
      <sheetName val="Break_Up_(bc1)"/>
      <sheetName val="Break_Up_(bc2)"/>
      <sheetName val="Ins_&amp;_Bonds"/>
      <sheetName val="Site_facilities"/>
      <sheetName val="Clients_Requirements"/>
      <sheetName val="Staff_Forecast_spread2"/>
      <sheetName val="Direct_cost_shed_A-2_2"/>
      <sheetName val="Material_List_1"/>
      <sheetName val="Index_1"/>
      <sheetName val="Email_Approval_Template1"/>
      <sheetName val="1_Executive_Summary1"/>
      <sheetName val="2_Risk_Assessment_Analysis1"/>
      <sheetName val="3_Pre-Approval1"/>
      <sheetName val="4_CIS1"/>
      <sheetName val="5_Change_Order1"/>
      <sheetName val="5_1__Re-book_De-book_order1"/>
      <sheetName val="6_Contract_Re-estimates1"/>
      <sheetName val="7a_BG_Approval_Form1"/>
      <sheetName val="7b_BG_Email_Approval_Template1"/>
      <sheetName val="8_LAD_Approval_Form1"/>
      <sheetName val="9_LOI_Checklist1"/>
      <sheetName val="10_RPS_Information_Form1"/>
      <sheetName val="11_Proj_Cashflow_1"/>
      <sheetName val="11_1_Cash-flow_Chart1"/>
      <sheetName val="Threshold_Calculator1"/>
      <sheetName val="Version_Control1"/>
      <sheetName val="Prebid_Review1"/>
      <sheetName val="DJC_Parameters1"/>
      <sheetName val="Selling_Summary1"/>
      <sheetName val="1-BAS_(cost)1"/>
      <sheetName val="Controller_Configuration1"/>
      <sheetName val="IO_Summary1"/>
      <sheetName val="2-FAS_(cost)1"/>
      <sheetName val="Cost_Summary1"/>
      <sheetName val="3-PA_(cost)1"/>
      <sheetName val="Approved_Make1"/>
      <sheetName val="Basis_of_offer1"/>
      <sheetName val="High_Level_Summary1"/>
      <sheetName val="4-ACS__(cost)1"/>
      <sheetName val="5-CCTV__(cost)1"/>
      <sheetName val="6-FFT__(cost)1"/>
      <sheetName val="7-_Service_Retrofit__(cost)1"/>
      <sheetName val="8-Service_PSA,O&amp;M__(cost)1"/>
      <sheetName val="9-_Service_L&amp;M__(cost)1"/>
      <sheetName val="non_fixed_DJC_1"/>
      <sheetName val="10-UPG_(cost)1"/>
      <sheetName val="11-ESG__(cost)1"/>
      <sheetName val="12-Products_(cost)1"/>
      <sheetName val="13-VAV__(cost)1"/>
      <sheetName val="14-REF_(cost)1"/>
      <sheetName val="15_-_Local_Chiller_(cost)1"/>
      <sheetName val="Selling-Local_Chiller1"/>
      <sheetName val="Material_Cost_JCS1"/>
      <sheetName val="Costing_USD_Chiller1"/>
      <sheetName val="Selling-USD_Chiller1"/>
      <sheetName val="PRICE_MATRIX_-JCIPL1"/>
      <sheetName val="COST_SUMMARY-_JCIPL1"/>
      <sheetName val="6_-FFT-JCIPL1"/>
      <sheetName val="7-Ser_Retro_-JCIPL1"/>
      <sheetName val="8-Ser_PSA,_O&amp;M_-JCIPL1"/>
      <sheetName val="9-Ser_L&amp;M_-JCIPL1"/>
      <sheetName val="10-UPG_JCIPL1"/>
      <sheetName val="11-ESG_JCIPL1"/>
      <sheetName val="12-Products_JCIPL1"/>
      <sheetName val="13-VAV_JCIPL1"/>
      <sheetName val="14-REF_JCMRL_1"/>
      <sheetName val="Proj__DJC-JCIPL1"/>
      <sheetName val="_L0_DDC_11"/>
      <sheetName val="L0_DDC-21"/>
      <sheetName val="L16_DDC-31"/>
      <sheetName val="L16_DDC-51"/>
      <sheetName val="L17_DDC-61"/>
      <sheetName val="L17_DDC-7_1"/>
      <sheetName val="L18_DDC-81"/>
      <sheetName val="2-AutoDialer_Sys1"/>
      <sheetName val="1-BAS1_(cost)1"/>
      <sheetName val="2-BAS2_(cost)1"/>
      <sheetName val="Deviations-Project_Risks1"/>
      <sheetName val="IO_Schedule1"/>
      <sheetName val="pr_cal1"/>
      <sheetName val="TRF_details1"/>
      <sheetName val="Cost_of_O_&amp;_O1"/>
      <sheetName val="Material_1"/>
      <sheetName val="Labour_&amp;_Plant1"/>
      <sheetName val="Materials_Cost1"/>
      <sheetName val="Works_-_Quote_Sheet1"/>
      <sheetName val="Fin_Sum1"/>
      <sheetName val="Page_11"/>
      <sheetName val="Page_21"/>
      <sheetName val="Page_31"/>
      <sheetName val="Page_4_Installed1"/>
      <sheetName val="Page_4_Required1"/>
      <sheetName val="Page_5a1"/>
      <sheetName val="Page_5b1"/>
      <sheetName val="Page_5c1"/>
      <sheetName val="Page_5d1"/>
      <sheetName val="Page_5e1"/>
      <sheetName val="Page_5f1"/>
      <sheetName val="Page_5f_(2)1"/>
      <sheetName val="Page_6a1"/>
      <sheetName val="Page_6b1"/>
      <sheetName val="Page_7-11"/>
      <sheetName val="Page_7-2a1-I1"/>
      <sheetName val="Page_7-2a1-II1"/>
      <sheetName val="Page_7-2a1-III1"/>
      <sheetName val="Page_7-2a21"/>
      <sheetName val="Page_7-31"/>
      <sheetName val="Page_7-5a1"/>
      <sheetName val="Page_7-5b11"/>
      <sheetName val="Page_7-5b21"/>
      <sheetName val="Page_7-5c1"/>
      <sheetName val="Page_7-9a1"/>
      <sheetName val="Page_7-9b11"/>
      <sheetName val="Page_7-9b21"/>
      <sheetName val="Page_7-9c1"/>
      <sheetName val="Page_7-11a1-I1"/>
      <sheetName val="Page_7-11a1-II1"/>
      <sheetName val="Page_7-11a1-III1"/>
      <sheetName val="Page_7-11a21"/>
      <sheetName val="Page_7-151"/>
      <sheetName val="Page_7-16a1"/>
      <sheetName val="Page_7-16b1"/>
      <sheetName val="Page_81"/>
      <sheetName val="IO_List1"/>
      <sheetName val="_1"/>
      <sheetName val="_AT-1-220_1"/>
      <sheetName val="_BC-2201"/>
      <sheetName val="DETAILED__BOQ1"/>
      <sheetName val="Steel_Payment_Doc1"/>
      <sheetName val="Break_Up_(bc)1"/>
      <sheetName val="Break_Up_(bc1)1"/>
      <sheetName val="Break_Up_(bc2)1"/>
      <sheetName val="Ins_&amp;_Bonds1"/>
      <sheetName val="Site_facilities1"/>
      <sheetName val="Clients_Requirements1"/>
      <sheetName val="Sheet3 (2)"/>
      <sheetName val="_Spt-BH.xls__Spt-BH.xls_B@_"/>
      <sheetName val="_Spt-BH.xls__Spt-BH.xls_B@___x0004_@_"/>
      <sheetName val="_Spt-BH.xls__Spt-BH.xls__Spt-BH"/>
      <sheetName val="_Spt-BH.xls__Spt-BH.xls_B@__@__"/>
      <sheetName val="MFG"/>
      <sheetName val="Contract Status"/>
      <sheetName val="Budget"/>
      <sheetName val="B@__x0000__x0"/>
      <sheetName val="_Spt-BH.xls__Spt-BH.xls_B@_@__$"/>
      <sheetName val="_Spt-BH.xls_B@_"/>
      <sheetName val="_Spt-BH.xls_B@___x0004_@_____$__"/>
      <sheetName val="_Spt-BH.xls_B@_@__$"/>
      <sheetName val="_Spt-BH.xls_B@__@_____$__"/>
      <sheetName val="_Spt-BH.xls_B@___x0004_@___$_"/>
      <sheetName val="_Spt-BH.xls__Spt-BH.xls_B@__x00"/>
      <sheetName val="_Spt-BH.xls__Spt-BH.xls_B@___x0"/>
      <sheetName val="_Spt-BH.xls_B@__x0000__x0004_@_"/>
      <sheetName val="_Spt-BH.xls_B@___x0004_@_____$_"/>
      <sheetName val="SANJAY_JENE120"/>
      <sheetName val="sujay_fagchi20"/>
      <sheetName val="[Spt-BH.xls][Spt-BH.xls]_Spt_64"/>
      <sheetName val="[Spt-BH.xls][Spt-BH.xls]_Spt_65"/>
      <sheetName val="OVERHEADS"/>
      <sheetName val="girder"/>
      <sheetName val="Rocker"/>
      <sheetName val="ANAL"/>
      <sheetName val="[Spt-BH.xls][Spt-BH.xls]B___236"/>
      <sheetName val="[Spt-BH.xls][Spt-BH.xls]B___237"/>
      <sheetName val="[Spt-BH.xls][Spt-BH.xls]B___238"/>
      <sheetName val="[Spt-BH.xls][Spt-BH.xls]_Spt_67"/>
      <sheetName val="[Spt-BH.xls][Spt-BH.xls]B___239"/>
      <sheetName val="[Spt-BH.xls][Spt-BH.xls]_Spt_66"/>
      <sheetName val="[Spt-BH.xls][Spt-BH.xls]B___240"/>
      <sheetName val="[Spt-BH.xls][Spt-BH.xls]B___241"/>
      <sheetName val="[Spt-BH.xls][Spt-BH.xls]B___242"/>
      <sheetName val="[Spt-BH.xls][Spt-BH.xls]_Spt_68"/>
      <sheetName val="[Spt-BH.xls][Spt-BH.xls]B___243"/>
      <sheetName val="Intro"/>
      <sheetName val="C1C2"/>
      <sheetName val="LIFE &amp; REP PROVN"/>
      <sheetName val="O&amp;M CREW"/>
      <sheetName val="[Spt-BH.xls][Spt-BH.xls]B___232"/>
      <sheetName val="[Spt-BH.xls][Spt-BH.xls]B___233"/>
      <sheetName val="[Spt-BH.xls][Spt-BH.xls]B___234"/>
      <sheetName val="[Spt-BH.xls][Spt-BH.xls]B___235"/>
      <sheetName val="[Spt-BH.xls][Spt-BH.xls]B___228"/>
      <sheetName val="[Spt-BH.xls][Spt-BH.xls]B___229"/>
      <sheetName val="[Spt-BH.xls][Spt-BH.xls]B___230"/>
      <sheetName val="[Spt-BH.xls][Spt-BH.xls]B___231"/>
      <sheetName val="[Spt-BH.xls][Spt-BH.xls]B___244"/>
      <sheetName val="[Spt-BH.xls][Spt-BH.xls]B___245"/>
      <sheetName val="[Spt-BH.xls][Spt-BH.xls]B___246"/>
      <sheetName val="[Spt-BH.xls][Spt-BH.xls]_Spt_69"/>
      <sheetName val="[Spt-BH.xls][Spt-BH.xls]B___247"/>
      <sheetName val="[Spt-BH.xls][Spt-BH.xls]B___248"/>
      <sheetName val="[Spt-BH.xls][Spt-BH.xls]B___249"/>
      <sheetName val="[Spt-BH.xls][Spt-BH.xls]B___250"/>
      <sheetName val="[Spt-BH.xls][Spt-BH.xls]_Spt_70"/>
      <sheetName val="[Spt-BH.xls][Spt-BH.xls]B___251"/>
      <sheetName val="[Spt-BH.xls][Spt-BH.xls]B___252"/>
      <sheetName val="[Spt-BH.xls][Spt-BH.xls]B___253"/>
      <sheetName val="[Spt-BH.xls][Spt-BH.xls]B___254"/>
      <sheetName val="[Spt-BH.xls][Spt-BH.xls]_Spt_75"/>
      <sheetName val="[Spt-BH.xls][Spt-BH.xls]B___255"/>
      <sheetName val="[Spt-BH.xls][Spt-BH.xls]_Spt_74"/>
      <sheetName val="[Spt-BH.xls][Spt-BH.xls]_Spt_73"/>
      <sheetName val="[Spt-BH.xls][Spt-BH.xls]_Spt_72"/>
      <sheetName val="[Spt-BH.xls][Spt-BH.xls]B___256"/>
      <sheetName val="[Spt-BH.xls][Spt-BH.xls]B___257"/>
      <sheetName val="[Spt-BH.xls][Spt-BH.xls]B___258"/>
      <sheetName val="[Spt-BH.xls][Spt-BH.xls]B___259"/>
      <sheetName val="[Spt-BH.xls][Spt-BH.xls]_Spt_71"/>
      <sheetName val="[Spt-BH.xls][Spt-BH.xls]B___260"/>
      <sheetName val="[Spt-BH.xls][Spt-BH.xls]B___261"/>
      <sheetName val="[Spt-BH.xls][Spt-BH.xls]B___262"/>
      <sheetName val="[Spt-BH.xls][Spt-BH.xls]B___263"/>
      <sheetName val="[Spt-BH.xls][Spt-BH.xls]B___264"/>
      <sheetName val="[Spt-BH.xls][Spt-BH.xls]B___265"/>
      <sheetName val="[Spt-BH.xls][Spt-BH.xls]B___266"/>
      <sheetName val="[Spt-BH.xls][Spt-BH.xls]_Spt_76"/>
      <sheetName val="[Spt-BH.xls][Spt-BH.xls]B___267"/>
      <sheetName val="[Spt-BH.xls][Spt-BH.xls]_Spt_77"/>
      <sheetName val="[Spt-BH.xls][Spt-BH.xls]B___268"/>
      <sheetName val="[Spt-BH.xls][Spt-BH.xls]B___269"/>
      <sheetName val="[Spt-BH.xls][Spt-BH.xls]B___270"/>
      <sheetName val="[Spt-BH.xls][Spt-BH.xls]_Spt_78"/>
      <sheetName val="[Spt-BH.xls][Spt-BH.xls]B___271"/>
      <sheetName val="[Spt-BH.xls][Spt-BH.xls]B___272"/>
      <sheetName val="[Spt-BH.xls][Spt-BH.xls]B___273"/>
      <sheetName val="[Spt-BH.xls][Spt-BH.xls]B___274"/>
      <sheetName val="[Spt-BH.xls][Spt-BH.xls]_Spt_80"/>
      <sheetName val="[Spt-BH.xls][Spt-BH.xls]B___275"/>
      <sheetName val="[Spt-BH.xls][Spt-BH.xls]_Spt_79"/>
      <sheetName val="[Spt-BH.xls][Spt-BH.xls]_Spt_81"/>
      <sheetName val="[Spt-BH.xls][Spt-BH.xls]_Spt_82"/>
      <sheetName val="[Spt-BH.xls][Spt-BH.xls]B___284"/>
      <sheetName val="[Spt-BH.xls][Spt-BH.xls]B___285"/>
      <sheetName val="[Spt-BH.xls][Spt-BH.xls]B___286"/>
      <sheetName val="[Spt-BH.xls][Spt-BH.xls]_Spt_86"/>
      <sheetName val="[Spt-BH.xls][Spt-BH.xls]B___287"/>
      <sheetName val="[Spt-BH.xls][Spt-BH.xls]_Spt_85"/>
      <sheetName val="[Spt-BH.xls][Spt-BH.xls]B___288"/>
      <sheetName val="[Spt-BH.xls][Spt-BH.xls]B___289"/>
      <sheetName val="[Spt-BH.xls][Spt-BH.xls]B___290"/>
      <sheetName val="[Spt-BH.xls][Spt-BH.xls]_Spt_87"/>
      <sheetName val="[Spt-BH.xls][Spt-BH.xls]B___291"/>
      <sheetName val="[Spt-BH.xls][Spt-BH.xls]B___276"/>
      <sheetName val="[Spt-BH.xls][Spt-BH.xls]B___277"/>
      <sheetName val="[Spt-BH.xls][Spt-BH.xls]B___278"/>
      <sheetName val="[Spt-BH.xls][Spt-BH.xls]B___279"/>
      <sheetName val="[Spt-BH.xls][Spt-BH.xls]_Spt_83"/>
      <sheetName val="[Spt-BH.xls][Spt-BH.xls]B___280"/>
      <sheetName val="[Spt-BH.xls][Spt-BH.xls]B___281"/>
      <sheetName val="[Spt-BH.xls][Spt-BH.xls]B___282"/>
      <sheetName val="[Spt-BH.xls][Spt-BH.xls]B___283"/>
      <sheetName val="[Spt-BH.xls][Spt-BH.xls]_Spt_84"/>
      <sheetName val="[Spt-BH.xls][Spt-BH.xls]_Spt_88"/>
      <sheetName val="[Spt-BH.xls][Spt-BH.xls]B___292"/>
      <sheetName val="[Spt-BH.xls][Spt-BH.xls]B___293"/>
      <sheetName val="[Spt-BH.xls][Spt-BH.xls]B___294"/>
      <sheetName val="[Spt-BH.xls][Spt-BH.xls]_Spt_89"/>
      <sheetName val="[Spt-BH.xls][Spt-BH.xls]B___295"/>
      <sheetName val="[Spt-BH.xls][Spt-BH.xls]_Spt_90"/>
      <sheetName val="ENCL9"/>
      <sheetName val="Cost_of_O_&amp;_O3"/>
      <sheetName val="Material_3"/>
      <sheetName val="Labour_&amp;_Plant3"/>
      <sheetName val="pr_cal3"/>
      <sheetName val="TRF_details3"/>
      <sheetName val="Materials_Cost3"/>
      <sheetName val="Havells__LT_(XLPE)2"/>
      <sheetName val="Inputs_&amp;_Summary_Output2"/>
      <sheetName val="Broad_Refresher_Model2"/>
      <sheetName val="Index_2"/>
      <sheetName val="Email_Approval_Template2"/>
      <sheetName val="1_Executive_Summary2"/>
      <sheetName val="2_Risk_Assessment_Analysis2"/>
      <sheetName val="3_Pre-Approval2"/>
      <sheetName val="4_CIS2"/>
      <sheetName val="5_Change_Order2"/>
      <sheetName val="5_1__Re-book_De-book_order2"/>
      <sheetName val="6_Contract_Re-estimates2"/>
      <sheetName val="7a_BG_Approval_Form2"/>
      <sheetName val="7b_BG_Email_Approval_Template2"/>
      <sheetName val="8_LAD_Approval_Form2"/>
      <sheetName val="9_LOI_Checklist2"/>
      <sheetName val="10_RPS_Information_Form2"/>
      <sheetName val="11_Proj_Cashflow_2"/>
      <sheetName val="11_1_Cash-flow_Chart2"/>
      <sheetName val="Threshold_Calculator2"/>
      <sheetName val="Version_Control2"/>
      <sheetName val="Prebid_Review2"/>
      <sheetName val="DJC_Parameters2"/>
      <sheetName val="Selling_Summary2"/>
      <sheetName val="1-BAS_(cost)2"/>
      <sheetName val="Controller_Configuration2"/>
      <sheetName val="IO_Summary2"/>
      <sheetName val="2-FAS_(cost)2"/>
      <sheetName val="Cost_Summary2"/>
      <sheetName val="3-PA_(cost)2"/>
      <sheetName val="Approved_Make2"/>
      <sheetName val="Basis_of_offer2"/>
      <sheetName val="High_Level_Summary2"/>
      <sheetName val="4-ACS__(cost)2"/>
      <sheetName val="5-CCTV__(cost)2"/>
      <sheetName val="6-FFT__(cost)2"/>
      <sheetName val="7-_Service_Retrofit__(cost)2"/>
      <sheetName val="8-Service_PSA,O&amp;M__(cost)2"/>
      <sheetName val="9-_Service_L&amp;M__(cost)2"/>
      <sheetName val="non_fixed_DJC_2"/>
      <sheetName val="10-UPG_(cost)2"/>
      <sheetName val="11-ESG__(cost)2"/>
      <sheetName val="12-Products_(cost)2"/>
      <sheetName val="13-VAV__(cost)2"/>
      <sheetName val="14-REF_(cost)2"/>
      <sheetName val="15_-_Local_Chiller_(cost)2"/>
      <sheetName val="Selling-Local_Chiller2"/>
      <sheetName val="Material_Cost_JCS2"/>
      <sheetName val="Costing_USD_Chiller2"/>
      <sheetName val="Selling-USD_Chiller2"/>
      <sheetName val="PRICE_MATRIX_-JCIPL2"/>
      <sheetName val="COST_SUMMARY-_JCIPL2"/>
      <sheetName val="6_-FFT-JCIPL2"/>
      <sheetName val="7-Ser_Retro_-JCIPL2"/>
      <sheetName val="8-Ser_PSA,_O&amp;M_-JCIPL2"/>
      <sheetName val="9-Ser_L&amp;M_-JCIPL2"/>
      <sheetName val="10-UPG_JCIPL2"/>
      <sheetName val="11-ESG_JCIPL2"/>
      <sheetName val="12-Products_JCIPL2"/>
      <sheetName val="13-VAV_JCIPL2"/>
      <sheetName val="14-REF_JCMRL_2"/>
      <sheetName val="Proj__DJC-JCIPL2"/>
      <sheetName val="_L0_DDC_12"/>
      <sheetName val="L0_DDC-22"/>
      <sheetName val="L16_DDC-32"/>
      <sheetName val="L16_DDC-52"/>
      <sheetName val="L17_DDC-62"/>
      <sheetName val="L17_DDC-7_2"/>
      <sheetName val="L18_DDC-82"/>
      <sheetName val="2-AutoDialer_Sys2"/>
      <sheetName val="1-BAS1_(cost)2"/>
      <sheetName val="2-BAS2_(cost)2"/>
      <sheetName val="Deviations-Project_Risks2"/>
      <sheetName val="IO_Schedule2"/>
      <sheetName val="Staff_Forecast_spread3"/>
      <sheetName val="Direct_cost_shed_A-2_3"/>
      <sheetName val="PACK_(B)2"/>
      <sheetName val="Fin_Sum2"/>
      <sheetName val="Material_List_2"/>
      <sheetName val="Works_-_Quote_Sheet2"/>
      <sheetName val="PL_Inst_RA_122"/>
      <sheetName val="Page_12"/>
      <sheetName val="Page_22"/>
      <sheetName val="Page_32"/>
      <sheetName val="Page_4_Installed2"/>
      <sheetName val="Page_4_Required2"/>
      <sheetName val="Page_5a2"/>
      <sheetName val="Page_5b2"/>
      <sheetName val="Page_5c2"/>
      <sheetName val="Page_5d2"/>
      <sheetName val="Page_5e2"/>
      <sheetName val="Page_5f2"/>
      <sheetName val="Page_5f_(2)2"/>
      <sheetName val="Page_6a2"/>
      <sheetName val="Page_6b2"/>
      <sheetName val="Page_7-12"/>
      <sheetName val="Page_7-2a1-I2"/>
      <sheetName val="Page_7-2a1-II2"/>
      <sheetName val="Page_7-2a1-III2"/>
      <sheetName val="Page_7-2a22"/>
      <sheetName val="Page_7-32"/>
      <sheetName val="Page_7-5a2"/>
      <sheetName val="Page_7-5b12"/>
      <sheetName val="Page_7-5b22"/>
      <sheetName val="Page_7-5c2"/>
      <sheetName val="Page_7-9a2"/>
      <sheetName val="Page_7-9b12"/>
      <sheetName val="Page_7-9b22"/>
      <sheetName val="Page_7-9c2"/>
      <sheetName val="Page_7-11a1-I2"/>
      <sheetName val="Page_7-11a1-II2"/>
      <sheetName val="Page_7-11a1-III2"/>
      <sheetName val="Page_7-11a22"/>
      <sheetName val="Page_7-152"/>
      <sheetName val="Page_7-16a2"/>
      <sheetName val="Page_7-16b2"/>
      <sheetName val="Page_82"/>
      <sheetName val="Havells__LT_(XLPE)"/>
      <sheetName val="PACK_(B)"/>
      <sheetName val="PL_Inst_RA_12"/>
      <sheetName val="Cost_of_O_&amp;_O2"/>
      <sheetName val="Material_2"/>
      <sheetName val="Labour_&amp;_Plant2"/>
      <sheetName val="pr_cal2"/>
      <sheetName val="TRF_details2"/>
      <sheetName val="Materials_Cost2"/>
      <sheetName val="Havells__LT_(XLPE)1"/>
      <sheetName val="PACK_(B)1"/>
      <sheetName val="PL_Inst_RA_121"/>
      <sheetName val="Materials "/>
      <sheetName val="[Spt-BH.xls][Spt-BH_xls]B_____2"/>
      <sheetName val="[Spt-BH.xls][Spt-BH_xls]B_____3"/>
      <sheetName val="[Spt-BH.xls][Spt-BH_xls]B_____4"/>
      <sheetName val="[Spt-BH.xls][Spt-BH_xls]B_____5"/>
      <sheetName val="[Spt-BH.xls][Spt-BH_xls]B_____6"/>
      <sheetName val="[Spt-BH.xls][Spt-BH_xls]B_____7"/>
      <sheetName val="[Spt-BH.xls][Spt-BH_xls]B_____8"/>
      <sheetName val="[Spt-BH.xls][Spt-BH_xls]B_____9"/>
      <sheetName val="[Spt-BH.xls][Spt-BH_xls]B____10"/>
      <sheetName val="[Spt-BH.xls][Spt-BH_xls]B____11"/>
      <sheetName val="[Spt-BH.xls][Spt-BH_xls]B____42"/>
      <sheetName val="[Spt-BH.xls][Spt-BH_xls]B____43"/>
      <sheetName val="[Spt-BH.xls][Spt-BH_xls]B____44"/>
      <sheetName val="[Spt-BH.xls][Spt-BH_xls]B____45"/>
      <sheetName val="[Spt-BH.xls][Spt-BH_xls]B____46"/>
      <sheetName val="[Spt-BH.xls][Spt-BH_xls]B____17"/>
      <sheetName val="[Spt-BH.xls][Spt-BH_xls]B____18"/>
      <sheetName val="[Spt-BH.xls][Spt-BH_xls]B____19"/>
      <sheetName val="[Spt-BH.xls][Spt-BH_xls]B____20"/>
      <sheetName val="[Spt-BH.xls][Spt-BH_xls]B____21"/>
      <sheetName val="[Spt-BH.xls][Spt-BH_xls]B____12"/>
      <sheetName val="[Spt-BH.xls][Spt-BH_xls]B____13"/>
      <sheetName val="[Spt-BH.xls][Spt-BH_xls]B____14"/>
      <sheetName val="[Spt-BH.xls][Spt-BH_xls]B____15"/>
      <sheetName val="[Spt-BH.xls][Spt-BH_xls]B____16"/>
      <sheetName val="[Spt-BH.xls][Spt-BH_xls]B____32"/>
      <sheetName val="[Spt-BH.xls][Spt-BH_xls]B____33"/>
      <sheetName val="[Spt-BH.xls][Spt-BH_xls]B____34"/>
      <sheetName val="[Spt-BH.xls][Spt-BH_xls]B____35"/>
      <sheetName val="[Spt-BH.xls][Spt-BH_xls]B____36"/>
      <sheetName val="[Spt-BH.xls][Spt-BH_xls]B____22"/>
      <sheetName val="[Spt-BH.xls][Spt-BH_xls]B____23"/>
      <sheetName val="[Spt-BH.xls][Spt-BH_xls]B____24"/>
      <sheetName val="[Spt-BH.xls][Spt-BH_xls]B____25"/>
      <sheetName val="[Spt-BH.xls][Spt-BH_xls]B____26"/>
      <sheetName val="[Spt-BH.xls][Spt-BH_xls]B____27"/>
      <sheetName val="[Spt-BH.xls][Spt-BH_xls]B____28"/>
      <sheetName val="[Spt-BH.xls][Spt-BH_xls]B____29"/>
      <sheetName val="[Spt-BH.xls][Spt-BH_xls]B____30"/>
      <sheetName val="[Spt-BH.xls][Spt-BH_xls]B____31"/>
      <sheetName val="[Spt-BH.xls][Spt-BH_xls]B____37"/>
      <sheetName val="[Spt-BH.xls][Spt-BH_xls]B____38"/>
      <sheetName val="[Spt-BH.xls][Spt-BH_xls]B____39"/>
      <sheetName val="[Spt-BH.xls][Spt-BH_xls]B____40"/>
      <sheetName val="[Spt-BH.xls][Spt-BH_xls]B____41"/>
      <sheetName val="[Spt-BH.xls]B____x005f_x0004_______17"/>
      <sheetName val="[Spt-BH.xls]B___x005f_x0000__x005f_x0004_17"/>
      <sheetName val="[Spt-BH.xls][Spt-BH_xls]B____47"/>
      <sheetName val="[Spt-BH.xls][Spt-BH_xls]B____48"/>
      <sheetName val="[Spt-BH.xls][Spt-BH_xls]B____49"/>
      <sheetName val="[Spt-BH.xls][Spt-BH_xls]B____50"/>
      <sheetName val="[Spt-BH.xls][Spt-BH_xls]B____51"/>
      <sheetName val="[Spt-BH.xls]B____x005f_x0004_______18"/>
      <sheetName val="[Spt-BH.xls]B___x005f_x0000__x005f_x0004_18"/>
      <sheetName val="[Spt-BH.xls]B____x005f_x0004_______30"/>
      <sheetName val="[Spt-BH.xls]B___x005f_x0000__x005f_x0004_30"/>
      <sheetName val="[Spt-BH.xls]B____x005f_x0004_______27"/>
      <sheetName val="[Spt-BH.xls]B___x005f_x0000__x005f_x0004_27"/>
      <sheetName val="[Spt-BH.xls]B____x005f_x0004_______25"/>
      <sheetName val="[Spt-BH.xls]B___x005f_x0000__x005f_x0004_25"/>
      <sheetName val="[Spt-BH.xls]B____x005f_x0004_______20"/>
      <sheetName val="[Spt-BH.xls]B___x005f_x0000__x005f_x0004_20"/>
      <sheetName val="[Spt-BH.xls]B____x005f_x0004_______19"/>
      <sheetName val="[Spt-BH.xls]B___x005f_x0000__x005f_x0004_19"/>
      <sheetName val="[Spt-BH.xls]B____x005f_x0004_______21"/>
      <sheetName val="[Spt-BH.xls]B___x005f_x0000__x005f_x0004_21"/>
      <sheetName val="[Spt-BH.xls]B____x005f_x0004_______23"/>
      <sheetName val="[Spt-BH.xls]B___x005f_x0000__x005f_x0004_23"/>
      <sheetName val="[Spt-BH.xls]B____x005f_x0004_______22"/>
      <sheetName val="[Spt-BH.xls]B___x005f_x0000__x005f_x0004_22"/>
      <sheetName val="[Spt-BH.xls]B____x005f_x0004_______24"/>
      <sheetName val="[Spt-BH.xls]B___x005f_x0000__x005f_x0004_24"/>
      <sheetName val="PRRM_Dashboard11"/>
      <sheetName val="Index_10"/>
      <sheetName val="Email_Approval_Template10"/>
      <sheetName val="1_Executive_Summary10"/>
      <sheetName val="2_Risk_Assessment_Analysis10"/>
      <sheetName val="3_Pre-Approval10"/>
      <sheetName val="4_CIS10"/>
      <sheetName val="5_Change_Order10"/>
      <sheetName val="5_1__Re-book_De-book_order10"/>
      <sheetName val="6_Contract_Re-estimates10"/>
      <sheetName val="7a_BG_Approval_Form10"/>
      <sheetName val="7b_BG_Email_Approval_Template10"/>
      <sheetName val="8_LAD_Approval_Form10"/>
      <sheetName val="9_LOI_Checklist10"/>
      <sheetName val="10_RPS_Information_Form10"/>
      <sheetName val="11_Proj_Cashflow_10"/>
      <sheetName val="11_1_Cash-flow_Chart10"/>
      <sheetName val="Threshold_Calculator10"/>
      <sheetName val="Version_Control10"/>
      <sheetName val="Prebid_Review10"/>
      <sheetName val="DJC_Parameters10"/>
      <sheetName val="Selling_Summary10"/>
      <sheetName val="1-BAS_(cost)10"/>
      <sheetName val="Controller_Configuration10"/>
      <sheetName val="IO_Summary10"/>
      <sheetName val="2-FAS_(cost)10"/>
      <sheetName val="Cost_Summary10"/>
      <sheetName val="3-PA_(cost)10"/>
      <sheetName val="Approved_Make10"/>
      <sheetName val="Basis_of_offer10"/>
      <sheetName val="High_Level_Summary10"/>
      <sheetName val="4-ACS__(cost)10"/>
      <sheetName val="5-CCTV__(cost)10"/>
      <sheetName val="6-FFT__(cost)10"/>
      <sheetName val="7-_Service_Retrofit__(cost)10"/>
      <sheetName val="8-Service_PSA,O&amp;M__(cost)10"/>
      <sheetName val="9-_Service_L&amp;M__(cost)10"/>
      <sheetName val="non_fixed_DJC_10"/>
      <sheetName val="10-UPG_(cost)10"/>
      <sheetName val="11-ESG__(cost)10"/>
      <sheetName val="12-Products_(cost)10"/>
      <sheetName val="13-VAV__(cost)10"/>
      <sheetName val="14-REF_(cost)10"/>
      <sheetName val="15_-_Local_Chiller_(cost)10"/>
      <sheetName val="Selling-Local_Chiller10"/>
      <sheetName val="Material_Cost_JCS10"/>
      <sheetName val="Costing_USD_Chiller10"/>
      <sheetName val="Selling-USD_Chiller10"/>
      <sheetName val="PRICE_MATRIX_-JCIPL10"/>
      <sheetName val="COST_SUMMARY-_JCIPL10"/>
      <sheetName val="6_-FFT-JCIPL10"/>
      <sheetName val="7-Ser_Retro_-JCIPL10"/>
      <sheetName val="8-Ser_PSA,_O&amp;M_-JCIPL10"/>
      <sheetName val="9-Ser_L&amp;M_-JCIPL10"/>
      <sheetName val="10-UPG_JCIPL10"/>
      <sheetName val="11-ESG_JCIPL10"/>
      <sheetName val="12-Products_JCIPL10"/>
      <sheetName val="13-VAV_JCIPL10"/>
      <sheetName val="14-REF_JCMRL_10"/>
      <sheetName val="Proj__DJC-JCIPL10"/>
      <sheetName val="_L0_DDC_110"/>
      <sheetName val="L0_DDC-210"/>
      <sheetName val="L16_DDC-310"/>
      <sheetName val="L16_DDC-510"/>
      <sheetName val="L17_DDC-610"/>
      <sheetName val="L17_DDC-7_10"/>
      <sheetName val="L18_DDC-810"/>
      <sheetName val="2-AutoDialer_Sys10"/>
      <sheetName val="1-BAS1_(cost)10"/>
      <sheetName val="2-BAS2_(cost)10"/>
      <sheetName val="Deviations-Project_Risks10"/>
      <sheetName val="IO_Schedule10"/>
      <sheetName val="Debits_as_on_12_04_0810"/>
      <sheetName val="Direct_cost_shed_A-2_10"/>
      <sheetName val="Staff_Forecast_spread10"/>
      <sheetName val="PRRM_Dashboard10"/>
      <sheetName val="Index_9"/>
      <sheetName val="Email_Approval_Template9"/>
      <sheetName val="1_Executive_Summary9"/>
      <sheetName val="2_Risk_Assessment_Analysis9"/>
      <sheetName val="3_Pre-Approval9"/>
      <sheetName val="4_CIS9"/>
      <sheetName val="5_Change_Order9"/>
      <sheetName val="5_1__Re-book_De-book_order9"/>
      <sheetName val="6_Contract_Re-estimates9"/>
      <sheetName val="7a_BG_Approval_Form9"/>
      <sheetName val="7b_BG_Email_Approval_Template9"/>
      <sheetName val="8_LAD_Approval_Form9"/>
      <sheetName val="9_LOI_Checklist9"/>
      <sheetName val="10_RPS_Information_Form9"/>
      <sheetName val="11_Proj_Cashflow_9"/>
      <sheetName val="11_1_Cash-flow_Chart9"/>
      <sheetName val="Threshold_Calculator9"/>
      <sheetName val="Version_Control9"/>
      <sheetName val="Prebid_Review9"/>
      <sheetName val="DJC_Parameters9"/>
      <sheetName val="Selling_Summary9"/>
      <sheetName val="1-BAS_(cost)9"/>
      <sheetName val="Controller_Configuration9"/>
      <sheetName val="IO_Summary9"/>
      <sheetName val="2-FAS_(cost)9"/>
      <sheetName val="Cost_Summary9"/>
      <sheetName val="3-PA_(cost)9"/>
      <sheetName val="Approved_Make9"/>
      <sheetName val="Basis_of_offer9"/>
      <sheetName val="High_Level_Summary9"/>
      <sheetName val="4-ACS__(cost)9"/>
      <sheetName val="5-CCTV__(cost)9"/>
      <sheetName val="6-FFT__(cost)9"/>
      <sheetName val="7-_Service_Retrofit__(cost)9"/>
      <sheetName val="8-Service_PSA,O&amp;M__(cost)9"/>
      <sheetName val="9-_Service_L&amp;M__(cost)9"/>
      <sheetName val="non_fixed_DJC_9"/>
      <sheetName val="10-UPG_(cost)9"/>
      <sheetName val="11-ESG__(cost)9"/>
      <sheetName val="12-Products_(cost)9"/>
      <sheetName val="13-VAV__(cost)9"/>
      <sheetName val="14-REF_(cost)9"/>
      <sheetName val="15_-_Local_Chiller_(cost)9"/>
      <sheetName val="Selling-Local_Chiller9"/>
      <sheetName val="Material_Cost_JCS9"/>
      <sheetName val="Costing_USD_Chiller9"/>
      <sheetName val="Selling-USD_Chiller9"/>
      <sheetName val="PRICE_MATRIX_-JCIPL9"/>
      <sheetName val="COST_SUMMARY-_JCIPL9"/>
      <sheetName val="6_-FFT-JCIPL9"/>
      <sheetName val="7-Ser_Retro_-JCIPL9"/>
      <sheetName val="8-Ser_PSA,_O&amp;M_-JCIPL9"/>
      <sheetName val="9-Ser_L&amp;M_-JCIPL9"/>
      <sheetName val="10-UPG_JCIPL9"/>
      <sheetName val="11-ESG_JCIPL9"/>
      <sheetName val="12-Products_JCIPL9"/>
      <sheetName val="13-VAV_JCIPL9"/>
      <sheetName val="14-REF_JCMRL_9"/>
      <sheetName val="Proj__DJC-JCIPL9"/>
      <sheetName val="_L0_DDC_19"/>
      <sheetName val="L0_DDC-29"/>
      <sheetName val="L16_DDC-39"/>
      <sheetName val="L16_DDC-59"/>
      <sheetName val="L17_DDC-69"/>
      <sheetName val="L17_DDC-7_9"/>
      <sheetName val="L18_DDC-89"/>
      <sheetName val="2-AutoDialer_Sys9"/>
      <sheetName val="1-BAS1_(cost)9"/>
      <sheetName val="2-BAS2_(cost)9"/>
      <sheetName val="Deviations-Project_Risks9"/>
      <sheetName val="IO_Schedule9"/>
      <sheetName val="Direct_cost_shed_A-2_9"/>
      <sheetName val="Staff_Forecast_spread9"/>
      <sheetName val="Index_7"/>
      <sheetName val="Email_Approval_Template7"/>
      <sheetName val="1_Executive_Summary7"/>
      <sheetName val="2_Risk_Assessment_Analysis7"/>
      <sheetName val="3_Pre-Approval7"/>
      <sheetName val="4_CIS7"/>
      <sheetName val="5_Change_Order7"/>
      <sheetName val="5_1__Re-book_De-book_order7"/>
      <sheetName val="6_Contract_Re-estimates7"/>
      <sheetName val="7a_BG_Approval_Form7"/>
      <sheetName val="7b_BG_Email_Approval_Template7"/>
      <sheetName val="8_LAD_Approval_Form7"/>
      <sheetName val="9_LOI_Checklist7"/>
      <sheetName val="10_RPS_Information_Form7"/>
      <sheetName val="11_Proj_Cashflow_7"/>
      <sheetName val="11_1_Cash-flow_Chart7"/>
      <sheetName val="Threshold_Calculator7"/>
      <sheetName val="Version_Control7"/>
      <sheetName val="Prebid_Review7"/>
      <sheetName val="DJC_Parameters7"/>
      <sheetName val="Selling_Summary7"/>
      <sheetName val="1-BAS_(cost)7"/>
      <sheetName val="Controller_Configuration7"/>
      <sheetName val="IO_Summary7"/>
      <sheetName val="2-FAS_(cost)7"/>
      <sheetName val="Cost_Summary7"/>
      <sheetName val="3-PA_(cost)7"/>
      <sheetName val="Approved_Make7"/>
      <sheetName val="Basis_of_offer7"/>
      <sheetName val="High_Level_Summary7"/>
      <sheetName val="4-ACS__(cost)7"/>
      <sheetName val="5-CCTV__(cost)7"/>
      <sheetName val="6-FFT__(cost)7"/>
      <sheetName val="7-_Service_Retrofit__(cost)7"/>
      <sheetName val="8-Service_PSA,O&amp;M__(cost)7"/>
      <sheetName val="9-_Service_L&amp;M__(cost)7"/>
      <sheetName val="non_fixed_DJC_7"/>
      <sheetName val="10-UPG_(cost)7"/>
      <sheetName val="11-ESG__(cost)7"/>
      <sheetName val="12-Products_(cost)7"/>
      <sheetName val="13-VAV__(cost)7"/>
      <sheetName val="14-REF_(cost)7"/>
      <sheetName val="15_-_Local_Chiller_(cost)7"/>
      <sheetName val="Selling-Local_Chiller7"/>
      <sheetName val="Material_Cost_JCS7"/>
      <sheetName val="Costing_USD_Chiller7"/>
      <sheetName val="Selling-USD_Chiller7"/>
      <sheetName val="PRICE_MATRIX_-JCIPL7"/>
      <sheetName val="COST_SUMMARY-_JCIPL7"/>
      <sheetName val="6_-FFT-JCIPL7"/>
      <sheetName val="7-Ser_Retro_-JCIPL7"/>
      <sheetName val="8-Ser_PSA,_O&amp;M_-JCIPL7"/>
      <sheetName val="9-Ser_L&amp;M_-JCIPL7"/>
      <sheetName val="10-UPG_JCIPL7"/>
      <sheetName val="11-ESG_JCIPL7"/>
      <sheetName val="12-Products_JCIPL7"/>
      <sheetName val="13-VAV_JCIPL7"/>
      <sheetName val="14-REF_JCMRL_7"/>
      <sheetName val="Proj__DJC-JCIPL7"/>
      <sheetName val="_L0_DDC_17"/>
      <sheetName val="L0_DDC-27"/>
      <sheetName val="L16_DDC-37"/>
      <sheetName val="L16_DDC-57"/>
      <sheetName val="L17_DDC-67"/>
      <sheetName val="L17_DDC-7_7"/>
      <sheetName val="L18_DDC-87"/>
      <sheetName val="2-AutoDialer_Sys7"/>
      <sheetName val="1-BAS1_(cost)7"/>
      <sheetName val="2-BAS2_(cost)7"/>
      <sheetName val="Deviations-Project_Risks7"/>
      <sheetName val="IO_Schedule7"/>
      <sheetName val="Direct_cost_shed_A-2_7"/>
      <sheetName val="Staff_Forecast_spread7"/>
      <sheetName val="Index_4"/>
      <sheetName val="Email_Approval_Template4"/>
      <sheetName val="1_Executive_Summary4"/>
      <sheetName val="2_Risk_Assessment_Analysis4"/>
      <sheetName val="3_Pre-Approval4"/>
      <sheetName val="4_CIS4"/>
      <sheetName val="5_Change_Order4"/>
      <sheetName val="5_1__Re-book_De-book_order4"/>
      <sheetName val="6_Contract_Re-estimates4"/>
      <sheetName val="7a_BG_Approval_Form4"/>
      <sheetName val="7b_BG_Email_Approval_Template4"/>
      <sheetName val="8_LAD_Approval_Form4"/>
      <sheetName val="9_LOI_Checklist4"/>
      <sheetName val="10_RPS_Information_Form4"/>
      <sheetName val="11_Proj_Cashflow_4"/>
      <sheetName val="11_1_Cash-flow_Chart4"/>
      <sheetName val="Threshold_Calculator4"/>
      <sheetName val="Version_Control4"/>
      <sheetName val="Prebid_Review4"/>
      <sheetName val="DJC_Parameters4"/>
      <sheetName val="Selling_Summary4"/>
      <sheetName val="1-BAS_(cost)4"/>
      <sheetName val="Controller_Configuration4"/>
      <sheetName val="IO_Summary4"/>
      <sheetName val="2-FAS_(cost)4"/>
      <sheetName val="Cost_Summary4"/>
      <sheetName val="3-PA_(cost)4"/>
      <sheetName val="Approved_Make4"/>
      <sheetName val="Basis_of_offer4"/>
      <sheetName val="High_Level_Summary4"/>
      <sheetName val="4-ACS__(cost)4"/>
      <sheetName val="5-CCTV__(cost)4"/>
      <sheetName val="6-FFT__(cost)4"/>
      <sheetName val="7-_Service_Retrofit__(cost)4"/>
      <sheetName val="8-Service_PSA,O&amp;M__(cost)4"/>
      <sheetName val="9-_Service_L&amp;M__(cost)4"/>
      <sheetName val="non_fixed_DJC_4"/>
      <sheetName val="10-UPG_(cost)4"/>
      <sheetName val="11-ESG__(cost)4"/>
      <sheetName val="12-Products_(cost)4"/>
      <sheetName val="13-VAV__(cost)4"/>
      <sheetName val="14-REF_(cost)4"/>
      <sheetName val="15_-_Local_Chiller_(cost)4"/>
      <sheetName val="Selling-Local_Chiller4"/>
      <sheetName val="Material_Cost_JCS4"/>
      <sheetName val="Costing_USD_Chiller4"/>
      <sheetName val="Selling-USD_Chiller4"/>
      <sheetName val="PRICE_MATRIX_-JCIPL4"/>
      <sheetName val="COST_SUMMARY-_JCIPL4"/>
      <sheetName val="6_-FFT-JCIPL4"/>
      <sheetName val="7-Ser_Retro_-JCIPL4"/>
      <sheetName val="8-Ser_PSA,_O&amp;M_-JCIPL4"/>
      <sheetName val="9-Ser_L&amp;M_-JCIPL4"/>
      <sheetName val="10-UPG_JCIPL4"/>
      <sheetName val="11-ESG_JCIPL4"/>
      <sheetName val="12-Products_JCIPL4"/>
      <sheetName val="13-VAV_JCIPL4"/>
      <sheetName val="14-REF_JCMRL_4"/>
      <sheetName val="Proj__DJC-JCIPL4"/>
      <sheetName val="_L0_DDC_14"/>
      <sheetName val="L0_DDC-24"/>
      <sheetName val="L16_DDC-34"/>
      <sheetName val="L16_DDC-54"/>
      <sheetName val="L17_DDC-64"/>
      <sheetName val="L17_DDC-7_4"/>
      <sheetName val="L18_DDC-84"/>
      <sheetName val="2-AutoDialer_Sys4"/>
      <sheetName val="1-BAS1_(cost)4"/>
      <sheetName val="2-BAS2_(cost)4"/>
      <sheetName val="Deviations-Project_Risks4"/>
      <sheetName val="IO_Schedule4"/>
      <sheetName val="Direct_cost_shed_A-2_4"/>
      <sheetName val="Staff_Forecast_spread4"/>
      <sheetName val="Index_3"/>
      <sheetName val="Email_Approval_Template3"/>
      <sheetName val="1_Executive_Summary3"/>
      <sheetName val="2_Risk_Assessment_Analysis3"/>
      <sheetName val="3_Pre-Approval3"/>
      <sheetName val="4_CIS3"/>
      <sheetName val="5_Change_Order3"/>
      <sheetName val="5_1__Re-book_De-book_order3"/>
      <sheetName val="6_Contract_Re-estimates3"/>
      <sheetName val="7a_BG_Approval_Form3"/>
      <sheetName val="7b_BG_Email_Approval_Template3"/>
      <sheetName val="8_LAD_Approval_Form3"/>
      <sheetName val="9_LOI_Checklist3"/>
      <sheetName val="10_RPS_Information_Form3"/>
      <sheetName val="11_Proj_Cashflow_3"/>
      <sheetName val="11_1_Cash-flow_Chart3"/>
      <sheetName val="Threshold_Calculator3"/>
      <sheetName val="Version_Control3"/>
      <sheetName val="Prebid_Review3"/>
      <sheetName val="DJC_Parameters3"/>
      <sheetName val="Selling_Summary3"/>
      <sheetName val="1-BAS_(cost)3"/>
      <sheetName val="Controller_Configuration3"/>
      <sheetName val="IO_Summary3"/>
      <sheetName val="2-FAS_(cost)3"/>
      <sheetName val="Cost_Summary3"/>
      <sheetName val="3-PA_(cost)3"/>
      <sheetName val="Approved_Make3"/>
      <sheetName val="Basis_of_offer3"/>
      <sheetName val="High_Level_Summary3"/>
      <sheetName val="4-ACS__(cost)3"/>
      <sheetName val="5-CCTV__(cost)3"/>
      <sheetName val="6-FFT__(cost)3"/>
      <sheetName val="7-_Service_Retrofit__(cost)3"/>
      <sheetName val="8-Service_PSA,O&amp;M__(cost)3"/>
      <sheetName val="9-_Service_L&amp;M__(cost)3"/>
      <sheetName val="non_fixed_DJC_3"/>
      <sheetName val="10-UPG_(cost)3"/>
      <sheetName val="11-ESG__(cost)3"/>
      <sheetName val="12-Products_(cost)3"/>
      <sheetName val="13-VAV__(cost)3"/>
      <sheetName val="14-REF_(cost)3"/>
      <sheetName val="15_-_Local_Chiller_(cost)3"/>
      <sheetName val="Selling-Local_Chiller3"/>
      <sheetName val="Material_Cost_JCS3"/>
      <sheetName val="Costing_USD_Chiller3"/>
      <sheetName val="Selling-USD_Chiller3"/>
      <sheetName val="PRICE_MATRIX_-JCIPL3"/>
      <sheetName val="COST_SUMMARY-_JCIPL3"/>
      <sheetName val="6_-FFT-JCIPL3"/>
      <sheetName val="7-Ser_Retro_-JCIPL3"/>
      <sheetName val="8-Ser_PSA,_O&amp;M_-JCIPL3"/>
      <sheetName val="9-Ser_L&amp;M_-JCIPL3"/>
      <sheetName val="10-UPG_JCIPL3"/>
      <sheetName val="11-ESG_JCIPL3"/>
      <sheetName val="12-Products_JCIPL3"/>
      <sheetName val="13-VAV_JCIPL3"/>
      <sheetName val="14-REF_JCMRL_3"/>
      <sheetName val="Proj__DJC-JCIPL3"/>
      <sheetName val="_L0_DDC_13"/>
      <sheetName val="L0_DDC-23"/>
      <sheetName val="L16_DDC-33"/>
      <sheetName val="L16_DDC-53"/>
      <sheetName val="L17_DDC-63"/>
      <sheetName val="L17_DDC-7_3"/>
      <sheetName val="L18_DDC-83"/>
      <sheetName val="2-AutoDialer_Sys3"/>
      <sheetName val="1-BAS1_(cost)3"/>
      <sheetName val="2-BAS2_(cost)3"/>
      <sheetName val="Deviations-Project_Risks3"/>
      <sheetName val="IO_Schedule3"/>
      <sheetName val="Index_5"/>
      <sheetName val="Email_Approval_Template5"/>
      <sheetName val="1_Executive_Summary5"/>
      <sheetName val="2_Risk_Assessment_Analysis5"/>
      <sheetName val="3_Pre-Approval5"/>
      <sheetName val="4_CIS5"/>
      <sheetName val="5_Change_Order5"/>
      <sheetName val="5_1__Re-book_De-book_order5"/>
      <sheetName val="6_Contract_Re-estimates5"/>
      <sheetName val="7a_BG_Approval_Form5"/>
      <sheetName val="7b_BG_Email_Approval_Template5"/>
      <sheetName val="8_LAD_Approval_Form5"/>
      <sheetName val="9_LOI_Checklist5"/>
      <sheetName val="10_RPS_Information_Form5"/>
      <sheetName val="11_Proj_Cashflow_5"/>
      <sheetName val="11_1_Cash-flow_Chart5"/>
      <sheetName val="Threshold_Calculator5"/>
      <sheetName val="Version_Control5"/>
      <sheetName val="Prebid_Review5"/>
      <sheetName val="DJC_Parameters5"/>
      <sheetName val="Selling_Summary5"/>
      <sheetName val="1-BAS_(cost)5"/>
      <sheetName val="Controller_Configuration5"/>
      <sheetName val="IO_Summary5"/>
      <sheetName val="2-FAS_(cost)5"/>
      <sheetName val="Cost_Summary5"/>
      <sheetName val="3-PA_(cost)5"/>
      <sheetName val="Approved_Make5"/>
      <sheetName val="Basis_of_offer5"/>
      <sheetName val="High_Level_Summary5"/>
      <sheetName val="4-ACS__(cost)5"/>
      <sheetName val="5-CCTV__(cost)5"/>
      <sheetName val="6-FFT__(cost)5"/>
      <sheetName val="7-_Service_Retrofit__(cost)5"/>
      <sheetName val="8-Service_PSA,O&amp;M__(cost)5"/>
      <sheetName val="9-_Service_L&amp;M__(cost)5"/>
      <sheetName val="non_fixed_DJC_5"/>
      <sheetName val="10-UPG_(cost)5"/>
      <sheetName val="11-ESG__(cost)5"/>
      <sheetName val="12-Products_(cost)5"/>
      <sheetName val="13-VAV__(cost)5"/>
      <sheetName val="14-REF_(cost)5"/>
      <sheetName val="15_-_Local_Chiller_(cost)5"/>
      <sheetName val="Selling-Local_Chiller5"/>
      <sheetName val="Material_Cost_JCS5"/>
      <sheetName val="Costing_USD_Chiller5"/>
      <sheetName val="Selling-USD_Chiller5"/>
      <sheetName val="PRICE_MATRIX_-JCIPL5"/>
      <sheetName val="COST_SUMMARY-_JCIPL5"/>
      <sheetName val="6_-FFT-JCIPL5"/>
      <sheetName val="7-Ser_Retro_-JCIPL5"/>
      <sheetName val="8-Ser_PSA,_O&amp;M_-JCIPL5"/>
      <sheetName val="9-Ser_L&amp;M_-JCIPL5"/>
      <sheetName val="10-UPG_JCIPL5"/>
      <sheetName val="11-ESG_JCIPL5"/>
      <sheetName val="12-Products_JCIPL5"/>
      <sheetName val="13-VAV_JCIPL5"/>
      <sheetName val="14-REF_JCMRL_5"/>
      <sheetName val="Proj__DJC-JCIPL5"/>
      <sheetName val="_L0_DDC_15"/>
      <sheetName val="L0_DDC-25"/>
      <sheetName val="L16_DDC-35"/>
      <sheetName val="L16_DDC-55"/>
      <sheetName val="L17_DDC-65"/>
      <sheetName val="L17_DDC-7_5"/>
      <sheetName val="L18_DDC-85"/>
      <sheetName val="2-AutoDialer_Sys5"/>
      <sheetName val="1-BAS1_(cost)5"/>
      <sheetName val="2-BAS2_(cost)5"/>
      <sheetName val="Deviations-Project_Risks5"/>
      <sheetName val="IO_Schedule5"/>
      <sheetName val="Direct_cost_shed_A-2_5"/>
      <sheetName val="Staff_Forecast_spread5"/>
      <sheetName val="Index_6"/>
      <sheetName val="Email_Approval_Template6"/>
      <sheetName val="1_Executive_Summary6"/>
      <sheetName val="2_Risk_Assessment_Analysis6"/>
      <sheetName val="3_Pre-Approval6"/>
      <sheetName val="4_CIS6"/>
      <sheetName val="5_Change_Order6"/>
      <sheetName val="5_1__Re-book_De-book_order6"/>
      <sheetName val="6_Contract_Re-estimates6"/>
      <sheetName val="7a_BG_Approval_Form6"/>
      <sheetName val="7b_BG_Email_Approval_Template6"/>
      <sheetName val="8_LAD_Approval_Form6"/>
      <sheetName val="9_LOI_Checklist6"/>
      <sheetName val="10_RPS_Information_Form6"/>
      <sheetName val="11_Proj_Cashflow_6"/>
      <sheetName val="11_1_Cash-flow_Chart6"/>
      <sheetName val="Threshold_Calculator6"/>
      <sheetName val="Version_Control6"/>
      <sheetName val="Prebid_Review6"/>
      <sheetName val="DJC_Parameters6"/>
      <sheetName val="Selling_Summary6"/>
      <sheetName val="1-BAS_(cost)6"/>
      <sheetName val="Controller_Configuration6"/>
      <sheetName val="IO_Summary6"/>
      <sheetName val="2-FAS_(cost)6"/>
      <sheetName val="Cost_Summary6"/>
      <sheetName val="3-PA_(cost)6"/>
      <sheetName val="Approved_Make6"/>
      <sheetName val="Basis_of_offer6"/>
      <sheetName val="High_Level_Summary6"/>
      <sheetName val="4-ACS__(cost)6"/>
      <sheetName val="5-CCTV__(cost)6"/>
      <sheetName val="6-FFT__(cost)6"/>
      <sheetName val="7-_Service_Retrofit__(cost)6"/>
      <sheetName val="8-Service_PSA,O&amp;M__(cost)6"/>
      <sheetName val="9-_Service_L&amp;M__(cost)6"/>
      <sheetName val="non_fixed_DJC_6"/>
      <sheetName val="10-UPG_(cost)6"/>
      <sheetName val="11-ESG__(cost)6"/>
      <sheetName val="12-Products_(cost)6"/>
      <sheetName val="13-VAV__(cost)6"/>
      <sheetName val="14-REF_(cost)6"/>
      <sheetName val="15_-_Local_Chiller_(cost)6"/>
      <sheetName val="Selling-Local_Chiller6"/>
      <sheetName val="Material_Cost_JCS6"/>
      <sheetName val="Costing_USD_Chiller6"/>
      <sheetName val="Selling-USD_Chiller6"/>
      <sheetName val="PRICE_MATRIX_-JCIPL6"/>
      <sheetName val="COST_SUMMARY-_JCIPL6"/>
      <sheetName val="6_-FFT-JCIPL6"/>
      <sheetName val="7-Ser_Retro_-JCIPL6"/>
      <sheetName val="8-Ser_PSA,_O&amp;M_-JCIPL6"/>
      <sheetName val="9-Ser_L&amp;M_-JCIPL6"/>
      <sheetName val="10-UPG_JCIPL6"/>
      <sheetName val="11-ESG_JCIPL6"/>
      <sheetName val="12-Products_JCIPL6"/>
      <sheetName val="13-VAV_JCIPL6"/>
      <sheetName val="14-REF_JCMRL_6"/>
      <sheetName val="Proj__DJC-JCIPL6"/>
      <sheetName val="_L0_DDC_16"/>
      <sheetName val="L0_DDC-26"/>
      <sheetName val="L16_DDC-36"/>
      <sheetName val="L16_DDC-56"/>
      <sheetName val="L17_DDC-66"/>
      <sheetName val="L17_DDC-7_6"/>
      <sheetName val="L18_DDC-86"/>
      <sheetName val="2-AutoDialer_Sys6"/>
      <sheetName val="1-BAS1_(cost)6"/>
      <sheetName val="2-BAS2_(cost)6"/>
      <sheetName val="Deviations-Project_Risks6"/>
      <sheetName val="IO_Schedule6"/>
      <sheetName val="Direct_cost_shed_A-2_6"/>
      <sheetName val="Staff_Forecast_spread6"/>
      <sheetName val="Index_8"/>
      <sheetName val="Email_Approval_Template8"/>
      <sheetName val="1_Executive_Summary8"/>
      <sheetName val="2_Risk_Assessment_Analysis8"/>
      <sheetName val="3_Pre-Approval8"/>
      <sheetName val="4_CIS8"/>
      <sheetName val="5_Change_Order8"/>
      <sheetName val="5_1__Re-book_De-book_order8"/>
      <sheetName val="6_Contract_Re-estimates8"/>
      <sheetName val="7a_BG_Approval_Form8"/>
      <sheetName val="7b_BG_Email_Approval_Template8"/>
      <sheetName val="8_LAD_Approval_Form8"/>
      <sheetName val="9_LOI_Checklist8"/>
      <sheetName val="10_RPS_Information_Form8"/>
      <sheetName val="11_Proj_Cashflow_8"/>
      <sheetName val="11_1_Cash-flow_Chart8"/>
      <sheetName val="Threshold_Calculator8"/>
      <sheetName val="Version_Control8"/>
      <sheetName val="Prebid_Review8"/>
      <sheetName val="DJC_Parameters8"/>
      <sheetName val="Selling_Summary8"/>
      <sheetName val="1-BAS_(cost)8"/>
      <sheetName val="Controller_Configuration8"/>
      <sheetName val="IO_Summary8"/>
      <sheetName val="2-FAS_(cost)8"/>
      <sheetName val="Cost_Summary8"/>
      <sheetName val="3-PA_(cost)8"/>
      <sheetName val="Approved_Make8"/>
      <sheetName val="Basis_of_offer8"/>
      <sheetName val="High_Level_Summary8"/>
      <sheetName val="4-ACS__(cost)8"/>
      <sheetName val="5-CCTV__(cost)8"/>
      <sheetName val="6-FFT__(cost)8"/>
      <sheetName val="7-_Service_Retrofit__(cost)8"/>
      <sheetName val="8-Service_PSA,O&amp;M__(cost)8"/>
      <sheetName val="9-_Service_L&amp;M__(cost)8"/>
      <sheetName val="non_fixed_DJC_8"/>
      <sheetName val="10-UPG_(cost)8"/>
      <sheetName val="11-ESG__(cost)8"/>
      <sheetName val="12-Products_(cost)8"/>
      <sheetName val="13-VAV__(cost)8"/>
      <sheetName val="14-REF_(cost)8"/>
      <sheetName val="15_-_Local_Chiller_(cost)8"/>
      <sheetName val="Selling-Local_Chiller8"/>
      <sheetName val="Material_Cost_JCS8"/>
      <sheetName val="Costing_USD_Chiller8"/>
      <sheetName val="Selling-USD_Chiller8"/>
      <sheetName val="PRICE_MATRIX_-JCIPL8"/>
      <sheetName val="COST_SUMMARY-_JCIPL8"/>
      <sheetName val="6_-FFT-JCIPL8"/>
      <sheetName val="7-Ser_Retro_-JCIPL8"/>
      <sheetName val="8-Ser_PSA,_O&amp;M_-JCIPL8"/>
      <sheetName val="9-Ser_L&amp;M_-JCIPL8"/>
      <sheetName val="10-UPG_JCIPL8"/>
      <sheetName val="11-ESG_JCIPL8"/>
      <sheetName val="12-Products_JCIPL8"/>
      <sheetName val="13-VAV_JCIPL8"/>
      <sheetName val="14-REF_JCMRL_8"/>
      <sheetName val="Proj__DJC-JCIPL8"/>
      <sheetName val="_L0_DDC_18"/>
      <sheetName val="L0_DDC-28"/>
      <sheetName val="L16_DDC-38"/>
      <sheetName val="L16_DDC-58"/>
      <sheetName val="L17_DDC-68"/>
      <sheetName val="L17_DDC-7_8"/>
      <sheetName val="L18_DDC-88"/>
      <sheetName val="2-AutoDialer_Sys8"/>
      <sheetName val="1-BAS1_(cost)8"/>
      <sheetName val="2-BAS2_(cost)8"/>
      <sheetName val="Deviations-Project_Risks8"/>
      <sheetName val="IO_Schedule8"/>
      <sheetName val="Direct_cost_shed_A-2_8"/>
      <sheetName val="Staff_Forecast_spread8"/>
      <sheetName val="PRRM_Dashboard18"/>
      <sheetName val="PRRM_Dashboard12"/>
      <sheetName val="PRRM_Dashboard15"/>
      <sheetName val="Debits_as_on_12_04_0814"/>
      <sheetName val="Index_14"/>
      <sheetName val="Email_Approval_Template14"/>
      <sheetName val="1_Executive_Summary14"/>
      <sheetName val="2_Risk_Assessment_Analysis14"/>
      <sheetName val="3_Pre-Approval14"/>
      <sheetName val="4_CIS14"/>
      <sheetName val="5_Change_Order14"/>
      <sheetName val="5_1__Re-book_De-book_order14"/>
      <sheetName val="6_Contract_Re-estimates14"/>
      <sheetName val="7a_BG_Approval_Form14"/>
      <sheetName val="7b_BG_Email_Approval_Template14"/>
      <sheetName val="8_LAD_Approval_Form14"/>
      <sheetName val="9_LOI_Checklist14"/>
      <sheetName val="10_RPS_Information_Form14"/>
      <sheetName val="11_Proj_Cashflow_14"/>
      <sheetName val="11_1_Cash-flow_Chart14"/>
      <sheetName val="Threshold_Calculator14"/>
      <sheetName val="Version_Control14"/>
      <sheetName val="Prebid_Review14"/>
      <sheetName val="DJC_Parameters14"/>
      <sheetName val="Selling_Summary14"/>
      <sheetName val="1-BAS_(cost)14"/>
      <sheetName val="Controller_Configuration14"/>
      <sheetName val="IO_Summary14"/>
      <sheetName val="2-FAS_(cost)14"/>
      <sheetName val="Cost_Summary14"/>
      <sheetName val="3-PA_(cost)14"/>
      <sheetName val="Approved_Make14"/>
      <sheetName val="Basis_of_offer14"/>
      <sheetName val="High_Level_Summary14"/>
      <sheetName val="4-ACS__(cost)14"/>
      <sheetName val="5-CCTV__(cost)14"/>
      <sheetName val="6-FFT__(cost)14"/>
      <sheetName val="7-_Service_Retrofit__(cost)14"/>
      <sheetName val="8-Service_PSA,O&amp;M__(cost)14"/>
      <sheetName val="9-_Service_L&amp;M__(cost)14"/>
      <sheetName val="non_fixed_DJC_14"/>
      <sheetName val="10-UPG_(cost)14"/>
      <sheetName val="11-ESG__(cost)14"/>
      <sheetName val="12-Products_(cost)14"/>
      <sheetName val="13-VAV__(cost)14"/>
      <sheetName val="14-REF_(cost)14"/>
      <sheetName val="15_-_Local_Chiller_(cost)14"/>
      <sheetName val="Selling-Local_Chiller14"/>
      <sheetName val="Material_Cost_JCS14"/>
      <sheetName val="Costing_USD_Chiller14"/>
      <sheetName val="Selling-USD_Chiller14"/>
      <sheetName val="PRICE_MATRIX_-JCIPL14"/>
      <sheetName val="COST_SUMMARY-_JCIPL14"/>
      <sheetName val="6_-FFT-JCIPL14"/>
      <sheetName val="7-Ser_Retro_-JCIPL14"/>
      <sheetName val="8-Ser_PSA,_O&amp;M_-JCIPL14"/>
      <sheetName val="9-Ser_L&amp;M_-JCIPL14"/>
      <sheetName val="10-UPG_JCIPL14"/>
      <sheetName val="11-ESG_JCIPL14"/>
      <sheetName val="12-Products_JCIPL14"/>
      <sheetName val="13-VAV_JCIPL14"/>
      <sheetName val="14-REF_JCMRL_14"/>
      <sheetName val="Proj__DJC-JCIPL14"/>
      <sheetName val="_L0_DDC_114"/>
      <sheetName val="L0_DDC-214"/>
      <sheetName val="L16_DDC-314"/>
      <sheetName val="L16_DDC-514"/>
      <sheetName val="L17_DDC-614"/>
      <sheetName val="L17_DDC-7_14"/>
      <sheetName val="L18_DDC-814"/>
      <sheetName val="2-AutoDialer_Sys14"/>
      <sheetName val="1-BAS1_(cost)14"/>
      <sheetName val="2-BAS2_(cost)14"/>
      <sheetName val="Deviations-Project_Risks14"/>
      <sheetName val="IO_Schedule14"/>
      <sheetName val="Direct_cost_shed_A-2_14"/>
      <sheetName val="Staff_Forecast_spread14"/>
      <sheetName val="PRRM_Dashboard14"/>
      <sheetName val="Index_13"/>
      <sheetName val="Email_Approval_Template13"/>
      <sheetName val="1_Executive_Summary13"/>
      <sheetName val="2_Risk_Assessment_Analysis13"/>
      <sheetName val="3_Pre-Approval13"/>
      <sheetName val="4_CIS13"/>
      <sheetName val="5_Change_Order13"/>
      <sheetName val="5_1__Re-book_De-book_order13"/>
      <sheetName val="6_Contract_Re-estimates13"/>
      <sheetName val="7a_BG_Approval_Form13"/>
      <sheetName val="7b_BG_Email_Approval_Template13"/>
      <sheetName val="8_LAD_Approval_Form13"/>
      <sheetName val="9_LOI_Checklist13"/>
      <sheetName val="10_RPS_Information_Form13"/>
      <sheetName val="11_Proj_Cashflow_13"/>
      <sheetName val="11_1_Cash-flow_Chart13"/>
      <sheetName val="Threshold_Calculator13"/>
      <sheetName val="Version_Control13"/>
      <sheetName val="Prebid_Review13"/>
      <sheetName val="DJC_Parameters13"/>
      <sheetName val="Selling_Summary13"/>
      <sheetName val="1-BAS_(cost)13"/>
      <sheetName val="Controller_Configuration13"/>
      <sheetName val="IO_Summary13"/>
      <sheetName val="2-FAS_(cost)13"/>
      <sheetName val="Cost_Summary13"/>
      <sheetName val="3-PA_(cost)13"/>
      <sheetName val="Approved_Make13"/>
      <sheetName val="Basis_of_offer13"/>
      <sheetName val="High_Level_Summary13"/>
      <sheetName val="4-ACS__(cost)13"/>
      <sheetName val="5-CCTV__(cost)13"/>
      <sheetName val="6-FFT__(cost)13"/>
      <sheetName val="7-_Service_Retrofit__(cost)13"/>
      <sheetName val="8-Service_PSA,O&amp;M__(cost)13"/>
      <sheetName val="9-_Service_L&amp;M__(cost)13"/>
      <sheetName val="non_fixed_DJC_13"/>
      <sheetName val="10-UPG_(cost)13"/>
      <sheetName val="11-ESG__(cost)13"/>
      <sheetName val="12-Products_(cost)13"/>
      <sheetName val="13-VAV__(cost)13"/>
      <sheetName val="14-REF_(cost)13"/>
      <sheetName val="15_-_Local_Chiller_(cost)13"/>
      <sheetName val="Selling-Local_Chiller13"/>
      <sheetName val="Material_Cost_JCS13"/>
      <sheetName val="Costing_USD_Chiller13"/>
      <sheetName val="Selling-USD_Chiller13"/>
      <sheetName val="PRICE_MATRIX_-JCIPL13"/>
      <sheetName val="COST_SUMMARY-_JCIPL13"/>
      <sheetName val="6_-FFT-JCIPL13"/>
      <sheetName val="7-Ser_Retro_-JCIPL13"/>
      <sheetName val="8-Ser_PSA,_O&amp;M_-JCIPL13"/>
      <sheetName val="9-Ser_L&amp;M_-JCIPL13"/>
      <sheetName val="10-UPG_JCIPL13"/>
      <sheetName val="11-ESG_JCIPL13"/>
      <sheetName val="12-Products_JCIPL13"/>
      <sheetName val="13-VAV_JCIPL13"/>
      <sheetName val="14-REF_JCMRL_13"/>
      <sheetName val="Proj__DJC-JCIPL13"/>
      <sheetName val="_L0_DDC_113"/>
      <sheetName val="L0_DDC-213"/>
      <sheetName val="L16_DDC-313"/>
      <sheetName val="L16_DDC-513"/>
      <sheetName val="L17_DDC-613"/>
      <sheetName val="L17_DDC-7_13"/>
      <sheetName val="L18_DDC-813"/>
      <sheetName val="2-AutoDialer_Sys13"/>
      <sheetName val="1-BAS1_(cost)13"/>
      <sheetName val="2-BAS2_(cost)13"/>
      <sheetName val="Deviations-Project_Risks13"/>
      <sheetName val="IO_Schedule13"/>
      <sheetName val="Debits_as_on_12_04_0813"/>
      <sheetName val="Direct_cost_shed_A-2_13"/>
      <sheetName val="Staff_Forecast_spread13"/>
      <sheetName val="PRRM_Dashboard13"/>
      <sheetName val="Index_12"/>
      <sheetName val="Email_Approval_Template12"/>
      <sheetName val="1_Executive_Summary12"/>
      <sheetName val="2_Risk_Assessment_Analysis12"/>
      <sheetName val="3_Pre-Approval12"/>
      <sheetName val="4_CIS12"/>
      <sheetName val="5_Change_Order12"/>
      <sheetName val="5_1__Re-book_De-book_order12"/>
      <sheetName val="6_Contract_Re-estimates12"/>
      <sheetName val="7a_BG_Approval_Form12"/>
      <sheetName val="7b_BG_Email_Approval_Template12"/>
      <sheetName val="8_LAD_Approval_Form12"/>
      <sheetName val="9_LOI_Checklist12"/>
      <sheetName val="10_RPS_Information_Form12"/>
      <sheetName val="11_Proj_Cashflow_12"/>
      <sheetName val="11_1_Cash-flow_Chart12"/>
      <sheetName val="Threshold_Calculator12"/>
      <sheetName val="Version_Control12"/>
      <sheetName val="Prebid_Review12"/>
      <sheetName val="DJC_Parameters12"/>
      <sheetName val="Selling_Summary12"/>
      <sheetName val="1-BAS_(cost)12"/>
      <sheetName val="Controller_Configuration12"/>
      <sheetName val="IO_Summary12"/>
      <sheetName val="2-FAS_(cost)12"/>
      <sheetName val="Cost_Summary12"/>
      <sheetName val="3-PA_(cost)12"/>
      <sheetName val="Approved_Make12"/>
      <sheetName val="Basis_of_offer12"/>
      <sheetName val="High_Level_Summary12"/>
      <sheetName val="4-ACS__(cost)12"/>
      <sheetName val="5-CCTV__(cost)12"/>
      <sheetName val="6-FFT__(cost)12"/>
      <sheetName val="7-_Service_Retrofit__(cost)12"/>
      <sheetName val="8-Service_PSA,O&amp;M__(cost)12"/>
      <sheetName val="9-_Service_L&amp;M__(cost)12"/>
      <sheetName val="non_fixed_DJC_12"/>
      <sheetName val="10-UPG_(cost)12"/>
      <sheetName val="11-ESG__(cost)12"/>
      <sheetName val="12-Products_(cost)12"/>
      <sheetName val="13-VAV__(cost)12"/>
      <sheetName val="14-REF_(cost)12"/>
      <sheetName val="15_-_Local_Chiller_(cost)12"/>
      <sheetName val="Selling-Local_Chiller12"/>
      <sheetName val="Material_Cost_JCS12"/>
      <sheetName val="Costing_USD_Chiller12"/>
      <sheetName val="Selling-USD_Chiller12"/>
      <sheetName val="PRICE_MATRIX_-JCIPL12"/>
      <sheetName val="COST_SUMMARY-_JCIPL12"/>
      <sheetName val="6_-FFT-JCIPL12"/>
      <sheetName val="7-Ser_Retro_-JCIPL12"/>
      <sheetName val="8-Ser_PSA,_O&amp;M_-JCIPL12"/>
      <sheetName val="9-Ser_L&amp;M_-JCIPL12"/>
      <sheetName val="10-UPG_JCIPL12"/>
      <sheetName val="11-ESG_JCIPL12"/>
      <sheetName val="12-Products_JCIPL12"/>
      <sheetName val="13-VAV_JCIPL12"/>
      <sheetName val="14-REF_JCMRL_12"/>
      <sheetName val="Proj__DJC-JCIPL12"/>
      <sheetName val="_L0_DDC_112"/>
      <sheetName val="L0_DDC-212"/>
      <sheetName val="L16_DDC-312"/>
      <sheetName val="L16_DDC-512"/>
      <sheetName val="L17_DDC-612"/>
      <sheetName val="L17_DDC-7_12"/>
      <sheetName val="L18_DDC-812"/>
      <sheetName val="2-AutoDialer_Sys12"/>
      <sheetName val="1-BAS1_(cost)12"/>
      <sheetName val="2-BAS2_(cost)12"/>
      <sheetName val="Deviations-Project_Risks12"/>
      <sheetName val="IO_Schedule12"/>
      <sheetName val="Debits_as_on_12_04_0812"/>
      <sheetName val="Direct_cost_shed_A-2_12"/>
      <sheetName val="Staff_Forecast_spread12"/>
      <sheetName val="Index_11"/>
      <sheetName val="Email_Approval_Template11"/>
      <sheetName val="1_Executive_Summary11"/>
      <sheetName val="2_Risk_Assessment_Analysis11"/>
      <sheetName val="3_Pre-Approval11"/>
      <sheetName val="4_CIS11"/>
      <sheetName val="5_Change_Order11"/>
      <sheetName val="5_1__Re-book_De-book_order11"/>
      <sheetName val="6_Contract_Re-estimates11"/>
      <sheetName val="7a_BG_Approval_Form11"/>
      <sheetName val="7b_BG_Email_Approval_Template11"/>
      <sheetName val="8_LAD_Approval_Form11"/>
      <sheetName val="9_LOI_Checklist11"/>
      <sheetName val="10_RPS_Information_Form11"/>
      <sheetName val="11_Proj_Cashflow_11"/>
      <sheetName val="11_1_Cash-flow_Chart11"/>
      <sheetName val="Threshold_Calculator11"/>
      <sheetName val="Version_Control11"/>
      <sheetName val="Prebid_Review11"/>
      <sheetName val="DJC_Parameters11"/>
      <sheetName val="Selling_Summary11"/>
      <sheetName val="1-BAS_(cost)11"/>
      <sheetName val="Controller_Configuration11"/>
      <sheetName val="IO_Summary11"/>
      <sheetName val="2-FAS_(cost)11"/>
      <sheetName val="Cost_Summary11"/>
      <sheetName val="3-PA_(cost)11"/>
      <sheetName val="Approved_Make11"/>
      <sheetName val="Basis_of_offer11"/>
      <sheetName val="High_Level_Summary11"/>
      <sheetName val="4-ACS__(cost)11"/>
      <sheetName val="5-CCTV__(cost)11"/>
      <sheetName val="6-FFT__(cost)11"/>
      <sheetName val="7-_Service_Retrofit__(cost)11"/>
      <sheetName val="8-Service_PSA,O&amp;M__(cost)11"/>
      <sheetName val="9-_Service_L&amp;M__(cost)11"/>
      <sheetName val="non_fixed_DJC_11"/>
      <sheetName val="10-UPG_(cost)11"/>
      <sheetName val="11-ESG__(cost)11"/>
      <sheetName val="12-Products_(cost)11"/>
      <sheetName val="13-VAV__(cost)11"/>
      <sheetName val="14-REF_(cost)11"/>
      <sheetName val="15_-_Local_Chiller_(cost)11"/>
      <sheetName val="Selling-Local_Chiller11"/>
      <sheetName val="Material_Cost_JCS11"/>
      <sheetName val="Costing_USD_Chiller11"/>
      <sheetName val="Selling-USD_Chiller11"/>
      <sheetName val="PRICE_MATRIX_-JCIPL11"/>
      <sheetName val="COST_SUMMARY-_JCIPL11"/>
      <sheetName val="6_-FFT-JCIPL11"/>
      <sheetName val="7-Ser_Retro_-JCIPL11"/>
      <sheetName val="8-Ser_PSA,_O&amp;M_-JCIPL11"/>
      <sheetName val="9-Ser_L&amp;M_-JCIPL11"/>
      <sheetName val="10-UPG_JCIPL11"/>
      <sheetName val="11-ESG_JCIPL11"/>
      <sheetName val="12-Products_JCIPL11"/>
      <sheetName val="13-VAV_JCIPL11"/>
      <sheetName val="14-REF_JCMRL_11"/>
      <sheetName val="Proj__DJC-JCIPL11"/>
      <sheetName val="_L0_DDC_111"/>
      <sheetName val="L0_DDC-211"/>
      <sheetName val="L16_DDC-311"/>
      <sheetName val="L16_DDC-511"/>
      <sheetName val="L17_DDC-611"/>
      <sheetName val="L17_DDC-7_11"/>
      <sheetName val="L18_DDC-811"/>
      <sheetName val="2-AutoDialer_Sys11"/>
      <sheetName val="1-BAS1_(cost)11"/>
      <sheetName val="2-BAS2_(cost)11"/>
      <sheetName val="Deviations-Project_Risks11"/>
      <sheetName val="IO_Schedule11"/>
      <sheetName val="Debits_as_on_12_04_0811"/>
      <sheetName val="Direct_cost_shed_A-2_11"/>
      <sheetName val="Staff_Forecast_spread11"/>
      <sheetName val="PRRM_Dashboard16"/>
      <sheetName val="Index_15"/>
      <sheetName val="Email_Approval_Template15"/>
      <sheetName val="1_Executive_Summary15"/>
      <sheetName val="2_Risk_Assessment_Analysis15"/>
      <sheetName val="3_Pre-Approval15"/>
      <sheetName val="4_CIS15"/>
      <sheetName val="5_Change_Order15"/>
      <sheetName val="5_1__Re-book_De-book_order15"/>
      <sheetName val="6_Contract_Re-estimates15"/>
      <sheetName val="7a_BG_Approval_Form15"/>
      <sheetName val="7b_BG_Email_Approval_Template15"/>
      <sheetName val="8_LAD_Approval_Form15"/>
      <sheetName val="9_LOI_Checklist15"/>
      <sheetName val="10_RPS_Information_Form15"/>
      <sheetName val="11_Proj_Cashflow_15"/>
      <sheetName val="11_1_Cash-flow_Chart15"/>
      <sheetName val="Threshold_Calculator15"/>
      <sheetName val="Version_Control15"/>
      <sheetName val="Prebid_Review15"/>
      <sheetName val="DJC_Parameters15"/>
      <sheetName val="Selling_Summary15"/>
      <sheetName val="1-BAS_(cost)15"/>
      <sheetName val="Controller_Configuration15"/>
      <sheetName val="IO_Summary15"/>
      <sheetName val="2-FAS_(cost)15"/>
      <sheetName val="Cost_Summary15"/>
      <sheetName val="3-PA_(cost)15"/>
      <sheetName val="Approved_Make15"/>
      <sheetName val="Basis_of_offer15"/>
      <sheetName val="High_Level_Summary15"/>
      <sheetName val="4-ACS__(cost)15"/>
      <sheetName val="5-CCTV__(cost)15"/>
      <sheetName val="6-FFT__(cost)15"/>
      <sheetName val="7-_Service_Retrofit__(cost)15"/>
      <sheetName val="8-Service_PSA,O&amp;M__(cost)15"/>
      <sheetName val="9-_Service_L&amp;M__(cost)15"/>
      <sheetName val="non_fixed_DJC_15"/>
      <sheetName val="10-UPG_(cost)15"/>
      <sheetName val="11-ESG__(cost)15"/>
      <sheetName val="12-Products_(cost)15"/>
      <sheetName val="13-VAV__(cost)15"/>
      <sheetName val="14-REF_(cost)15"/>
      <sheetName val="15_-_Local_Chiller_(cost)15"/>
      <sheetName val="Selling-Local_Chiller15"/>
      <sheetName val="Material_Cost_JCS15"/>
      <sheetName val="Costing_USD_Chiller15"/>
      <sheetName val="Selling-USD_Chiller15"/>
      <sheetName val="PRICE_MATRIX_-JCIPL15"/>
      <sheetName val="COST_SUMMARY-_JCIPL15"/>
      <sheetName val="6_-FFT-JCIPL15"/>
      <sheetName val="7-Ser_Retro_-JCIPL15"/>
      <sheetName val="8-Ser_PSA,_O&amp;M_-JCIPL15"/>
      <sheetName val="9-Ser_L&amp;M_-JCIPL15"/>
      <sheetName val="10-UPG_JCIPL15"/>
      <sheetName val="11-ESG_JCIPL15"/>
      <sheetName val="12-Products_JCIPL15"/>
      <sheetName val="13-VAV_JCIPL15"/>
      <sheetName val="14-REF_JCMRL_15"/>
      <sheetName val="Proj__DJC-JCIPL15"/>
      <sheetName val="_L0_DDC_115"/>
      <sheetName val="L0_DDC-215"/>
      <sheetName val="L16_DDC-315"/>
      <sheetName val="L16_DDC-515"/>
      <sheetName val="L17_DDC-615"/>
      <sheetName val="L17_DDC-7_15"/>
      <sheetName val="L18_DDC-815"/>
      <sheetName val="2-AutoDialer_Sys15"/>
      <sheetName val="1-BAS1_(cost)15"/>
      <sheetName val="2-BAS2_(cost)15"/>
      <sheetName val="Deviations-Project_Risks15"/>
      <sheetName val="IO_Schedule15"/>
      <sheetName val="Debits_as_on_12_04_0815"/>
      <sheetName val="Direct_cost_shed_A-2_15"/>
      <sheetName val="Staff_Forecast_spread15"/>
      <sheetName val="PRRM_Dashboard17"/>
      <sheetName val="Index_16"/>
      <sheetName val="Email_Approval_Template16"/>
      <sheetName val="1_Executive_Summary16"/>
      <sheetName val="2_Risk_Assessment_Analysis16"/>
      <sheetName val="3_Pre-Approval16"/>
      <sheetName val="4_CIS16"/>
      <sheetName val="5_Change_Order16"/>
      <sheetName val="5_1__Re-book_De-book_order16"/>
      <sheetName val="6_Contract_Re-estimates16"/>
      <sheetName val="7a_BG_Approval_Form16"/>
      <sheetName val="7b_BG_Email_Approval_Template16"/>
      <sheetName val="8_LAD_Approval_Form16"/>
      <sheetName val="9_LOI_Checklist16"/>
      <sheetName val="10_RPS_Information_Form16"/>
      <sheetName val="11_Proj_Cashflow_16"/>
      <sheetName val="11_1_Cash-flow_Chart16"/>
      <sheetName val="Threshold_Calculator16"/>
      <sheetName val="Version_Control16"/>
      <sheetName val="Prebid_Review16"/>
      <sheetName val="DJC_Parameters16"/>
      <sheetName val="Selling_Summary16"/>
      <sheetName val="1-BAS_(cost)16"/>
      <sheetName val="Controller_Configuration16"/>
      <sheetName val="IO_Summary16"/>
      <sheetName val="2-FAS_(cost)16"/>
      <sheetName val="Cost_Summary16"/>
      <sheetName val="3-PA_(cost)16"/>
      <sheetName val="Approved_Make16"/>
      <sheetName val="Basis_of_offer16"/>
      <sheetName val="High_Level_Summary16"/>
      <sheetName val="4-ACS__(cost)16"/>
      <sheetName val="5-CCTV__(cost)16"/>
      <sheetName val="6-FFT__(cost)16"/>
      <sheetName val="7-_Service_Retrofit__(cost)16"/>
      <sheetName val="8-Service_PSA,O&amp;M__(cost)16"/>
      <sheetName val="9-_Service_L&amp;M__(cost)16"/>
      <sheetName val="non_fixed_DJC_16"/>
      <sheetName val="10-UPG_(cost)16"/>
      <sheetName val="11-ESG__(cost)16"/>
      <sheetName val="12-Products_(cost)16"/>
      <sheetName val="13-VAV__(cost)16"/>
      <sheetName val="14-REF_(cost)16"/>
      <sheetName val="15_-_Local_Chiller_(cost)16"/>
      <sheetName val="Selling-Local_Chiller16"/>
      <sheetName val="Material_Cost_JCS16"/>
      <sheetName val="Costing_USD_Chiller16"/>
      <sheetName val="Selling-USD_Chiller16"/>
      <sheetName val="PRICE_MATRIX_-JCIPL16"/>
      <sheetName val="COST_SUMMARY-_JCIPL16"/>
      <sheetName val="6_-FFT-JCIPL16"/>
      <sheetName val="7-Ser_Retro_-JCIPL16"/>
      <sheetName val="8-Ser_PSA,_O&amp;M_-JCIPL16"/>
      <sheetName val="9-Ser_L&amp;M_-JCIPL16"/>
      <sheetName val="10-UPG_JCIPL16"/>
      <sheetName val="11-ESG_JCIPL16"/>
      <sheetName val="12-Products_JCIPL16"/>
      <sheetName val="13-VAV_JCIPL16"/>
      <sheetName val="14-REF_JCMRL_16"/>
      <sheetName val="Proj__DJC-JCIPL16"/>
      <sheetName val="_L0_DDC_116"/>
      <sheetName val="L0_DDC-216"/>
      <sheetName val="L16_DDC-316"/>
      <sheetName val="L16_DDC-516"/>
      <sheetName val="L17_DDC-616"/>
      <sheetName val="L17_DDC-7_16"/>
      <sheetName val="L18_DDC-816"/>
      <sheetName val="2-AutoDialer_Sys16"/>
      <sheetName val="1-BAS1_(cost)16"/>
      <sheetName val="2-BAS2_(cost)16"/>
      <sheetName val="Deviations-Project_Risks16"/>
      <sheetName val="IO_Schedule16"/>
      <sheetName val="Debits_as_on_12_04_0816"/>
      <sheetName val="Direct_cost_shed_A-2_16"/>
      <sheetName val="Staff_Forecast_spread16"/>
      <sheetName val="PRRM_Dashboard19"/>
      <sheetName val="Debits_as_on_12_04_0817"/>
      <sheetName val="Index_17"/>
      <sheetName val="Email_Approval_Template17"/>
      <sheetName val="1_Executive_Summary17"/>
      <sheetName val="2_Risk_Assessment_Analysis17"/>
      <sheetName val="3_Pre-Approval17"/>
      <sheetName val="4_CIS17"/>
      <sheetName val="5_Change_Order17"/>
      <sheetName val="5_1__Re-book_De-book_order17"/>
      <sheetName val="6_Contract_Re-estimates17"/>
      <sheetName val="7a_BG_Approval_Form17"/>
      <sheetName val="7b_BG_Email_Approval_Template17"/>
      <sheetName val="8_LAD_Approval_Form17"/>
      <sheetName val="9_LOI_Checklist17"/>
      <sheetName val="10_RPS_Information_Form17"/>
      <sheetName val="11_Proj_Cashflow_17"/>
      <sheetName val="11_1_Cash-flow_Chart17"/>
      <sheetName val="Threshold_Calculator17"/>
      <sheetName val="Version_Control17"/>
      <sheetName val="Prebid_Review17"/>
      <sheetName val="DJC_Parameters17"/>
      <sheetName val="Selling_Summary17"/>
      <sheetName val="1-BAS_(cost)17"/>
      <sheetName val="Controller_Configuration17"/>
      <sheetName val="IO_Summary17"/>
      <sheetName val="2-FAS_(cost)17"/>
      <sheetName val="Cost_Summary17"/>
      <sheetName val="3-PA_(cost)17"/>
      <sheetName val="Approved_Make17"/>
      <sheetName val="Basis_of_offer17"/>
      <sheetName val="High_Level_Summary17"/>
      <sheetName val="4-ACS__(cost)17"/>
      <sheetName val="5-CCTV__(cost)17"/>
      <sheetName val="6-FFT__(cost)17"/>
      <sheetName val="7-_Service_Retrofit__(cost)17"/>
      <sheetName val="8-Service_PSA,O&amp;M__(cost)17"/>
      <sheetName val="9-_Service_L&amp;M__(cost)17"/>
      <sheetName val="non_fixed_DJC_17"/>
      <sheetName val="10-UPG_(cost)17"/>
      <sheetName val="11-ESG__(cost)17"/>
      <sheetName val="12-Products_(cost)17"/>
      <sheetName val="13-VAV__(cost)17"/>
      <sheetName val="14-REF_(cost)17"/>
      <sheetName val="15_-_Local_Chiller_(cost)17"/>
      <sheetName val="Selling-Local_Chiller17"/>
      <sheetName val="Material_Cost_JCS17"/>
      <sheetName val="Costing_USD_Chiller17"/>
      <sheetName val="Selling-USD_Chiller17"/>
      <sheetName val="PRICE_MATRIX_-JCIPL17"/>
      <sheetName val="COST_SUMMARY-_JCIPL17"/>
      <sheetName val="6_-FFT-JCIPL17"/>
      <sheetName val="7-Ser_Retro_-JCIPL17"/>
      <sheetName val="8-Ser_PSA,_O&amp;M_-JCIPL17"/>
      <sheetName val="9-Ser_L&amp;M_-JCIPL17"/>
      <sheetName val="10-UPG_JCIPL17"/>
      <sheetName val="11-ESG_JCIPL17"/>
      <sheetName val="12-Products_JCIPL17"/>
      <sheetName val="13-VAV_JCIPL17"/>
      <sheetName val="14-REF_JCMRL_17"/>
      <sheetName val="Proj__DJC-JCIPL17"/>
      <sheetName val="_L0_DDC_117"/>
      <sheetName val="L0_DDC-217"/>
      <sheetName val="L16_DDC-317"/>
      <sheetName val="L16_DDC-517"/>
      <sheetName val="L17_DDC-617"/>
      <sheetName val="L17_DDC-7_17"/>
      <sheetName val="L18_DDC-817"/>
      <sheetName val="2-AutoDialer_Sys17"/>
      <sheetName val="1-BAS1_(cost)17"/>
      <sheetName val="2-BAS2_(cost)17"/>
      <sheetName val="Deviations-Project_Risks17"/>
      <sheetName val="IO_Schedule17"/>
      <sheetName val="Direct_cost_shed_A-2_17"/>
      <sheetName val="Staff_Forecast_spread17"/>
      <sheetName val="PCS DATA"/>
      <sheetName val="SPT_vs_PHI30"/>
      <sheetName val="glass_project_concrete30"/>
      <sheetName val="glass_project_reift30"/>
      <sheetName val="glass_project_indices30"/>
      <sheetName val="SBC-BH_1929"/>
      <sheetName val="Summary_050629"/>
      <sheetName val="Summary_0607-_31_MAR29"/>
      <sheetName val="Rate_Analysis29"/>
      <sheetName val="Civil_Boq28"/>
      <sheetName val="d-safe_DELUXE28"/>
      <sheetName val="BH_12-11-10-1329"/>
      <sheetName val="BH_12-11-10-929"/>
      <sheetName val="BH_36-15-3729"/>
      <sheetName val="BH_16-35-25-1729"/>
      <sheetName val="BH_35-25-1729"/>
      <sheetName val="Sheet1_(2)29"/>
      <sheetName val="PRECAST_lightconc-II28"/>
      <sheetName val="Pile_cap28"/>
      <sheetName val="RCC,Ret__Wall28"/>
      <sheetName val="Form_629"/>
      <sheetName val="PointNo_528"/>
      <sheetName val="E_&amp;_R28"/>
      <sheetName val="Break_up_Sheet28"/>
      <sheetName val="TBAL9697_-group_wise__sdpl28"/>
      <sheetName val="Abstract_Sheet28"/>
      <sheetName val="V_O_4_-_PCC_Qty28"/>
      <sheetName val="Legal_Risk_Analysis28"/>
      <sheetName val="Mix_Design28"/>
      <sheetName val="Fill_this_out_first___28"/>
      <sheetName val="REVISED4A_PROG_PERF-SITE_128"/>
      <sheetName val="BOQ_Direct_selling_cost28"/>
      <sheetName val="BOQ_(2)28"/>
      <sheetName val="CABLE_DATA28"/>
      <sheetName val="final_abstract28"/>
      <sheetName val="INPUT_SHEET28"/>
      <sheetName val="Rev_S1_Abstract28"/>
      <sheetName val="Quantity_Abstract28"/>
      <sheetName val="Staff_Acco_28"/>
      <sheetName val="Pipe_Supports28"/>
      <sheetName val="M-Book_for_Conc28"/>
      <sheetName val="M-Book_for_FW28"/>
      <sheetName val="Load_Details-220kV28"/>
      <sheetName val="beam-reinft-IIInd_floor28"/>
      <sheetName val="Project_Budget_Worksheet28"/>
      <sheetName val="SANJAY_PAL28"/>
      <sheetName val="P_A_SELVAM28"/>
      <sheetName val="ANSARI_28"/>
      <sheetName val="abdesh_pal28"/>
      <sheetName val="sujay_bagchi28"/>
      <sheetName val="S_K_SINHA_BASU28"/>
      <sheetName val="KRISHNA_PRASAD28"/>
      <sheetName val="BARATH_&amp;_CO28"/>
      <sheetName val="L_B_YADAV28"/>
      <sheetName val="DEEPAK_KUMAR28"/>
      <sheetName val="MUKLAL_YADAV28"/>
      <sheetName val="MADHU_SUDHAN28"/>
      <sheetName val="SAUD_ALAM_28"/>
      <sheetName val="RAMESH_BABU28"/>
      <sheetName val="SAILEN_SARKAR28"/>
      <sheetName val="SANJAY_JENA128"/>
      <sheetName val="upendra_saw_28"/>
      <sheetName val="ALLOK_KUMAR_28"/>
      <sheetName val="except_wiring28"/>
      <sheetName val="BOQ_-II_ph_228"/>
      <sheetName val="d-safe_specs27"/>
      <sheetName val="Metso_-_Forth_&amp;_Slurry_11_02_37"/>
      <sheetName val="STAFFSCHED_27"/>
      <sheetName val="Fee_Rate_Summary27"/>
      <sheetName val="class_&amp;_category27"/>
      <sheetName val="Rein-Final_(Ph_1+Ph2)27"/>
      <sheetName val="220_11__BS_27"/>
      <sheetName val="SSR_&amp;_NSSR_Market_final27"/>
      <sheetName val="India_F&amp;S_Template27"/>
      <sheetName val="Quote_Sheet27"/>
      <sheetName val="Site_wise_NADs27"/>
      <sheetName val="Stress_Calculation27"/>
      <sheetName val="precast_RC_element27"/>
      <sheetName val="RA_RCC_F27"/>
      <sheetName val="Materials_Cost(PCC)27"/>
      <sheetName val="plinth_Beam_+_Stirrups_27"/>
      <sheetName val="GF_COLUMNS27"/>
      <sheetName val="G_F_ROOF_BEAM_27"/>
      <sheetName val="GF_SLAB_STEEL27"/>
      <sheetName val="GF_Lintel27"/>
      <sheetName val="GF_Stair27"/>
      <sheetName val="FF_COLUMNS27"/>
      <sheetName val="F_F__Steel_FINAL_(2)27"/>
      <sheetName val="FF_Lintel27"/>
      <sheetName val="FF_Stair27"/>
      <sheetName val="S_F__Steel_FINAL_27"/>
      <sheetName val="SF_Lintel27"/>
      <sheetName val="Basic_Rate"/>
      <sheetName val="INFLUENCES_ON_GM"/>
      <sheetName val="Assumption_Inputs"/>
      <sheetName val="kppl_pl"/>
      <sheetName val="Mat_Cost"/>
      <sheetName val="Ra__stair"/>
      <sheetName val="syndicate_codes"/>
      <sheetName val="Tender_Appraisal"/>
      <sheetName val="DB_ET200(R__A)"/>
      <sheetName val="SàQa@"/>
      <sheetName val="2_BHK"/>
      <sheetName val="BALANCE-IOTL_"/>
      <sheetName val="[Spt-BH_xls][Spt-BH_xls]B@[@"/>
      <sheetName val="[Spt-BH_xls][Spt-BH_xls]B@[?@?"/>
      <sheetName val="기계내역서"/>
      <sheetName val="Prelims Breakup"/>
      <sheetName val="Staff planning"/>
      <sheetName val="1 yr maintainance"/>
      <sheetName val="[Spt-BH.xls]B____x005f_x0004_______26"/>
      <sheetName val="[Spt-BH.xls]B___x005f_x0000__x005f_x0004_26"/>
      <sheetName val="[Spt-BH.xls]B____x005f_x0004_______29"/>
      <sheetName val="[Spt-BH.xls]B___x005f_x0000__x005f_x0004_29"/>
      <sheetName val="[Spt-BH.xls]B____x005f_x0004_______28"/>
      <sheetName val="[Spt-BH.xls]B___x005f_x0000__x005f_x0004_28"/>
      <sheetName val="[Spt-BH.xls][Spt-BH.xls]_Sp_123"/>
      <sheetName val="[Spt-BH.xls][Spt-BH.xls]B___426"/>
      <sheetName val="[Spt-BH.xls][Spt-BH.xls]B___427"/>
      <sheetName val="[Spt-BH.xls][Spt-BH.xls]B___428"/>
      <sheetName val="[Spt-BH.xls][Spt-BH.xls]_Sp_124"/>
      <sheetName val="[Spt-BH.xls][Spt-BH.xls]B___429"/>
      <sheetName val="[Spt-BH.xls][Spt-BH.xls]B___430"/>
      <sheetName val="[Spt-BH.xls][Spt-BH.xls]B___431"/>
      <sheetName val="[Spt-BH.xls][Spt-BH.xls]B___432"/>
      <sheetName val="[Spt-BH.xls][Spt-BH.xls]B___433"/>
      <sheetName val="[Spt-BH.xls][Spt-BH.xls]B___434"/>
      <sheetName val="[Spt-BH.xls][Spt-BH.xls]_Sp_125"/>
      <sheetName val="[Spt-BH.xls][Spt-BH.xls]B___435"/>
      <sheetName val="[Spt-BH.xls][Spt-BH.xls]B___436"/>
      <sheetName val="[Spt-BH.xls]B____x005f_x0004_______38"/>
      <sheetName val="[Spt-BH.xls]B___x005f_x0000__x005f_x0004_38"/>
      <sheetName val="[Spt-BH.xls][Spt-BH.xls]B___437"/>
      <sheetName val="[Spt-BH.xls]B____x005f_x0004_______31"/>
      <sheetName val="[Spt-BH.xls]B___x005f_x0000__x005f_x0004_31"/>
      <sheetName val="[Spt-BH.xls]B____x005f_x0004_______32"/>
      <sheetName val="[Spt-BH.xls]B___x005f_x0000__x005f_x0004_32"/>
      <sheetName val="[Spt-BH.xls][Spt-BH.xls]B___296"/>
      <sheetName val="[Spt-BH.xls][Spt-BH.xls]B___297"/>
      <sheetName val="[Spt-BH.xls][Spt-BH.xls]B___298"/>
      <sheetName val="[Spt-BH.xls][Spt-BH.xls]B___299"/>
      <sheetName val="[Spt-BH.xls][Spt-BH.xls]B___300"/>
      <sheetName val="[Spt-BH.xls][Spt-BH.xls]B___301"/>
      <sheetName val="[Spt-BH.xls][Spt-BH.xls]B___302"/>
      <sheetName val="[Spt-BH.xls][Spt-BH.xls]B___303"/>
      <sheetName val="[Spt-BH.xls][Spt-BH.xls]B___304"/>
      <sheetName val="[Spt-BH.xls][Spt-BH.xls]B___305"/>
      <sheetName val="[Spt-BH.xls][Spt-BH.xls]B___306"/>
      <sheetName val="[Spt-BH.xls][Spt-BH.xls]B___307"/>
      <sheetName val="[Spt-BH.xls][Spt-BH.xls]B___308"/>
      <sheetName val="[Spt-BH.xls][Spt-BH.xls]B___309"/>
      <sheetName val="[Spt-BH.xls][Spt-BH.xls]B___310"/>
      <sheetName val="[Spt-BH.xls][Spt-BH.xls]B___311"/>
      <sheetName val="[Spt-BH.xls][Spt-BH.xls]B___312"/>
      <sheetName val="[Spt-BH.xls][Spt-BH.xls]B___313"/>
      <sheetName val="[Spt-BH.xls][Spt-BH.xls]B___314"/>
      <sheetName val="[Spt-BH.xls]B____x005f_x0004_______33"/>
      <sheetName val="[Spt-BH.xls]B___x005f_x0000__x005f_x0004_33"/>
      <sheetName val="[Spt-BH.xls][Spt-BH.xls]B___325"/>
      <sheetName val="[Spt-BH.xls][Spt-BH.xls]B___326"/>
      <sheetName val="[Spt-BH.xls][Spt-BH.xls]B___327"/>
      <sheetName val="[Spt-BH.xls][Spt-BH.xls]B___328"/>
      <sheetName val="[Spt-BH.xls][Spt-BH.xls]B___329"/>
      <sheetName val="[Spt-BH.xls][Spt-BH.xls]B___315"/>
      <sheetName val="[Spt-BH.xls][Spt-BH.xls]B___316"/>
      <sheetName val="[Spt-BH.xls][Spt-BH.xls]B___317"/>
      <sheetName val="[Spt-BH.xls][Spt-BH.xls]B___318"/>
      <sheetName val="[Spt-BH.xls][Spt-BH.xls]B___319"/>
      <sheetName val="[Spt-BH.xls][Spt-BH.xls]B___320"/>
      <sheetName val="[Spt-BH.xls][Spt-BH.xls]B___321"/>
      <sheetName val="[Spt-BH.xls][Spt-BH.xls]B___322"/>
      <sheetName val="[Spt-BH.xls][Spt-BH.xls]B___323"/>
      <sheetName val="[Spt-BH.xls][Spt-BH.xls]B___324"/>
      <sheetName val="[Spt-BH.xls][Spt-BH.xls]B___330"/>
      <sheetName val="[Spt-BH.xls][Spt-BH.xls]B___331"/>
      <sheetName val="[Spt-BH.xls][Spt-BH.xls]B___332"/>
      <sheetName val="[Spt-BH.xls][Spt-BH.xls]B___333"/>
      <sheetName val="[Spt-BH.xls][Spt-BH.xls]B___338"/>
      <sheetName val="[Spt-BH.xls][Spt-BH.xls]B___339"/>
      <sheetName val="[Spt-BH.xls][Spt-BH.xls]B___340"/>
      <sheetName val="[Spt-BH.xls][Spt-BH.xls]_Spt_92"/>
      <sheetName val="[Spt-BH.xls][Spt-BH.xls]B___341"/>
      <sheetName val="[Spt-BH.xls][Spt-BH.xls]B___334"/>
      <sheetName val="[Spt-BH.xls][Spt-BH.xls]B___335"/>
      <sheetName val="[Spt-BH.xls][Spt-BH.xls]B___336"/>
      <sheetName val="[Spt-BH.xls][Spt-BH.xls]_Spt_91"/>
      <sheetName val="[Spt-BH.xls][Spt-BH.xls]B___337"/>
      <sheetName val="COMPLEXALL"/>
      <sheetName val="B@[_x0000__x0004_@_x0000__x0000"/>
      <sheetName val="B@[_x005f_x0000__x005f_x0004_@_"/>
      <sheetName val="Design Requirements"/>
      <sheetName val="[Spt-BH.xls][Spt-BH.xls]B___347"/>
      <sheetName val="[Spt-BH.xls][Spt-BH.xls]B___348"/>
      <sheetName val="[Spt-BH.xls][Spt-BH.xls]B___349"/>
      <sheetName val="[Spt-BH.xls][Spt-BH.xls]_Spt_98"/>
      <sheetName val="[Spt-BH.xls][Spt-BH.xls]B___350"/>
      <sheetName val="[Spt-BH.xls][Spt-BH.xls]B___351"/>
      <sheetName val="[Spt-BH.xls]B____x005f_x0004_______34"/>
      <sheetName val="[Spt-BH.xls]B___x005f_x0000__x005f_x0004_34"/>
      <sheetName val="[Spt-BH.xls][Spt-BH.xls]B___352"/>
      <sheetName val="[Spt-BH.xls][Spt-BH.xls]_Spt_96"/>
      <sheetName val="[Spt-BH.xls][Spt-BH.xls]B___342"/>
      <sheetName val="[Spt-BH.xls][Spt-BH.xls]B___343"/>
      <sheetName val="[Spt-BH.xls][Spt-BH.xls]B___344"/>
      <sheetName val="[Spt-BH.xls][Spt-BH.xls]_Spt_95"/>
      <sheetName val="[Spt-BH.xls][Spt-BH.xls]B___345"/>
      <sheetName val="[Spt-BH.xls][Spt-BH.xls]B___346"/>
      <sheetName val="[Spt-BH.xls][Spt-BH.xls]_Spt_93"/>
      <sheetName val="[Spt-BH.xls][Spt-BH.xls]_Spt_94"/>
      <sheetName val="[Spt-BH.xls][Spt-BH.xls]_Spt_97"/>
      <sheetName val="[Spt-BH.xls][Spt-BH.xls]_Spt_99"/>
      <sheetName val="[Spt-BH.xls][Spt-BH.xls]B___353"/>
      <sheetName val="[Spt-BH.xls][Spt-BH.xls]B___354"/>
      <sheetName val="[Spt-BH.xls][Spt-BH.xls]B___355"/>
      <sheetName val="[Spt-BH.xls][Spt-BH.xls]_Sp_101"/>
      <sheetName val="[Spt-BH.xls][Spt-BH.xls]B___356"/>
      <sheetName val="[Spt-BH.xls][Spt-BH_xls]B____72"/>
      <sheetName val="[Spt-BH.xls][Spt-BH_xls]B____73"/>
      <sheetName val="[Spt-BH.xls][Spt-BH_xls]B____74"/>
      <sheetName val="[Spt-BH.xls][Spt-BH_xls]B____75"/>
      <sheetName val="[Spt-BH.xls][Spt-BH_xls]B____76"/>
      <sheetName val="[Spt-BH.xls][Spt-BH_xls]B____52"/>
      <sheetName val="[Spt-BH.xls][Spt-BH_xls]B____53"/>
      <sheetName val="[Spt-BH.xls][Spt-BH_xls]B____54"/>
      <sheetName val="[Spt-BH.xls][Spt-BH_xls]B____55"/>
      <sheetName val="[Spt-BH.xls][Spt-BH_xls]B____56"/>
      <sheetName val="[Spt-BH.xls][Spt-BH_xls]B____57"/>
      <sheetName val="[Spt-BH.xls][Spt-BH_xls]B____58"/>
      <sheetName val="[Spt-BH.xls][Spt-BH_xls]B____59"/>
      <sheetName val="[Spt-BH.xls][Spt-BH_xls]B____60"/>
      <sheetName val="[Spt-BH.xls][Spt-BH_xls]B____61"/>
      <sheetName val="[Spt-BH.xls][Spt-BH_xls]B____62"/>
      <sheetName val="[Spt-BH.xls][Spt-BH_xls]B____63"/>
      <sheetName val="[Spt-BH.xls][Spt-BH_xls]B____64"/>
      <sheetName val="[Spt-BH.xls][Spt-BH_xls]B____65"/>
      <sheetName val="[Spt-BH.xls][Spt-BH_xls]B____66"/>
      <sheetName val="[Spt-BH.xls][Spt-BH_xls]B____67"/>
      <sheetName val="[Spt-BH.xls][Spt-BH_xls]B____68"/>
      <sheetName val="[Spt-BH.xls][Spt-BH_xls]B____69"/>
      <sheetName val="[Spt-BH.xls][Spt-BH_xls]B____70"/>
      <sheetName val="[Spt-BH.xls][Spt-BH_xls]B____71"/>
      <sheetName val="[Spt-BH.xls][Spt-BH_xls]B____77"/>
      <sheetName val="[Spt-BH.xls][Spt-BH_xls]B____78"/>
      <sheetName val="[Spt-BH.xls][Spt-BH_xls]B____79"/>
      <sheetName val="[Spt-BH.xls][Spt-BH_xls]B____80"/>
      <sheetName val="[Spt-BH.xls][Spt-BH_xls]B____81"/>
      <sheetName val="[Spt-BH.xls][Spt-BH.xls]B___357"/>
      <sheetName val="[Spt-BH.xls][Spt-BH.xls]B___358"/>
      <sheetName val="[Spt-BH.xls][Spt-BH.xls]B___359"/>
      <sheetName val="[Spt-BH.xls][Spt-BH.xls]B___366"/>
      <sheetName val="[Spt-BH.xls][Spt-BH.xls]B___367"/>
      <sheetName val="[Spt-BH.xls][Spt-BH.xls]B___368"/>
      <sheetName val="[Spt-BH.xls][Spt-BH.xls]B___369"/>
      <sheetName val="[Spt-BH.xls][Spt-BH.xls]B___370"/>
      <sheetName val="[Spt-BH.xls]B____x005f_x0004_______35"/>
      <sheetName val="[Spt-BH.xls]B___x005f_x0000__x005f_x0004_35"/>
      <sheetName val="[Spt-BH.xls][Spt-BH.xls]B___371"/>
      <sheetName val="[Spt-BH.xls][Spt-BH.xls]B___360"/>
      <sheetName val="[Spt-BH.xls][Spt-BH.xls]B___361"/>
      <sheetName val="[Spt-BH.xls][Spt-BH.xls]B___362"/>
      <sheetName val="[Spt-BH.xls][Spt-BH.xls]_Sp_100"/>
      <sheetName val="[Spt-BH.xls][Spt-BH.xls]B___363"/>
      <sheetName val="[Spt-BH.xls][Spt-BH.xls]B___364"/>
      <sheetName val="[Spt-BH.xls][Spt-BH.xls]B___365"/>
      <sheetName val="[Spt-BH.xls][Spt-BH.xls]_Sp_102"/>
      <sheetName val="[Spt-BH.xls][Spt-BH.xls]_Sp_109"/>
      <sheetName val="[Spt-BH.xls][Spt-BH.xls]B___402"/>
      <sheetName val="[Spt-BH.xls][Spt-BH.xls]B___403"/>
      <sheetName val="[Spt-BH.xls][Spt-BH.xls]_Sp_118"/>
      <sheetName val="[Spt-BH.xls][Spt-BH.xls]B___404"/>
      <sheetName val="[Spt-BH.xls][Spt-BH.xls]B___405"/>
      <sheetName val="[Spt-BH.xls][Spt-BH.xls]B___406"/>
      <sheetName val="[Spt-BH.xls][Spt-BH.xls]B___407"/>
      <sheetName val="[Spt-BH.xls][Spt-BH.xls]_Sp_103"/>
      <sheetName val="[Spt-BH.xls][Spt-BH.xls]B___372"/>
      <sheetName val="[Spt-BH.xls][Spt-BH.xls]B___373"/>
      <sheetName val="[Spt-BH.xls][Spt-BH.xls]_Sp_104"/>
      <sheetName val="[Spt-BH.xls][Spt-BH.xls]B___374"/>
      <sheetName val="[Spt-BH.xls][Spt-BH.xls]B___375"/>
      <sheetName val="[Spt-BH.xls][Spt-BH.xls]B___376"/>
      <sheetName val="[Spt-BH.xls][Spt-BH.xls]B___377"/>
      <sheetName val="[Spt-BH.xls][Spt-BH.xls]_Sp_105"/>
      <sheetName val="[Spt-BH.xls][Spt-BH.xls]B___378"/>
      <sheetName val="[Spt-BH.xls][Spt-BH.xls]B___379"/>
      <sheetName val="[Spt-BH.xls][Spt-BH.xls]B___380"/>
      <sheetName val="[Spt-BH.xls][Spt-BH.xls]B___381"/>
      <sheetName val="[Spt-BH.xls][Spt-BH.xls]B___382"/>
      <sheetName val="[Spt-BH.xls][Spt-BH.xls]B___383"/>
      <sheetName val="[Spt-BH.xls][Spt-BH.xls]_Sp_106"/>
      <sheetName val="[Spt-BH.xls][Spt-BH.xls]B___384"/>
      <sheetName val="[Spt-BH.xls][Spt-BH.xls]B___385"/>
      <sheetName val="[Spt-BH.xls][Spt-BH.xls]B___386"/>
      <sheetName val="[Spt-BH.xls][Spt-BH.xls]B___387"/>
      <sheetName val="[Spt-BH.xls][Spt-BH.xls]B___388"/>
      <sheetName val="[Spt-BH.xls][Spt-BH.xls]B___389"/>
      <sheetName val="[Spt-BH.xls][Spt-BH.xls]_Sp_107"/>
      <sheetName val="[Spt-BH.xls][Spt-BH.xls]B___390"/>
      <sheetName val="[Spt-BH.xls][Spt-BH.xls]B___391"/>
      <sheetName val="[Spt-BH.xls][Spt-BH.xls]B___392"/>
      <sheetName val="[Spt-BH.xls][Spt-BH.xls]B___393"/>
      <sheetName val="[Spt-BH.xls][Spt-BH.xls]B___394"/>
      <sheetName val="[Spt-BH.xls][Spt-BH.xls]B___395"/>
      <sheetName val="[Spt-BH.xls][Spt-BH.xls]_Sp_108"/>
      <sheetName val="[Spt-BH.xls][Spt-BH.xls]B___396"/>
      <sheetName val="[Spt-BH.xls][Spt-BH.xls]B___397"/>
      <sheetName val="[Spt-BH.xls][Spt-BH.xls]B___398"/>
      <sheetName val="[Spt-BH.xls][Spt-BH.xls]B___399"/>
      <sheetName val="[Spt-BH.xls][Spt-BH.xls]B___400"/>
      <sheetName val="[Spt-BH.xls][Spt-BH.xls]B___401"/>
      <sheetName val="[Spt-BH.xls][Spt-BH.xls]_Sp_110"/>
      <sheetName val="[Spt-BH.xls][Spt-BH.xls]_Sp_111"/>
      <sheetName val="[Spt-BH.xls][Spt-BH.xls]_Sp_112"/>
      <sheetName val="[Spt-BH.xls][Spt-BH.xls]_Sp_113"/>
      <sheetName val="[Spt-BH.xls][Spt-BH.xls]_Sp_114"/>
      <sheetName val="[Spt-BH.xls][Spt-BH.xls]_Sp_115"/>
      <sheetName val="[Spt-BH.xls][Spt-BH.xls]_Sp_116"/>
      <sheetName val="[Spt-BH.xls][Spt-BH.xls]_Sp_117"/>
      <sheetName val="[Spt-BH.xls][Spt-BH.xls]B___408"/>
      <sheetName val="[Spt-BH.xls][Spt-BH.xls]B___409"/>
      <sheetName val="[Spt-BH.xls][Spt-BH.xls]B___410"/>
      <sheetName val="[Spt-BH.xls][Spt-BH.xls]_Sp_120"/>
      <sheetName val="[Spt-BH.xls][Spt-BH.xls]B___411"/>
      <sheetName val="[Spt-BH.xls][Spt-BH.xls]B___412"/>
      <sheetName val="[Spt-BH.xls][Spt-BH.xls]B___413"/>
      <sheetName val="[Spt-BH.xls][Spt-BH.xls]_Sp_119"/>
      <sheetName val="[Spt-BH.xls][Spt-BH.xls]_Sp_121"/>
      <sheetName val="[Spt-BH.xls][Spt-BH.xls]B___414"/>
      <sheetName val="[Spt-BH.xls][Spt-BH.xls]B___415"/>
      <sheetName val="[Spt-BH.xls][Spt-BH.xls]B___416"/>
      <sheetName val="[Spt-BH.xls][Spt-BH.xls]B___417"/>
      <sheetName val="[Spt-BH.xls][Spt-BH.xls]B___418"/>
      <sheetName val="[Spt-BH.xls][Spt-BH.xls]B___419"/>
      <sheetName val="[Spt-BH.xls]B____x005f_x0004_______36"/>
      <sheetName val="[Spt-BH.xls]B___x005f_x0000__x005f_x0004_36"/>
      <sheetName val="[Spt-BH.xls][Spt-BH.xls]_Sp_122"/>
      <sheetName val="[Spt-BH.xls][Spt-BH.xls]B___420"/>
      <sheetName val="[Spt-BH.xls][Spt-BH.xls]B___421"/>
      <sheetName val="[Spt-BH.xls][Spt-BH.xls]B___422"/>
      <sheetName val="[Spt-BH.xls][Spt-BH.xls]B___423"/>
      <sheetName val="[Spt-BH.xls][Spt-BH.xls]B___424"/>
      <sheetName val="[Spt-BH.xls][Spt-BH.xls]B___425"/>
      <sheetName val="[Spt-BH.xls]B____x005f_x0004_______37"/>
      <sheetName val="[Spt-BH.xls]B___x005f_x0000__x005f_x0004_37"/>
      <sheetName val="[Spt-BH.xls][Spt-BH.xls]_Sp_128"/>
      <sheetName val="[Spt-BH.xls][Spt-BH.xls]_Sp_126"/>
      <sheetName val="[Spt-BH.xls][Spt-BH.xls]_Sp_127"/>
      <sheetName val="[Spt-BH.xls][Spt-BH.xls]B___438"/>
      <sheetName val="[Spt-BH.xls][Spt-BH.xls]B___439"/>
      <sheetName val="[Spt-BH.xls][Spt-BH.xls]B___440"/>
      <sheetName val="[Spt-BH.xls][Spt-BH.xls]_Sp_129"/>
      <sheetName val="[Spt-BH.xls][Spt-BH.xls]B___441"/>
      <sheetName val="[Spt-BH.xls][Spt-BH.xls]B___442"/>
      <sheetName val="[Spt-BH.xls]B____x005f_x0004_______39"/>
      <sheetName val="[Spt-BH.xls]B___x005f_x0000__x005f_x0004_39"/>
      <sheetName val="[Spt-BH.xls][Spt-BH.xls]_Sp_130"/>
      <sheetName val="[Spt-BH.xls][Spt-BH.xls]_Sp_131"/>
      <sheetName val="[Spt-BH.xls][Spt-BH.xls]_Sp_132"/>
      <sheetName val="[Spt-BH.xls][Spt-BH.xls]_Sp_133"/>
      <sheetName val="[Spt-BH.xls][Spt-BH.xls]B___443"/>
      <sheetName val="[Spt-BH.xls][Spt-BH.xls]_Sp_134"/>
      <sheetName val="[Spt-BH.xls][Spt-BH.xls]B___456"/>
      <sheetName val="[Spt-BH.xls][Spt-BH.xls]B___457"/>
      <sheetName val="[Spt-BH.xls][Spt-BH.xls]B___458"/>
      <sheetName val="[Spt-BH.xls][Spt-BH.xls]_Sp_138"/>
      <sheetName val="[Spt-BH.xls][Spt-BH.xls]B___459"/>
      <sheetName val="[Spt-BH.xls][Spt-BH.xls]B___460"/>
      <sheetName val="[Spt-BH.xls][Spt-BH.xls]B___461"/>
      <sheetName val="[Spt-BH.xls][Spt-BH.xls]B___450"/>
      <sheetName val="[Spt-BH.xls][Spt-BH.xls]B___451"/>
      <sheetName val="[Spt-BH.xls][Spt-BH.xls]B___452"/>
      <sheetName val="[Spt-BH.xls][Spt-BH.xls]B___453"/>
      <sheetName val="[Spt-BH.xls][Spt-BH.xls]B___454"/>
      <sheetName val="[Spt-BH.xls][Spt-BH.xls]B___455"/>
      <sheetName val="[Spt-BH.xls][Spt-BH.xls]B___444"/>
      <sheetName val="[Spt-BH.xls][Spt-BH.xls]B___445"/>
      <sheetName val="[Spt-BH.xls][Spt-BH.xls]B___446"/>
      <sheetName val="[Spt-BH.xls][Spt-BH.xls]B___447"/>
      <sheetName val="[Spt-BH.xls][Spt-BH.xls]B___448"/>
      <sheetName val="[Spt-BH.xls][Spt-BH.xls]B___449"/>
      <sheetName val="[Spt-BH.xls][Spt-BH.xls]B___474"/>
      <sheetName val="[Spt-BH.xls][Spt-BH.xls]B___475"/>
      <sheetName val="[Spt-BH.xls][Spt-BH.xls]B___476"/>
      <sheetName val="[Spt-BH.xls][Spt-BH.xls]_Sp_142"/>
      <sheetName val="[Spt-BH.xls][Spt-BH.xls]B___477"/>
      <sheetName val="[Spt-BH.xls][Spt-BH.xls]B___478"/>
      <sheetName val="[Spt-BH.xls][Spt-BH.xls]B___479"/>
      <sheetName val="[Spt-BH.xls][Spt-BH.xls]_Sp_135"/>
      <sheetName val="[Spt-BH.xls][Spt-BH.xls]B___462"/>
      <sheetName val="[Spt-BH.xls][Spt-BH.xls]B___463"/>
      <sheetName val="[Spt-BH.xls][Spt-BH.xls]B___464"/>
      <sheetName val="[Spt-BH.xls][Spt-BH.xls]_Sp_136"/>
      <sheetName val="[Spt-BH.xls][Spt-BH.xls]B___465"/>
      <sheetName val="[Spt-BH.xls][Spt-BH.xls]B___466"/>
      <sheetName val="[Spt-BH.xls][Spt-BH.xls]B___467"/>
      <sheetName val="[Spt-BH.xls][Spt-BH.xls]_Sp_137"/>
      <sheetName val="[Spt-BH.xls][Spt-BH.xls]B___468"/>
      <sheetName val="[Spt-BH.xls][Spt-BH.xls]B___469"/>
      <sheetName val="[Spt-BH.xls][Spt-BH.xls]B___470"/>
      <sheetName val="[Spt-BH.xls][Spt-BH.xls]B___471"/>
      <sheetName val="[Spt-BH.xls][Spt-BH.xls]B___472"/>
      <sheetName val="[Spt-BH.xls][Spt-BH.xls]B___473"/>
      <sheetName val="[Spt-BH.xls][Spt-BH.xls]_Sp_139"/>
      <sheetName val="[Spt-BH.xls][Spt-BH.xls]_Sp_140"/>
      <sheetName val="[Spt-BH.xls][Spt-BH.xls]B___486"/>
      <sheetName val="[Spt-BH.xls][Spt-BH.xls]B___487"/>
      <sheetName val="[Spt-BH.xls][Spt-BH.xls]B___488"/>
      <sheetName val="[Spt-BH.xls][Spt-BH.xls]_Sp_143"/>
      <sheetName val="[Spt-BH.xls][Spt-BH.xls]B___489"/>
      <sheetName val="[Spt-BH.xls][Spt-BH.xls]B___490"/>
      <sheetName val="[Spt-BH.xls][Spt-BH.xls]B___491"/>
      <sheetName val="[Spt-BH.xls][Spt-BH.xls]_Sp_141"/>
      <sheetName val="[Spt-BH.xls][Spt-BH.xls]B___480"/>
      <sheetName val="[Spt-BH.xls][Spt-BH.xls]B___481"/>
      <sheetName val="[Spt-BH.xls][Spt-BH.xls]B___482"/>
      <sheetName val="[Spt-BH.xls][Spt-BH.xls]B___483"/>
      <sheetName val="[Spt-BH.xls][Spt-BH.xls]B___484"/>
      <sheetName val="[Spt-BH.xls][Spt-BH.xls]B___485"/>
      <sheetName val="[Spt-BH.xls][Spt-BH.xls]_Sp_147"/>
      <sheetName val="[Spt-BH.xls][Spt-BH.xls]B___498"/>
      <sheetName val="[Spt-BH.xls][Spt-BH.xls]B___499"/>
      <sheetName val="[Spt-BH.xls][Spt-BH.xls]B___500"/>
      <sheetName val="[Spt-BH.xls][Spt-BH.xls]_Sp_149"/>
      <sheetName val="[Spt-BH.xls][Spt-BH.xls]B___501"/>
      <sheetName val="[Spt-BH.xls][Spt-BH.xls]B___502"/>
      <sheetName val="[Spt-BH.xls][Spt-BH.xls]B___503"/>
      <sheetName val="[Spt-BH.xls][Spt-BH.xls]_Sp_144"/>
      <sheetName val="[Spt-BH.xls][Spt-BH.xls]_Sp_145"/>
      <sheetName val="[Spt-BH.xls][Spt-BH.xls]_Sp_146"/>
      <sheetName val="[Spt-BH.xls][Spt-BH.xls]B___492"/>
      <sheetName val="[Spt-BH.xls][Spt-BH.xls]B___493"/>
      <sheetName val="[Spt-BH.xls][Spt-BH.xls]B___494"/>
      <sheetName val="[Spt-BH.xls][Spt-BH.xls]B___495"/>
      <sheetName val="[Spt-BH.xls][Spt-BH.xls]B___496"/>
      <sheetName val="[Spt-BH.xls][Spt-BH.xls]B___497"/>
      <sheetName val="[Spt-BH.xls][Spt-BH.xls]B___510"/>
      <sheetName val="[Spt-BH.xls][Spt-BH.xls]B___511"/>
      <sheetName val="[Spt-BH.xls][Spt-BH.xls]B___512"/>
      <sheetName val="[Spt-BH.xls][Spt-BH.xls]_Sp_152"/>
      <sheetName val="[Spt-BH.xls][Spt-BH.xls]B___513"/>
      <sheetName val="[Spt-BH.xls][Spt-BH.xls]B___514"/>
      <sheetName val="[Spt-BH.xls][Spt-BH.xls]B___515"/>
      <sheetName val="[Spt-BH.xls][Spt-BH.xls]_Sp_148"/>
      <sheetName val="[Spt-BH.xls][Spt-BH.xls]B___504"/>
      <sheetName val="[Spt-BH.xls][Spt-BH.xls]B___505"/>
      <sheetName val="[Spt-BH.xls][Spt-BH.xls]B___506"/>
      <sheetName val="[Spt-BH.xls][Spt-BH.xls]B___507"/>
      <sheetName val="[Spt-BH.xls][Spt-BH.xls]B___508"/>
      <sheetName val="[Spt-BH.xls][Spt-BH.xls]B___509"/>
      <sheetName val="[Spt-BH.xls][Spt-BH.xls]_Sp_150"/>
      <sheetName val="[Spt-BH.xls][Spt-BH.xls]B___522"/>
      <sheetName val="[Spt-BH.xls][Spt-BH.xls]B___523"/>
      <sheetName val="[Spt-BH.xls][Spt-BH.xls]B___524"/>
      <sheetName val="[Spt-BH.xls][Spt-BH.xls]_Sp_153"/>
      <sheetName val="[Spt-BH.xls][Spt-BH.xls]B___525"/>
      <sheetName val="[Spt-BH.xls][Spt-BH.xls]B___526"/>
      <sheetName val="[Spt-BH.xls][Spt-BH.xls]B___527"/>
      <sheetName val="[Spt-BH.xls][Spt-BH.xls]_Sp_151"/>
      <sheetName val="[Spt-BH.xls][Spt-BH.xls]B___516"/>
      <sheetName val="[Spt-BH.xls][Spt-BH.xls]B___517"/>
      <sheetName val="[Spt-BH.xls][Spt-BH.xls]B___518"/>
      <sheetName val="[Spt-BH.xls][Spt-BH.xls]B___519"/>
      <sheetName val="[Spt-BH.xls][Spt-BH.xls]B___520"/>
      <sheetName val="[Spt-BH.xls][Spt-BH.xls]B___521"/>
      <sheetName val="[Spt-BH.xls][Spt-BH.xls]_Sp_154"/>
      <sheetName val="[Spt-BH.xls][Spt-BH.xls]_Sp_155"/>
      <sheetName val="[Spt-BH.xls][Spt-BH.xls]_Sp_158"/>
      <sheetName val="[Spt-BH.xls][Spt-BH.xls]B___552"/>
      <sheetName val="[Spt-BH.xls][Spt-BH.xls]B___553"/>
      <sheetName val="[Spt-BH.xls][Spt-BH.xls]B___554"/>
      <sheetName val="[Spt-BH.xls][Spt-BH.xls]_Sp_160"/>
      <sheetName val="[Spt-BH.xls][Spt-BH.xls]B___555"/>
      <sheetName val="[Spt-BH.xls][Spt-BH.xls]B___556"/>
      <sheetName val="[Spt-BH.xls][Spt-BH.xls]B___557"/>
      <sheetName val="[Spt-BH.xls][Spt-BH.xls]B___528"/>
      <sheetName val="[Spt-BH.xls][Spt-BH.xls]B___529"/>
      <sheetName val="[Spt-BH.xls][Spt-BH.xls]B___530"/>
      <sheetName val="[Spt-BH.xls][Spt-BH.xls]B___531"/>
      <sheetName val="[Spt-BH.xls][Spt-BH.xls]B___532"/>
      <sheetName val="[Spt-BH.xls][Spt-BH.xls]B___533"/>
      <sheetName val="[Spt-BH.xls][Spt-BH.xls]B___534"/>
      <sheetName val="[Spt-BH.xls][Spt-BH.xls]B___535"/>
      <sheetName val="[Spt-BH.xls][Spt-BH.xls]B___536"/>
      <sheetName val="[Spt-BH.xls][Spt-BH.xls]B___537"/>
      <sheetName val="[Spt-BH.xls][Spt-BH.xls]B___538"/>
      <sheetName val="[Spt-BH.xls][Spt-BH.xls]B___539"/>
      <sheetName val="[Spt-BH.xls][Spt-BH.xls]_Sp_156"/>
      <sheetName val="[Spt-BH.xls][Spt-BH.xls]B___540"/>
      <sheetName val="[Spt-BH.xls][Spt-BH.xls]B___541"/>
      <sheetName val="[Spt-BH.xls][Spt-BH.xls]B___542"/>
      <sheetName val="[Spt-BH.xls][Spt-BH.xls]B___543"/>
      <sheetName val="[Spt-BH.xls][Spt-BH.xls]B___544"/>
      <sheetName val="[Spt-BH.xls][Spt-BH.xls]B___545"/>
      <sheetName val="[Spt-BH.xls][Spt-BH.xls]_Sp_157"/>
      <sheetName val="[Spt-BH.xls][Spt-BH.xls]B___546"/>
      <sheetName val="[Spt-BH.xls][Spt-BH.xls]B___547"/>
      <sheetName val="[Spt-BH.xls][Spt-BH.xls]B___548"/>
      <sheetName val="[Spt-BH.xls][Spt-BH.xls]B___549"/>
      <sheetName val="[Spt-BH.xls][Spt-BH.xls]B___550"/>
      <sheetName val="[Spt-BH.xls][Spt-BH.xls]B___551"/>
      <sheetName val="[Spt-BH.xls][Spt-BH.xls]_Sp_159"/>
      <sheetName val="[Spt-BH.xls][Spt-BH.xls]_Sp_162"/>
      <sheetName val="[Spt-BH.xls][Spt-BH.xls]B___564"/>
      <sheetName val="[Spt-BH.xls][Spt-BH.xls]B___565"/>
      <sheetName val="[Spt-BH.xls][Spt-BH.xls]B___566"/>
      <sheetName val="[Spt-BH.xls][Spt-BH.xls]_Sp_164"/>
      <sheetName val="[Spt-BH.xls][Spt-BH.xls]B___567"/>
      <sheetName val="[Spt-BH.xls][Spt-BH.xls]B___568"/>
      <sheetName val="[Spt-BH.xls][Spt-BH.xls]B___569"/>
      <sheetName val="[Spt-BH.xls][Spt-BH.xls]_Sp_161"/>
      <sheetName val="[Spt-BH.xls][Spt-BH.xls]B___558"/>
      <sheetName val="[Spt-BH.xls][Spt-BH.xls]B___559"/>
      <sheetName val="[Spt-BH.xls][Spt-BH.xls]B___560"/>
      <sheetName val="[Spt-BH.xls][Spt-BH.xls]B___561"/>
      <sheetName val="[Spt-BH.xls][Spt-BH.xls]B___562"/>
      <sheetName val="[Spt-BH.xls][Spt-BH.xls]B___563"/>
      <sheetName val="[Spt-BH.xls][Spt-BH.xls]_Sp_163"/>
      <sheetName val="[Spt-BH.xls][Spt-BH.xls]_Sp_167"/>
      <sheetName val="[Spt-BH.xls][Spt-BH.xls]B___576"/>
      <sheetName val="[Spt-BH.xls][Spt-BH.xls]B___577"/>
      <sheetName val="[Spt-BH.xls][Spt-BH.xls]B___578"/>
      <sheetName val="[Spt-BH.xls][Spt-BH.xls]_Sp_168"/>
      <sheetName val="[Spt-BH.xls][Spt-BH.xls]B___579"/>
      <sheetName val="[Spt-BH.xls][Spt-BH.xls]B___580"/>
      <sheetName val="[Spt-BH.xls][Spt-BH.xls]B___581"/>
      <sheetName val="[Spt-BH.xls][Spt-BH.xls]_Sp_165"/>
      <sheetName val="[Spt-BH.xls][Spt-BH.xls]_Sp_166"/>
      <sheetName val="[Spt-BH.xls][Spt-BH.xls]B___570"/>
      <sheetName val="[Spt-BH.xls][Spt-BH.xls]B___571"/>
      <sheetName val="[Spt-BH.xls][Spt-BH.xls]B___572"/>
      <sheetName val="[Spt-BH.xls][Spt-BH.xls]B___573"/>
      <sheetName val="[Spt-BH.xls][Spt-BH.xls]B___574"/>
      <sheetName val="[Spt-BH.xls][Spt-BH.xls]B___575"/>
      <sheetName val="[Spt-BH.xls][Spt-BH.xls]_Sp_170"/>
      <sheetName val="[Spt-BH.xls][Spt-BH.xls]B___588"/>
      <sheetName val="[Spt-BH.xls][Spt-BH.xls]B___589"/>
      <sheetName val="[Spt-BH.xls][Spt-BH.xls]B___590"/>
      <sheetName val="[Spt-BH.xls][Spt-BH.xls]_Sp_174"/>
      <sheetName val="[Spt-BH.xls][Spt-BH.xls]B___591"/>
      <sheetName val="[Spt-BH.xls][Spt-BH.xls]B___592"/>
      <sheetName val="[Spt-BH.xls][Spt-BH.xls]B___593"/>
      <sheetName val="[Spt-BH.xls][Spt-BH.xls]_Sp_169"/>
      <sheetName val="[Spt-BH.xls][Spt-BH.xls]B___582"/>
      <sheetName val="[Spt-BH.xls][Spt-BH.xls]B___583"/>
      <sheetName val="[Spt-BH.xls][Spt-BH.xls]B___584"/>
      <sheetName val="[Spt-BH.xls][Spt-BH.xls]B___585"/>
      <sheetName val="[Spt-BH.xls][Spt-BH.xls]B___586"/>
      <sheetName val="[Spt-BH.xls][Spt-BH.xls]B___587"/>
      <sheetName val="[Spt-BH.xls][Spt-BH.xls]_Sp_171"/>
      <sheetName val="[Spt-BH.xls][Spt-BH.xls]B___594"/>
      <sheetName val="[Spt-BH.xls][Spt-BH.xls]B___595"/>
      <sheetName val="[Spt-BH.xls][Spt-BH.xls]B___596"/>
      <sheetName val="[Spt-BH.xls][Spt-BH.xls]_Sp_172"/>
      <sheetName val="[Spt-BH.xls][Spt-BH.xls]B___597"/>
      <sheetName val="[Spt-BH.xls][Spt-BH.xls]B___598"/>
      <sheetName val="[Spt-BH.xls][Spt-BH.xls]B___599"/>
      <sheetName val="[Spt-BH.xls][Spt-BH.xls]_Sp_173"/>
      <sheetName val="[Spt-BH.xls][Spt-BH.xls]_Sp_176"/>
      <sheetName val="[Spt-BH.xls][Spt-BH.xls]_Sp_175"/>
      <sheetName val="[Spt-BH.xls][Spt-BH.xls]_Sp_178"/>
      <sheetName val="[Spt-BH.xls][Spt-BH.xls]_Sp_177"/>
      <sheetName val="[Spt-BH.xls][Spt-BH.xls]_Sp_179"/>
      <sheetName val="[Spt-BH.xls][Spt-BH.xls]B___615"/>
      <sheetName val="[Spt-BH.xls][Spt-BH.xls]B___616"/>
      <sheetName val="[Spt-BH.xls][Spt-BH.xls]B___617"/>
      <sheetName val="[Spt-BH.xls][Spt-BH.xls]_Sp_181"/>
      <sheetName val="[Spt-BH.xls][Spt-BH.xls]B___618"/>
      <sheetName val="[Spt-BH.xls][Spt-BH.xls]B___619"/>
      <sheetName val="[Spt-BH.xls][Spt-BH.xls]B___620"/>
      <sheetName val="[Spt-BH.xls]B____x005f_x0004_______42"/>
      <sheetName val="[Spt-BH.xls]B___x005f_x0000__x005f_x0004_42"/>
      <sheetName val="[Spt-BH.xls][Spt-BH.xls]B___610"/>
      <sheetName val="[Spt-BH.xls][Spt-BH.xls]B___611"/>
      <sheetName val="[Spt-BH.xls][Spt-BH.xls]B___612"/>
      <sheetName val="[Spt-BH.xls][Spt-BH.xls]B___613"/>
      <sheetName val="[Spt-BH.xls][Spt-BH.xls]B___614"/>
      <sheetName val="[Spt-BH.xls]B____x005f_x0004_______40"/>
      <sheetName val="[Spt-BH.xls]B___x005f_x0000__x005f_x0004_40"/>
      <sheetName val="[Spt-BH.xls][Spt-BH.xls]B___600"/>
      <sheetName val="[Spt-BH.xls][Spt-BH.xls]B___601"/>
      <sheetName val="[Spt-BH.xls][Spt-BH.xls]B___602"/>
      <sheetName val="[Spt-BH.xls][Spt-BH.xls]B___603"/>
      <sheetName val="[Spt-BH.xls][Spt-BH.xls]B___604"/>
      <sheetName val="[Spt-BH.xls]B____x005f_x0004_______41"/>
      <sheetName val="[Spt-BH.xls]B___x005f_x0000__x005f_x0004_41"/>
      <sheetName val="[Spt-BH.xls][Spt-BH.xls]B___605"/>
      <sheetName val="[Spt-BH.xls][Spt-BH.xls]B___606"/>
      <sheetName val="[Spt-BH.xls][Spt-BH.xls]B___607"/>
      <sheetName val="[Spt-BH.xls][Spt-BH.xls]B___608"/>
      <sheetName val="[Spt-BH.xls][Spt-BH.xls]B___609"/>
      <sheetName val="[Spt-BH.xls][Spt-BH.xls]B___621"/>
      <sheetName val="[Spt-BH.xls][Spt-BH.xls]B___622"/>
      <sheetName val="[Spt-BH.xls][Spt-BH.xls]B___623"/>
      <sheetName val="[Spt-BH.xls][Spt-BH.xls]B___624"/>
      <sheetName val="[Spt-BH.xls][Spt-BH.xls]_Sp_180"/>
      <sheetName val="[Spt-BH.xls][Spt-BH.xls]_Sp_183"/>
      <sheetName val="[Spt-BH.xls][Spt-BH.xls]_Sp_182"/>
      <sheetName val="[Spt-BH.xls][Spt-BH.xls]B___625"/>
      <sheetName val="[Spt-BH.xls][Spt-BH.xls]B___626"/>
      <sheetName val="[Spt-BH.xls][Spt-BH.xls]B___627"/>
      <sheetName val="[Spt-BH.xls][Spt-BH.xls]_Sp_184"/>
      <sheetName val="[Spt-BH.xls][Spt-BH.xls]B___628"/>
      <sheetName val="[Spt-BH.xls][Spt-BH.xls]B___629"/>
      <sheetName val="[Spt-BH.xls][Spt-BH.xls]B___630"/>
      <sheetName val="[Spt-BH.xls][Spt-BH.xls]_Sp_185"/>
      <sheetName val="[Spt-BH.xls][Spt-BH_xls]B____92"/>
      <sheetName val="[Spt-BH.xls][Spt-BH_xls]B____93"/>
      <sheetName val="[Spt-BH.xls][Spt-BH_xls]B____94"/>
      <sheetName val="[Spt-BH.xls][Spt-BH_xls]B____95"/>
      <sheetName val="[Spt-BH.xls][Spt-BH_xls]B____96"/>
      <sheetName val="[Spt-BH.xls][Spt-BH_xls]B____82"/>
      <sheetName val="[Spt-BH.xls][Spt-BH_xls]B____83"/>
      <sheetName val="[Spt-BH.xls][Spt-BH_xls]B____84"/>
      <sheetName val="[Spt-BH.xls][Spt-BH_xls]B____85"/>
      <sheetName val="[Spt-BH.xls][Spt-BH_xls]B____86"/>
      <sheetName val="[Spt-BH.xls][Spt-BH_xls]B____87"/>
      <sheetName val="[Spt-BH.xls][Spt-BH_xls]B____88"/>
      <sheetName val="[Spt-BH.xls][Spt-BH_xls]B____89"/>
      <sheetName val="[Spt-BH.xls][Spt-BH_xls]B____90"/>
      <sheetName val="[Spt-BH.xls][Spt-BH_xls]B____91"/>
      <sheetName val="[Spt-BH.xls][Spt-BH.xls]B___653"/>
      <sheetName val="[Spt-BH.xls][Spt-BH.xls]B___654"/>
      <sheetName val="[Spt-BH.xls][Spt-BH.xls]B___655"/>
      <sheetName val="[Spt-BH.xls][Spt-BH.xls]_Sp_227"/>
      <sheetName val="[Spt-BH.xls][Spt-BH.xls]B___656"/>
      <sheetName val="[Spt-BH.xls][Spt-BH.xls]B___646"/>
      <sheetName val="[Spt-BH.xls][Spt-BH.xls]B___647"/>
      <sheetName val="[Spt-BH.xls][Spt-BH.xls]B___648"/>
      <sheetName val="[Spt-BH.xls][Spt-BH.xls]_Sp_226"/>
      <sheetName val="[Spt-BH.xls][Spt-BH.xls]B___649"/>
      <sheetName val="[Spt-BH.xls][Spt-BH.xls]_Sp_225"/>
      <sheetName val="[Spt-BH.xls][Spt-BH_xls]B____97"/>
      <sheetName val="[Spt-BH.xls][Spt-BH_xls]B____98"/>
      <sheetName val="[Spt-BH.xls][Spt-BH_xls]B____99"/>
      <sheetName val="[Spt-BH.xls][Spt-BH_xls]B___100"/>
      <sheetName val="[Spt-BH.xls][Spt-BH_xls]B___101"/>
      <sheetName val="[Spt-BH.xls][Spt-BH_xls]B___137"/>
      <sheetName val="[Spt-BH.xls][Spt-BH_xls]B___138"/>
      <sheetName val="[Spt-BH.xls][Spt-BH_xls]B___139"/>
      <sheetName val="[Spt-BH.xls][Spt-BH_xls]B___140"/>
      <sheetName val="[Spt-BH.xls][Spt-BH_xls]B___141"/>
      <sheetName val="[Spt-BH.xls][Spt-BH_xls]B___102"/>
      <sheetName val="[Spt-BH.xls][Spt-BH_xls]B___103"/>
      <sheetName val="[Spt-BH.xls][Spt-BH_xls]B___104"/>
      <sheetName val="[Spt-BH.xls][Spt-BH_xls]B___105"/>
      <sheetName val="[Spt-BH.xls][Spt-BH_xls]B___106"/>
      <sheetName val="Parameter"/>
      <sheetName val="CashFlow"/>
      <sheetName val="A01-A02-L&amp;T"/>
      <sheetName val="[Spt-BH.xls][Spt-BH_xls]B___107"/>
      <sheetName val="[Spt-BH.xls][Spt-BH_xls]B___108"/>
      <sheetName val="[Spt-BH.xls][Spt-BH_xls]B___109"/>
      <sheetName val="[Spt-BH.xls][Spt-BH_xls]B___110"/>
      <sheetName val="[Spt-BH.xls][Spt-BH_xls]B___111"/>
      <sheetName val="[Spt-BH.xls][Spt-BH_xls]B___112"/>
      <sheetName val="[Spt-BH.xls][Spt-BH_xls]B___113"/>
      <sheetName val="[Spt-BH.xls][Spt-BH_xls]B___114"/>
      <sheetName val="[Spt-BH.xls][Spt-BH_xls]B___115"/>
      <sheetName val="[Spt-BH.xls][Spt-BH_xls]B___116"/>
      <sheetName val="[Spt-BH.xls][Spt-BH_xls]B___117"/>
      <sheetName val="[Spt-BH.xls][Spt-BH_xls]B___118"/>
      <sheetName val="[Spt-BH.xls][Spt-BH_xls]B___119"/>
      <sheetName val="[Spt-BH.xls][Spt-BH_xls]B___120"/>
      <sheetName val="[Spt-BH.xls][Spt-BH_xls]B___121"/>
      <sheetName val="[Spt-BH.xls][Spt-BH_xls]B___122"/>
      <sheetName val="[Spt-BH.xls][Spt-BH_xls]B___123"/>
      <sheetName val="[Spt-BH.xls][Spt-BH_xls]B___124"/>
      <sheetName val="[Spt-BH.xls][Spt-BH_xls]B___125"/>
      <sheetName val="[Spt-BH.xls][Spt-BH_xls]B___126"/>
      <sheetName val="[Spt-BH.xls][Spt-BH_xls]B___127"/>
      <sheetName val="[Spt-BH.xls][Spt-BH_xls]B___128"/>
      <sheetName val="[Spt-BH.xls][Spt-BH_xls]B___129"/>
      <sheetName val="[Spt-BH.xls][Spt-BH_xls]B___130"/>
      <sheetName val="[Spt-BH.xls][Spt-BH_xls]B___131"/>
      <sheetName val="[Spt-BH.xls][Spt-BH_xls]B___132"/>
      <sheetName val="[Spt-BH.xls][Spt-BH_xls]B___133"/>
      <sheetName val="[Spt-BH.xls][Spt-BH_xls]B___134"/>
      <sheetName val="[Spt-BH.xls][Spt-BH_xls]B___135"/>
      <sheetName val="[Spt-BH.xls][Spt-BH_xls]B___136"/>
      <sheetName val="[Spt-BH.xls][Spt-BH_xls]B___147"/>
      <sheetName val="[Spt-BH.xls][Spt-BH_xls]B___148"/>
      <sheetName val="[Spt-BH.xls][Spt-BH_xls]B___149"/>
      <sheetName val="[Spt-BH.xls][Spt-BH_xls]B___150"/>
      <sheetName val="[Spt-BH.xls][Spt-BH_xls]B___151"/>
      <sheetName val="[Spt-BH.xls][Spt-BH_xls]B___142"/>
      <sheetName val="[Spt-BH.xls][Spt-BH_xls]B___143"/>
      <sheetName val="[Spt-BH.xls][Spt-BH_xls]B___144"/>
      <sheetName val="[Spt-BH.xls][Spt-BH_xls]B___145"/>
      <sheetName val="[Spt-BH.xls][Spt-BH_xls]B___146"/>
      <sheetName val="[Spt-BH.xls][Spt-BH_xls]B___152"/>
      <sheetName val="[Spt-BH.xls][Spt-BH_xls]B___153"/>
      <sheetName val="[Spt-BH.xls][Spt-BH_xls]B___154"/>
      <sheetName val="[Spt-BH.xls][Spt-BH_xls]B___155"/>
      <sheetName val="[Spt-BH.xls][Spt-BH_xls]B___156"/>
      <sheetName val="[Spt-BH.xls][Spt-BH_xls]B___157"/>
      <sheetName val="[Spt-BH.xls][Spt-BH_xls]B___158"/>
      <sheetName val="[Spt-BH.xls][Spt-BH_xls]B___159"/>
      <sheetName val="[Spt-BH.xls][Spt-BH_xls]B___160"/>
      <sheetName val="[Spt-BH.xls][Spt-BH_xls]B___161"/>
      <sheetName val="[Spt-BH.xls][Spt-BH_xls]B___162"/>
      <sheetName val="[Spt-BH.xls][Spt-BH_xls]B___163"/>
      <sheetName val="[Spt-BH.xls][Spt-BH_xls]B___164"/>
      <sheetName val="[Spt-BH.xls][Spt-BH_xls]B___165"/>
      <sheetName val="[Spt-BH.xls][Spt-BH_xls]B___166"/>
      <sheetName val="[Spt-BH.xls][Spt-BH.xls]_Sp_188"/>
      <sheetName val="[Spt-BH.xls][Spt-BH_xls]B___167"/>
      <sheetName val="[Spt-BH.xls][Spt-BH_xls]B___168"/>
      <sheetName val="[Spt-BH.xls][Spt-BH_xls]B___169"/>
      <sheetName val="[Spt-BH.xls][Spt-BH_xls]B___170"/>
      <sheetName val="[Spt-BH.xls][Spt-BH_xls]B___171"/>
      <sheetName val="[Spt-BH.xls][Spt-BH.xls]_Sp_197"/>
      <sheetName val="[Spt-BH.xls]B____x005f_x0004_______43"/>
      <sheetName val="[Spt-BH.xls]B___x005f_x0000__x005f_x0004_43"/>
      <sheetName val="[Spt-BH.xls][Spt-BH.xls]_Sp_192"/>
      <sheetName val="[Spt-BH.xls][Spt-BH.xls]_Sp_193"/>
      <sheetName val="[Spt-BH.xls][Spt-BH_xls]B___177"/>
      <sheetName val="[Spt-BH.xls][Spt-BH_xls]B___178"/>
      <sheetName val="[Spt-BH.xls][Spt-BH_xls]B___179"/>
      <sheetName val="[Spt-BH.xls][Spt-BH_xls]B___180"/>
      <sheetName val="[Spt-BH.xls][Spt-BH_xls]B___181"/>
      <sheetName val="[Spt-BH.xls][Spt-BH.xls]_Sp_189"/>
      <sheetName val="[Spt-BH.xls][Spt-BH.xls]_Sp_186"/>
      <sheetName val="[Spt-BH.xls][Spt-BH_xls]B___172"/>
      <sheetName val="[Spt-BH.xls][Spt-BH_xls]B___173"/>
      <sheetName val="[Spt-BH.xls][Spt-BH_xls]B___174"/>
      <sheetName val="[Spt-BH.xls][Spt-BH_xls]B___175"/>
      <sheetName val="[Spt-BH.xls][Spt-BH_xls]B___176"/>
      <sheetName val="[Spt-BH.xls][Spt-BH.xls]_Sp_187"/>
      <sheetName val="[Spt-BH.xls][Spt-BH.xls]_Sp_201"/>
      <sheetName val="[Spt-BH.xls]B____x005f_x0004_______45"/>
      <sheetName val="[Spt-BH.xls]B___x005f_x0000__x005f_x0004_45"/>
      <sheetName val="[Spt-BH.xls][Spt-BH.xls]_Sp_198"/>
      <sheetName val="[Spt-BH.xls][Spt-BH_xls]B___187"/>
      <sheetName val="[Spt-BH.xls][Spt-BH_xls]B___188"/>
      <sheetName val="[Spt-BH.xls][Spt-BH_xls]B___189"/>
      <sheetName val="[Spt-BH.xls][Spt-BH_xls]B___190"/>
      <sheetName val="[Spt-BH.xls][Spt-BH_xls]B___191"/>
      <sheetName val="[Spt-BH.xls][Spt-BH.xls]_Sp_190"/>
      <sheetName val="[Spt-BH.xls][Spt-BH.xls]_Sp_191"/>
      <sheetName val="[Spt-BH.xls]B____x005f_x0004_______44"/>
      <sheetName val="[Spt-BH.xls]B___x005f_x0000__x005f_x0004_44"/>
      <sheetName val="[Spt-BH.xls][Spt-BH_xls]B___182"/>
      <sheetName val="[Spt-BH.xls][Spt-BH_xls]B___183"/>
      <sheetName val="[Spt-BH.xls][Spt-BH_xls]B___184"/>
      <sheetName val="[Spt-BH.xls][Spt-BH_xls]B___185"/>
      <sheetName val="[Spt-BH.xls][Spt-BH_xls]B___186"/>
      <sheetName val="[Spt-BH.xls][Spt-BH.xls]_Sp_203"/>
      <sheetName val="[Spt-BH.xls]B____x005f_x0004_______46"/>
      <sheetName val="[Spt-BH.xls]B___x005f_x0000__x005f_x0004_46"/>
      <sheetName val="[Spt-BH.xls][Spt-BH.xls]_Sp_202"/>
      <sheetName val="[Spt-BH.xls][Spt-BH_xls]B___192"/>
      <sheetName val="[Spt-BH.xls][Spt-BH_xls]B___193"/>
      <sheetName val="[Spt-BH.xls][Spt-BH_xls]B___194"/>
      <sheetName val="[Spt-BH.xls][Spt-BH_xls]B___195"/>
      <sheetName val="[Spt-BH.xls][Spt-BH_xls]B___196"/>
      <sheetName val="[Spt-BH.xls][Spt-BH.xls]_Sp_194"/>
      <sheetName val="[Spt-BH.xls][Spt-BH.xls]_Sp_196"/>
      <sheetName val="[Spt-BH.xls][Spt-BH.xls]_Sp_195"/>
      <sheetName val="[Spt-BH.xls][Spt-BH.xls]_Sp_199"/>
      <sheetName val="[Spt-BH.xls][Spt-BH.xls]_Sp_200"/>
      <sheetName val="[Spt-BH.xls][Spt-BH.xls]_Sp_213"/>
      <sheetName val="[Spt-BH.xls]B____x005f_x0004_______49"/>
      <sheetName val="[Spt-BH.xls]B___x005f_x0000__x005f_x0004_49"/>
      <sheetName val="[Spt-BH.xls][Spt-BH.xls]_Sp_215"/>
      <sheetName val="[Spt-BH.xls][Spt-BH.xls]_Sp_216"/>
      <sheetName val="[Spt-BH.xls][Spt-BH_xls]B___207"/>
      <sheetName val="[Spt-BH.xls][Spt-BH_xls]B___208"/>
      <sheetName val="[Spt-BH.xls][Spt-BH_xls]B___209"/>
      <sheetName val="[Spt-BH.xls][Spt-BH_xls]B___210"/>
      <sheetName val="[Spt-BH.xls][Spt-BH_xls]B___211"/>
      <sheetName val="[Spt-BH.xls][Spt-BH.xls]_Sp_214"/>
      <sheetName val="[Spt-BH.xls][Spt-BH.xls]_Sp_209"/>
      <sheetName val="[Spt-BH.xls][Spt-BH.xls]_Sp_211"/>
      <sheetName val="[Spt-BH.xls][Spt-BH.xls]_Sp_210"/>
      <sheetName val="[Spt-BH.xls][Spt-BH.xls]_Sp_204"/>
      <sheetName val="[Spt-BH.xls][Spt-BH.xls]_Sp_205"/>
      <sheetName val="[Spt-BH.xls][Spt-BH.xls]_Sp_206"/>
      <sheetName val="[Spt-BH.xls]B____x005f_x0004_______48"/>
      <sheetName val="[Spt-BH.xls]B___x005f_x0000__x005f_x0004_48"/>
      <sheetName val="[Spt-BH.xls][Spt-BH.xls]_Sp_212"/>
      <sheetName val="[Spt-BH.xls][Spt-BH_xls]B___202"/>
      <sheetName val="[Spt-BH.xls][Spt-BH_xls]B___203"/>
      <sheetName val="[Spt-BH.xls][Spt-BH_xls]B___204"/>
      <sheetName val="[Spt-BH.xls][Spt-BH_xls]B___205"/>
      <sheetName val="[Spt-BH.xls][Spt-BH_xls]B___206"/>
      <sheetName val="[Spt-BH.xls][Spt-BH.xls]_Sp_207"/>
      <sheetName val="[Spt-BH.xls][Spt-BH.xls]_Sp_208"/>
      <sheetName val="[Spt-BH.xls]B____x005f_x0004_______47"/>
      <sheetName val="[Spt-BH.xls]B___x005f_x0000__x005f_x0004_47"/>
      <sheetName val="[Spt-BH.xls][Spt-BH_xls]B___197"/>
      <sheetName val="[Spt-BH.xls][Spt-BH_xls]B___198"/>
      <sheetName val="[Spt-BH.xls][Spt-BH_xls]B___199"/>
      <sheetName val="[Spt-BH.xls][Spt-BH_xls]B___200"/>
      <sheetName val="[Spt-BH.xls][Spt-BH_xls]B___201"/>
      <sheetName val="[Spt-BH.xls][Spt-BH.xls]_Sp_217"/>
      <sheetName val="[Spt-BH.xls][Spt-BH.xls]B___657"/>
      <sheetName val="[Spt-BH.xls]B____x005f_x0004_______57"/>
      <sheetName val="[Spt-BH.xls]B___x005f_x0000__x005f_x0004_57"/>
      <sheetName val="[Spt-BH.xls][Spt-BH.xls]B___658"/>
      <sheetName val="[Spt-BH.xls][Spt-BH.xls]B___650"/>
      <sheetName val="[Spt-BH.xls][Spt-BH.xls]B___651"/>
      <sheetName val="[Spt-BH.xls][Spt-BH.xls]_Sp_218"/>
      <sheetName val="[Spt-BH.xls]B____x005f_x0004_______50"/>
      <sheetName val="[Spt-BH.xls]B___x005f_x0000__x005f_x0004_50"/>
      <sheetName val="[Spt-BH.xls][Spt-BH.xls]B___652"/>
      <sheetName val="[Spt-BH.xls][Spt-BH.xls]_Sp_219"/>
      <sheetName val="[Spt-BH.xls]B____x005f_x0004_______51"/>
      <sheetName val="[Spt-BH.xls]B___x005f_x0000__x005f_x0004_51"/>
      <sheetName val="[Spt-BH.xls][Spt-BH.xls]_Sp_220"/>
      <sheetName val="[Spt-BH.xls]B____x005f_x0004_______52"/>
      <sheetName val="[Spt-BH.xls]B___x005f_x0000__x005f_x0004_52"/>
      <sheetName val="[Spt-BH.xls][Spt-BH.xls]_Sp_221"/>
      <sheetName val="[Spt-BH.xls]B____x005f_x0004_______53"/>
      <sheetName val="[Spt-BH.xls]B___x005f_x0000__x005f_x0004_53"/>
      <sheetName val="[Spt-BH.xls][Spt-BH.xls]_Sp_222"/>
      <sheetName val="[Spt-BH.xls]B____x005f_x0004_______54"/>
      <sheetName val="[Spt-BH.xls]B___x005f_x0000__x005f_x0004_54"/>
      <sheetName val="[Spt-BH.xls][Spt-BH.xls]B___631"/>
      <sheetName val="[Spt-BH.xls][Spt-BH.xls]B___632"/>
      <sheetName val="[Spt-BH.xls][Spt-BH.xls]B___633"/>
      <sheetName val="[Spt-BH.xls][Spt-BH.xls]B___634"/>
      <sheetName val="[Spt-BH.xls][Spt-BH.xls]B___635"/>
      <sheetName val="[Spt-BH.xls][Spt-BH.xls]_Sp_223"/>
      <sheetName val="[Spt-BH.xls]B____x005f_x0004_______55"/>
      <sheetName val="[Spt-BH.xls]B___x005f_x0000__x005f_x0004_55"/>
      <sheetName val="[Spt-BH.xls][Spt-BH.xls]B___636"/>
      <sheetName val="[Spt-BH.xls][Spt-BH.xls]B___637"/>
      <sheetName val="[Spt-BH.xls][Spt-BH.xls]B___638"/>
      <sheetName val="[Spt-BH.xls][Spt-BH.xls]B___639"/>
      <sheetName val="[Spt-BH.xls][Spt-BH.xls]B___640"/>
      <sheetName val="[Spt-BH.xls][Spt-BH.xls]B___641"/>
      <sheetName val="[Spt-BH.xls][Spt-BH.xls]B___642"/>
      <sheetName val="[Spt-BH.xls][Spt-BH.xls]_Sp_224"/>
      <sheetName val="[Spt-BH.xls]B____x005f_x0004_______56"/>
      <sheetName val="[Spt-BH.xls]B___x005f_x0000__x005f_x0004_56"/>
      <sheetName val="[Spt-BH.xls][Spt-BH.xls]B___643"/>
      <sheetName val="[Spt-BH.xls][Spt-BH.xls]B___644"/>
      <sheetName val="[Spt-BH.xls][Spt-BH.xls]B___645"/>
      <sheetName val="[Spt-BH.xls][Spt-BH.xls]_Sp_228"/>
      <sheetName val="[Spt-BH.xls][Spt-BH.xls]B___659"/>
      <sheetName val="[Spt-BH.xls][Spt-BH.xls]B___660"/>
      <sheetName val="[Spt-BH.xls][Spt-BH.xls]B___661"/>
      <sheetName val="[Spt-BH.xls][Spt-BH.xls]_Sp_229"/>
      <sheetName val="[Spt-BH.xls][Spt-BH.xls]B___662"/>
      <sheetName val="[Spt-BH.xls][Spt-BH.xls]B___663"/>
      <sheetName val="[Spt-BH.xls][Spt-BH.xls]B___664"/>
      <sheetName val="factor sheet"/>
      <sheetName val="Electrical"/>
      <sheetName val="THK"/>
      <sheetName val="Inputs_&amp;_Summary_Output3"/>
      <sheetName val="Broad_Refresher_Model3"/>
      <sheetName val="Fin_Sum3"/>
      <sheetName val="Material_List_3"/>
      <sheetName val="p_m"/>
      <sheetName val="[Spt-BH.xls][Spt-BH.xls]_Sp_230"/>
      <sheetName val="[Spt-BH.xls][Spt-BH.xls]B___665"/>
      <sheetName val="[Spt-BH.xls][Spt-BH.xls]B___666"/>
      <sheetName val="[Spt-BH.xls][Spt-BH.xls]B___667"/>
      <sheetName val="[Spt-BH.xls][Spt-BH.xls]_Sp_231"/>
      <sheetName val="[Spt-BH.xls][Spt-BH.xls]B___668"/>
      <sheetName val="[Spt-BH.xls][Spt-BH.xls]B___669"/>
      <sheetName val="[Spt-BH.xls][Spt-BH.xls]B___670"/>
      <sheetName val="[Spt-BH.xls][Spt-BH.xls]_Sp_232"/>
      <sheetName val="[Spt-BH.xls][Spt-BH.xls]B___671"/>
      <sheetName val="[Spt-BH.xls][Spt-BH.xls]B___672"/>
      <sheetName val="[Spt-BH.xls][Spt-BH.xls]B___673"/>
      <sheetName val="[Spt-BH.xls][Spt-BH.xls]_Sp_233"/>
      <sheetName val="[Spt-BH.xls][Spt-BH.xls]B___674"/>
      <sheetName val="[Spt-BH.xls][Spt-BH.xls]B___675"/>
      <sheetName val="[Spt-BH.xls][Spt-BH.xls]B___676"/>
      <sheetName val="[Spt-BH.xls][Spt-BH.xls]_Sp_234"/>
      <sheetName val="[Spt-BH.xls][Spt-BH.xls]B___677"/>
      <sheetName val="[Spt-BH.xls][Spt-BH.xls]B___678"/>
      <sheetName val="[Spt-BH.xls][Spt-BH.xls]B___679"/>
      <sheetName val="[Spt-BH.xls][Spt-BH.xls]_Sp_235"/>
      <sheetName val="[Spt-BH.xls][Spt-BH.xls]B___680"/>
      <sheetName val="[Spt-BH.xls][Spt-BH.xls]B___681"/>
      <sheetName val="[Spt-BH.xls][Spt-BH.xls]B___682"/>
      <sheetName val="[Spt-BH.xls][Spt-BH.xls]B___683"/>
      <sheetName val="[Spt-BH.xls][Spt-BH.xls]B___684"/>
      <sheetName val="[Spt-BH.xls][Spt-BH.xls]B___685"/>
      <sheetName val="[Spt-BH.xls][Spt-BH.xls]_Sp_236"/>
      <sheetName val="[Spt-BH.xls][Spt-BH.xls]B___686"/>
      <sheetName val="[Spt-BH.xls][Spt-BH.xls]B___687"/>
      <sheetName val="[Spt-BH.xls][Spt-BH.xls]B___688"/>
      <sheetName val="[Spt-BH.xls][Spt-BH.xls]_Sp_237"/>
      <sheetName val="[Spt-BH.xls][Spt-BH.xls]B___689"/>
      <sheetName val="[Spt-BH.xls][Spt-BH.xls]B___690"/>
      <sheetName val="[Spt-BH.xls][Spt-BH.xls]B___691"/>
      <sheetName val="[Spt-BH.xls][Spt-BH.xls]_Sp_238"/>
      <sheetName val="[Spt-BH.xls][Spt-BH.xls]B___692"/>
      <sheetName val="[Spt-BH.xls][Spt-BH.xls]B___693"/>
      <sheetName val="[Spt-BH.xls][Spt-BH.xls]B___694"/>
      <sheetName val="[Spt-BH.xls][Spt-BH.xls]B___707"/>
      <sheetName val="[Spt-BH.xls][Spt-BH.xls]B___708"/>
      <sheetName val="[Spt-BH.xls][Spt-BH.xls]B___709"/>
      <sheetName val="[Spt-BH.xls][Spt-BH.xls]_Sp_242"/>
      <sheetName val="[Spt-BH.xls][Spt-BH.xls]B___710"/>
      <sheetName val="[Spt-BH.xls][Spt-BH.xls]B___711"/>
      <sheetName val="[Spt-BH.xls][Spt-BH.xls]B___712"/>
      <sheetName val="[Spt-BH.xls][Spt-BH.xls]_Sp_241"/>
      <sheetName val="[Spt-BH.xls][Spt-BH.xls]B___713"/>
      <sheetName val="[Spt-BH.xls][Spt-BH.xls]B___714"/>
      <sheetName val="[Spt-BH.xls][Spt-BH.xls]B___715"/>
      <sheetName val="[Spt-BH.xls][Spt-BH.xls]_Sp_243"/>
      <sheetName val="[Spt-BH.xls][Spt-BH.xls]B___716"/>
      <sheetName val="[Spt-BH.xls][Spt-BH.xls]B___717"/>
      <sheetName val="[Spt-BH.xls]B____x005f_x0004_______60"/>
      <sheetName val="[Spt-BH.xls]B___x005f_x0000__x005f_x0004_60"/>
      <sheetName val="[Spt-BH.xls][Spt-BH.xls]B___718"/>
      <sheetName val="[Spt-BH.xls][Spt-BH.xls]B___695"/>
      <sheetName val="[Spt-BH.xls][Spt-BH.xls]B___696"/>
      <sheetName val="[Spt-BH.xls][Spt-BH.xls]B___697"/>
      <sheetName val="[Spt-BH.xls][Spt-BH.xls]B___698"/>
      <sheetName val="[Spt-BH.xls][Spt-BH.xls]B___699"/>
      <sheetName val="[Spt-BH.xls][Spt-BH.xls]B___700"/>
      <sheetName val="[Spt-BH.xls][Spt-BH.xls]_Sp_239"/>
      <sheetName val="[Spt-BH.xls]B____x005f_x0004_______58"/>
      <sheetName val="[Spt-BH.xls]B___x005f_x0000__x005f_x0004_58"/>
      <sheetName val="[Spt-BH.xls][Spt-BH.xls]B___701"/>
      <sheetName val="[Spt-BH.xls][Spt-BH.xls]B___702"/>
      <sheetName val="[Spt-BH.xls][Spt-BH.xls]B___703"/>
      <sheetName val="[Spt-BH.xls][Spt-BH.xls]B___704"/>
      <sheetName val="[Spt-BH.xls][Spt-BH.xls]B___705"/>
      <sheetName val="[Spt-BH.xls][Spt-BH.xls]B___706"/>
      <sheetName val="[Spt-BH.xls][Spt-BH.xls]_Sp_240"/>
      <sheetName val="[Spt-BH.xls]B____x005f_x0004_______59"/>
      <sheetName val="[Spt-BH.xls]B___x005f_x0000__x005f_x0004_59"/>
      <sheetName val="[Spt-BH.xls][Spt-BH.xls]B___737"/>
      <sheetName val="[Spt-BH.xls][Spt-BH.xls]B___738"/>
      <sheetName val="[Spt-BH.xls][Spt-BH.xls]B___739"/>
      <sheetName val="[Spt-BH.xls][Spt-BH.xls]_Sp_248"/>
      <sheetName val="[Spt-BH.xls][Spt-BH.xls]B___740"/>
      <sheetName val="[Spt-BH.xls][Spt-BH.xls]B___731"/>
      <sheetName val="[Spt-BH.xls][Spt-BH.xls]B___732"/>
      <sheetName val="[Spt-BH.xls][Spt-BH.xls]B___733"/>
      <sheetName val="[Spt-BH.xls][Spt-BH.xls]_Sp_247"/>
      <sheetName val="[Spt-BH.xls][Spt-BH.xls]B___734"/>
      <sheetName val="[Spt-BH.xls][Spt-BH.xls]_Sp_246"/>
      <sheetName val="[Spt-BH.xls][Spt-BH.xls]B___735"/>
      <sheetName val="[Spt-BH.xls][Spt-BH.xls]B___736"/>
      <sheetName val="[Spt-BH.xls][Spt-BH.xls]B___719"/>
      <sheetName val="[Spt-BH.xls][Spt-BH.xls]B___720"/>
      <sheetName val="[Spt-BH.xls][Spt-BH.xls]B___721"/>
      <sheetName val="[Spt-BH.xls][Spt-BH.xls]B___722"/>
      <sheetName val="[Spt-BH.xls][Spt-BH.xls]_Sp_244"/>
      <sheetName val="[Spt-BH.xls][Spt-BH.xls]B___723"/>
      <sheetName val="[Spt-BH.xls][Spt-BH.xls]B___724"/>
      <sheetName val="[Spt-BH.xls][Spt-BH.xls]B___725"/>
      <sheetName val="[Spt-BH.xls][Spt-BH.xls]B___726"/>
      <sheetName val="[Spt-BH.xls][Spt-BH.xls]B___727"/>
      <sheetName val="[Spt-BH.xls][Spt-BH.xls]B___728"/>
      <sheetName val="[Spt-BH.xls][Spt-BH.xls]_Sp_245"/>
      <sheetName val="[Spt-BH.xls][Spt-BH.xls]B___729"/>
      <sheetName val="[Spt-BH.xls][Spt-BH.xls]B___730"/>
      <sheetName val="[Spt-BH.xls][Spt-BH.xls]B___745"/>
      <sheetName val="[Spt-BH.xls][Spt-BH.xls]B___746"/>
      <sheetName val="[Spt-BH.xls][Spt-BH.xls]B___747"/>
      <sheetName val="[Spt-BH.xls][Spt-BH.xls]_Sp_251"/>
      <sheetName val="[Spt-BH.xls][Spt-BH.xls]B___748"/>
      <sheetName val="[Spt-BH.xls][Spt-BH.xls]_Sp_250"/>
      <sheetName val="[Spt-BH.xls][Spt-BH.xls]B___741"/>
      <sheetName val="[Spt-BH.xls][Spt-BH.xls]B___742"/>
      <sheetName val="[Spt-BH.xls][Spt-BH.xls]B___743"/>
      <sheetName val="[Spt-BH.xls][Spt-BH.xls]B___744"/>
      <sheetName val="[Spt-BH.xls][Spt-BH.xls]_Sp_249"/>
      <sheetName val="[Spt-BH.xls][Spt-BH.xls]B___749"/>
      <sheetName val="[Spt-BH.xls][Spt-BH.xls]B___750"/>
      <sheetName val="[Spt-BH.xls][Spt-BH.xls]B___751"/>
      <sheetName val="[Spt-BH.xls][Spt-BH.xls]_Sp_253"/>
      <sheetName val="[Spt-BH.xls][Spt-BH.xls]B___752"/>
      <sheetName val="[Spt-BH.xls][Spt-BH.xls]_Sp_252"/>
      <sheetName val="[Spt-BH.xls][Spt-BH.xls]_Sp_255"/>
      <sheetName val="[Spt-BH.xls][Spt-BH.xls]_Sp_254"/>
      <sheetName val="[Spt-BH.xls][Spt-BH.xls]_Sp_256"/>
      <sheetName val="[Spt-BH.xls][Spt-BH.xls]_Sp_257"/>
      <sheetName val="[Spt-BH.xls][Spt-BH.xls]_Sp_258"/>
      <sheetName val="Facilites Master"/>
      <sheetName val="EQP Master"/>
      <sheetName val="[Spt-BH.xls][Spt-BH.xls]B__2108"/>
      <sheetName val="[Spt-BH.xls][Spt-BH.xls]B__2109"/>
      <sheetName val="[Spt-BH.xls][Spt-BH.xls]B__2110"/>
      <sheetName val="[Spt-BH.xls][Spt-BH.xls]_Sp_777"/>
      <sheetName val="[Spt-BH.xls][Spt-BH.xls]B__2111"/>
      <sheetName val="[Spt-BH.xls][Spt-BH.xls]B__2112"/>
      <sheetName val="B@_?_x0004_@?_x0000"/>
      <sheetName val="[Spt-BH.xls][Spt-BH.xls]_Sp_774"/>
      <sheetName val="[Spt-BH.xls][Spt-BH.xls]B__1731"/>
      <sheetName val="[Spt-BH.xls][Spt-BH.xls]B__1732"/>
      <sheetName val="[Spt-BH.xls][Spt-BH.xls]B__1733"/>
      <sheetName val="[Spt-BH.xls][Spt-BH.xls]_Sp_607"/>
      <sheetName val="[Spt-BH.xls][Spt-BH.xls]B__1734"/>
      <sheetName val="[Spt-BH.xls][Spt-BH.xls]B__1735"/>
      <sheetName val="[Spt-BH.xls][Spt-BH.xls]B__1736"/>
      <sheetName val="[Spt-BH.xls][Spt-BH.xls]_Sp_605"/>
      <sheetName val="[Spt-BH.xls][Spt-BH.xls]_Sp_606"/>
      <sheetName val="dummy2"/>
      <sheetName val="SCHEDULE"/>
      <sheetName val="[Spt-BH.xls][Spt-BH.xls]B__1738"/>
      <sheetName val="[Spt-BH.xls][Spt-BH.xls]B__1739"/>
      <sheetName val="[Spt-BH.xls][Spt-BH.xls]B__1740"/>
      <sheetName val="[Spt-BH.xls][Spt-BH.xls]_Sp_609"/>
      <sheetName val="[Spt-BH.xls][Spt-BH.xls]B__1741"/>
      <sheetName val="[Spt-BH.xls][Spt-BH.xls]B__1742"/>
      <sheetName val="[Spt-BH.xls]B____x005f_x0004______148"/>
      <sheetName val="[Spt-BH.xls]B___x005f_x0000__x000_148"/>
      <sheetName val="[Spt-BH.xls][Spt-BH.xls]B__1743"/>
      <sheetName val="[Spt-BH.xls][Spt-BH.xls]_Sp_608"/>
      <sheetName val="[Spt-BH.xls][Spt-BH_xls]B___292"/>
      <sheetName val="[Spt-BH.xls][Spt-BH_xls]B___293"/>
      <sheetName val="[Spt-BH.xls][Spt-BH.xls]B__1737"/>
      <sheetName val="[Spt-BH.xls][Spt-BH.xls]_Sp_311"/>
      <sheetName val="PPA Summary"/>
      <sheetName val="PRRM_Dashboard20"/>
      <sheetName val="Debits_as_on_12_04_0818"/>
      <sheetName val="Index_18"/>
      <sheetName val="Email_Approval_Template18"/>
      <sheetName val="1_Executive_Summary18"/>
      <sheetName val="2_Risk_Assessment_Analysis18"/>
      <sheetName val="3_Pre-Approval18"/>
      <sheetName val="4_CIS18"/>
      <sheetName val="5_Change_Order18"/>
      <sheetName val="5_1__Re-book_De-book_order18"/>
      <sheetName val="6_Contract_Re-estimates18"/>
      <sheetName val="7a_BG_Approval_Form18"/>
      <sheetName val="7b_BG_Email_Approval_Template18"/>
      <sheetName val="8_LAD_Approval_Form18"/>
      <sheetName val="9_LOI_Checklist18"/>
      <sheetName val="10_RPS_Information_Form18"/>
      <sheetName val="11_Proj_Cashflow_18"/>
      <sheetName val="11_1_Cash-flow_Chart18"/>
      <sheetName val="Threshold_Calculator18"/>
      <sheetName val="Version_Control18"/>
      <sheetName val="Prebid_Review18"/>
      <sheetName val="DJC_Parameters18"/>
      <sheetName val="Selling_Summary18"/>
      <sheetName val="1-BAS_(cost)18"/>
      <sheetName val="Controller_Configuration18"/>
      <sheetName val="IO_Summary18"/>
      <sheetName val="2-FAS_(cost)18"/>
      <sheetName val="Cost_Summary18"/>
      <sheetName val="3-PA_(cost)18"/>
      <sheetName val="Approved_Make18"/>
      <sheetName val="Basis_of_offer18"/>
      <sheetName val="High_Level_Summary18"/>
      <sheetName val="4-ACS__(cost)18"/>
      <sheetName val="5-CCTV__(cost)18"/>
      <sheetName val="6-FFT__(cost)18"/>
      <sheetName val="7-_Service_Retrofit__(cost)18"/>
      <sheetName val="8-Service_PSA,O&amp;M__(cost)18"/>
      <sheetName val="9-_Service_L&amp;M__(cost)18"/>
      <sheetName val="non_fixed_DJC_18"/>
      <sheetName val="10-UPG_(cost)18"/>
      <sheetName val="11-ESG__(cost)18"/>
      <sheetName val="12-Products_(cost)18"/>
      <sheetName val="13-VAV__(cost)18"/>
      <sheetName val="14-REF_(cost)18"/>
      <sheetName val="15_-_Local_Chiller_(cost)18"/>
      <sheetName val="Selling-Local_Chiller18"/>
      <sheetName val="Material_Cost_JCS18"/>
      <sheetName val="Costing_USD_Chiller18"/>
      <sheetName val="Selling-USD_Chiller18"/>
      <sheetName val="PRICE_MATRIX_-JCIPL18"/>
      <sheetName val="COST_SUMMARY-_JCIPL18"/>
      <sheetName val="6_-FFT-JCIPL18"/>
      <sheetName val="7-Ser_Retro_-JCIPL18"/>
      <sheetName val="8-Ser_PSA,_O&amp;M_-JCIPL18"/>
      <sheetName val="9-Ser_L&amp;M_-JCIPL18"/>
      <sheetName val="10-UPG_JCIPL18"/>
      <sheetName val="11-ESG_JCIPL18"/>
      <sheetName val="12-Products_JCIPL18"/>
      <sheetName val="13-VAV_JCIPL18"/>
      <sheetName val="14-REF_JCMRL_18"/>
      <sheetName val="Proj__DJC-JCIPL18"/>
      <sheetName val="_L0_DDC_118"/>
      <sheetName val="L0_DDC-218"/>
      <sheetName val="L16_DDC-318"/>
      <sheetName val="L16_DDC-518"/>
      <sheetName val="L17_DDC-618"/>
      <sheetName val="L17_DDC-7_18"/>
      <sheetName val="L18_DDC-818"/>
      <sheetName val="2-AutoDialer_Sys18"/>
      <sheetName val="1-BAS1_(cost)18"/>
      <sheetName val="2-BAS2_(cost)18"/>
      <sheetName val="Deviations-Project_Risks18"/>
      <sheetName val="IO_Schedule18"/>
      <sheetName val="Direct_cost_shed_A-2_18"/>
      <sheetName val="Staff_Forecast_spread18"/>
      <sheetName val="PRRM_Dashboard21"/>
      <sheetName val="Debits_as_on_12_04_0819"/>
      <sheetName val="Index_19"/>
      <sheetName val="Email_Approval_Template19"/>
      <sheetName val="1_Executive_Summary19"/>
      <sheetName val="2_Risk_Assessment_Analysis19"/>
      <sheetName val="3_Pre-Approval19"/>
      <sheetName val="4_CIS19"/>
      <sheetName val="5_Change_Order19"/>
      <sheetName val="5_1__Re-book_De-book_order19"/>
      <sheetName val="6_Contract_Re-estimates19"/>
      <sheetName val="7a_BG_Approval_Form19"/>
      <sheetName val="7b_BG_Email_Approval_Template19"/>
      <sheetName val="8_LAD_Approval_Form19"/>
      <sheetName val="9_LOI_Checklist19"/>
      <sheetName val="10_RPS_Information_Form19"/>
      <sheetName val="11_Proj_Cashflow_19"/>
      <sheetName val="11_1_Cash-flow_Chart19"/>
      <sheetName val="Threshold_Calculator19"/>
      <sheetName val="Version_Control19"/>
      <sheetName val="Prebid_Review19"/>
      <sheetName val="DJC_Parameters19"/>
      <sheetName val="Selling_Summary19"/>
      <sheetName val="1-BAS_(cost)19"/>
      <sheetName val="Controller_Configuration19"/>
      <sheetName val="IO_Summary19"/>
      <sheetName val="2-FAS_(cost)19"/>
      <sheetName val="Cost_Summary19"/>
      <sheetName val="3-PA_(cost)19"/>
      <sheetName val="Approved_Make19"/>
      <sheetName val="Basis_of_offer19"/>
      <sheetName val="High_Level_Summary19"/>
      <sheetName val="4-ACS__(cost)19"/>
      <sheetName val="5-CCTV__(cost)19"/>
      <sheetName val="6-FFT__(cost)19"/>
      <sheetName val="7-_Service_Retrofit__(cost)19"/>
      <sheetName val="8-Service_PSA,O&amp;M__(cost)19"/>
      <sheetName val="9-_Service_L&amp;M__(cost)19"/>
      <sheetName val="non_fixed_DJC_19"/>
      <sheetName val="10-UPG_(cost)19"/>
      <sheetName val="11-ESG__(cost)19"/>
      <sheetName val="12-Products_(cost)19"/>
      <sheetName val="13-VAV__(cost)19"/>
      <sheetName val="14-REF_(cost)19"/>
      <sheetName val="15_-_Local_Chiller_(cost)19"/>
      <sheetName val="Selling-Local_Chiller19"/>
      <sheetName val="Material_Cost_JCS19"/>
      <sheetName val="Costing_USD_Chiller19"/>
      <sheetName val="Selling-USD_Chiller19"/>
      <sheetName val="PRICE_MATRIX_-JCIPL19"/>
      <sheetName val="COST_SUMMARY-_JCIPL19"/>
      <sheetName val="6_-FFT-JCIPL19"/>
      <sheetName val="7-Ser_Retro_-JCIPL19"/>
      <sheetName val="8-Ser_PSA,_O&amp;M_-JCIPL19"/>
      <sheetName val="9-Ser_L&amp;M_-JCIPL19"/>
      <sheetName val="10-UPG_JCIPL19"/>
      <sheetName val="11-ESG_JCIPL19"/>
      <sheetName val="12-Products_JCIPL19"/>
      <sheetName val="13-VAV_JCIPL19"/>
      <sheetName val="14-REF_JCMRL_19"/>
      <sheetName val="Proj__DJC-JCIPL19"/>
      <sheetName val="_L0_DDC_119"/>
      <sheetName val="L0_DDC-219"/>
      <sheetName val="L16_DDC-319"/>
      <sheetName val="L16_DDC-519"/>
      <sheetName val="L17_DDC-619"/>
      <sheetName val="L17_DDC-7_19"/>
      <sheetName val="L18_DDC-819"/>
      <sheetName val="2-AutoDialer_Sys19"/>
      <sheetName val="1-BAS1_(cost)19"/>
      <sheetName val="2-BAS2_(cost)19"/>
      <sheetName val="Deviations-Project_Risks19"/>
      <sheetName val="IO_Schedule19"/>
      <sheetName val="Direct_cost_shed_A-2_19"/>
      <sheetName val="Staff_Forecast_spread19"/>
      <sheetName val="PRRM_Dashboard22"/>
      <sheetName val="Index_20"/>
      <sheetName val="Email_Approval_Template20"/>
      <sheetName val="1_Executive_Summary20"/>
      <sheetName val="2_Risk_Assessment_Analysis20"/>
      <sheetName val="3_Pre-Approval20"/>
      <sheetName val="4_CIS20"/>
      <sheetName val="5_Change_Order20"/>
      <sheetName val="5_1__Re-book_De-book_order20"/>
      <sheetName val="6_Contract_Re-estimates20"/>
      <sheetName val="7a_BG_Approval_Form20"/>
      <sheetName val="7b_BG_Email_Approval_Template20"/>
      <sheetName val="8_LAD_Approval_Form20"/>
      <sheetName val="9_LOI_Checklist20"/>
      <sheetName val="10_RPS_Information_Form20"/>
      <sheetName val="11_Proj_Cashflow_20"/>
      <sheetName val="11_1_Cash-flow_Chart20"/>
      <sheetName val="Threshold_Calculator20"/>
      <sheetName val="Version_Control20"/>
      <sheetName val="Prebid_Review20"/>
      <sheetName val="DJC_Parameters20"/>
      <sheetName val="Selling_Summary20"/>
      <sheetName val="1-BAS_(cost)20"/>
      <sheetName val="Controller_Configuration20"/>
      <sheetName val="IO_Summary20"/>
      <sheetName val="2-FAS_(cost)20"/>
      <sheetName val="Cost_Summary20"/>
      <sheetName val="3-PA_(cost)20"/>
      <sheetName val="Approved_Make20"/>
      <sheetName val="Basis_of_offer20"/>
      <sheetName val="High_Level_Summary20"/>
      <sheetName val="4-ACS__(cost)20"/>
      <sheetName val="5-CCTV__(cost)20"/>
      <sheetName val="6-FFT__(cost)20"/>
      <sheetName val="7-_Service_Retrofit__(cost)20"/>
      <sheetName val="8-Service_PSA,O&amp;M__(cost)20"/>
      <sheetName val="9-_Service_L&amp;M__(cost)20"/>
      <sheetName val="non_fixed_DJC_20"/>
      <sheetName val="10-UPG_(cost)20"/>
      <sheetName val="11-ESG__(cost)20"/>
      <sheetName val="12-Products_(cost)20"/>
      <sheetName val="13-VAV__(cost)20"/>
      <sheetName val="14-REF_(cost)20"/>
      <sheetName val="15_-_Local_Chiller_(cost)20"/>
      <sheetName val="Selling-Local_Chiller20"/>
      <sheetName val="Material_Cost_JCS20"/>
      <sheetName val="Costing_USD_Chiller20"/>
      <sheetName val="Selling-USD_Chiller20"/>
      <sheetName val="PRICE_MATRIX_-JCIPL20"/>
      <sheetName val="COST_SUMMARY-_JCIPL20"/>
      <sheetName val="6_-FFT-JCIPL20"/>
      <sheetName val="7-Ser_Retro_-JCIPL20"/>
      <sheetName val="8-Ser_PSA,_O&amp;M_-JCIPL20"/>
      <sheetName val="9-Ser_L&amp;M_-JCIPL20"/>
      <sheetName val="10-UPG_JCIPL20"/>
      <sheetName val="11-ESG_JCIPL20"/>
      <sheetName val="12-Products_JCIPL20"/>
      <sheetName val="13-VAV_JCIPL20"/>
      <sheetName val="14-REF_JCMRL_20"/>
      <sheetName val="Proj__DJC-JCIPL20"/>
      <sheetName val="_L0_DDC_120"/>
      <sheetName val="L0_DDC-220"/>
      <sheetName val="L16_DDC-320"/>
      <sheetName val="L16_DDC-520"/>
      <sheetName val="L17_DDC-620"/>
      <sheetName val="L17_DDC-7_20"/>
      <sheetName val="L18_DDC-820"/>
      <sheetName val="2-AutoDialer_Sys20"/>
      <sheetName val="1-BAS1_(cost)20"/>
      <sheetName val="2-BAS2_(cost)20"/>
      <sheetName val="Deviations-Project_Risks20"/>
      <sheetName val="IO_Schedule20"/>
      <sheetName val="Debits_as_on_12_04_0820"/>
      <sheetName val="Direct_cost_shed_A-2_20"/>
      <sheetName val="Staff_Forecast_spread20"/>
      <sheetName val="LT_Motor_catalog5"/>
      <sheetName val="Cable_cat5"/>
      <sheetName val="PRRM_Dashboard23"/>
      <sheetName val="Index_21"/>
      <sheetName val="Email_Approval_Template21"/>
      <sheetName val="1_Executive_Summary21"/>
      <sheetName val="2_Risk_Assessment_Analysis21"/>
      <sheetName val="3_Pre-Approval21"/>
      <sheetName val="4_CIS21"/>
      <sheetName val="5_Change_Order21"/>
      <sheetName val="5_1__Re-book_De-book_order21"/>
      <sheetName val="6_Contract_Re-estimates21"/>
      <sheetName val="7a_BG_Approval_Form21"/>
      <sheetName val="7b_BG_Email_Approval_Template21"/>
      <sheetName val="8_LAD_Approval_Form21"/>
      <sheetName val="9_LOI_Checklist21"/>
      <sheetName val="10_RPS_Information_Form21"/>
      <sheetName val="11_Proj_Cashflow_21"/>
      <sheetName val="11_1_Cash-flow_Chart21"/>
      <sheetName val="Threshold_Calculator21"/>
      <sheetName val="Version_Control21"/>
      <sheetName val="Prebid_Review21"/>
      <sheetName val="DJC_Parameters21"/>
      <sheetName val="Selling_Summary21"/>
      <sheetName val="1-BAS_(cost)21"/>
      <sheetName val="Controller_Configuration21"/>
      <sheetName val="IO_Summary21"/>
      <sheetName val="2-FAS_(cost)21"/>
      <sheetName val="Cost_Summary21"/>
      <sheetName val="3-PA_(cost)21"/>
      <sheetName val="Approved_Make21"/>
      <sheetName val="Basis_of_offer21"/>
      <sheetName val="High_Level_Summary21"/>
      <sheetName val="4-ACS__(cost)21"/>
      <sheetName val="5-CCTV__(cost)21"/>
      <sheetName val="6-FFT__(cost)21"/>
      <sheetName val="7-_Service_Retrofit__(cost)21"/>
      <sheetName val="8-Service_PSA,O&amp;M__(cost)21"/>
      <sheetName val="9-_Service_L&amp;M__(cost)21"/>
      <sheetName val="non_fixed_DJC_21"/>
      <sheetName val="10-UPG_(cost)21"/>
      <sheetName val="11-ESG__(cost)21"/>
      <sheetName val="12-Products_(cost)21"/>
      <sheetName val="13-VAV__(cost)21"/>
      <sheetName val="14-REF_(cost)21"/>
      <sheetName val="15_-_Local_Chiller_(cost)21"/>
      <sheetName val="Selling-Local_Chiller21"/>
      <sheetName val="Material_Cost_JCS21"/>
      <sheetName val="Costing_USD_Chiller21"/>
      <sheetName val="Selling-USD_Chiller21"/>
      <sheetName val="PRICE_MATRIX_-JCIPL21"/>
      <sheetName val="COST_SUMMARY-_JCIPL21"/>
      <sheetName val="6_-FFT-JCIPL21"/>
      <sheetName val="7-Ser_Retro_-JCIPL21"/>
      <sheetName val="8-Ser_PSA,_O&amp;M_-JCIPL21"/>
      <sheetName val="9-Ser_L&amp;M_-JCIPL21"/>
      <sheetName val="10-UPG_JCIPL21"/>
      <sheetName val="11-ESG_JCIPL21"/>
      <sheetName val="12-Products_JCIPL21"/>
      <sheetName val="13-VAV_JCIPL21"/>
      <sheetName val="14-REF_JCMRL_21"/>
      <sheetName val="Proj__DJC-JCIPL21"/>
      <sheetName val="_L0_DDC_121"/>
      <sheetName val="L0_DDC-221"/>
      <sheetName val="L16_DDC-321"/>
      <sheetName val="L16_DDC-521"/>
      <sheetName val="L17_DDC-621"/>
      <sheetName val="L17_DDC-7_21"/>
      <sheetName val="L18_DDC-821"/>
      <sheetName val="2-AutoDialer_Sys21"/>
      <sheetName val="1-BAS1_(cost)21"/>
      <sheetName val="2-BAS2_(cost)21"/>
      <sheetName val="Deviations-Project_Risks21"/>
      <sheetName val="IO_Schedule21"/>
      <sheetName val="Debits_as_on_12_04_0821"/>
      <sheetName val="Direct_cost_shed_A-2_21"/>
      <sheetName val="Staff_Forecast_spread21"/>
      <sheetName val="LT_Motor_catalog6"/>
      <sheetName val="Cable_cat6"/>
      <sheetName val="Metso_-_Forth_&amp;_Slurry_11_02_38"/>
      <sheetName val="Fee_Rate_Summary28"/>
      <sheetName val="PRRM_Dashboard26"/>
      <sheetName val="d-safe_specs28"/>
      <sheetName val="Rein-Final_(Ph_1+Ph2)28"/>
      <sheetName val="class_&amp;_category28"/>
      <sheetName val="STAFFSCHED_28"/>
      <sheetName val="Site_wise_NADs28"/>
      <sheetName val="Stress_Calculation28"/>
      <sheetName val="Quote_Sheet28"/>
      <sheetName val="Index_24"/>
      <sheetName val="Email_Approval_Template24"/>
      <sheetName val="1_Executive_Summary24"/>
      <sheetName val="2_Risk_Assessment_Analysis24"/>
      <sheetName val="3_Pre-Approval24"/>
      <sheetName val="4_CIS24"/>
      <sheetName val="5_Change_Order24"/>
      <sheetName val="5_1__Re-book_De-book_order24"/>
      <sheetName val="6_Contract_Re-estimates24"/>
      <sheetName val="7a_BG_Approval_Form24"/>
      <sheetName val="7b_BG_Email_Approval_Template24"/>
      <sheetName val="8_LAD_Approval_Form24"/>
      <sheetName val="9_LOI_Checklist24"/>
      <sheetName val="10_RPS_Information_Form24"/>
      <sheetName val="11_Proj_Cashflow_24"/>
      <sheetName val="11_1_Cash-flow_Chart24"/>
      <sheetName val="Threshold_Calculator24"/>
      <sheetName val="Version_Control24"/>
      <sheetName val="Prebid_Review24"/>
      <sheetName val="DJC_Parameters24"/>
      <sheetName val="Selling_Summary24"/>
      <sheetName val="1-BAS_(cost)24"/>
      <sheetName val="Controller_Configuration24"/>
      <sheetName val="IO_Summary24"/>
      <sheetName val="2-FAS_(cost)24"/>
      <sheetName val="Cost_Summary24"/>
      <sheetName val="3-PA_(cost)24"/>
      <sheetName val="Approved_Make24"/>
      <sheetName val="Basis_of_offer24"/>
      <sheetName val="High_Level_Summary24"/>
      <sheetName val="4-ACS__(cost)24"/>
      <sheetName val="5-CCTV__(cost)24"/>
      <sheetName val="6-FFT__(cost)24"/>
      <sheetName val="7-_Service_Retrofit__(cost)24"/>
      <sheetName val="8-Service_PSA,O&amp;M__(cost)24"/>
      <sheetName val="9-_Service_L&amp;M__(cost)24"/>
      <sheetName val="non_fixed_DJC_24"/>
      <sheetName val="10-UPG_(cost)24"/>
      <sheetName val="11-ESG__(cost)24"/>
      <sheetName val="12-Products_(cost)24"/>
      <sheetName val="13-VAV__(cost)24"/>
      <sheetName val="14-REF_(cost)24"/>
      <sheetName val="15_-_Local_Chiller_(cost)24"/>
      <sheetName val="Selling-Local_Chiller24"/>
      <sheetName val="Material_Cost_JCS24"/>
      <sheetName val="Costing_USD_Chiller24"/>
      <sheetName val="Selling-USD_Chiller24"/>
      <sheetName val="PRICE_MATRIX_-JCIPL24"/>
      <sheetName val="COST_SUMMARY-_JCIPL24"/>
      <sheetName val="6_-FFT-JCIPL24"/>
      <sheetName val="7-Ser_Retro_-JCIPL24"/>
      <sheetName val="8-Ser_PSA,_O&amp;M_-JCIPL24"/>
      <sheetName val="9-Ser_L&amp;M_-JCIPL24"/>
      <sheetName val="10-UPG_JCIPL24"/>
      <sheetName val="11-ESG_JCIPL24"/>
      <sheetName val="12-Products_JCIPL24"/>
      <sheetName val="13-VAV_JCIPL24"/>
      <sheetName val="14-REF_JCMRL_24"/>
      <sheetName val="Proj__DJC-JCIPL24"/>
      <sheetName val="_L0_DDC_124"/>
      <sheetName val="L0_DDC-224"/>
      <sheetName val="L16_DDC-324"/>
      <sheetName val="L16_DDC-524"/>
      <sheetName val="L17_DDC-624"/>
      <sheetName val="L17_DDC-7_24"/>
      <sheetName val="L18_DDC-824"/>
      <sheetName val="2-AutoDialer_Sys24"/>
      <sheetName val="1-BAS1_(cost)24"/>
      <sheetName val="2-BAS2_(cost)24"/>
      <sheetName val="Deviations-Project_Risks24"/>
      <sheetName val="IO_Schedule24"/>
      <sheetName val="Debits_as_on_12_04_0824"/>
      <sheetName val="Direct_cost_shed_A-2_24"/>
      <sheetName val="Staff_Forecast_spread24"/>
      <sheetName val="LT_Motor_catalog9"/>
      <sheetName val="Cable_cat9"/>
      <sheetName val="PRRM_Dashboard25"/>
      <sheetName val="Index_23"/>
      <sheetName val="Email_Approval_Template23"/>
      <sheetName val="1_Executive_Summary23"/>
      <sheetName val="2_Risk_Assessment_Analysis23"/>
      <sheetName val="3_Pre-Approval23"/>
      <sheetName val="4_CIS23"/>
      <sheetName val="5_Change_Order23"/>
      <sheetName val="5_1__Re-book_De-book_order23"/>
      <sheetName val="6_Contract_Re-estimates23"/>
      <sheetName val="7a_BG_Approval_Form23"/>
      <sheetName val="7b_BG_Email_Approval_Template23"/>
      <sheetName val="8_LAD_Approval_Form23"/>
      <sheetName val="9_LOI_Checklist23"/>
      <sheetName val="10_RPS_Information_Form23"/>
      <sheetName val="11_Proj_Cashflow_23"/>
      <sheetName val="11_1_Cash-flow_Chart23"/>
      <sheetName val="Threshold_Calculator23"/>
      <sheetName val="Version_Control23"/>
      <sheetName val="Prebid_Review23"/>
      <sheetName val="DJC_Parameters23"/>
      <sheetName val="Selling_Summary23"/>
      <sheetName val="1-BAS_(cost)23"/>
      <sheetName val="Controller_Configuration23"/>
      <sheetName val="IO_Summary23"/>
      <sheetName val="2-FAS_(cost)23"/>
      <sheetName val="Cost_Summary23"/>
      <sheetName val="3-PA_(cost)23"/>
      <sheetName val="Approved_Make23"/>
      <sheetName val="Basis_of_offer23"/>
      <sheetName val="High_Level_Summary23"/>
      <sheetName val="4-ACS__(cost)23"/>
      <sheetName val="5-CCTV__(cost)23"/>
      <sheetName val="6-FFT__(cost)23"/>
      <sheetName val="7-_Service_Retrofit__(cost)23"/>
      <sheetName val="8-Service_PSA,O&amp;M__(cost)23"/>
      <sheetName val="9-_Service_L&amp;M__(cost)23"/>
      <sheetName val="non_fixed_DJC_23"/>
      <sheetName val="10-UPG_(cost)23"/>
      <sheetName val="11-ESG__(cost)23"/>
      <sheetName val="12-Products_(cost)23"/>
      <sheetName val="13-VAV__(cost)23"/>
      <sheetName val="14-REF_(cost)23"/>
      <sheetName val="15_-_Local_Chiller_(cost)23"/>
      <sheetName val="Selling-Local_Chiller23"/>
      <sheetName val="Material_Cost_JCS23"/>
      <sheetName val="Costing_USD_Chiller23"/>
      <sheetName val="Selling-USD_Chiller23"/>
      <sheetName val="PRICE_MATRIX_-JCIPL23"/>
      <sheetName val="COST_SUMMARY-_JCIPL23"/>
      <sheetName val="6_-FFT-JCIPL23"/>
      <sheetName val="7-Ser_Retro_-JCIPL23"/>
      <sheetName val="8-Ser_PSA,_O&amp;M_-JCIPL23"/>
      <sheetName val="9-Ser_L&amp;M_-JCIPL23"/>
      <sheetName val="10-UPG_JCIPL23"/>
      <sheetName val="11-ESG_JCIPL23"/>
      <sheetName val="12-Products_JCIPL23"/>
      <sheetName val="13-VAV_JCIPL23"/>
      <sheetName val="14-REF_JCMRL_23"/>
      <sheetName val="Proj__DJC-JCIPL23"/>
      <sheetName val="_L0_DDC_123"/>
      <sheetName val="L0_DDC-223"/>
      <sheetName val="L16_DDC-323"/>
      <sheetName val="L16_DDC-523"/>
      <sheetName val="L17_DDC-623"/>
      <sheetName val="L17_DDC-7_23"/>
      <sheetName val="L18_DDC-823"/>
      <sheetName val="2-AutoDialer_Sys23"/>
      <sheetName val="1-BAS1_(cost)23"/>
      <sheetName val="2-BAS2_(cost)23"/>
      <sheetName val="Deviations-Project_Risks23"/>
      <sheetName val="IO_Schedule23"/>
      <sheetName val="Debits_as_on_12_04_0823"/>
      <sheetName val="Direct_cost_shed_A-2_23"/>
      <sheetName val="Staff_Forecast_spread23"/>
      <sheetName val="LT_Motor_catalog8"/>
      <sheetName val="Cable_cat8"/>
      <sheetName val="PRRM_Dashboard24"/>
      <sheetName val="Index_22"/>
      <sheetName val="Email_Approval_Template22"/>
      <sheetName val="1_Executive_Summary22"/>
      <sheetName val="2_Risk_Assessment_Analysis22"/>
      <sheetName val="3_Pre-Approval22"/>
      <sheetName val="4_CIS22"/>
      <sheetName val="5_Change_Order22"/>
      <sheetName val="5_1__Re-book_De-book_order22"/>
      <sheetName val="6_Contract_Re-estimates22"/>
      <sheetName val="7a_BG_Approval_Form22"/>
      <sheetName val="7b_BG_Email_Approval_Template22"/>
      <sheetName val="8_LAD_Approval_Form22"/>
      <sheetName val="9_LOI_Checklist22"/>
      <sheetName val="10_RPS_Information_Form22"/>
      <sheetName val="11_Proj_Cashflow_22"/>
      <sheetName val="11_1_Cash-flow_Chart22"/>
      <sheetName val="Threshold_Calculator22"/>
      <sheetName val="Version_Control22"/>
      <sheetName val="Prebid_Review22"/>
      <sheetName val="DJC_Parameters22"/>
      <sheetName val="Selling_Summary22"/>
      <sheetName val="1-BAS_(cost)22"/>
      <sheetName val="Controller_Configuration22"/>
      <sheetName val="IO_Summary22"/>
      <sheetName val="2-FAS_(cost)22"/>
      <sheetName val="Cost_Summary22"/>
      <sheetName val="3-PA_(cost)22"/>
      <sheetName val="Approved_Make22"/>
      <sheetName val="Basis_of_offer22"/>
      <sheetName val="High_Level_Summary22"/>
      <sheetName val="4-ACS__(cost)22"/>
      <sheetName val="5-CCTV__(cost)22"/>
      <sheetName val="6-FFT__(cost)22"/>
      <sheetName val="7-_Service_Retrofit__(cost)22"/>
      <sheetName val="8-Service_PSA,O&amp;M__(cost)22"/>
      <sheetName val="9-_Service_L&amp;M__(cost)22"/>
      <sheetName val="non_fixed_DJC_22"/>
      <sheetName val="10-UPG_(cost)22"/>
      <sheetName val="11-ESG__(cost)22"/>
      <sheetName val="12-Products_(cost)22"/>
      <sheetName val="13-VAV__(cost)22"/>
      <sheetName val="14-REF_(cost)22"/>
      <sheetName val="15_-_Local_Chiller_(cost)22"/>
      <sheetName val="Selling-Local_Chiller22"/>
      <sheetName val="Material_Cost_JCS22"/>
      <sheetName val="Costing_USD_Chiller22"/>
      <sheetName val="Selling-USD_Chiller22"/>
      <sheetName val="PRICE_MATRIX_-JCIPL22"/>
      <sheetName val="COST_SUMMARY-_JCIPL22"/>
      <sheetName val="6_-FFT-JCIPL22"/>
      <sheetName val="7-Ser_Retro_-JCIPL22"/>
      <sheetName val="8-Ser_PSA,_O&amp;M_-JCIPL22"/>
      <sheetName val="9-Ser_L&amp;M_-JCIPL22"/>
      <sheetName val="10-UPG_JCIPL22"/>
      <sheetName val="11-ESG_JCIPL22"/>
      <sheetName val="12-Products_JCIPL22"/>
      <sheetName val="13-VAV_JCIPL22"/>
      <sheetName val="14-REF_JCMRL_22"/>
      <sheetName val="Proj__DJC-JCIPL22"/>
      <sheetName val="_L0_DDC_122"/>
      <sheetName val="L0_DDC-222"/>
      <sheetName val="L16_DDC-322"/>
      <sheetName val="L16_DDC-522"/>
      <sheetName val="L17_DDC-622"/>
      <sheetName val="L17_DDC-7_22"/>
      <sheetName val="L18_DDC-822"/>
      <sheetName val="2-AutoDialer_Sys22"/>
      <sheetName val="1-BAS1_(cost)22"/>
      <sheetName val="2-BAS2_(cost)22"/>
      <sheetName val="Deviations-Project_Risks22"/>
      <sheetName val="IO_Schedule22"/>
      <sheetName val="Debits_as_on_12_04_0822"/>
      <sheetName val="Direct_cost_shed_A-2_22"/>
      <sheetName val="Staff_Forecast_spread22"/>
      <sheetName val="LT_Motor_catalog7"/>
      <sheetName val="Cable_cat7"/>
      <sheetName val="SPT_vs_PHI31"/>
      <sheetName val="glass_project_concrete31"/>
      <sheetName val="glass_project_reift31"/>
      <sheetName val="glass_project_indices31"/>
      <sheetName val="SBC-BH_1930"/>
      <sheetName val="Rate_Analysis30"/>
      <sheetName val="BH_12-11-10-1330"/>
      <sheetName val="BH_12-11-10-930"/>
      <sheetName val="BH_36-15-3730"/>
      <sheetName val="BH_16-35-25-1730"/>
      <sheetName val="BH_35-25-1730"/>
      <sheetName val="Sheet1_(2)30"/>
      <sheetName val="Summary_050630"/>
      <sheetName val="Summary_0607-_31_MAR30"/>
      <sheetName val="Civil_Boq29"/>
      <sheetName val="Pile_cap29"/>
      <sheetName val="V_O_4_-_PCC_Qty29"/>
      <sheetName val="TBAL9697_-group_wise__sdpl29"/>
      <sheetName val="Abstract_Sheet29"/>
      <sheetName val="Legal_Risk_Analysis29"/>
      <sheetName val="PRECAST_lightconc-II29"/>
      <sheetName val="d-safe_DELUXE29"/>
      <sheetName val="Mix_Design29"/>
      <sheetName val="Form_630"/>
      <sheetName val="PointNo_529"/>
      <sheetName val="RCC,Ret__Wall29"/>
      <sheetName val="E_&amp;_R29"/>
      <sheetName val="Break_up_Sheet29"/>
      <sheetName val="beam-reinft-IIInd_floor29"/>
      <sheetName val="Fill_this_out_first___29"/>
      <sheetName val="REVISED4A_PROG_PERF-SITE_129"/>
      <sheetName val="BOQ_Direct_selling_cost29"/>
      <sheetName val="Load_Details-220kV29"/>
      <sheetName val="BOQ_(2)29"/>
      <sheetName val="CABLE_DATA29"/>
      <sheetName val="final_abstract29"/>
      <sheetName val="Staff_Acco_29"/>
      <sheetName val="Pipe_Supports29"/>
      <sheetName val="SANJAY_PAL29"/>
      <sheetName val="P_A_SELVAM29"/>
      <sheetName val="ANSARI_29"/>
      <sheetName val="abdesh_pal29"/>
      <sheetName val="sujay_bagchi29"/>
      <sheetName val="S_K_SINHA_BASU29"/>
      <sheetName val="KRISHNA_PRASAD29"/>
      <sheetName val="BARATH_&amp;_CO29"/>
      <sheetName val="L_B_YADAV29"/>
      <sheetName val="DEEPAK_KUMAR29"/>
      <sheetName val="MUKLAL_YADAV29"/>
      <sheetName val="MADHU_SUDHAN29"/>
      <sheetName val="SAUD_ALAM_29"/>
      <sheetName val="RAMESH_BABU29"/>
      <sheetName val="SAILEN_SARKAR29"/>
      <sheetName val="SANJAY_JENA129"/>
      <sheetName val="upendra_saw_29"/>
      <sheetName val="ALLOK_KUMAR_29"/>
      <sheetName val="except_wiring29"/>
      <sheetName val="Rev_S1_Abstract29"/>
      <sheetName val="Quantity_Abstract29"/>
      <sheetName val="M-Book_for_Conc29"/>
      <sheetName val="M-Book_for_FW29"/>
      <sheetName val="INPUT_SHEET29"/>
      <sheetName val="Project_Budget_Worksheet29"/>
      <sheetName val="BOQ_-II_ph_229"/>
      <sheetName val="Metso_-_Forth_&amp;_Slurry_11_02_39"/>
      <sheetName val="Fee_Rate_Summary29"/>
      <sheetName val="PRRM_Dashboard27"/>
      <sheetName val="d-safe_specs29"/>
      <sheetName val="Rein-Final_(Ph_1+Ph2)29"/>
      <sheetName val="class_&amp;_category29"/>
      <sheetName val="STAFFSCHED_29"/>
      <sheetName val="Site_wise_NADs29"/>
      <sheetName val="Stress_Calculation29"/>
      <sheetName val="Quote_Sheet29"/>
      <sheetName val="Index_25"/>
      <sheetName val="Email_Approval_Template25"/>
      <sheetName val="1_Executive_Summary25"/>
      <sheetName val="2_Risk_Assessment_Analysis25"/>
      <sheetName val="3_Pre-Approval25"/>
      <sheetName val="4_CIS25"/>
      <sheetName val="5_Change_Order25"/>
      <sheetName val="5_1__Re-book_De-book_order25"/>
      <sheetName val="6_Contract_Re-estimates25"/>
      <sheetName val="7a_BG_Approval_Form25"/>
      <sheetName val="7b_BG_Email_Approval_Template25"/>
      <sheetName val="8_LAD_Approval_Form25"/>
      <sheetName val="9_LOI_Checklist25"/>
      <sheetName val="10_RPS_Information_Form25"/>
      <sheetName val="11_Proj_Cashflow_25"/>
      <sheetName val="11_1_Cash-flow_Chart25"/>
      <sheetName val="Threshold_Calculator25"/>
      <sheetName val="Version_Control25"/>
      <sheetName val="Prebid_Review25"/>
      <sheetName val="DJC_Parameters25"/>
      <sheetName val="Selling_Summary25"/>
      <sheetName val="1-BAS_(cost)25"/>
      <sheetName val="Controller_Configuration25"/>
      <sheetName val="IO_Summary25"/>
      <sheetName val="2-FAS_(cost)25"/>
      <sheetName val="Cost_Summary25"/>
      <sheetName val="3-PA_(cost)25"/>
      <sheetName val="Approved_Make25"/>
      <sheetName val="Basis_of_offer25"/>
      <sheetName val="High_Level_Summary25"/>
      <sheetName val="4-ACS__(cost)25"/>
      <sheetName val="5-CCTV__(cost)25"/>
      <sheetName val="6-FFT__(cost)25"/>
      <sheetName val="7-_Service_Retrofit__(cost)25"/>
      <sheetName val="8-Service_PSA,O&amp;M__(cost)25"/>
      <sheetName val="9-_Service_L&amp;M__(cost)25"/>
      <sheetName val="non_fixed_DJC_25"/>
      <sheetName val="10-UPG_(cost)25"/>
      <sheetName val="11-ESG__(cost)25"/>
      <sheetName val="12-Products_(cost)25"/>
      <sheetName val="13-VAV__(cost)25"/>
      <sheetName val="14-REF_(cost)25"/>
      <sheetName val="15_-_Local_Chiller_(cost)25"/>
      <sheetName val="Selling-Local_Chiller25"/>
      <sheetName val="Material_Cost_JCS25"/>
      <sheetName val="Costing_USD_Chiller25"/>
      <sheetName val="Selling-USD_Chiller25"/>
      <sheetName val="PRICE_MATRIX_-JCIPL25"/>
      <sheetName val="COST_SUMMARY-_JCIPL25"/>
      <sheetName val="6_-FFT-JCIPL25"/>
      <sheetName val="7-Ser_Retro_-JCIPL25"/>
      <sheetName val="8-Ser_PSA,_O&amp;M_-JCIPL25"/>
      <sheetName val="9-Ser_L&amp;M_-JCIPL25"/>
      <sheetName val="10-UPG_JCIPL25"/>
      <sheetName val="11-ESG_JCIPL25"/>
      <sheetName val="12-Products_JCIPL25"/>
      <sheetName val="13-VAV_JCIPL25"/>
      <sheetName val="14-REF_JCMRL_25"/>
      <sheetName val="Proj__DJC-JCIPL25"/>
      <sheetName val="_L0_DDC_125"/>
      <sheetName val="L0_DDC-225"/>
      <sheetName val="L16_DDC-325"/>
      <sheetName val="L16_DDC-525"/>
      <sheetName val="L17_DDC-625"/>
      <sheetName val="L17_DDC-7_25"/>
      <sheetName val="L18_DDC-825"/>
      <sheetName val="2-AutoDialer_Sys25"/>
      <sheetName val="1-BAS1_(cost)25"/>
      <sheetName val="2-BAS2_(cost)25"/>
      <sheetName val="Deviations-Project_Risks25"/>
      <sheetName val="IO_Schedule25"/>
      <sheetName val="Debits_as_on_12_04_0825"/>
      <sheetName val="Direct_cost_shed_A-2_25"/>
      <sheetName val="Staff_Forecast_spread25"/>
      <sheetName val="LT_Motor_catalog10"/>
      <sheetName val="Cable_cat10"/>
      <sheetName val="[Spt-BH.xls][Spt-BH.xls]B___878"/>
      <sheetName val="[Spt-BH.xls][Spt-BH.xls]B___879"/>
      <sheetName val="[Spt-BH.xls][Spt-BH.xls]B___880"/>
      <sheetName val="[Spt-BH.xls][Spt-BH.xls]B___881"/>
      <sheetName val="[Spt-BH.xls][Spt-BH.xls]B___882"/>
      <sheetName val="[Spt-BH.xls][Spt-BH.xls]B___883"/>
      <sheetName val="[Spt-BH.xls][Spt-BH.xls]_Sp_312"/>
      <sheetName val="B@___x005f_x0004_@_"/>
      <sheetName val="B@__x005f_x005f_x00"/>
      <sheetName val="B@___x005f_x005f_x0"/>
      <sheetName val="_Spt-BH.xls_B@__@___$_"/>
      <sheetName val="Schd 8 Input"/>
      <sheetName val="Emp &amp; Trng"/>
      <sheetName val="Sales"/>
      <sheetName val="Rate analysis- BOQ 1 "/>
      <sheetName val="Detail In Door Stad"/>
      <sheetName val="13. Steel - Ratio"/>
      <sheetName val="Bill No 2 to 8 (Rev)"/>
      <sheetName val="master"/>
      <sheetName val="TB"/>
      <sheetName val="SàQa_x0005_@???²"/>
      <sheetName val="TMT STEEL"/>
      <sheetName val="Extra Item"/>
      <sheetName val="[Spt-BH.xls][Spt-BH.xls]_Sp_261"/>
      <sheetName val="[Spt-BH.xls][Spt-BH.xls]_Sp_267"/>
      <sheetName val="[Spt-BH.xls][Spt-BH.xls]_Sp_262"/>
      <sheetName val="[Spt-BH.xls][Spt-BH.xls]_Sp_269"/>
      <sheetName val="[Spt-BH.xls][Spt-BH.xls]_Sp_268"/>
      <sheetName val="[Spt-BH.xls][Spt-BH.xls]_Sp_259"/>
      <sheetName val="[Spt-BH.xls][Spt-BH.xls]_Sp_260"/>
      <sheetName val="[Spt-BH.xls][Spt-BH.xls]_Sp_263"/>
      <sheetName val="[Spt-BH.xls][Spt-BH.xls]_Sp_264"/>
      <sheetName val="[Spt-BH.xls][Spt-BH.xls]_Sp_273"/>
      <sheetName val="[Spt-BH.xls][Spt-BH.xls]_Sp_270"/>
      <sheetName val="[Spt-BH.xls][Spt-BH.xls]_Sp_265"/>
      <sheetName val="[Spt-BH.xls][Spt-BH.xls]_Sp_266"/>
      <sheetName val="[Spt-BH.xls][Spt-BH.xls]_Sp_271"/>
      <sheetName val="[Spt-BH.xls][Spt-BH.xls]_Sp_272"/>
      <sheetName val="[Spt-BH.xls][Spt-BH.xls]B___754"/>
      <sheetName val="[Spt-BH.xls][Spt-BH.xls]B___755"/>
      <sheetName val="[Spt-BH.xls][Spt-BH.xls]B___756"/>
      <sheetName val="[Spt-BH.xls][Spt-BH.xls]_Sp_277"/>
      <sheetName val="[Spt-BH.xls][Spt-BH.xls]B___757"/>
      <sheetName val="[Spt-BH.xls][Spt-BH.xls]B___758"/>
      <sheetName val="[Spt-BH.xls][Spt-BH.xls]B___759"/>
      <sheetName val="[Spt-BH.xls][Spt-BH.xls]_Sp_274"/>
      <sheetName val="[Spt-BH.xls][Spt-BH.xls]B___753"/>
      <sheetName val="[Spt-BH.xls][Spt-BH.xls]B___766"/>
      <sheetName val="[Spt-BH.xls][Spt-BH.xls]B___767"/>
      <sheetName val="[Spt-BH.xls][Spt-BH.xls]B___768"/>
      <sheetName val="[Spt-BH.xls][Spt-BH.xls]_Sp_279"/>
      <sheetName val="[Spt-BH.xls][Spt-BH.xls]B___769"/>
      <sheetName val="[Spt-BH.xls][Spt-BH.xls]B___770"/>
      <sheetName val="[Spt-BH.xls][Spt-BH.xls]B___771"/>
      <sheetName val="[Spt-BH.xls][Spt-BH.xls]_Sp_278"/>
      <sheetName val="[Spt-BH.xls][Spt-BH.xls]B___773"/>
      <sheetName val="[Spt-BH.xls][Spt-BH.xls]B___774"/>
      <sheetName val="[Spt-BH.xls][Spt-BH.xls]B___775"/>
      <sheetName val="[Spt-BH.xls][Spt-BH.xls]_Sp_297"/>
      <sheetName val="[Spt-BH.xls][Spt-BH.xls]B___776"/>
      <sheetName val="[Spt-BH.xls][Spt-BH.xls]B___777"/>
      <sheetName val="[Spt-BH.xls][Spt-BH.xls]B___778"/>
      <sheetName val="[Spt-BH.xls][Spt-BH.xls]_Sp_280"/>
      <sheetName val="[Spt-BH.xls][Spt-BH.xls]B___772"/>
      <sheetName val="[Spt-BH.xls][Spt-BH.xls]_Sp_275"/>
      <sheetName val="[Spt-BH.xls][Spt-BH.xls]B___760"/>
      <sheetName val="[Spt-BH.xls][Spt-BH.xls]B___761"/>
      <sheetName val="[Spt-BH.xls][Spt-BH.xls]B___762"/>
      <sheetName val="[Spt-BH.xls][Spt-BH.xls]B___763"/>
      <sheetName val="[Spt-BH.xls][Spt-BH.xls]B___764"/>
      <sheetName val="[Spt-BH.xls][Spt-BH.xls]B___765"/>
      <sheetName val="[Spt-BH.xls][Spt-BH.xls]_Sp_276"/>
      <sheetName val="[Spt-BH.xls][Spt-BH.xls]B___832"/>
      <sheetName val="[Spt-BH.xls][Spt-BH.xls]B___833"/>
      <sheetName val="[Spt-BH.xls][Spt-BH.xls]B___834"/>
      <sheetName val="[Spt-BH.xls][Spt-BH.xls]_Sp_307"/>
      <sheetName val="[Spt-BH.xls][Spt-BH.xls]B___835"/>
      <sheetName val="[Spt-BH.xls][Spt-BH.xls]B___836"/>
      <sheetName val="[Spt-BH.xls][Spt-BH.xls]B___837"/>
      <sheetName val="[Spt-BH.xls][Spt-BH.xls]_Sp_298"/>
      <sheetName val="[Spt-BH.xls][Spt-BH.xls]_Sp_293"/>
      <sheetName val="[Spt-BH.xls][Spt-BH.xls]B___819"/>
      <sheetName val="[Spt-BH.xls][Spt-BH.xls]B___820"/>
      <sheetName val="[Spt-BH.xls][Spt-BH.xls]B___821"/>
      <sheetName val="[Spt-BH.xls][Spt-BH.xls]B___822"/>
      <sheetName val="[Spt-BH.xls][Spt-BH.xls]B___823"/>
      <sheetName val="[Spt-BH.xls][Spt-BH.xls]B___824"/>
      <sheetName val="[Spt-BH.xls][Spt-BH.xls]_Sp_294"/>
      <sheetName val="[Spt-BH.xls][Spt-BH.xls]_Sp_281"/>
      <sheetName val="[Spt-BH.xls][Spt-BH.xls]B___779"/>
      <sheetName val="[Spt-BH.xls][Spt-BH.xls]B___780"/>
      <sheetName val="[Spt-BH.xls][Spt-BH.xls]B___781"/>
      <sheetName val="[Spt-BH.xls][Spt-BH.xls]B___782"/>
      <sheetName val="[Spt-BH.xls][Spt-BH.xls]B___783"/>
      <sheetName val="[Spt-BH.xls][Spt-BH.xls]B___784"/>
      <sheetName val="[Spt-BH.xls][Spt-BH.xls]_Sp_282"/>
      <sheetName val="01"/>
      <sheetName val="220_11__BS_28"/>
      <sheetName val="India_F&amp;S_Template28"/>
      <sheetName val="precast_RC_element28"/>
      <sheetName val="SSR_&amp;_NSSR_Market_final28"/>
      <sheetName val="RA_RCC_F28"/>
      <sheetName val="Materials_Cost(PCC)28"/>
      <sheetName val="plinth_Beam_+_Stirrups_28"/>
      <sheetName val="GF_COLUMNS28"/>
      <sheetName val="G_F_ROOF_BEAM_28"/>
      <sheetName val="GF_SLAB_STEEL28"/>
      <sheetName val="GF_Lintel28"/>
      <sheetName val="GF_Stair28"/>
      <sheetName val="FF_COLUMNS28"/>
      <sheetName val="F_F__Steel_FINAL_(2)28"/>
      <sheetName val="FF_Lintel28"/>
      <sheetName val="FF_Stair28"/>
      <sheetName val="S_F__Steel_FINAL_28"/>
      <sheetName val="SF_Lintel28"/>
      <sheetName val="syndicate_codes1"/>
      <sheetName val="Assumption_Inputs1"/>
      <sheetName val="Basic_Rate1"/>
      <sheetName val="INFLUENCES_ON_GM1"/>
      <sheetName val="[Spt-BH.xls]B____x005f_x0004_______65"/>
      <sheetName val="[Spt-BH.xls]B___x005f_x0000__x005f_x0004_65"/>
      <sheetName val="[Spt-BH.xls][Spt-BH.xls]B___825"/>
      <sheetName val="[Spt-BH.xls][Spt-BH.xls]_Sp_283"/>
      <sheetName val="[Spt-BH.xls][Spt-BH.xls]B___785"/>
      <sheetName val="[Spt-BH.xls][Spt-BH.xls]B___786"/>
      <sheetName val="[Spt-BH.xls][Spt-BH.xls]B___787"/>
      <sheetName val="[Spt-BH.xls][Spt-BH.xls]B___788"/>
      <sheetName val="[Spt-BH.xls][Spt-BH.xls]B___789"/>
      <sheetName val="[Spt-BH.xls][Spt-BH.xls]B___790"/>
      <sheetName val="[Spt-BH.xls][Spt-BH.xls]_Sp_284"/>
      <sheetName val="[Spt-BH.xls][Spt-BH.xls]_Sp_285"/>
      <sheetName val="[Spt-BH.xls][Spt-BH.xls]B___791"/>
      <sheetName val="[Spt-BH.xls][Spt-BH.xls]B___792"/>
      <sheetName val="[Spt-BH.xls][Spt-BH.xls]B___793"/>
      <sheetName val="[Spt-BH.xls][Spt-BH.xls]B___794"/>
      <sheetName val="[Spt-BH.xls][Spt-BH.xls]B___795"/>
      <sheetName val="[Spt-BH.xls][Spt-BH.xls]B___796"/>
      <sheetName val="[Spt-BH.xls][Spt-BH.xls]_Sp_286"/>
      <sheetName val="[Spt-BH.xls]B____x005f_x0004_______61"/>
      <sheetName val="[Spt-BH.xls]B___x005f_x0000__x005f_x0004_61"/>
      <sheetName val="[Spt-BH.xls][Spt-BH.xls]B___797"/>
      <sheetName val="[Spt-BH.xls][Spt-BH.xls]_Sp_287"/>
      <sheetName val="[Spt-BH.xls][Spt-BH.xls]B___798"/>
      <sheetName val="[Spt-BH.xls][Spt-BH.xls]B___799"/>
      <sheetName val="[Spt-BH.xls][Spt-BH.xls]B___800"/>
      <sheetName val="[Spt-BH.xls][Spt-BH.xls]B___801"/>
      <sheetName val="[Spt-BH.xls][Spt-BH.xls]B___802"/>
      <sheetName val="[Spt-BH.xls][Spt-BH.xls]B___803"/>
      <sheetName val="[Spt-BH.xls][Spt-BH.xls]_Sp_288"/>
      <sheetName val="[Spt-BH.xls]B____x005f_x0004_______62"/>
      <sheetName val="[Spt-BH.xls]B___x005f_x0000__x005f_x0004_62"/>
      <sheetName val="[Spt-BH.xls][Spt-BH.xls]B___804"/>
      <sheetName val="[Spt-BH.xls][Spt-BH.xls]_Sp_289"/>
      <sheetName val="[Spt-BH.xls][Spt-BH.xls]B___805"/>
      <sheetName val="[Spt-BH.xls][Spt-BH.xls]B___806"/>
      <sheetName val="[Spt-BH.xls][Spt-BH.xls]B___807"/>
      <sheetName val="[Spt-BH.xls][Spt-BH.xls]B___808"/>
      <sheetName val="[Spt-BH.xls][Spt-BH.xls]B___809"/>
      <sheetName val="[Spt-BH.xls][Spt-BH.xls]B___810"/>
      <sheetName val="[Spt-BH.xls][Spt-BH.xls]_Sp_290"/>
      <sheetName val="[Spt-BH.xls]B____x005f_x0004_______63"/>
      <sheetName val="[Spt-BH.xls]B___x005f_x0000__x005f_x0004_63"/>
      <sheetName val="[Spt-BH.xls][Spt-BH.xls]B___811"/>
      <sheetName val="[Spt-BH.xls][Spt-BH.xls]_Sp_291"/>
      <sheetName val="[Spt-BH.xls][Spt-BH.xls]B___812"/>
      <sheetName val="[Spt-BH.xls][Spt-BH.xls]B___813"/>
      <sheetName val="[Spt-BH.xls][Spt-BH.xls]B___814"/>
      <sheetName val="[Spt-BH.xls][Spt-BH.xls]B___815"/>
      <sheetName val="[Spt-BH.xls][Spt-BH.xls]B___816"/>
      <sheetName val="[Spt-BH.xls][Spt-BH.xls]B___817"/>
      <sheetName val="[Spt-BH.xls][Spt-BH.xls]_Sp_292"/>
      <sheetName val="[Spt-BH.xls]B____x005f_x0004_______64"/>
      <sheetName val="[Spt-BH.xls]B___x005f_x0000__x005f_x0004_64"/>
      <sheetName val="[Spt-BH.xls][Spt-BH.xls]B___818"/>
      <sheetName val="[Spt-BH.xls][Spt-BH.xls]_Sp_295"/>
      <sheetName val="[Spt-BH.xls][Spt-BH.xls]B___826"/>
      <sheetName val="[Spt-BH.xls][Spt-BH.xls]B___827"/>
      <sheetName val="[Spt-BH.xls][Spt-BH.xls]B___828"/>
      <sheetName val="[Spt-BH.xls][Spt-BH.xls]B___829"/>
      <sheetName val="[Spt-BH.xls][Spt-BH.xls]B___830"/>
      <sheetName val="[Spt-BH.xls][Spt-BH.xls]B___831"/>
      <sheetName val="[Spt-BH.xls][Spt-BH.xls]_Sp_296"/>
      <sheetName val="[Spt-BH.xls][Spt-BH.xls]B___865"/>
      <sheetName val="[Spt-BH.xls][Spt-BH.xls]B___866"/>
      <sheetName val="[Spt-BH.xls][Spt-BH.xls]_Sp_309"/>
      <sheetName val="[Spt-BH.xls][Spt-BH.xls]B___867"/>
      <sheetName val="[Spt-BH.xls][Spt-BH.xls]B___868"/>
      <sheetName val="[Spt-BH.xls][Spt-BH.xls]B___869"/>
      <sheetName val="[Spt-BH.xls]B____x005f_x0004_______66"/>
      <sheetName val="[Spt-BH.xls]B___x005f_x0000__x005f_x0004_66"/>
      <sheetName val="[Spt-BH.xls][Spt-BH.xls]B___870"/>
      <sheetName val="[Spt-BH.xls][Spt-BH.xls]_Sp_308"/>
      <sheetName val="[Spt-BH.xls][Spt-BH.xls]_Sp_299"/>
      <sheetName val="[Spt-BH.xls][Spt-BH.xls]B___838"/>
      <sheetName val="[Spt-BH.xls][Spt-BH.xls]B___839"/>
      <sheetName val="[Spt-BH.xls][Spt-BH.xls]B___840"/>
      <sheetName val="[Spt-BH.xls][Spt-BH.xls]B___841"/>
      <sheetName val="[Spt-BH.xls][Spt-BH.xls]B___842"/>
      <sheetName val="[Spt-BH.xls][Spt-BH.xls]B___843"/>
      <sheetName val="[Spt-BH.xls][Spt-BH.xls]_Sp_300"/>
      <sheetName val="[Spt-BH.xls][Spt-BH.xls]B___872"/>
      <sheetName val="[Spt-BH.xls][Spt-BH.xls]B___873"/>
      <sheetName val="[Spt-BH.xls][Spt-BH.xls]B___874"/>
      <sheetName val="[Spt-BH.xls][Spt-BH.xls]B___875"/>
      <sheetName val="[Spt-BH.xls][Spt-BH.xls]B___876"/>
      <sheetName val="[Spt-BH.xls]B____x005f_x0004_______70"/>
      <sheetName val="[Spt-BH.xls]B___x005f_x0000__x005f_x0004_70"/>
      <sheetName val="[Spt-BH.xls][Spt-BH.xls]B___877"/>
      <sheetName val="[Spt-BH.xls][Spt-BH.xls]_Sp_310"/>
      <sheetName val="[Spt-BH.xls][Spt-BH.xls]B___871"/>
      <sheetName val="[Spt-BH.xls][Spt-BH.xls]_Sp_301"/>
      <sheetName val="[Spt-BH.xls][Spt-BH.xls]B___844"/>
      <sheetName val="[Spt-BH.xls][Spt-BH.xls]B___845"/>
      <sheetName val="[Spt-BH.xls][Spt-BH.xls]B___846"/>
      <sheetName val="[Spt-BH.xls][Spt-BH.xls]B___847"/>
      <sheetName val="[Spt-BH.xls][Spt-BH.xls]B___848"/>
      <sheetName val="[Spt-BH.xls][Spt-BH.xls]B___849"/>
      <sheetName val="[Spt-BH.xls][Spt-BH.xls]_Sp_302"/>
      <sheetName val="[Spt-BH.xls]B____x005f_x0004_______67"/>
      <sheetName val="[Spt-BH.xls]B___x005f_x0000__x005f_x0004_67"/>
      <sheetName val="[Spt-BH.xls][Spt-BH.xls]B___850"/>
      <sheetName val="[Spt-BH.xls][Spt-BH.xls]_Sp_303"/>
      <sheetName val="[Spt-BH.xls][Spt-BH.xls]B___851"/>
      <sheetName val="[Spt-BH.xls][Spt-BH.xls]B___852"/>
      <sheetName val="[Spt-BH.xls][Spt-BH.xls]B___853"/>
      <sheetName val="[Spt-BH.xls][Spt-BH.xls]B___854"/>
      <sheetName val="[Spt-BH.xls][Spt-BH.xls]B___855"/>
      <sheetName val="[Spt-BH.xls][Spt-BH.xls]_Sp_304"/>
      <sheetName val="[Spt-BH.xls][Spt-BH.xls]B___856"/>
      <sheetName val="[Spt-BH.xls]B____x005f_x0004_______68"/>
      <sheetName val="[Spt-BH.xls]B___x005f_x0000__x005f_x0004_68"/>
      <sheetName val="[Spt-BH.xls][Spt-BH.xls]B___857"/>
      <sheetName val="[Spt-BH.xls][Spt-BH.xls]_Sp_305"/>
      <sheetName val="[Spt-BH.xls][Spt-BH.xls]B___858"/>
      <sheetName val="[Spt-BH.xls][Spt-BH.xls]B___859"/>
      <sheetName val="[Spt-BH.xls][Spt-BH.xls]B___860"/>
      <sheetName val="[Spt-BH.xls][Spt-BH.xls]B___861"/>
      <sheetName val="[Spt-BH.xls][Spt-BH.xls]B___862"/>
      <sheetName val="[Spt-BH.xls][Spt-BH.xls]B___863"/>
      <sheetName val="[Spt-BH.xls][Spt-BH.xls]_Sp_306"/>
      <sheetName val="[Spt-BH.xls]B____x005f_x0004_______69"/>
      <sheetName val="[Spt-BH.xls]B___x005f_x0000__x005f_x0004_69"/>
      <sheetName val="[Spt-BH.xls][Spt-BH.xls]B___864"/>
      <sheetName val="[Spt-BH.xls]B____x005f_x0004_______71"/>
      <sheetName val="[Spt-BH.xls]B___x005f_x0000__x005f_x0004_71"/>
      <sheetName val="[Spt-BH.xls][Spt-BH.xls]_Sp_313"/>
      <sheetName val="[Spt-BH.xls][Spt-BH.xls]B___884"/>
      <sheetName val="[Spt-BH.xls][Spt-BH.xls]B___885"/>
      <sheetName val="[Spt-BH.xls][Spt-BH.xls]B___886"/>
      <sheetName val="[Spt-BH.xls][Spt-BH.xls]_Sp_317"/>
      <sheetName val="[Spt-BH.xls][Spt-BH.xls]B___887"/>
      <sheetName val="[Spt-BH.xls][Spt-BH.xls]B___888"/>
      <sheetName val="[Spt-BH.xls][Spt-BH.xls]B___889"/>
      <sheetName val="[Spt-BH.xls][Spt-BH.xls]_Sp_315"/>
      <sheetName val="[Spt-BH.xls][Spt-BH.xls]_Sp_314"/>
      <sheetName val="[Spt-BH.xls][Spt-BH.xls]_Sp_316"/>
      <sheetName val="[Spt-BH.xls][Spt-BH.xls]B___891"/>
      <sheetName val="[Spt-BH.xls][Spt-BH.xls]B___892"/>
      <sheetName val="[Spt-BH.xls][Spt-BH.xls]_Sp_320"/>
      <sheetName val="[Spt-BH.xls][Spt-BH.xls]B___893"/>
      <sheetName val="[Spt-BH.xls][Spt-BH.xls]B___894"/>
      <sheetName val="[Spt-BH.xls][Spt-BH.xls]B___895"/>
      <sheetName val="[Spt-BH.xls][Spt-BH.xls]B___896"/>
      <sheetName val="[Spt-BH.xls][Spt-BH.xls]B___904"/>
      <sheetName val="[Spt-BH.xls][Spt-BH.xls]B___905"/>
      <sheetName val="[Spt-BH.xls][Spt-BH.xls]B___906"/>
      <sheetName val="[Spt-BH.xls][Spt-BH.xls]_Sp_323"/>
      <sheetName val="[Spt-BH.xls][Spt-BH.xls]B___907"/>
      <sheetName val="[Spt-BH.xls][Spt-BH.xls]B___908"/>
      <sheetName val="[Spt-BH.xls]B____x005f_x0004_______72"/>
      <sheetName val="[Spt-BH.xls]B___x005f_x0000__x005f_x0004_72"/>
      <sheetName val="[Spt-BH.xls][Spt-BH.xls]B___909"/>
      <sheetName val="[Spt-BH.xls][Spt-BH.xls]_Sp_321"/>
      <sheetName val="[Spt-BH.xls][Spt-BH.xls]B___897"/>
      <sheetName val="[Spt-BH.xls][Spt-BH.xls]B___890"/>
      <sheetName val="[Spt-BH.xls][Spt-BH.xls]_Sp_318"/>
      <sheetName val="[Spt-BH.xls][Spt-BH.xls]B___898"/>
      <sheetName val="[Spt-BH.xls][Spt-BH.xls]B___899"/>
      <sheetName val="[Spt-BH.xls][Spt-BH.xls]B___900"/>
      <sheetName val="[Spt-BH.xls][Spt-BH.xls]B___901"/>
      <sheetName val="[Spt-BH.xls][Spt-BH.xls]B___902"/>
      <sheetName val="[Spt-BH.xls][Spt-BH.xls]B___903"/>
      <sheetName val="[Spt-BH.xls][Spt-BH.xls]_Sp_319"/>
      <sheetName val="[Spt-BH.xls][Spt-BH.xls]B___910"/>
      <sheetName val="[Spt-BH.xls][Spt-BH.xls]B___911"/>
      <sheetName val="[Spt-BH.xls][Spt-BH.xls]B___912"/>
      <sheetName val="[Spt-BH.xls][Spt-BH.xls]_Sp_324"/>
      <sheetName val="[Spt-BH.xls][Spt-BH.xls]B___913"/>
      <sheetName val="[Spt-BH.xls][Spt-BH.xls]B___914"/>
      <sheetName val="[Spt-BH.xls][Spt-BH.xls]B___915"/>
      <sheetName val="[Spt-BH.xls][Spt-BH.xls]_Sp_322"/>
      <sheetName val="[Spt-BH.xls][Spt-BH.xls]_Sp_325"/>
      <sheetName val="[Spt-BH.xls][Spt-BH.xls]_Sp_447"/>
      <sheetName val="[Spt-BH.xls][Spt-BH.xls]B__1301"/>
      <sheetName val="[Spt-BH.xls][Spt-BH.xls]B__1302"/>
      <sheetName val="[Spt-BH.xls][Spt-BH.xls]B__1303"/>
      <sheetName val="[Spt-BH.xls][Spt-BH.xls]_Sp_449"/>
      <sheetName val="[Spt-BH.xls][Spt-BH.xls]B__1304"/>
      <sheetName val="[Spt-BH.xls][Spt-BH.xls]B__1305"/>
      <sheetName val="[Spt-BH.xls][Spt-BH.xls]B__1306"/>
      <sheetName val="[Spt-BH.xls][Spt-BH.xls]_Sp_448"/>
      <sheetName val="[Spt-BH.xls][Spt-BH.xls]B__1308"/>
      <sheetName val="[Spt-BH.xls][Spt-BH.xls]B__1309"/>
      <sheetName val="[Spt-BH.xls][Spt-BH.xls]B__1310"/>
      <sheetName val="[Spt-BH.xls][Spt-BH.xls]_Sp_451"/>
      <sheetName val="[Spt-BH.xls][Spt-BH.xls]B__1311"/>
      <sheetName val="[Spt-BH.xls][Spt-BH.xls]B__1312"/>
      <sheetName val="[Spt-BH.xls]B____x005f_x0004______112"/>
      <sheetName val="[Spt-BH.xls]B___x005f_x0000__x000_112"/>
      <sheetName val="[Spt-BH.xls][Spt-BH.xls]B__1313"/>
      <sheetName val="[Spt-BH.xls][Spt-BH.xls]_Sp_450"/>
      <sheetName val="[Spt-BH.xls][Spt-BH_xls]B___222"/>
      <sheetName val="[Spt-BH.xls][Spt-BH_xls]B___223"/>
      <sheetName val="[Spt-BH.xls][Spt-BH.xls]B__1307"/>
      <sheetName val="[Spt-BH.xls][Spt-BH.xls]B__1196"/>
      <sheetName val="[Spt-BH.xls][Spt-BH.xls]B__1197"/>
      <sheetName val="[Spt-BH.xls][Spt-BH.xls]B__1198"/>
      <sheetName val="[Spt-BH.xls][Spt-BH.xls]_Sp_414"/>
      <sheetName val="[Spt-BH.xls][Spt-BH.xls]B__1199"/>
      <sheetName val="[Spt-BH.xls][Spt-BH.xls]B__1200"/>
      <sheetName val="[Spt-BH.xls][Spt-BH.xls]B__1201"/>
      <sheetName val="[Spt-BH.xls][Spt-BH.xls]_Sp_412"/>
      <sheetName val="[Spt-BH.xls][Spt-BH.xls]_Sp_413"/>
      <sheetName val="[Spt-BH.xls][Spt-BH.xls]B__1203"/>
      <sheetName val="[Spt-BH.xls][Spt-BH.xls]B__1204"/>
      <sheetName val="[Spt-BH.xls][Spt-BH.xls]B__1205"/>
      <sheetName val="[Spt-BH.xls][Spt-BH.xls]_Sp_416"/>
      <sheetName val="[Spt-BH.xls][Spt-BH.xls]B__1206"/>
      <sheetName val="[Spt-BH.xls][Spt-BH.xls]B__1207"/>
      <sheetName val="[Spt-BH.xls]B____x005f_x0004______102"/>
      <sheetName val="[Spt-BH.xls]B___x005f_x0000__x000_102"/>
      <sheetName val="[Spt-BH.xls][Spt-BH.xls]B__1208"/>
      <sheetName val="[Spt-BH.xls][Spt-BH.xls]_Sp_415"/>
      <sheetName val="[Spt-BH.xls][Spt-BH.xls]B__1202"/>
      <sheetName val="[Spt-BH.xls][Spt-BH.xls]B__1026"/>
      <sheetName val="[Spt-BH.xls][Spt-BH.xls]B__1027"/>
      <sheetName val="[Spt-BH.xls][Spt-BH.xls]B__1028"/>
      <sheetName val="[Spt-BH.xls][Spt-BH.xls]_Sp_358"/>
      <sheetName val="[Spt-BH.xls][Spt-BH.xls]B__1029"/>
      <sheetName val="[Spt-BH.xls][Spt-BH.xls]B__1030"/>
      <sheetName val="[Spt-BH.xls]B____x005f_x0004_______86"/>
      <sheetName val="[Spt-BH.xls]B___x005f_x0000__x005f_x0004_86"/>
      <sheetName val="[Spt-BH.xls][Spt-BH.xls]B__1019"/>
      <sheetName val="[Spt-BH.xls][Spt-BH.xls]B__1020"/>
      <sheetName val="[Spt-BH.xls][Spt-BH.xls]B__1021"/>
      <sheetName val="[Spt-BH.xls][Spt-BH.xls]_Sp_356"/>
      <sheetName val="[Spt-BH.xls][Spt-BH.xls]B__1022"/>
      <sheetName val="[Spt-BH.xls][Spt-BH.xls]B__1023"/>
      <sheetName val="[Spt-BH.xls][Spt-BH.xls]B__1031"/>
      <sheetName val="[Spt-BH.xls][Spt-BH.xls]_Sp_357"/>
      <sheetName val="[Spt-BH.xls][Spt-BH.xls]B__1024"/>
      <sheetName val="[Spt-BH.xls][Spt-BH.xls]_Sp_354"/>
      <sheetName val="[Spt-BH.xls][Spt-BH.xls]_Sp_355"/>
      <sheetName val="[Spt-BH.xls][Spt-BH.xls]B__1025"/>
      <sheetName val="B@_@_"/>
      <sheetName val="ACAD_Finishes"/>
      <sheetName val="Site_Details"/>
      <sheetName val="Site_Area_Statement"/>
      <sheetName val="SP&amp;ST_제출가"/>
      <sheetName val="ACAD_Finishes1"/>
      <sheetName val="Site_Details1"/>
      <sheetName val="Site_Area_Statement1"/>
      <sheetName val="DB_ET200(R__A)1"/>
      <sheetName val="SP&amp;ST_제출가1"/>
      <sheetName val="SPT_vs_PHI32"/>
      <sheetName val="glass_project_concrete32"/>
      <sheetName val="glass_project_reift32"/>
      <sheetName val="glass_project_indices32"/>
      <sheetName val="SBC-BH_1931"/>
      <sheetName val="Rate_Analysis31"/>
      <sheetName val="Summary_050631"/>
      <sheetName val="Summary_0607-_31_MAR31"/>
      <sheetName val="Civil_Boq30"/>
      <sheetName val="Pile_cap30"/>
      <sheetName val="V_O_4_-_PCC_Qty30"/>
      <sheetName val="TBAL9697_-group_wise__sdpl30"/>
      <sheetName val="Abstract_Sheet30"/>
      <sheetName val="Legal_Risk_Analysis30"/>
      <sheetName val="BH_12-11-10-1331"/>
      <sheetName val="BH_12-11-10-931"/>
      <sheetName val="BH_36-15-3731"/>
      <sheetName val="BH_16-35-25-1731"/>
      <sheetName val="BH_35-25-1731"/>
      <sheetName val="Sheet1_(2)31"/>
      <sheetName val="PRECAST_lightconc-II30"/>
      <sheetName val="Mix_Design30"/>
      <sheetName val="d-safe_DELUXE30"/>
      <sheetName val="RCC,Ret__Wall30"/>
      <sheetName val="Form_631"/>
      <sheetName val="PointNo_530"/>
      <sheetName val="E_&amp;_R30"/>
      <sheetName val="Break_up_Sheet30"/>
      <sheetName val="Fill_this_out_first___30"/>
      <sheetName val="REVISED4A_PROG_PERF-SITE_130"/>
      <sheetName val="BOQ_Direct_selling_cost30"/>
      <sheetName val="final_abstract30"/>
      <sheetName val="BOQ_(2)30"/>
      <sheetName val="beam-reinft-IIInd_floor30"/>
      <sheetName val="Staff_Acco_30"/>
      <sheetName val="Pipe_Supports30"/>
      <sheetName val="M-Book_for_Conc30"/>
      <sheetName val="M-Book_for_FW30"/>
      <sheetName val="CABLE_DATA30"/>
      <sheetName val="Load_Details-220kV30"/>
      <sheetName val="SANJAY_PAL30"/>
      <sheetName val="P_A_SELVAM30"/>
      <sheetName val="ANSARI_30"/>
      <sheetName val="abdesh_pal30"/>
      <sheetName val="sujay_bagchi30"/>
      <sheetName val="S_K_SINHA_BASU30"/>
      <sheetName val="KRISHNA_PRASAD30"/>
      <sheetName val="BARATH_&amp;_CO30"/>
      <sheetName val="L_B_YADAV30"/>
      <sheetName val="DEEPAK_KUMAR30"/>
      <sheetName val="MUKLAL_YADAV30"/>
      <sheetName val="MADHU_SUDHAN30"/>
      <sheetName val="SAUD_ALAM_30"/>
      <sheetName val="RAMESH_BABU30"/>
      <sheetName val="SAILEN_SARKAR30"/>
      <sheetName val="SANJAY_JENA130"/>
      <sheetName val="upendra_saw_30"/>
      <sheetName val="ALLOK_KUMAR_30"/>
      <sheetName val="except_wiring30"/>
      <sheetName val="Rev_S1_Abstract30"/>
      <sheetName val="Quantity_Abstract30"/>
      <sheetName val="INPUT_SHEET30"/>
      <sheetName val="Project_Budget_Worksheet30"/>
      <sheetName val="BOQ_-II_ph_230"/>
      <sheetName val="220_11__BS_29"/>
      <sheetName val="SSR_&amp;_NSSR_Market_final29"/>
      <sheetName val="India_F&amp;S_Template29"/>
      <sheetName val="precast_RC_element29"/>
      <sheetName val="Materials_Cost(PCC)29"/>
      <sheetName val="RA_RCC_F29"/>
      <sheetName val="Inputs_&amp;_Summary_Output4"/>
      <sheetName val="Broad_Refresher_Model4"/>
      <sheetName val="plinth_Beam_+_Stirrups_29"/>
      <sheetName val="GF_COLUMNS29"/>
      <sheetName val="G_F_ROOF_BEAM_29"/>
      <sheetName val="GF_SLAB_STEEL29"/>
      <sheetName val="GF_Lintel29"/>
      <sheetName val="GF_Stair29"/>
      <sheetName val="FF_COLUMNS29"/>
      <sheetName val="F_F__Steel_FINAL_(2)29"/>
      <sheetName val="FF_Lintel29"/>
      <sheetName val="FF_Stair29"/>
      <sheetName val="S_F__Steel_FINAL_29"/>
      <sheetName val="SF_Lintel29"/>
      <sheetName val="_AT-1-220_2"/>
      <sheetName val="_BC-2202"/>
      <sheetName val="DETAILED__BOQ2"/>
      <sheetName val="IO_List2"/>
      <sheetName val="syndicate_codes2"/>
      <sheetName val="Break_Up_(bc)2"/>
      <sheetName val="Break_Up_(bc1)2"/>
      <sheetName val="Break_Up_(bc2)2"/>
      <sheetName val="Assumption_Inputs2"/>
      <sheetName val="Basic_Rate2"/>
      <sheetName val="INFLUENCES_ON_GM2"/>
      <sheetName val="ACAD_Finishes2"/>
      <sheetName val="Site_Details2"/>
      <sheetName val="Site_Area_Statement2"/>
      <sheetName val="Steel_Payment_Doc2"/>
      <sheetName val="_2"/>
      <sheetName val="DB_ET200(R__A)2"/>
      <sheetName val="SP&amp;ST_제출가2"/>
      <sheetName val="SPT_vs_PHI33"/>
      <sheetName val="glass_project_concrete33"/>
      <sheetName val="glass_project_reift33"/>
      <sheetName val="glass_project_indices33"/>
      <sheetName val="SBC-BH_1932"/>
      <sheetName val="Summary_050632"/>
      <sheetName val="Summary_0607-_31_MAR32"/>
      <sheetName val="Rate_Analysis32"/>
      <sheetName val="Civil_Boq31"/>
      <sheetName val="Pile_cap31"/>
      <sheetName val="BH_12-11-10-1332"/>
      <sheetName val="BH_12-11-10-932"/>
      <sheetName val="BH_36-15-3732"/>
      <sheetName val="BH_16-35-25-1732"/>
      <sheetName val="BH_35-25-1732"/>
      <sheetName val="Sheet1_(2)32"/>
      <sheetName val="PointNo_531"/>
      <sheetName val="PRECAST_lightconc-II31"/>
      <sheetName val="d-safe_DELUXE31"/>
      <sheetName val="Legal_Risk_Analysis31"/>
      <sheetName val="Mix_Design31"/>
      <sheetName val="Form_632"/>
      <sheetName val="RCC,Ret__Wall31"/>
      <sheetName val="E_&amp;_R31"/>
      <sheetName val="Break_up_Sheet31"/>
      <sheetName val="TBAL9697_-group_wise__sdpl31"/>
      <sheetName val="Abstract_Sheet31"/>
      <sheetName val="V_O_4_-_PCC_Qty31"/>
      <sheetName val="Fill_this_out_first___31"/>
      <sheetName val="REVISED4A_PROG_PERF-SITE_131"/>
      <sheetName val="BOQ_(2)31"/>
      <sheetName val="BOQ_Direct_selling_cost31"/>
      <sheetName val="CABLE_DATA31"/>
      <sheetName val="Staff_Acco_31"/>
      <sheetName val="Pipe_Supports31"/>
      <sheetName val="Load_Details-220kV31"/>
      <sheetName val="M-Book_for_Conc31"/>
      <sheetName val="M-Book_for_FW31"/>
      <sheetName val="final_abstract31"/>
      <sheetName val="Rev_S1_Abstract31"/>
      <sheetName val="Quantity_Abstract31"/>
      <sheetName val="beam-reinft-IIInd_floor31"/>
      <sheetName val="INPUT_SHEET31"/>
      <sheetName val="Project_Budget_Worksheet31"/>
      <sheetName val="Metso_-_Forth_&amp;_Slurry_11_02_40"/>
      <sheetName val="SANJAY_PAL31"/>
      <sheetName val="P_A_SELVAM31"/>
      <sheetName val="ANSARI_31"/>
      <sheetName val="abdesh_pal31"/>
      <sheetName val="sujay_bagchi31"/>
      <sheetName val="S_K_SINHA_BASU31"/>
      <sheetName val="KRISHNA_PRASAD31"/>
      <sheetName val="BARATH_&amp;_CO31"/>
      <sheetName val="L_B_YADAV31"/>
      <sheetName val="DEEPAK_KUMAR31"/>
      <sheetName val="MUKLAL_YADAV31"/>
      <sheetName val="MADHU_SUDHAN31"/>
      <sheetName val="SAUD_ALAM_31"/>
      <sheetName val="RAMESH_BABU31"/>
      <sheetName val="SAILEN_SARKAR31"/>
      <sheetName val="SANJAY_JENA131"/>
      <sheetName val="upendra_saw_31"/>
      <sheetName val="ALLOK_KUMAR_31"/>
      <sheetName val="except_wiring31"/>
      <sheetName val="BOQ_-II_ph_231"/>
      <sheetName val="Fee_Rate_Summary30"/>
      <sheetName val="d-safe_specs30"/>
      <sheetName val="STAFFSCHED_30"/>
      <sheetName val="class_&amp;_category30"/>
      <sheetName val="Rein-Final_(Ph_1+Ph2)30"/>
      <sheetName val="India_F&amp;S_Template30"/>
      <sheetName val="Quote_Sheet30"/>
      <sheetName val="precast_RC_element30"/>
      <sheetName val="Site_wise_NADs30"/>
      <sheetName val="SSR_&amp;_NSSR_Market_final30"/>
      <sheetName val="220_11__BS_30"/>
      <sheetName val="Stress_Calculation30"/>
      <sheetName val="RA_RCC_F30"/>
      <sheetName val="Materials_Cost(PCC)30"/>
      <sheetName val="PL_Inst_RA_123"/>
      <sheetName val="Cost_of_O_&amp;_O4"/>
      <sheetName val="pr_cal4"/>
      <sheetName val="Inputs_&amp;_Summary_Output5"/>
      <sheetName val="Broad_Refresher_Model5"/>
      <sheetName val="plinth_Beam_+_Stirrups_30"/>
      <sheetName val="GF_COLUMNS30"/>
      <sheetName val="G_F_ROOF_BEAM_30"/>
      <sheetName val="GF_SLAB_STEEL30"/>
      <sheetName val="GF_Lintel30"/>
      <sheetName val="GF_Stair30"/>
      <sheetName val="FF_COLUMNS30"/>
      <sheetName val="F_F__Steel_FINAL_(2)30"/>
      <sheetName val="FF_Lintel30"/>
      <sheetName val="FF_Stair30"/>
      <sheetName val="S_F__Steel_FINAL_30"/>
      <sheetName val="SF_Lintel30"/>
      <sheetName val="_AT-1-220_3"/>
      <sheetName val="_BC-2203"/>
      <sheetName val="DETAILED__BOQ3"/>
      <sheetName val="Material_List_4"/>
      <sheetName val="SPT_vs_PHI34"/>
      <sheetName val="glass_project_concrete34"/>
      <sheetName val="glass_project_reift34"/>
      <sheetName val="glass_project_indices34"/>
      <sheetName val="SBC-BH_1933"/>
      <sheetName val="Rate_Analysis33"/>
      <sheetName val="Summary_050633"/>
      <sheetName val="Summary_0607-_31_MAR33"/>
      <sheetName val="Civil_Boq32"/>
      <sheetName val="Pile_cap32"/>
      <sheetName val="V_O_4_-_PCC_Qty32"/>
      <sheetName val="TBAL9697_-group_wise__sdpl32"/>
      <sheetName val="Abstract_Sheet32"/>
      <sheetName val="Legal_Risk_Analysis32"/>
      <sheetName val="BH_12-11-10-1333"/>
      <sheetName val="BH_12-11-10-933"/>
      <sheetName val="BH_36-15-3733"/>
      <sheetName val="BH_16-35-25-1733"/>
      <sheetName val="BH_35-25-1733"/>
      <sheetName val="Sheet1_(2)33"/>
      <sheetName val="PRECAST_lightconc-II32"/>
      <sheetName val="Mix_Design32"/>
      <sheetName val="d-safe_DELUXE32"/>
      <sheetName val="RCC,Ret__Wall32"/>
      <sheetName val="Form_633"/>
      <sheetName val="PointNo_532"/>
      <sheetName val="E_&amp;_R32"/>
      <sheetName val="Break_up_Sheet32"/>
      <sheetName val="Fill_this_out_first___32"/>
      <sheetName val="REVISED4A_PROG_PERF-SITE_132"/>
      <sheetName val="BOQ_Direct_selling_cost32"/>
      <sheetName val="final_abstract32"/>
      <sheetName val="BOQ_(2)32"/>
      <sheetName val="beam-reinft-IIInd_floor32"/>
      <sheetName val="Staff_Acco_32"/>
      <sheetName val="Pipe_Supports32"/>
      <sheetName val="M-Book_for_Conc32"/>
      <sheetName val="M-Book_for_FW32"/>
      <sheetName val="CABLE_DATA32"/>
      <sheetName val="Load_Details-220kV32"/>
      <sheetName val="SANJAY_PAL32"/>
      <sheetName val="P_A_SELVAM32"/>
      <sheetName val="ANSARI_32"/>
      <sheetName val="abdesh_pal32"/>
      <sheetName val="sujay_bagchi32"/>
      <sheetName val="S_K_SINHA_BASU32"/>
      <sheetName val="KRISHNA_PRASAD32"/>
      <sheetName val="BARATH_&amp;_CO32"/>
      <sheetName val="L_B_YADAV32"/>
      <sheetName val="DEEPAK_KUMAR32"/>
      <sheetName val="MUKLAL_YADAV32"/>
      <sheetName val="MADHU_SUDHAN32"/>
      <sheetName val="SAUD_ALAM_32"/>
      <sheetName val="RAMESH_BABU32"/>
      <sheetName val="SAILEN_SARKAR32"/>
      <sheetName val="SANJAY_JENA132"/>
      <sheetName val="upendra_saw_32"/>
      <sheetName val="ALLOK_KUMAR_32"/>
      <sheetName val="except_wiring32"/>
      <sheetName val="Rev_S1_Abstract32"/>
      <sheetName val="Quantity_Abstract32"/>
      <sheetName val="INPUT_SHEET32"/>
      <sheetName val="Project_Budget_Worksheet32"/>
      <sheetName val="BOQ_-II_ph_232"/>
      <sheetName val="Fee_Rate_Summary31"/>
      <sheetName val="d-safe_specs31"/>
      <sheetName val="STAFFSCHED_31"/>
      <sheetName val="220_11__BS_31"/>
      <sheetName val="Quote_Sheet31"/>
      <sheetName val="Site_wise_NADs31"/>
      <sheetName val="Metso_-_Forth_&amp;_Slurry_11_02_41"/>
      <sheetName val="class_&amp;_category31"/>
      <sheetName val="Rein-Final_(Ph_1+Ph2)31"/>
      <sheetName val="SSR_&amp;_NSSR_Market_final31"/>
      <sheetName val="India_F&amp;S_Template31"/>
      <sheetName val="precast_RC_element31"/>
      <sheetName val="Materials_Cost(PCC)31"/>
      <sheetName val="Stress_Calculation31"/>
      <sheetName val="RA_RCC_F31"/>
      <sheetName val="Inputs_&amp;_Summary_Output6"/>
      <sheetName val="Broad_Refresher_Model6"/>
      <sheetName val="Abstract_for_Variation5"/>
      <sheetName val="LBD_VARIATION5"/>
      <sheetName val="pr_cal5"/>
      <sheetName val="TRF_details4"/>
      <sheetName val="Cost_of_O_&amp;_O5"/>
      <sheetName val="Material_4"/>
      <sheetName val="Labour_&amp;_Plant4"/>
      <sheetName val="plinth_Beam_+_Stirrups_31"/>
      <sheetName val="GF_COLUMNS31"/>
      <sheetName val="G_F_ROOF_BEAM_31"/>
      <sheetName val="GF_SLAB_STEEL31"/>
      <sheetName val="GF_Lintel31"/>
      <sheetName val="GF_Stair31"/>
      <sheetName val="FF_COLUMNS31"/>
      <sheetName val="F_F__Steel_FINAL_(2)31"/>
      <sheetName val="FF_Lintel31"/>
      <sheetName val="FF_Stair31"/>
      <sheetName val="S_F__Steel_FINAL_31"/>
      <sheetName val="SF_Lintel31"/>
      <sheetName val="PL_Inst_RA_124"/>
      <sheetName val="Materials_Cost4"/>
      <sheetName val="_AT-1-220_4"/>
      <sheetName val="_BC-2204"/>
      <sheetName val="DETAILED__BOQ4"/>
      <sheetName val="Material_List_5"/>
      <sheetName val="IO_List3"/>
      <sheetName val="syndicate_codes3"/>
      <sheetName val="Break_Up_(bc)3"/>
      <sheetName val="Break_Up_(bc1)3"/>
      <sheetName val="Break_Up_(bc2)3"/>
      <sheetName val="Assumption_Inputs3"/>
      <sheetName val="Basic_Rate3"/>
      <sheetName val="INFLUENCES_ON_GM3"/>
      <sheetName val="Works_-_Quote_Sheet3"/>
      <sheetName val="ACAD_Finishes3"/>
      <sheetName val="Site_Details3"/>
      <sheetName val="Site_Area_Statement3"/>
      <sheetName val="PACK_(B)3"/>
      <sheetName val="Page_13"/>
      <sheetName val="Page_23"/>
      <sheetName val="Page_33"/>
      <sheetName val="Page_4_Installed3"/>
      <sheetName val="Page_4_Required3"/>
      <sheetName val="Page_5a3"/>
      <sheetName val="Page_5b3"/>
      <sheetName val="Page_5c3"/>
      <sheetName val="Page_5d3"/>
      <sheetName val="Page_5e3"/>
      <sheetName val="Page_5f3"/>
      <sheetName val="Page_5f_(2)3"/>
      <sheetName val="Page_6a3"/>
      <sheetName val="Page_6b3"/>
      <sheetName val="Page_7-13"/>
      <sheetName val="Page_7-2a1-I3"/>
      <sheetName val="Page_7-2a1-II3"/>
      <sheetName val="Page_7-2a1-III3"/>
      <sheetName val="Page_7-2a23"/>
      <sheetName val="Page_7-33"/>
      <sheetName val="Page_7-5a3"/>
      <sheetName val="Page_7-5b13"/>
      <sheetName val="Page_7-5b23"/>
      <sheetName val="Page_7-5c3"/>
      <sheetName val="Page_7-9a3"/>
      <sheetName val="Page_7-9b13"/>
      <sheetName val="Page_7-9b23"/>
      <sheetName val="Page_7-9c3"/>
      <sheetName val="Page_7-11a1-I3"/>
      <sheetName val="Page_7-11a1-II3"/>
      <sheetName val="Page_7-11a1-III3"/>
      <sheetName val="Page_7-11a23"/>
      <sheetName val="Page_7-153"/>
      <sheetName val="Page_7-16a3"/>
      <sheetName val="Page_7-16b3"/>
      <sheetName val="Page_83"/>
      <sheetName val="Steel_Payment_Doc3"/>
      <sheetName val="_3"/>
      <sheetName val="DB_ET200(R__A)3"/>
      <sheetName val="SP&amp;ST_제출가3"/>
      <sheetName val="[Spt-BH.xls][Spt-BH.xls]B___917"/>
      <sheetName val="[Spt-BH.xls][Spt-BH.xls]B___918"/>
      <sheetName val="[Spt-BH.xls][Spt-BH.xls]B___919"/>
      <sheetName val="[Spt-BH.xls][Spt-BH.xls]B___920"/>
      <sheetName val="[Spt-BH.xls][Spt-BH.xls]B___921"/>
      <sheetName val="[Spt-BH.xls][Spt-BH.xls]B___922"/>
      <sheetName val="[Spt-BH.xls]B____x005f_x0004_______74"/>
      <sheetName val="[Spt-BH.xls]B___x005f_x0000__x005f_x0004_74"/>
      <sheetName val="[Spt-BH.xls][Spt-BH.xls]B___923"/>
      <sheetName val="[Spt-BH.xls]B____x005f_x0004_______73"/>
      <sheetName val="[Spt-BH.xls]B___x005f_x0000__x005f_x0004_73"/>
      <sheetName val="[Spt-BH.xls][Spt-BH.xls]B___916"/>
      <sheetName val="[Spt-BH.xls]B____x005f_x0004_______75"/>
      <sheetName val="[Spt-BH.xls]B___x005f_x0000__x005f_x0004_75"/>
      <sheetName val="[Spt-BH.xls][Spt-BH.xls]B___924"/>
      <sheetName val="[Spt-BH.xls][Spt-BH.xls]B___925"/>
      <sheetName val="[Spt-BH.xls][Spt-BH.xls]B___926"/>
      <sheetName val="[Spt-BH.xls][Spt-BH.xls]B___927"/>
      <sheetName val="[Spt-BH.xls][Spt-BH.xls]B___928"/>
      <sheetName val="[Spt-BH.xls][Spt-BH.xls]B___929"/>
      <sheetName val="[Spt-BH.xls][Spt-BH.xls]_Sp_326"/>
      <sheetName val="[Spt-BH.xls][Spt-BH.xls]_Sp_327"/>
      <sheetName val="[Spt-BH.xls][Spt-BH.xls]B___930"/>
      <sheetName val="[Spt-BH.xls][Spt-BH.xls]_Sp_328"/>
      <sheetName val="[Spt-BH.xls][Spt-BH.xls]B___931"/>
      <sheetName val="[Spt-BH.xls][Spt-BH.xls]B___932"/>
      <sheetName val="[Spt-BH.xls][Spt-BH.xls]_Sp_330"/>
      <sheetName val="[Spt-BH.xls][Spt-BH.xls]B___933"/>
      <sheetName val="[Spt-BH.xls][Spt-BH.xls]B___934"/>
      <sheetName val="[Spt-BH.xls][Spt-BH.xls]B___935"/>
      <sheetName val="[Spt-BH.xls][Spt-BH.xls]_Sp_329"/>
      <sheetName val="[Spt-BH.xls][Spt-BH.xls]B___937"/>
      <sheetName val="[Spt-BH.xls][Spt-BH.xls]B___938"/>
      <sheetName val="[Spt-BH.xls][Spt-BH.xls]B___939"/>
      <sheetName val="[Spt-BH.xls][Spt-BH.xls]_Sp_332"/>
      <sheetName val="[Spt-BH.xls][Spt-BH.xls]B___940"/>
      <sheetName val="[Spt-BH.xls][Spt-BH.xls]B___941"/>
      <sheetName val="[Spt-BH.xls][Spt-BH.xls]B___942"/>
      <sheetName val="[Spt-BH.xls][Spt-BH.xls]_Sp_331"/>
      <sheetName val="[Spt-BH.xls][Spt-BH.xls]B___936"/>
      <sheetName val="[Spt-BH.xls][Spt-BH.xls]_Sp_334"/>
      <sheetName val="[Spt-BH.xls][Spt-BH.xls]B___950"/>
      <sheetName val="[Spt-BH.xls][Spt-BH.xls]B___951"/>
      <sheetName val="[Spt-BH.xls][Spt-BH.xls]B___952"/>
      <sheetName val="[Spt-BH.xls][Spt-BH.xls]_Sp_338"/>
      <sheetName val="[Spt-BH.xls][Spt-BH.xls]B___953"/>
      <sheetName val="[Spt-BH.xls][Spt-BH.xls]B___954"/>
      <sheetName val="[Spt-BH.xls][Spt-BH.xls]B___955"/>
      <sheetName val="[Spt-BH.xls][Spt-BH.xls]_Sp_335"/>
      <sheetName val="[Spt-BH.xls][Spt-BH.xls]B___964"/>
      <sheetName val="[Spt-BH.xls][Spt-BH.xls]B___965"/>
      <sheetName val="[Spt-BH.xls][Spt-BH.xls]B___966"/>
      <sheetName val="[Spt-BH.xls][Spt-BH.xls]B___967"/>
      <sheetName val="[Spt-BH.xls][Spt-BH.xls]B___968"/>
      <sheetName val="[Spt-BH.xls]B____x005f_x0004_______77"/>
      <sheetName val="[Spt-BH.xls]B___x005f_x0000__x005f_x0004_77"/>
      <sheetName val="[Spt-BH.xls][Spt-BH.xls]B___969"/>
      <sheetName val="[Spt-BH.xls][Spt-BH.xls]_Sp_339"/>
      <sheetName val="[Spt-BH.xls][Spt-BH.xls]B___956"/>
      <sheetName val="[Spt-BH.xls][Spt-BH.xls]B___943"/>
      <sheetName val="[Spt-BH.xls][Spt-BH.xls]B___944"/>
      <sheetName val="[Spt-BH.xls][Spt-BH.xls]B___945"/>
      <sheetName val="[Spt-BH.xls][Spt-BH.xls]B___946"/>
      <sheetName val="[Spt-BH.xls][Spt-BH.xls]B___947"/>
      <sheetName val="[Spt-BH.xls][Spt-BH.xls]B___948"/>
      <sheetName val="[Spt-BH.xls][Spt-BH.xls]_Sp_333"/>
      <sheetName val="[Spt-BH.xls]B____x005f_x0004_______76"/>
      <sheetName val="[Spt-BH.xls]B___x005f_x0000__x005f_x0004_76"/>
      <sheetName val="[Spt-BH.xls][Spt-BH.xls]B___949"/>
      <sheetName val="[Spt-BH.xls]B____x005f_x0004_______79"/>
      <sheetName val="[Spt-BH.xls]B___x005f_x0000__x005f_x0004_79"/>
      <sheetName val="[Spt-BH.xls][Spt-BH.xls]B___970"/>
      <sheetName val="[Spt-BH.xls][Spt-BH.xls]_Sp_336"/>
      <sheetName val="[Spt-BH.xls][Spt-BH.xls]B___957"/>
      <sheetName val="[Spt-BH.xls][Spt-BH.xls]B___958"/>
      <sheetName val="[Spt-BH.xls][Spt-BH.xls]B___959"/>
      <sheetName val="[Spt-BH.xls][Spt-BH.xls]B___960"/>
      <sheetName val="[Spt-BH.xls][Spt-BH.xls]B___961"/>
      <sheetName val="[Spt-BH.xls][Spt-BH.xls]B___962"/>
      <sheetName val="[Spt-BH.xls][Spt-BH.xls]_Sp_337"/>
      <sheetName val="[Spt-BH.xls]B____x005f_x0004_______78"/>
      <sheetName val="[Spt-BH.xls]B___x005f_x0000__x005f_x0004_78"/>
      <sheetName val="[Spt-BH.xls][Spt-BH.xls]B___963"/>
      <sheetName val="[Spt-BH.xls]B____x005f_x0004_______80"/>
      <sheetName val="[Spt-BH.xls]B___x005f_x0000__x005f_x0004_80"/>
      <sheetName val="[Spt-BH.xls][Spt-BH.xls]B___971"/>
      <sheetName val="[Spt-BH.xls][Spt-BH.xls]B___972"/>
      <sheetName val="[Spt-BH.xls][Spt-BH.xls]B___973"/>
      <sheetName val="[Spt-BH.xls][Spt-BH.xls]B___974"/>
      <sheetName val="[Spt-BH.xls][Spt-BH.xls]B___975"/>
      <sheetName val="[Spt-BH.xls][Spt-BH.xls]B___976"/>
      <sheetName val="[Spt-BH.xls][Spt-BH.xls]_Sp_340"/>
      <sheetName val="[Spt-BH.xls][Spt-BH.xls]_Sp_341"/>
      <sheetName val="[Spt-BH.xls][Spt-BH.xls]B___977"/>
      <sheetName val="[Spt-BH.xls]B____x005f_x0004_______81"/>
      <sheetName val="[Spt-BH.xls]B___x005f_x0000__x005f_x0004_81"/>
      <sheetName val="[Spt-BH.xls][Spt-BH.xls]B___978"/>
      <sheetName val="[Spt-BH.xls][Spt-BH.xls]B___979"/>
      <sheetName val="[Spt-BH.xls][Spt-BH.xls]B___980"/>
      <sheetName val="[Spt-BH.xls][Spt-BH.xls]B___981"/>
      <sheetName val="[Spt-BH.xls][Spt-BH.xls]B___982"/>
      <sheetName val="[Spt-BH.xls][Spt-BH.xls]B___983"/>
      <sheetName val="[Spt-BH.xls][Spt-BH.xls]_Sp_342"/>
      <sheetName val="[Spt-BH.xls][Spt-BH.xls]_Sp_343"/>
      <sheetName val="[Spt-BH.xls][Spt-BH.xls]B___984"/>
      <sheetName val="[Spt-BH.xls]B____x005f_x0004_______82"/>
      <sheetName val="[Spt-BH.xls]B___x005f_x0000__x005f_x0004_82"/>
      <sheetName val="[Spt-BH.xls][Spt-BH.xls]B___985"/>
      <sheetName val="[Spt-BH.xls][Spt-BH.xls]B___986"/>
      <sheetName val="[Spt-BH.xls][Spt-BH.xls]B___987"/>
      <sheetName val="[Spt-BH.xls][Spt-BH.xls]B___988"/>
      <sheetName val="[Spt-BH.xls][Spt-BH.xls]B___989"/>
      <sheetName val="[Spt-BH.xls][Spt-BH.xls]B___990"/>
      <sheetName val="[Spt-BH.xls][Spt-BH.xls]_Sp_344"/>
      <sheetName val="[Spt-BH.xls][Spt-BH.xls]_Sp_345"/>
      <sheetName val="[Spt-BH.xls][Spt-BH.xls]B___991"/>
      <sheetName val="[Spt-BH.xls]B____x005f_x0004_______83"/>
      <sheetName val="[Spt-BH.xls]B___x005f_x0000__x005f_x0004_83"/>
      <sheetName val="[Spt-BH.xls][Spt-BH.xls]B___992"/>
      <sheetName val="[Spt-BH.xls][Spt-BH.xls]B___993"/>
      <sheetName val="[Spt-BH.xls][Spt-BH.xls]B___994"/>
      <sheetName val="[Spt-BH.xls][Spt-BH.xls]B___995"/>
      <sheetName val="[Spt-BH.xls][Spt-BH.xls]B___996"/>
      <sheetName val="[Spt-BH.xls][Spt-BH.xls]B___997"/>
      <sheetName val="[Spt-BH.xls][Spt-BH.xls]_Sp_346"/>
      <sheetName val="[Spt-BH.xls][Spt-BH.xls]_Sp_347"/>
      <sheetName val="[Spt-BH.xls][Spt-BH.xls]B___998"/>
      <sheetName val="[Spt-BH.xls][Spt-BH.xls]B___999"/>
      <sheetName val="[Spt-BH.xls][Spt-BH.xls]B__1000"/>
      <sheetName val="[Spt-BH.xls][Spt-BH.xls]B__1001"/>
      <sheetName val="[Spt-BH.xls][Spt-BH.xls]B__1002"/>
      <sheetName val="[Spt-BH.xls][Spt-BH.xls]B__1003"/>
      <sheetName val="[Spt-BH.xls][Spt-BH.xls]_Sp_348"/>
      <sheetName val="[Spt-BH.xls][Spt-BH.xls]B__1004"/>
      <sheetName val="[Spt-BH.xls][Spt-BH.xls]_Sp_349"/>
      <sheetName val="[Spt-BH.xls]B____x005f_x0004_______84"/>
      <sheetName val="[Spt-BH.xls]B___x005f_x0000__x005f_x0004_84"/>
      <sheetName val="[Spt-BH.xls][Spt-BH.xls]B__1005"/>
      <sheetName val="[Spt-BH.xls][Spt-BH.xls]B__1006"/>
      <sheetName val="[Spt-BH.xls][Spt-BH.xls]B__1007"/>
      <sheetName val="[Spt-BH.xls][Spt-BH.xls]B__1008"/>
      <sheetName val="[Spt-BH.xls][Spt-BH.xls]B__1009"/>
      <sheetName val="[Spt-BH.xls][Spt-BH.xls]B__1010"/>
      <sheetName val="[Spt-BH.xls][Spt-BH.xls]_Sp_350"/>
      <sheetName val="[Spt-BH.xls][Spt-BH.xls]_Sp_351"/>
      <sheetName val="[Spt-BH.xls][Spt-BH.xls]B__1011"/>
      <sheetName val="[Spt-BH.xls]B____x005f_x0004_______85"/>
      <sheetName val="[Spt-BH.xls]B___x005f_x0000__x005f_x0004_85"/>
      <sheetName val="[Spt-BH.xls][Spt-BH.xls]B__1012"/>
      <sheetName val="[Spt-BH.xls][Spt-BH.xls]B__1013"/>
      <sheetName val="[Spt-BH.xls][Spt-BH.xls]B__1014"/>
      <sheetName val="[Spt-BH.xls][Spt-BH.xls]B__1015"/>
      <sheetName val="[Spt-BH.xls][Spt-BH.xls]B__1016"/>
      <sheetName val="[Spt-BH.xls][Spt-BH.xls]B__1017"/>
      <sheetName val="[Spt-BH.xls][Spt-BH.xls]_Sp_352"/>
      <sheetName val="[Spt-BH.xls][Spt-BH.xls]_Sp_353"/>
      <sheetName val="[Spt-BH.xls][Spt-BH.xls]B__1018"/>
      <sheetName val="[Spt-BH.xls][Spt-BH.xls]B__1032"/>
      <sheetName val="[Spt-BH.xls][Spt-BH.xls]B__1033"/>
      <sheetName val="[Spt-BH.xls][Spt-BH.xls]B__1034"/>
      <sheetName val="[Spt-BH.xls][Spt-BH.xls]_Sp_363"/>
      <sheetName val="[Spt-BH.xls][Spt-BH.xls]B__1035"/>
      <sheetName val="[Spt-BH.xls][Spt-BH.xls]B__1036"/>
      <sheetName val="[Spt-BH.xls][Spt-BH.xls]_Sp_359"/>
      <sheetName val="[Spt-BH.xls][Spt-BH.xls]B__1037"/>
      <sheetName val="[Spt-BH.xls][Spt-BH.xls]_Sp_360"/>
      <sheetName val="[Spt-BH.xls][Spt-BH.xls]B__1046"/>
      <sheetName val="[Spt-BH.xls][Spt-BH.xls]B__1047"/>
      <sheetName val="[Spt-BH.xls][Spt-BH.xls]B__1048"/>
      <sheetName val="[Spt-BH.xls][Spt-BH.xls]_Sp_365"/>
      <sheetName val="[Spt-BH.xls][Spt-BH.xls]B__1049"/>
      <sheetName val="[Spt-BH.xls][Spt-BH.xls]B__1050"/>
      <sheetName val="[Spt-BH.xls]B____x005f_x0004_______87"/>
      <sheetName val="[Spt-BH.xls]B___x005f_x0000__x005f_x0004_87"/>
      <sheetName val="[Spt-BH.xls][Spt-BH.xls]B__1051"/>
      <sheetName val="[Spt-BH.xls][Spt-BH.xls]_Sp_364"/>
      <sheetName val="[Spt-BH.xls][Spt-BH.xls]B__1038"/>
      <sheetName val="[Spt-BH.xls][Spt-BH.xls]B__1039"/>
      <sheetName val="[Spt-BH.xls][Spt-BH.xls]B__1040"/>
      <sheetName val="[Spt-BH.xls][Spt-BH.xls]B__1041"/>
      <sheetName val="[Spt-BH.xls][Spt-BH.xls]B__1042"/>
      <sheetName val="[Spt-BH.xls][Spt-BH.xls]B__1043"/>
      <sheetName val="[Spt-BH.xls][Spt-BH.xls]_Sp_361"/>
      <sheetName val="[Spt-BH.xls][Spt-BH.xls]B__1044"/>
      <sheetName val="[Spt-BH.xls][Spt-BH.xls]_Sp_362"/>
      <sheetName val="[Spt-BH.xls]B____x005f_x0004_______88"/>
      <sheetName val="[Spt-BH.xls]B___x005f_x0000__x005f_x0004_88"/>
      <sheetName val="[Spt-BH.xls][Spt-BH.xls]B__1045"/>
      <sheetName val="[Spt-BH.xls][Spt-BH.xls]_Sp_366"/>
      <sheetName val="[Spt-BH.xls][Spt-BH.xls]B__1052"/>
      <sheetName val="[Spt-BH.xls][Spt-BH.xls]B__1053"/>
      <sheetName val="[Spt-BH.xls][Spt-BH.xls]B__1054"/>
      <sheetName val="[Spt-BH.xls][Spt-BH.xls]B__1055"/>
      <sheetName val="[Spt-BH.xls][Spt-BH.xls]B__1056"/>
      <sheetName val="[Spt-BH.xls][Spt-BH.xls]B__1057"/>
      <sheetName val="[Spt-BH.xls][Spt-BH.xls]_Sp_367"/>
      <sheetName val="[Spt-BH.xls][Spt-BH.xls]_Sp_370"/>
      <sheetName val="[Spt-BH.xls][Spt-BH.xls]B__1065"/>
      <sheetName val="[Spt-BH.xls][Spt-BH.xls]B__1066"/>
      <sheetName val="[Spt-BH.xls][Spt-BH.xls]B__1067"/>
      <sheetName val="[Spt-BH.xls][Spt-BH.xls]B__1068"/>
      <sheetName val="[Spt-BH.xls][Spt-BH.xls]B__1069"/>
      <sheetName val="[Spt-BH.xls][Spt-BH.xls]B__1070"/>
      <sheetName val="[Spt-BH.xls][Spt-BH.xls]_Sp_371"/>
      <sheetName val="[Spt-BH.xls][Spt-BH.xls]_Sp_368"/>
      <sheetName val="[Spt-BH.xls][Spt-BH.xls]B__1059"/>
      <sheetName val="[Spt-BH.xls][Spt-BH.xls]B__1060"/>
      <sheetName val="[Spt-BH.xls][Spt-BH.xls]B__1061"/>
      <sheetName val="[Spt-BH.xls][Spt-BH.xls]B__1062"/>
      <sheetName val="[Spt-BH.xls][Spt-BH.xls]B__1063"/>
      <sheetName val="[Spt-BH.xls]B____x005f_x0004_______89"/>
      <sheetName val="[Spt-BH.xls]B___x005f_x0000__x005f_x0004_89"/>
      <sheetName val="[Spt-BH.xls][Spt-BH.xls]B__1064"/>
      <sheetName val="[Spt-BH.xls][Spt-BH.xls]_Sp_369"/>
      <sheetName val="[Spt-BH.xls][Spt-BH.xls]B__1058"/>
      <sheetName val="[Spt-BH.xls][Spt-BH.xls]B__1071"/>
      <sheetName val="[Spt-BH.xls][Spt-BH.xls]B__1072"/>
      <sheetName val="[Spt-BH.xls][Spt-BH.xls]B__1073"/>
      <sheetName val="[Spt-BH.xls][Spt-BH.xls]B__1074"/>
      <sheetName val="[Spt-BH.xls][Spt-BH.xls]B__1075"/>
      <sheetName val="[Spt-BH.xls][Spt-BH.xls]B__1076"/>
      <sheetName val="[Spt-BH.xls][Spt-BH.xls]_Sp_372"/>
      <sheetName val="[Spt-BH.xls][Spt-BH.xls]_Sp_373"/>
      <sheetName val="[Spt-BH.xls]B____x005f_x0004_______90"/>
      <sheetName val="[Spt-BH.xls]B___x005f_x0000__x005f_x0004_90"/>
      <sheetName val="[Spt-BH.xls][Spt-BH.xls]B__1077"/>
      <sheetName val="[Spt-BH.xls][Spt-BH.xls]B__1078"/>
      <sheetName val="[Spt-BH.xls][Spt-BH.xls]B__1079"/>
      <sheetName val="[Spt-BH.xls][Spt-BH.xls]B__1080"/>
      <sheetName val="[Spt-BH.xls][Spt-BH.xls]B__1081"/>
      <sheetName val="[Spt-BH.xls][Spt-BH.xls]B__1082"/>
      <sheetName val="[Spt-BH.xls][Spt-BH.xls]B__1083"/>
      <sheetName val="[Spt-BH.xls][Spt-BH.xls]_Sp_374"/>
      <sheetName val="[Spt-BH.xls][Spt-BH.xls]_Sp_375"/>
      <sheetName val="[Spt-BH.xls]B____x005f_x0004_______91"/>
      <sheetName val="[Spt-BH.xls]B___x005f_x0000__x005f_x0004_91"/>
      <sheetName val="[Spt-BH.xls][Spt-BH.xls]B__1084"/>
      <sheetName val="[Spt-BH.xls][Spt-BH.xls]B__1085"/>
      <sheetName val="[Spt-BH.xls][Spt-BH.xls]B__1086"/>
      <sheetName val="[Spt-BH.xls][Spt-BH.xls]B__1087"/>
      <sheetName val="[Spt-BH.xls][Spt-BH.xls]B__1088"/>
      <sheetName val="[Spt-BH.xls][Spt-BH.xls]B__1089"/>
      <sheetName val="[Spt-BH.xls][Spt-BH.xls]B__1090"/>
      <sheetName val="[Spt-BH.xls][Spt-BH.xls]_Sp_376"/>
      <sheetName val="[Spt-BH.xls][Spt-BH.xls]_Sp_377"/>
      <sheetName val="[Spt-BH.xls]B____x005f_x0004_______92"/>
      <sheetName val="[Spt-BH.xls]B___x005f_x0000__x005f_x0004_92"/>
      <sheetName val="[Spt-BH.xls][Spt-BH.xls]B__1091"/>
      <sheetName val="[Spt-BH.xls][Spt-BH.xls]B__1092"/>
      <sheetName val="[Spt-BH.xls][Spt-BH.xls]B__1093"/>
      <sheetName val="[Spt-BH.xls][Spt-BH.xls]B__1094"/>
      <sheetName val="[Spt-BH.xls][Spt-BH.xls]B__1095"/>
      <sheetName val="[Spt-BH.xls][Spt-BH.xls]B__1096"/>
      <sheetName val="[Spt-BH.xls][Spt-BH.xls]B__1097"/>
      <sheetName val="[Spt-BH.xls][Spt-BH.xls]_Sp_378"/>
      <sheetName val="[Spt-BH.xls][Spt-BH.xls]_Sp_379"/>
      <sheetName val="[Spt-BH.xls]B____x005f_x0004_______93"/>
      <sheetName val="[Spt-BH.xls]B___x005f_x0000__x005f_x0004_93"/>
      <sheetName val="[Spt-BH.xls][Spt-BH.xls]B__1098"/>
      <sheetName val="[Spt-BH.xls][Spt-BH.xls]_Sp_384"/>
      <sheetName val="[Spt-BH.xls][Spt-BH.xls]B__1113"/>
      <sheetName val="[Spt-BH.xls][Spt-BH.xls]B__1114"/>
      <sheetName val="[Spt-BH.xls][Spt-BH.xls]B__1115"/>
      <sheetName val="[Spt-BH.xls][Spt-BH.xls]_Sp_386"/>
      <sheetName val="[Spt-BH.xls][Spt-BH.xls]B__1116"/>
      <sheetName val="[Spt-BH.xls][Spt-BH.xls]B__1117"/>
      <sheetName val="[Spt-BH.xls][Spt-BH.xls]B__1118"/>
      <sheetName val="[Spt-BH.xls][Spt-BH.xls]_Sp_385"/>
      <sheetName val="[Spt-BH.xls][Spt-BH.xls]B__1120"/>
      <sheetName val="[Spt-BH.xls][Spt-BH.xls]B__1121"/>
      <sheetName val="[Spt-BH.xls][Spt-BH.xls]B__1122"/>
      <sheetName val="[Spt-BH.xls][Spt-BH.xls]_Sp_388"/>
      <sheetName val="[Spt-BH.xls][Spt-BH.xls]B__1123"/>
      <sheetName val="[Spt-BH.xls][Spt-BH.xls]B__1124"/>
      <sheetName val="[Spt-BH.xls]B____x005f_x0004_______96"/>
      <sheetName val="[Spt-BH.xls]B___x005f_x0000__x005f_x0004_96"/>
      <sheetName val="[Spt-BH.xls][Spt-BH.xls]B__1125"/>
      <sheetName val="[Spt-BH.xls][Spt-BH.xls]_Sp_387"/>
      <sheetName val="[Spt-BH.xls][Spt-BH.xls]B__1119"/>
      <sheetName val="[Spt-BH.xls][Spt-BH.xls]B__1099"/>
      <sheetName val="[Spt-BH.xls][Spt-BH.xls]B__1100"/>
      <sheetName val="[Spt-BH.xls][Spt-BH.xls]B__1101"/>
      <sheetName val="[Spt-BH.xls][Spt-BH.xls]B__1102"/>
      <sheetName val="[Spt-BH.xls][Spt-BH.xls]B__1103"/>
      <sheetName val="[Spt-BH.xls][Spt-BH.xls]B__1104"/>
      <sheetName val="[Spt-BH.xls][Spt-BH.xls]_Sp_380"/>
      <sheetName val="[Spt-BH.xls][Spt-BH.xls]_Sp_381"/>
      <sheetName val="[Spt-BH.xls]B____x005f_x0004_______94"/>
      <sheetName val="[Spt-BH.xls]B___x005f_x0000__x005f_x0004_94"/>
      <sheetName val="[Spt-BH.xls][Spt-BH.xls]B__1105"/>
      <sheetName val="[Spt-BH.xls][Spt-BH.xls]_Sp_382"/>
      <sheetName val="[Spt-BH.xls][Spt-BH.xls]B__1106"/>
      <sheetName val="[Spt-BH.xls][Spt-BH.xls]B__1107"/>
      <sheetName val="[Spt-BH.xls][Spt-BH.xls]B__1108"/>
      <sheetName val="[Spt-BH.xls][Spt-BH.xls]B__1109"/>
      <sheetName val="[Spt-BH.xls][Spt-BH.xls]B__1110"/>
      <sheetName val="[Spt-BH.xls][Spt-BH.xls]B__1111"/>
      <sheetName val="[Spt-BH.xls][Spt-BH.xls]_Sp_383"/>
      <sheetName val="[Spt-BH.xls]B____x005f_x0004_______95"/>
      <sheetName val="[Spt-BH.xls]B___x005f_x0000__x005f_x0004_95"/>
      <sheetName val="[Spt-BH.xls][Spt-BH.xls]B__1112"/>
      <sheetName val="[Spt-BH.xls][Spt-BH.xls]_Sp_395"/>
      <sheetName val="[Spt-BH.xls][Spt-BH.xls]B__1144"/>
      <sheetName val="[Spt-BH.xls][Spt-BH.xls]B__1145"/>
      <sheetName val="[Spt-BH.xls][Spt-BH.xls]B__1146"/>
      <sheetName val="[Spt-BH.xls][Spt-BH.xls]_Sp_399"/>
      <sheetName val="[Spt-BH.xls][Spt-BH.xls]B__1147"/>
      <sheetName val="[Spt-BH.xls][Spt-BH.xls]B__1148"/>
      <sheetName val="[Spt-BH.xls][Spt-BH.xls]B__1149"/>
      <sheetName val="[Spt-BH.xls][Spt-BH.xls]_Sp_396"/>
      <sheetName val="[Spt-BH.xls][Spt-BH.xls]B__1132"/>
      <sheetName val="[Spt-BH.xls][Spt-BH.xls]B__1133"/>
      <sheetName val="[Spt-BH.xls][Spt-BH.xls]B__1134"/>
      <sheetName val="[Spt-BH.xls][Spt-BH.xls]B__1135"/>
      <sheetName val="[Spt-BH.xls][Spt-BH.xls]B__1136"/>
      <sheetName val="[Spt-BH.xls]B____x005f_x0004_______97"/>
      <sheetName val="[Spt-BH.xls]B___x005f_x0000__x005f_x0004_97"/>
      <sheetName val="[Spt-BH.xls][Spt-BH.xls]B__1137"/>
      <sheetName val="[Spt-BH.xls][Spt-BH.xls]B__1126"/>
      <sheetName val="[Spt-BH.xls][Spt-BH.xls]B__1127"/>
      <sheetName val="[Spt-BH.xls][Spt-BH.xls]_Sp_391"/>
      <sheetName val="[Spt-BH.xls][Spt-BH.xls]B__1128"/>
      <sheetName val="[Spt-BH.xls][Spt-BH.xls]B__1129"/>
      <sheetName val="[Spt-BH.xls][Spt-BH.xls]B__1130"/>
      <sheetName val="[Spt-BH.xls][Spt-BH.xls]_Sp_389"/>
      <sheetName val="[Spt-BH.xls][Spt-BH.xls]B__1131"/>
      <sheetName val="[Spt-BH.xls][Spt-BH.xls]_Sp_392"/>
      <sheetName val="[Spt-BH.xls][Spt-BH.xls]_Sp_390"/>
      <sheetName val="[Spt-BH.xls][Spt-BH.xls]_Sp_393"/>
      <sheetName val="[Spt-BH.xls][Spt-BH.xls]B__1138"/>
      <sheetName val="[Spt-BH.xls][Spt-BH.xls]B__1139"/>
      <sheetName val="[Spt-BH.xls][Spt-BH.xls]B__1140"/>
      <sheetName val="[Spt-BH.xls][Spt-BH.xls]B__1141"/>
      <sheetName val="[Spt-BH.xls][Spt-BH.xls]B__1142"/>
      <sheetName val="[Spt-BH.xls][Spt-BH.xls]B__1143"/>
      <sheetName val="[Spt-BH.xls][Spt-BH.xls]_Sp_394"/>
      <sheetName val="[Spt-BH.xls][Spt-BH.xls]_Sp_397"/>
      <sheetName val="[Spt-BH.xls][Spt-BH.xls]B__1150"/>
      <sheetName val="[Spt-BH.xls][Spt-BH.xls]B__1151"/>
      <sheetName val="[Spt-BH.xls][Spt-BH.xls]B__1152"/>
      <sheetName val="[Spt-BH.xls][Spt-BH.xls]B__1153"/>
      <sheetName val="[Spt-BH.xls][Spt-BH.xls]B__1154"/>
      <sheetName val="[Spt-BH.xls][Spt-BH.xls]B__1155"/>
      <sheetName val="[Spt-BH.xls][Spt-BH.xls]_Sp_398"/>
      <sheetName val="[Spt-BH.xls][Spt-BH.xls]B__1157"/>
      <sheetName val="[Spt-BH.xls][Spt-BH.xls]B__1158"/>
      <sheetName val="[Spt-BH.xls][Spt-BH.xls]B__1159"/>
      <sheetName val="[Spt-BH.xls][Spt-BH.xls]B__1160"/>
      <sheetName val="[Spt-BH.xls][Spt-BH.xls]B__1161"/>
      <sheetName val="[Spt-BH.xls]B____x005f_x0004_______98"/>
      <sheetName val="[Spt-BH.xls]B___x005f_x0000__x005f_x0004_98"/>
      <sheetName val="[Spt-BH.xls][Spt-BH.xls]B__1162"/>
      <sheetName val="[Spt-BH.xls][Spt-BH.xls]_Sp_400"/>
      <sheetName val="[Spt-BH.xls][Spt-BH.xls]B__1156"/>
      <sheetName val="[Spt-BH.xls][Spt-BH.xls]B__1163"/>
      <sheetName val="[Spt-BH.xls][Spt-BH.xls]B__1164"/>
      <sheetName val="[Spt-BH.xls][Spt-BH.xls]B__1165"/>
      <sheetName val="[Spt-BH.xls][Spt-BH.xls]_Sp_403"/>
      <sheetName val="[Spt-BH.xls][Spt-BH.xls]B__1166"/>
      <sheetName val="[Spt-BH.xls][Spt-BH.xls]B__1167"/>
      <sheetName val="[Spt-BH.xls][Spt-BH.xls]B__1168"/>
      <sheetName val="[Spt-BH.xls][Spt-BH.xls]_Sp_401"/>
      <sheetName val="[Spt-BH.xls][Spt-BH.xls]_Sp_402"/>
      <sheetName val="[Spt-BH.xls][Spt-BH.xls]B__1170"/>
      <sheetName val="[Spt-BH.xls][Spt-BH.xls]B__1171"/>
      <sheetName val="[Spt-BH.xls][Spt-BH.xls]B__1172"/>
      <sheetName val="[Spt-BH.xls][Spt-BH.xls]B__1173"/>
      <sheetName val="[Spt-BH.xls][Spt-BH.xls]B__1174"/>
      <sheetName val="[Spt-BH.xls]B____x005f_x0004_______99"/>
      <sheetName val="[Spt-BH.xls]B___x005f_x0000__x005f_x0004_99"/>
      <sheetName val="[Spt-BH.xls][Spt-BH.xls]B__1175"/>
      <sheetName val="[Spt-BH.xls][Spt-BH.xls]_Sp_404"/>
      <sheetName val="[Spt-BH.xls][Spt-BH.xls]B__1169"/>
      <sheetName val="[Spt-BH.xls][Spt-BH.xls]B__1189"/>
      <sheetName val="[Spt-BH.xls][Spt-BH.xls]B__1190"/>
      <sheetName val="[Spt-BH.xls][Spt-BH.xls]B__1191"/>
      <sheetName val="[Spt-BH.xls][Spt-BH.xls]B__1192"/>
      <sheetName val="[Spt-BH.xls][Spt-BH.xls]B__1193"/>
      <sheetName val="[Spt-BH.xls][Spt-BH.xls]B__1194"/>
      <sheetName val="[Spt-BH.xls][Spt-BH.xls]_Sp_410"/>
      <sheetName val="[Spt-BH.xls][Spt-BH.xls]_Sp_411"/>
      <sheetName val="[Spt-BH.xls]B____x005f_x0004______101"/>
      <sheetName val="[Spt-BH.xls]B___x005f_x0000__x000_101"/>
      <sheetName val="[Spt-BH.xls][Spt-BH.xls]B__1195"/>
      <sheetName val="[Spt-BH.xls][Spt-BH.xls]B__1176"/>
      <sheetName val="[Spt-BH.xls][Spt-BH.xls]B__1177"/>
      <sheetName val="[Spt-BH.xls][Spt-BH.xls]B__1178"/>
      <sheetName val="[Spt-BH.xls][Spt-BH.xls]_Sp_407"/>
      <sheetName val="[Spt-BH.xls][Spt-BH.xls]B__1179"/>
      <sheetName val="[Spt-BH.xls][Spt-BH.xls]B__1180"/>
      <sheetName val="[Spt-BH.xls][Spt-BH.xls]B__1181"/>
      <sheetName val="[Spt-BH.xls][Spt-BH.xls]_Sp_405"/>
      <sheetName val="[Spt-BH.xls][Spt-BH.xls]_Sp_406"/>
      <sheetName val="[Spt-BH.xls][Spt-BH.xls]B__1183"/>
      <sheetName val="[Spt-BH.xls][Spt-BH.xls]B__1184"/>
      <sheetName val="[Spt-BH.xls][Spt-BH.xls]B__1185"/>
      <sheetName val="[Spt-BH.xls][Spt-BH.xls]_Sp_409"/>
      <sheetName val="[Spt-BH.xls][Spt-BH.xls]B__1186"/>
      <sheetName val="[Spt-BH.xls][Spt-BH.xls]B__1187"/>
      <sheetName val="[Spt-BH.xls]B____x005f_x0004______100"/>
      <sheetName val="[Spt-BH.xls]B___x005f_x0000__x000_100"/>
      <sheetName val="[Spt-BH.xls][Spt-BH.xls]B__1188"/>
      <sheetName val="[Spt-BH.xls][Spt-BH.xls]_Sp_408"/>
      <sheetName val="[Spt-BH.xls][Spt-BH.xls]B__1182"/>
      <sheetName val="[Spt-BH.xls][Spt-BH.xls]B__1209"/>
      <sheetName val="[Spt-BH.xls][Spt-BH.xls]B__1210"/>
      <sheetName val="[Spt-BH.xls][Spt-BH.xls]_Sp_418"/>
      <sheetName val="[Spt-BH.xls][Spt-BH.xls]B__1211"/>
      <sheetName val="[Spt-BH.xls][Spt-BH.xls]B__1212"/>
      <sheetName val="[Spt-BH.xls][Spt-BH.xls]B__1213"/>
      <sheetName val="[Spt-BH.xls][Spt-BH.xls]B__1214"/>
      <sheetName val="[Spt-BH.xls][Spt-BH.xls]_Sp_417"/>
      <sheetName val="[Spt-BH.xls][Spt-BH.xls]_Sp_420"/>
      <sheetName val="[Spt-BH.xls][Spt-BH.xls]_Sp_419"/>
      <sheetName val="[Spt-BH.xls][Spt-BH.xls]_Sp_436"/>
      <sheetName val="[Spt-BH.xls][Spt-BH.xls]_Sp_422"/>
      <sheetName val="[Spt-BH.xls][Spt-BH.xls]B__1222"/>
      <sheetName val="[Spt-BH.xls][Spt-BH.xls]B__1223"/>
      <sheetName val="[Spt-BH.xls][Spt-BH.xls]B__1224"/>
      <sheetName val="[Spt-BH.xls][Spt-BH.xls]B__1225"/>
      <sheetName val="[Spt-BH.xls][Spt-BH.xls]B__1226"/>
      <sheetName val="[Spt-BH.xls][Spt-BH.xls]B__1227"/>
      <sheetName val="[Spt-BH.xls][Spt-BH.xls]_Sp_421"/>
      <sheetName val="[Spt-BH.xls][Spt-BH.xls]B__1229"/>
      <sheetName val="[Spt-BH.xls][Spt-BH.xls]B__1230"/>
      <sheetName val="[Spt-BH.xls][Spt-BH.xls]B__1231"/>
      <sheetName val="[Spt-BH.xls][Spt-BH.xls]_Sp_424"/>
      <sheetName val="[Spt-BH.xls][Spt-BH.xls]B__1232"/>
      <sheetName val="[Spt-BH.xls][Spt-BH.xls]B__1233"/>
      <sheetName val="[Spt-BH.xls]B____x005f_x0004______104"/>
      <sheetName val="[Spt-BH.xls]B___x005f_x0000__x000_104"/>
      <sheetName val="[Spt-BH.xls][Spt-BH.xls]B__1234"/>
      <sheetName val="[Spt-BH.xls][Spt-BH.xls]_Sp_423"/>
      <sheetName val="[Spt-BH.xls][Spt-BH.xls]B__1228"/>
      <sheetName val="[Spt-BH.xls][Spt-BH.xls]B__1215"/>
      <sheetName val="[Spt-BH.xls][Spt-BH.xls]B__1216"/>
      <sheetName val="[Spt-BH.xls][Spt-BH.xls]B__1217"/>
      <sheetName val="[Spt-BH.xls][Spt-BH.xls]B__1218"/>
      <sheetName val="[Spt-BH.xls][Spt-BH.xls]B__1219"/>
      <sheetName val="[Spt-BH.xls][Spt-BH.xls]B__1220"/>
      <sheetName val="[Spt-BH.xls]B____x005f_x0004______103"/>
      <sheetName val="[Spt-BH.xls]B___x005f_x0000__x000_103"/>
      <sheetName val="[Spt-BH.xls][Spt-BH.xls]B__1221"/>
      <sheetName val="[Spt-BH.xls][Spt-BH.xls]B__1235"/>
      <sheetName val="[Spt-BH.xls][Spt-BH.xls]B__1236"/>
      <sheetName val="[Spt-BH.xls][Spt-BH.xls]B__1237"/>
      <sheetName val="[Spt-BH.xls][Spt-BH.xls]_Sp_426"/>
      <sheetName val="[Spt-BH.xls][Spt-BH.xls]B__1238"/>
      <sheetName val="[Spt-BH.xls][Spt-BH.xls]B__1239"/>
      <sheetName val="[Spt-BH.xls][Spt-BH.xls]B__1240"/>
      <sheetName val="[Spt-BH.xls][Spt-BH.xls]_Sp_425"/>
      <sheetName val="[Spt-BH.xls][Spt-BH.xls]B__1241"/>
      <sheetName val="[Spt-BH.xls][Spt-BH.xls]B__1242"/>
      <sheetName val="[Spt-BH.xls][Spt-BH.xls]B__1243"/>
      <sheetName val="[Spt-BH.xls][Spt-BH.xls]_Sp_432"/>
      <sheetName val="[Spt-BH.xls][Spt-BH.xls]B__1244"/>
      <sheetName val="[Spt-BH.xls][Spt-BH.xls]B__1245"/>
      <sheetName val="[Spt-BH.xls][Spt-BH.xls]B__1246"/>
      <sheetName val="[Spt-BH.xls][Spt-BH.xls]_Sp_427"/>
      <sheetName val="[Spt-BH.xls][Spt-BH.xls]B__1248"/>
      <sheetName val="[Spt-BH.xls][Spt-BH.xls]B__1249"/>
      <sheetName val="[Spt-BH.xls][Spt-BH.xls]B__1250"/>
      <sheetName val="[Spt-BH.xls][Spt-BH.xls]B__1251"/>
      <sheetName val="[Spt-BH.xls][Spt-BH.xls]B__1252"/>
      <sheetName val="[Spt-BH.xls][Spt-BH.xls]B__1253"/>
      <sheetName val="[Spt-BH.xls][Spt-BH.xls]_Sp_430"/>
      <sheetName val="[Spt-BH.xls][Spt-BH.xls]_Sp_431"/>
      <sheetName val="[Spt-BH.xls][Spt-BH.xls]B__1255"/>
      <sheetName val="[Spt-BH.xls][Spt-BH.xls]B__1256"/>
      <sheetName val="[Spt-BH.xls][Spt-BH.xls]B__1257"/>
      <sheetName val="[Spt-BH.xls][Spt-BH.xls]_Sp_435"/>
      <sheetName val="[Spt-BH.xls][Spt-BH.xls]B__1258"/>
      <sheetName val="[Spt-BH.xls][Spt-BH.xls]B__1259"/>
      <sheetName val="[Spt-BH.xls]B____x005f_x0004______106"/>
      <sheetName val="[Spt-BH.xls]B___x005f_x0000__x000_106"/>
      <sheetName val="[Spt-BH.xls][Spt-BH.xls]B__1260"/>
      <sheetName val="[Spt-BH.xls][Spt-BH.xls]_Sp_433"/>
      <sheetName val="[Spt-BH.xls][Spt-BH.xls]B__1254"/>
      <sheetName val="[Spt-BH.xls][Spt-BH.xls]_Sp_428"/>
      <sheetName val="[Spt-BH.xls][Spt-BH.xls]_Sp_429"/>
      <sheetName val="[Spt-BH.xls]B____x005f_x0004______105"/>
      <sheetName val="[Spt-BH.xls]B___x005f_x0000__x000_105"/>
      <sheetName val="[Spt-BH.xls][Spt-BH.xls]B__1247"/>
      <sheetName val="[Spt-BH.xls][Spt-BH.xls]_Sp_434"/>
      <sheetName val="[Spt-BH.xls][Spt-BH.xls]B__1288"/>
      <sheetName val="[Spt-BH.xls][Spt-BH.xls]B__1289"/>
      <sheetName val="[Spt-BH.xls][Spt-BH.xls]B__1290"/>
      <sheetName val="[Spt-BH.xls][Spt-BH.xls]_Sp_444"/>
      <sheetName val="[Spt-BH.xls][Spt-BH.xls]B__1291"/>
      <sheetName val="[Spt-BH.xls][Spt-BH.xls]B__1292"/>
      <sheetName val="[Spt-BH.xls]B____x005f_x0004______110"/>
      <sheetName val="[Spt-BH.xls]B___x005f_x0000__x000_110"/>
      <sheetName val="[Spt-BH.xls][Spt-BH.xls]B__1293"/>
      <sheetName val="[Spt-BH.xls][Spt-BH.xls]B__1282"/>
      <sheetName val="[Spt-BH.xls][Spt-BH.xls]B__1283"/>
      <sheetName val="[Spt-BH.xls][Spt-BH.xls]_Sp_442"/>
      <sheetName val="[Spt-BH.xls][Spt-BH.xls]B__1284"/>
      <sheetName val="[Spt-BH.xls][Spt-BH.xls]B__1285"/>
      <sheetName val="[Spt-BH.xls][Spt-BH.xls]B__1286"/>
      <sheetName val="[Spt-BH.xls][Spt-BH.xls]_Sp_443"/>
      <sheetName val="[Spt-BH.xls][Spt-BH_xls]B___218"/>
      <sheetName val="[Spt-BH.xls][Spt-BH_xls]B___219"/>
      <sheetName val="[Spt-BH.xls][Spt-BH.xls]B__1287"/>
      <sheetName val="[Spt-BH.xls][Spt-BH.xls]_Sp_440"/>
      <sheetName val="[Spt-BH.xls][Spt-BH.xls]_Sp_441"/>
      <sheetName val="[Spt-BH.xls][Spt-BH.xls]B__1275"/>
      <sheetName val="[Spt-BH.xls][Spt-BH.xls]B__1276"/>
      <sheetName val="[Spt-BH.xls][Spt-BH.xls]B__1277"/>
      <sheetName val="[Spt-BH.xls][Spt-BH.xls]B__1278"/>
      <sheetName val="[Spt-BH.xls][Spt-BH.xls]B__1279"/>
      <sheetName val="[Spt-BH.xls][Spt-BH.xls]B__1280"/>
      <sheetName val="[Spt-BH.xls][Spt-BH.xls]_Sp_438"/>
      <sheetName val="[Spt-BH.xls][Spt-BH.xls]_Sp_439"/>
      <sheetName val="[Spt-BH.xls]B____x005f_x0004______109"/>
      <sheetName val="[Spt-BH.xls]B___x005f_x0000__x000_109"/>
      <sheetName val="[Spt-BH.xls][Spt-BH_xls]B___216"/>
      <sheetName val="[Spt-BH.xls][Spt-BH_xls]B___217"/>
      <sheetName val="[Spt-BH.xls][Spt-BH.xls]B__1281"/>
      <sheetName val="[Spt-BH.xls]B____x005f_x0004______107"/>
      <sheetName val="[Spt-BH.xls]B___x005f_x0000__x000_107"/>
      <sheetName val="[Spt-BH.xls][Spt-BH_xls]B___212"/>
      <sheetName val="[Spt-BH.xls][Spt-BH_xls]B___213"/>
      <sheetName val="[Spt-BH.xls][Spt-BH.xls]B__1261"/>
      <sheetName val="[Spt-BH.xls][Spt-BH.xls]B__1262"/>
      <sheetName val="[Spt-BH.xls][Spt-BH.xls]B__1263"/>
      <sheetName val="[Spt-BH.xls][Spt-BH.xls]B__1264"/>
      <sheetName val="[Spt-BH.xls][Spt-BH.xls]B__1265"/>
      <sheetName val="[Spt-BH.xls][Spt-BH.xls]B__1266"/>
      <sheetName val="[Spt-BH.xls][Spt-BH.xls]B__1267"/>
      <sheetName val="[Spt-BH.xls][Spt-BH.xls]B__1268"/>
      <sheetName val="[Spt-BH.xls][Spt-BH.xls]B__1269"/>
      <sheetName val="[Spt-BH.xls][Spt-BH.xls]B__1270"/>
      <sheetName val="[Spt-BH.xls][Spt-BH.xls]B__1271"/>
      <sheetName val="[Spt-BH.xls][Spt-BH.xls]B__1272"/>
      <sheetName val="[Spt-BH.xls][Spt-BH.xls]B__1273"/>
      <sheetName val="[Spt-BH.xls][Spt-BH.xls]_Sp_437"/>
      <sheetName val="[Spt-BH.xls]B____x005f_x0004______108"/>
      <sheetName val="[Spt-BH.xls]B___x005f_x0000__x000_108"/>
      <sheetName val="[Spt-BH.xls][Spt-BH_xls]B___214"/>
      <sheetName val="[Spt-BH.xls][Spt-BH_xls]B___215"/>
      <sheetName val="[Spt-BH.xls][Spt-BH.xls]B__1274"/>
      <sheetName val="[Spt-BH.xls]B____x005f_x0004______111"/>
      <sheetName val="[Spt-BH.xls]B___x005f_x0000__x000_111"/>
      <sheetName val="[Spt-BH.xls][Spt-BH.xls]B__1294"/>
      <sheetName val="[Spt-BH.xls][Spt-BH.xls]B__1295"/>
      <sheetName val="[Spt-BH.xls][Spt-BH.xls]B__1296"/>
      <sheetName val="[Spt-BH.xls][Spt-BH.xls]B__1297"/>
      <sheetName val="[Spt-BH.xls][Spt-BH.xls]B__1298"/>
      <sheetName val="[Spt-BH.xls][Spt-BH_xls]B___220"/>
      <sheetName val="[Spt-BH.xls][Spt-BH_xls]B___221"/>
      <sheetName val="[Spt-BH.xls][Spt-BH.xls]B__1299"/>
      <sheetName val="[Spt-BH.xls][Spt-BH.xls]_Sp_445"/>
      <sheetName val="[Spt-BH.xls][Spt-BH.xls]_Sp_446"/>
      <sheetName val="[Spt-BH.xls][Spt-BH.xls]B__1300"/>
      <sheetName val="[Spt-BH.xls][Spt-BH.xls]_Sp_481"/>
      <sheetName val="[Spt-BH.xls][Spt-BH.xls]B__1391"/>
      <sheetName val="[Spt-BH.xls][Spt-BH.xls]B__1392"/>
      <sheetName val="[Spt-BH.xls][Spt-BH.xls]B__1393"/>
      <sheetName val="[Spt-BH.xls][Spt-BH.xls]_Sp_534"/>
      <sheetName val="[Spt-BH.xls][Spt-BH.xls]B__1394"/>
      <sheetName val="[Spt-BH.xls][Spt-BH.xls]B__1395"/>
      <sheetName val="[Spt-BH.xls][Spt-BH.xls]B__1396"/>
      <sheetName val="[Spt-BH.xls][Spt-BH.xls]_Sp_482"/>
      <sheetName val="[Spt-BH.xls][Spt-BH.xls]_Sp_452"/>
      <sheetName val="[Spt-BH.xls][Spt-BH.xls]B__1314"/>
      <sheetName val="[Spt-BH.xls][Spt-BH.xls]B__1315"/>
      <sheetName val="[Spt-BH.xls][Spt-BH.xls]B__1316"/>
      <sheetName val="[Spt-BH.xls][Spt-BH.xls]B__1317"/>
      <sheetName val="[Spt-BH.xls][Spt-BH.xls]B__1318"/>
      <sheetName val="[Spt-BH.xls][Spt-BH.xls]B__1319"/>
      <sheetName val="[Spt-BH.xls][Spt-BH.xls]_Sp_453"/>
      <sheetName val="[Spt-BH.xls][Spt-BH.xls]B__1562"/>
      <sheetName val="[Spt-BH.xls][Spt-BH.xls]B__1563"/>
      <sheetName val="[Spt-BH.xls][Spt-BH.xls]B__1564"/>
      <sheetName val="[Spt-BH.xls][Spt-BH.xls]_Sp_540"/>
      <sheetName val="[Spt-BH.xls][Spt-BH.xls]B__1565"/>
      <sheetName val="[Spt-BH.xls][Spt-BH.xls]B__1566"/>
      <sheetName val="[Spt-BH.xls]B____x005f_x0004______118"/>
      <sheetName val="[Spt-BH.xls]B___x005f_x0000__x000_118"/>
      <sheetName val="[Spt-BH.xls][Spt-BH.xls]B__1567"/>
      <sheetName val="[Spt-BH.xls][Spt-BH.xls]_Sp_535"/>
      <sheetName val="[Spt-BH.xls][Spt-BH_xls]B___234"/>
      <sheetName val="[Spt-BH.xls][Spt-BH_xls]B___235"/>
      <sheetName val="[Spt-BH.xls][Spt-BH.xls]B__1397"/>
      <sheetName val="[Spt-BH.xls][Spt-BH.xls]_Sp_466"/>
      <sheetName val="[Spt-BH.xls][Spt-BH.xls]B__1352"/>
      <sheetName val="[Spt-BH.xls][Spt-BH.xls]B__1353"/>
      <sheetName val="[Spt-BH.xls][Spt-BH.xls]B__1354"/>
      <sheetName val="[Spt-BH.xls][Spt-BH.xls]B__1355"/>
      <sheetName val="[Spt-BH.xls][Spt-BH.xls]B__1356"/>
      <sheetName val="[Spt-BH.xls][Spt-BH.xls]B__1357"/>
      <sheetName val="[Spt-BH.xls][Spt-BH.xls]_Sp_467"/>
      <sheetName val="[Spt-BH.xls]B____x005f_x0004______115"/>
      <sheetName val="[Spt-BH.xls]B___x005f_x0000__x000_115"/>
      <sheetName val="[Spt-BH.xls][Spt-BH_xls]B___228"/>
      <sheetName val="[Spt-BH.xls][Spt-BH_xls]B___229"/>
      <sheetName val="[Spt-BH.xls][Spt-BH.xls]B__1358"/>
      <sheetName val="[Spt-BH.xls][Spt-BH.xls]_Sp_456"/>
      <sheetName val="[Spt-BH.xls][Spt-BH.xls]B__1326"/>
      <sheetName val="[Spt-BH.xls][Spt-BH.xls]B__1327"/>
      <sheetName val="[Spt-BH.xls][Spt-BH.xls]B__1328"/>
      <sheetName val="[Spt-BH.xls][Spt-BH.xls]_Sp_458"/>
      <sheetName val="[Spt-BH.xls][Spt-BH.xls]B__1329"/>
      <sheetName val="[Spt-BH.xls][Spt-BH.xls]B__1330"/>
      <sheetName val="[Spt-BH.xls][Spt-BH.xls]B__1331"/>
      <sheetName val="[Spt-BH.xls][Spt-BH.xls]_Sp_457"/>
      <sheetName val="[Spt-BH.xls][Spt-BH.xls]_Sp_454"/>
      <sheetName val="[Spt-BH.xls][Spt-BH.xls]B__1320"/>
      <sheetName val="[Spt-BH.xls][Spt-BH.xls]B__1321"/>
      <sheetName val="[Spt-BH.xls][Spt-BH.xls]B__1322"/>
      <sheetName val="[Spt-BH.xls][Spt-BH.xls]B__1323"/>
      <sheetName val="[Spt-BH.xls][Spt-BH.xls]B__1324"/>
      <sheetName val="[Spt-BH.xls][Spt-BH.xls]B__1325"/>
      <sheetName val="[Spt-BH.xls][Spt-BH.xls]_Sp_455"/>
      <sheetName val="[Spt-BH.xls][Spt-BH.xls]B__1332"/>
      <sheetName val="[Spt-BH.xls][Spt-BH.xls]B__1333"/>
      <sheetName val="[Spt-BH.xls][Spt-BH.xls]B__1334"/>
      <sheetName val="[Spt-BH.xls][Spt-BH.xls]_Sp_461"/>
      <sheetName val="[Spt-BH.xls][Spt-BH.xls]B__1335"/>
      <sheetName val="[Spt-BH.xls][Spt-BH.xls]B__1336"/>
      <sheetName val="[Spt-BH.xls][Spt-BH.xls]B__1337"/>
      <sheetName val="[Spt-BH.xls][Spt-BH.xls]_Sp_459"/>
      <sheetName val="[Spt-BH.xls][Spt-BH.xls]_Sp_460"/>
      <sheetName val="[Spt-BH.xls][Spt-BH.xls]_Sp_462"/>
      <sheetName val="[Spt-BH.xls][Spt-BH.xls]B__1338"/>
      <sheetName val="[Spt-BH.xls][Spt-BH.xls]B__1339"/>
      <sheetName val="[Spt-BH.xls][Spt-BH.xls]B__1340"/>
      <sheetName val="[Spt-BH.xls][Spt-BH.xls]B__1341"/>
      <sheetName val="[Spt-BH.xls][Spt-BH.xls]B__1342"/>
      <sheetName val="[Spt-BH.xls][Spt-BH.xls]B__1343"/>
      <sheetName val="[Spt-BH.xls][Spt-BH.xls]_Sp_463"/>
      <sheetName val="[Spt-BH.xls]B____x005f_x0004______113"/>
      <sheetName val="[Spt-BH.xls]B___x005f_x0000__x000_113"/>
      <sheetName val="[Spt-BH.xls][Spt-BH_xls]B___224"/>
      <sheetName val="[Spt-BH.xls][Spt-BH_xls]B___225"/>
      <sheetName val="[Spt-BH.xls][Spt-BH.xls]B__1344"/>
      <sheetName val="[Spt-BH.xls][Spt-BH.xls]_Sp_464"/>
      <sheetName val="[Spt-BH.xls][Spt-BH.xls]B__1345"/>
      <sheetName val="[Spt-BH.xls][Spt-BH.xls]B__1346"/>
      <sheetName val="[Spt-BH.xls][Spt-BH.xls]B__1347"/>
      <sheetName val="[Spt-BH.xls][Spt-BH.xls]B__1348"/>
      <sheetName val="[Spt-BH.xls][Spt-BH.xls]B__1349"/>
      <sheetName val="[Spt-BH.xls][Spt-BH.xls]B__1350"/>
      <sheetName val="[Spt-BH.xls][Spt-BH.xls]_Sp_465"/>
      <sheetName val="[Spt-BH.xls]B____x005f_x0004______114"/>
      <sheetName val="[Spt-BH.xls]B___x005f_x0000__x000_114"/>
      <sheetName val="[Spt-BH.xls][Spt-BH_xls]B___226"/>
      <sheetName val="[Spt-BH.xls][Spt-BH_xls]B___227"/>
      <sheetName val="[Spt-BH.xls][Spt-BH.xls]B__1351"/>
      <sheetName val="[Spt-BH.xls][Spt-BH.xls]_Sp_468"/>
      <sheetName val="[Spt-BH.xls][Spt-BH.xls]B__1359"/>
      <sheetName val="[Spt-BH.xls][Spt-BH.xls]B__1360"/>
      <sheetName val="[Spt-BH.xls][Spt-BH.xls]B__1361"/>
      <sheetName val="[Spt-BH.xls][Spt-BH.xls]_Sp_470"/>
      <sheetName val="[Spt-BH.xls][Spt-BH.xls]B__1362"/>
      <sheetName val="[Spt-BH.xls][Spt-BH.xls]B__1363"/>
      <sheetName val="[Spt-BH.xls][Spt-BH.xls]B__1364"/>
      <sheetName val="[Spt-BH.xls][Spt-BH.xls]_Sp_469"/>
      <sheetName val="[Spt-BH.xls][Spt-BH.xls]_Sp_471"/>
      <sheetName val="[Spt-BH.xls][Spt-BH.xls]B__1365"/>
      <sheetName val="[Spt-BH.xls][Spt-BH.xls]B__1366"/>
      <sheetName val="[Spt-BH.xls][Spt-BH.xls]B__1367"/>
      <sheetName val="[Spt-BH.xls][Spt-BH.xls]_Sp_473"/>
      <sheetName val="[Spt-BH.xls][Spt-BH.xls]B__1368"/>
      <sheetName val="[Spt-BH.xls][Spt-BH.xls]B__1369"/>
      <sheetName val="[Spt-BH.xls][Spt-BH.xls]B__1370"/>
      <sheetName val="[Spt-BH.xls][Spt-BH.xls]_Sp_472"/>
      <sheetName val="[Spt-BH.xls][Spt-BH.xls]_Sp_474"/>
      <sheetName val="[Spt-BH.xls][Spt-BH.xls]B__1371"/>
      <sheetName val="[Spt-BH.xls][Spt-BH.xls]B__1372"/>
      <sheetName val="[Spt-BH.xls][Spt-BH.xls]B__1373"/>
      <sheetName val="[Spt-BH.xls][Spt-BH.xls]_Sp_476"/>
      <sheetName val="[Spt-BH.xls][Spt-BH.xls]B__1374"/>
      <sheetName val="[Spt-BH.xls][Spt-BH.xls]B__1375"/>
      <sheetName val="[Spt-BH.xls][Spt-BH.xls]B__1376"/>
      <sheetName val="[Spt-BH.xls][Spt-BH.xls]_Sp_475"/>
      <sheetName val="[Spt-BH.xls][Spt-BH.xls]B__1378"/>
      <sheetName val="[Spt-BH.xls][Spt-BH.xls]B__1379"/>
      <sheetName val="[Spt-BH.xls][Spt-BH.xls]B__1380"/>
      <sheetName val="[Spt-BH.xls][Spt-BH.xls]_Sp_478"/>
      <sheetName val="[Spt-BH.xls][Spt-BH.xls]B__1381"/>
      <sheetName val="[Spt-BH.xls][Spt-BH.xls]B__1382"/>
      <sheetName val="[Spt-BH.xls]B____x005f_x0004______116"/>
      <sheetName val="[Spt-BH.xls]B___x005f_x0000__x000_116"/>
      <sheetName val="[Spt-BH.xls][Spt-BH.xls]B__1383"/>
      <sheetName val="[Spt-BH.xls][Spt-BH.xls]_Sp_477"/>
      <sheetName val="[Spt-BH.xls][Spt-BH_xls]B___230"/>
      <sheetName val="[Spt-BH.xls][Spt-BH_xls]B___231"/>
      <sheetName val="[Spt-BH.xls][Spt-BH.xls]B__1377"/>
      <sheetName val="[Spt-BH.xls][Spt-BH.xls]_Sp_479"/>
      <sheetName val="[Spt-BH.xls][Spt-BH.xls]B__1384"/>
      <sheetName val="[Spt-BH.xls][Spt-BH.xls]B__1385"/>
      <sheetName val="[Spt-BH.xls][Spt-BH.xls]B__1386"/>
      <sheetName val="[Spt-BH.xls][Spt-BH.xls]B__1387"/>
      <sheetName val="[Spt-BH.xls][Spt-BH.xls]B__1388"/>
      <sheetName val="[Spt-BH.xls][Spt-BH.xls]B__1389"/>
      <sheetName val="[Spt-BH.xls][Spt-BH.xls]_Sp_480"/>
      <sheetName val="[Spt-BH.xls]B____x005f_x0004______117"/>
      <sheetName val="[Spt-BH.xls]B___x005f_x0000__x000_117"/>
      <sheetName val="[Spt-BH.xls][Spt-BH_xls]B___232"/>
      <sheetName val="[Spt-BH.xls][Spt-BH_xls]B___233"/>
      <sheetName val="[Spt-BH.xls][Spt-BH.xls]B__1390"/>
      <sheetName val="[Spt-BH.xls][Spt-BH.xls]_Sp_491"/>
      <sheetName val="[Spt-BH.xls][Spt-BH.xls]B__1423"/>
      <sheetName val="[Spt-BH.xls][Spt-BH.xls]B__1424"/>
      <sheetName val="[Spt-BH.xls][Spt-BH.xls]B__1425"/>
      <sheetName val="[Spt-BH.xls][Spt-BH.xls]B__1426"/>
      <sheetName val="[Spt-BH.xls][Spt-BH.xls]B__1427"/>
      <sheetName val="[Spt-BH.xls][Spt-BH.xls]B__1428"/>
      <sheetName val="[Spt-BH.xls][Spt-BH.xls]_Sp_492"/>
      <sheetName val="[Spt-BH.xls][Spt-BH.xls]_Sp_483"/>
      <sheetName val="[Spt-BH.xls][Spt-BH.xls]B__1398"/>
      <sheetName val="[Spt-BH.xls][Spt-BH.xls]B__1399"/>
      <sheetName val="[Spt-BH.xls][Spt-BH.xls]B__1400"/>
      <sheetName val="[Spt-BH.xls][Spt-BH.xls]B__1401"/>
      <sheetName val="[Spt-BH.xls][Spt-BH.xls]B__1402"/>
      <sheetName val="[Spt-BH.xls][Spt-BH.xls]B__1403"/>
      <sheetName val="[Spt-BH.xls][Spt-BH.xls]_Sp_484"/>
      <sheetName val="[Spt-BH.xls][Spt-BH.xls]_Sp_489"/>
      <sheetName val="[Spt-BH.xls][Spt-BH.xls]_Sp_487"/>
      <sheetName val="[Spt-BH.xls][Spt-BH.xls]B__1410"/>
      <sheetName val="[Spt-BH.xls][Spt-BH.xls]B__1411"/>
      <sheetName val="[Spt-BH.xls][Spt-BH.xls]B__1412"/>
      <sheetName val="[Spt-BH.xls][Spt-BH.xls]B__1413"/>
      <sheetName val="[Spt-BH.xls][Spt-BH.xls]B__1414"/>
      <sheetName val="[Spt-BH.xls][Spt-BH.xls]B__1415"/>
      <sheetName val="[Spt-BH.xls][Spt-BH.xls]_Sp_488"/>
      <sheetName val="[Spt-BH.xls][Spt-BH.xls]B__1417"/>
      <sheetName val="[Spt-BH.xls][Spt-BH.xls]B__1418"/>
      <sheetName val="[Spt-BH.xls][Spt-BH.xls]B__1419"/>
      <sheetName val="[Spt-BH.xls][Spt-BH.xls]B__1420"/>
      <sheetName val="[Spt-BH.xls][Spt-BH.xls]B__1421"/>
      <sheetName val="[Spt-BH.xls]B____x005f_x0004______119"/>
      <sheetName val="[Spt-BH.xls]B___x005f_x0000__x000_119"/>
      <sheetName val="[Spt-BH.xls][Spt-BH.xls]B__1422"/>
      <sheetName val="[Spt-BH.xls][Spt-BH.xls]_Sp_490"/>
      <sheetName val="[Spt-BH.xls][Spt-BH_xls]B___236"/>
      <sheetName val="[Spt-BH.xls][Spt-BH_xls]B___237"/>
      <sheetName val="[Spt-BH.xls][Spt-BH.xls]B__1416"/>
      <sheetName val="[Spt-BH.xls][Spt-BH.xls]_Sp_485"/>
      <sheetName val="[Spt-BH.xls][Spt-BH.xls]B__1404"/>
      <sheetName val="[Spt-BH.xls][Spt-BH.xls]B__1405"/>
      <sheetName val="[Spt-BH.xls][Spt-BH.xls]B__1406"/>
      <sheetName val="[Spt-BH.xls][Spt-BH.xls]B__1407"/>
      <sheetName val="[Spt-BH.xls][Spt-BH.xls]B__1408"/>
      <sheetName val="[Spt-BH.xls][Spt-BH.xls]B__1409"/>
      <sheetName val="[Spt-BH.xls][Spt-BH.xls]_Sp_486"/>
      <sheetName val="[Spt-BH.xls][Spt-BH.xls]_Sp_495"/>
      <sheetName val="[Spt-BH.xls][Spt-BH.xls]B__1436"/>
      <sheetName val="[Spt-BH.xls][Spt-BH.xls]B__1437"/>
      <sheetName val="[Spt-BH.xls][Spt-BH.xls]B__1438"/>
      <sheetName val="[Spt-BH.xls][Spt-BH.xls]_Sp_497"/>
      <sheetName val="[Spt-BH.xls][Spt-BH.xls]B__1439"/>
      <sheetName val="[Spt-BH.xls][Spt-BH.xls]B__1440"/>
      <sheetName val="[Spt-BH.xls][Spt-BH.xls]B__1441"/>
      <sheetName val="[Spt-BH.xls][Spt-BH.xls]_Sp_496"/>
      <sheetName val="[Spt-BH.xls][Spt-BH.xls]B__1443"/>
      <sheetName val="[Spt-BH.xls][Spt-BH.xls]B__1444"/>
      <sheetName val="[Spt-BH.xls][Spt-BH.xls]B__1445"/>
      <sheetName val="[Spt-BH.xls][Spt-BH.xls]_Sp_503"/>
      <sheetName val="[Spt-BH.xls][Spt-BH.xls]B__1446"/>
      <sheetName val="[Spt-BH.xls][Spt-BH.xls]B__1447"/>
      <sheetName val="[Spt-BH.xls]B____x005f_x0004______121"/>
      <sheetName val="[Spt-BH.xls]B___x005f_x0000__x000_121"/>
      <sheetName val="[Spt-BH.xls][Spt-BH.xls]B__1448"/>
      <sheetName val="[Spt-BH.xls][Spt-BH.xls]_Sp_498"/>
      <sheetName val="[Spt-BH.xls][Spt-BH_xls]B___240"/>
      <sheetName val="[Spt-BH.xls][Spt-BH_xls]B___241"/>
      <sheetName val="[Spt-BH.xls][Spt-BH.xls]B__1442"/>
      <sheetName val="[Spt-BH.xls][Spt-BH.xls]_Sp_493"/>
      <sheetName val="[Spt-BH.xls][Spt-BH.xls]B__1429"/>
      <sheetName val="[Spt-BH.xls][Spt-BH.xls]B__1430"/>
      <sheetName val="[Spt-BH.xls][Spt-BH.xls]B__1431"/>
      <sheetName val="[Spt-BH.xls][Spt-BH.xls]B__1432"/>
      <sheetName val="[Spt-BH.xls][Spt-BH.xls]B__1433"/>
      <sheetName val="[Spt-BH.xls][Spt-BH.xls]B__1434"/>
      <sheetName val="[Spt-BH.xls][Spt-BH.xls]_Sp_494"/>
      <sheetName val="[Spt-BH.xls]B____x005f_x0004______120"/>
      <sheetName val="[Spt-BH.xls]B___x005f_x0000__x000_120"/>
      <sheetName val="[Spt-BH.xls][Spt-BH_xls]B___238"/>
      <sheetName val="[Spt-BH.xls][Spt-BH_xls]B___239"/>
      <sheetName val="[Spt-BH.xls][Spt-BH.xls]B__1435"/>
      <sheetName val="[Spt-BH.xls][Spt-BH.xls]B__1463"/>
      <sheetName val="[Spt-BH.xls][Spt-BH.xls]B__1464"/>
      <sheetName val="[Spt-BH.xls][Spt-BH.xls]B__1465"/>
      <sheetName val="[Spt-BH.xls][Spt-BH.xls]B__1466"/>
      <sheetName val="[Spt-BH.xls][Spt-BH.xls]B__1467"/>
      <sheetName val="[Spt-BH.xls][Spt-BH.xls]B__1468"/>
      <sheetName val="[Spt-BH.xls][Spt-BH.xls]_Sp_504"/>
      <sheetName val="[Spt-BH.xls]B____x005f_x0004______124"/>
      <sheetName val="[Spt-BH.xls]B___x005f_x0000__x000_124"/>
      <sheetName val="[Spt-BH.xls][Spt-BH_xls]B___246"/>
      <sheetName val="[Spt-BH.xls][Spt-BH_xls]B___247"/>
      <sheetName val="[Spt-BH.xls][Spt-BH.xls]B__1469"/>
      <sheetName val="[Spt-BH.xls][Spt-BH.xls]_Sp_499"/>
      <sheetName val="[Spt-BH.xls][Spt-BH.xls]B__1449"/>
      <sheetName val="[Spt-BH.xls][Spt-BH.xls]B__1450"/>
      <sheetName val="[Spt-BH.xls][Spt-BH.xls]B__1451"/>
      <sheetName val="[Spt-BH.xls][Spt-BH.xls]B__1452"/>
      <sheetName val="[Spt-BH.xls][Spt-BH.xls]B__1453"/>
      <sheetName val="[Spt-BH.xls][Spt-BH.xls]B__1454"/>
      <sheetName val="[Spt-BH.xls][Spt-BH.xls]_Sp_500"/>
      <sheetName val="[Spt-BH.xls]B____x005f_x0004______122"/>
      <sheetName val="[Spt-BH.xls]B___x005f_x0000__x000_122"/>
      <sheetName val="[Spt-BH.xls][Spt-BH_xls]B___242"/>
      <sheetName val="[Spt-BH.xls][Spt-BH_xls]B___243"/>
      <sheetName val="[Spt-BH.xls][Spt-BH.xls]B__1455"/>
      <sheetName val="[Spt-BH.xls][Spt-BH.xls]_Sp_501"/>
      <sheetName val="[Spt-BH.xls][Spt-BH.xls]B__1456"/>
      <sheetName val="[Spt-BH.xls][Spt-BH.xls]B__1457"/>
      <sheetName val="[Spt-BH.xls][Spt-BH.xls]B__1458"/>
      <sheetName val="[Spt-BH.xls][Spt-BH.xls]B__1459"/>
      <sheetName val="[Spt-BH.xls][Spt-BH.xls]B__1460"/>
      <sheetName val="[Spt-BH.xls][Spt-BH.xls]B__1461"/>
      <sheetName val="[Spt-BH.xls][Spt-BH.xls]_Sp_502"/>
      <sheetName val="[Spt-BH.xls]B____x005f_x0004______123"/>
      <sheetName val="[Spt-BH.xls]B___x005f_x0000__x000_123"/>
      <sheetName val="[Spt-BH.xls][Spt-BH_xls]B___244"/>
      <sheetName val="[Spt-BH.xls][Spt-BH_xls]B___245"/>
      <sheetName val="[Spt-BH.xls][Spt-BH.xls]B__1462"/>
      <sheetName val="[Spt-BH.xls][Spt-BH.xls]B__1581"/>
      <sheetName val="[Spt-BH.xls][Spt-BH.xls]B__1582"/>
      <sheetName val="[Spt-BH.xls][Spt-BH.xls]B__1583"/>
      <sheetName val="[Spt-BH.xls][Spt-BH.xls]_Sp_543"/>
      <sheetName val="[Spt-BH.xls][Spt-BH.xls]B__1584"/>
      <sheetName val="[Spt-BH.xls][Spt-BH.xls]B__1585"/>
      <sheetName val="[Spt-BH.xls]B____x005f_x0004______134"/>
      <sheetName val="[Spt-BH.xls]B___x005f_x0000__x000_134"/>
      <sheetName val="[Spt-BH.xls][Spt-BH.xls]B__1586"/>
      <sheetName val="[Spt-BH.xls][Spt-BH.xls]_Sp_541"/>
      <sheetName val="[Spt-BH.xls][Spt-BH_xls]B___266"/>
      <sheetName val="[Spt-BH.xls][Spt-BH_xls]B___267"/>
      <sheetName val="[Spt-BH.xls][Spt-BH.xls]_Sp_505"/>
      <sheetName val="[Spt-BH.xls][Spt-BH.xls]B__1470"/>
      <sheetName val="[Spt-BH.xls][Spt-BH.xls]B__1471"/>
      <sheetName val="[Spt-BH.xls][Spt-BH.xls]B__1472"/>
      <sheetName val="[Spt-BH.xls][Spt-BH.xls]_Sp_507"/>
      <sheetName val="[Spt-BH.xls][Spt-BH.xls]B__1473"/>
      <sheetName val="[Spt-BH.xls][Spt-BH.xls]B__1474"/>
      <sheetName val="[Spt-BH.xls][Spt-BH.xls]B__1475"/>
      <sheetName val="[Spt-BH.xls][Spt-BH.xls]_Sp_506"/>
      <sheetName val="[Spt-BH.xls][Spt-BH.xls]B__1568"/>
      <sheetName val="[Spt-BH.xls][Spt-BH.xls]_Sp_508"/>
      <sheetName val="[Spt-BH.xls][Spt-BH.xls]B__1476"/>
      <sheetName val="[Spt-BH.xls][Spt-BH.xls]B__1477"/>
      <sheetName val="[Spt-BH.xls][Spt-BH.xls]B__1478"/>
      <sheetName val="[Spt-BH.xls][Spt-BH.xls]B__1479"/>
      <sheetName val="[Spt-BH.xls][Spt-BH.xls]B__1480"/>
      <sheetName val="[Spt-BH.xls][Spt-BH.xls]B__1481"/>
      <sheetName val="[Spt-BH.xls][Spt-BH.xls]_Sp_509"/>
      <sheetName val="[Spt-BH.xls]B____x005f_x0004______125"/>
      <sheetName val="[Spt-BH.xls]B___x005f_x0000__x000_125"/>
      <sheetName val="[Spt-BH.xls][Spt-BH_xls]B___248"/>
      <sheetName val="[Spt-BH.xls][Spt-BH_xls]B___249"/>
      <sheetName val="[Spt-BH.xls][Spt-BH.xls]B__1482"/>
      <sheetName val="[Spt-BH.xls][Spt-BH.xls]_Sp_513"/>
      <sheetName val="[Spt-BH.xls][Spt-BH.xls]B__1495"/>
      <sheetName val="[Spt-BH.xls][Spt-BH.xls]B__1496"/>
      <sheetName val="[Spt-BH.xls][Spt-BH.xls]B__1497"/>
      <sheetName val="[Spt-BH.xls][Spt-BH.xls]B__1498"/>
      <sheetName val="[Spt-BH.xls][Spt-BH.xls]B__1499"/>
      <sheetName val="[Spt-BH.xls][Spt-BH.xls]B__1500"/>
      <sheetName val="[Spt-BH.xls][Spt-BH.xls]_Sp_514"/>
      <sheetName val="[Spt-BH.xls][Spt-BH.xls]_Sp_511"/>
      <sheetName val="[Spt-BH.xls][Spt-BH.xls]B__1488"/>
      <sheetName val="[Spt-BH.xls][Spt-BH.xls]B__1489"/>
      <sheetName val="[Spt-BH.xls][Spt-BH.xls]B__1490"/>
      <sheetName val="[Spt-BH.xls][Spt-BH.xls]B__1491"/>
      <sheetName val="[Spt-BH.xls][Spt-BH.xls]B__1492"/>
      <sheetName val="[Spt-BH.xls][Spt-BH.xls]B__1493"/>
      <sheetName val="[Spt-BH.xls][Spt-BH.xls]_Sp_512"/>
      <sheetName val="[Spt-BH.xls][Spt-BH.xls]B__1483"/>
      <sheetName val="[Spt-BH.xls][Spt-BH.xls]B__1484"/>
      <sheetName val="[Spt-BH.xls][Spt-BH.xls]B__1485"/>
      <sheetName val="[Spt-BH.xls][Spt-BH.xls]B__1486"/>
      <sheetName val="[Spt-BH.xls][Spt-BH.xls]B__1487"/>
      <sheetName val="[Spt-BH.xls][Spt-BH.xls]_Sp_510"/>
      <sheetName val="[Spt-BH.xls]B____x005f_x0004______126"/>
      <sheetName val="[Spt-BH.xls]B___x005f_x0000__x000_126"/>
      <sheetName val="[Spt-BH.xls][Spt-BH_xls]B___250"/>
      <sheetName val="[Spt-BH.xls][Spt-BH_xls]B___251"/>
      <sheetName val="[Spt-BH.xls][Spt-BH.xls]B__1494"/>
      <sheetName val="[Spt-BH.xls][Spt-BH.xls]_Sp_515"/>
      <sheetName val="[Spt-BH.xls][Spt-BH.xls]B__1501"/>
      <sheetName val="[Spt-BH.xls][Spt-BH.xls]B__1502"/>
      <sheetName val="[Spt-BH.xls][Spt-BH.xls]B__1503"/>
      <sheetName val="[Spt-BH.xls][Spt-BH.xls]B__1504"/>
      <sheetName val="[Spt-BH.xls][Spt-BH.xls]B__1505"/>
      <sheetName val="[Spt-BH.xls][Spt-BH.xls]B__1506"/>
      <sheetName val="[Spt-BH.xls][Spt-BH.xls]_Sp_516"/>
      <sheetName val="[Spt-BH.xls]B____x005f_x0004______127"/>
      <sheetName val="[Spt-BH.xls]B___x005f_x0000__x000_127"/>
      <sheetName val="[Spt-BH.xls][Spt-BH_xls]B___252"/>
      <sheetName val="[Spt-BH.xls][Spt-BH_xls]B___253"/>
      <sheetName val="[Spt-BH.xls][Spt-BH.xls]B__1507"/>
      <sheetName val="[Spt-BH.xls][Spt-BH.xls]_Sp_517"/>
      <sheetName val="[Spt-BH.xls][Spt-BH.xls]B__1508"/>
      <sheetName val="[Spt-BH.xls][Spt-BH.xls]B__1509"/>
      <sheetName val="[Spt-BH.xls][Spt-BH.xls]B__1510"/>
      <sheetName val="[Spt-BH.xls][Spt-BH.xls]B__1511"/>
      <sheetName val="[Spt-BH.xls][Spt-BH.xls]B__1512"/>
      <sheetName val="[Spt-BH.xls][Spt-BH.xls]B__1513"/>
      <sheetName val="[Spt-BH.xls][Spt-BH.xls]_Sp_518"/>
      <sheetName val="[Spt-BH.xls]B____x005f_x0004______128"/>
      <sheetName val="[Spt-BH.xls]B___x005f_x0000__x000_128"/>
      <sheetName val="[Spt-BH.xls][Spt-BH_xls]B___254"/>
      <sheetName val="[Spt-BH.xls][Spt-BH_xls]B___255"/>
      <sheetName val="[Spt-BH.xls][Spt-BH.xls]B__1514"/>
      <sheetName val="[Spt-BH.xls][Spt-BH.xls]_Sp_519"/>
      <sheetName val="[Spt-BH.xls][Spt-BH.xls]B__1515"/>
      <sheetName val="[Spt-BH.xls][Spt-BH.xls]B__1516"/>
      <sheetName val="[Spt-BH.xls][Spt-BH.xls]B__1517"/>
      <sheetName val="[Spt-BH.xls][Spt-BH.xls]_Sp_521"/>
      <sheetName val="[Spt-BH.xls][Spt-BH.xls]B__1518"/>
      <sheetName val="[Spt-BH.xls][Spt-BH.xls]B__1519"/>
      <sheetName val="[Spt-BH.xls][Spt-BH.xls]B__1520"/>
      <sheetName val="[Spt-BH.xls][Spt-BH.xls]_Sp_520"/>
      <sheetName val="[Spt-BH.xls][Spt-BH.xls]B__1522"/>
      <sheetName val="[Spt-BH.xls][Spt-BH.xls]B__1523"/>
      <sheetName val="[Spt-BH.xls][Spt-BH.xls]B__1524"/>
      <sheetName val="[Spt-BH.xls][Spt-BH.xls]B__1525"/>
      <sheetName val="[Spt-BH.xls][Spt-BH.xls]B__1526"/>
      <sheetName val="[Spt-BH.xls]B____x005f_x0004______129"/>
      <sheetName val="[Spt-BH.xls]B___x005f_x0000__x000_129"/>
      <sheetName val="[Spt-BH.xls][Spt-BH.xls]B__1527"/>
      <sheetName val="[Spt-BH.xls][Spt-BH.xls]_Sp_522"/>
      <sheetName val="[Spt-BH.xls][Spt-BH_xls]B___256"/>
      <sheetName val="[Spt-BH.xls][Spt-BH_xls]B___257"/>
      <sheetName val="[Spt-BH.xls][Spt-BH.xls]B__1521"/>
      <sheetName val="[Spt-BH.xls][Spt-BH.xls]_Sp_527"/>
      <sheetName val="[Spt-BH.xls][Spt-BH.xls]B__1542"/>
      <sheetName val="[Spt-BH.xls][Spt-BH.xls]B__1543"/>
      <sheetName val="[Spt-BH.xls][Spt-BH.xls]B__1544"/>
      <sheetName val="[Spt-BH.xls][Spt-BH.xls]B__1545"/>
      <sheetName val="[Spt-BH.xls][Spt-BH.xls]B__1546"/>
      <sheetName val="[Spt-BH.xls][Spt-BH.xls]B__1547"/>
      <sheetName val="[Spt-BH.xls][Spt-BH.xls]_Sp_528"/>
      <sheetName val="[Spt-BH.xls]B____x005f_x0004______132"/>
      <sheetName val="[Spt-BH.xls]B___x005f_x0000__x000_132"/>
      <sheetName val="[Spt-BH.xls][Spt-BH_xls]B___262"/>
      <sheetName val="[Spt-BH.xls][Spt-BH_xls]B___263"/>
      <sheetName val="[Spt-BH.xls][Spt-BH.xls]B__1548"/>
      <sheetName val="[Spt-BH.xls][Spt-BH.xls]_Sp_523"/>
      <sheetName val="[Spt-BH.xls][Spt-BH.xls]B__1528"/>
      <sheetName val="[Spt-BH.xls][Spt-BH.xls]B__1529"/>
      <sheetName val="[Spt-BH.xls][Spt-BH.xls]B__1530"/>
      <sheetName val="[Spt-BH.xls][Spt-BH.xls]B__1531"/>
      <sheetName val="[Spt-BH.xls][Spt-BH.xls]B__1532"/>
      <sheetName val="[Spt-BH.xls][Spt-BH.xls]B__1533"/>
      <sheetName val="[Spt-BH.xls][Spt-BH.xls]_Sp_524"/>
      <sheetName val="[Spt-BH.xls]B____x005f_x0004______130"/>
      <sheetName val="[Spt-BH.xls]B___x005f_x0000__x000_130"/>
      <sheetName val="[Spt-BH.xls][Spt-BH_xls]B___258"/>
      <sheetName val="[Spt-BH.xls][Spt-BH_xls]B___259"/>
      <sheetName val="[Spt-BH.xls][Spt-BH.xls]B__1534"/>
      <sheetName val="[Spt-BH.xls][Spt-BH.xls]_Sp_525"/>
      <sheetName val="[Spt-BH.xls][Spt-BH.xls]B__1535"/>
      <sheetName val="[Spt-BH.xls][Spt-BH.xls]B__1536"/>
      <sheetName val="[Spt-BH.xls][Spt-BH.xls]B__1537"/>
      <sheetName val="[Spt-BH.xls][Spt-BH.xls]B__1538"/>
      <sheetName val="[Spt-BH.xls][Spt-BH.xls]B__1539"/>
      <sheetName val="[Spt-BH.xls][Spt-BH.xls]B__1540"/>
      <sheetName val="[Spt-BH.xls][Spt-BH.xls]_Sp_526"/>
      <sheetName val="[Spt-BH.xls]B____x005f_x0004______131"/>
      <sheetName val="[Spt-BH.xls]B___x005f_x0000__x000_131"/>
      <sheetName val="[Spt-BH.xls][Spt-BH_xls]B___260"/>
      <sheetName val="[Spt-BH.xls][Spt-BH_xls]B___261"/>
      <sheetName val="[Spt-BH.xls][Spt-BH.xls]B__1541"/>
      <sheetName val="[Spt-BH.xls][Spt-BH.xls]_Sp_530"/>
      <sheetName val="[Spt-BH.xls][Spt-BH.xls]_Sp_529"/>
      <sheetName val="[Spt-BH.xls][Spt-BH.xls]B__1549"/>
      <sheetName val="[Spt-BH.xls][Spt-BH.xls]B__1550"/>
      <sheetName val="[Spt-BH.xls][Spt-BH.xls]_Sp_532"/>
      <sheetName val="[Spt-BH.xls][Spt-BH.xls]B__1551"/>
      <sheetName val="[Spt-BH.xls][Spt-BH.xls]B__1552"/>
      <sheetName val="[Spt-BH.xls][Spt-BH.xls]B__1553"/>
      <sheetName val="[Spt-BH.xls][Spt-BH.xls]_Sp_531"/>
      <sheetName val="[Spt-BH.xls][Spt-BH.xls]_Sp_533"/>
      <sheetName val="[Spt-BH.xls][Spt-BH.xls]B__1554"/>
      <sheetName val="[Spt-BH.xls][Spt-BH.xls]B__1556"/>
      <sheetName val="[Spt-BH.xls][Spt-BH.xls]B__1557"/>
      <sheetName val="[Spt-BH.xls][Spt-BH.xls]B__1558"/>
      <sheetName val="[Spt-BH.xls][Spt-BH.xls]B__1559"/>
      <sheetName val="[Spt-BH.xls][Spt-BH.xls]B__1560"/>
      <sheetName val="[Spt-BH.xls]B____x005f_x0004______133"/>
      <sheetName val="[Spt-BH.xls]B___x005f_x0000__x000_133"/>
      <sheetName val="[Spt-BH.xls][Spt-BH.xls]B__1561"/>
      <sheetName val="[Spt-BH.xls][Spt-BH_xls]B___264"/>
      <sheetName val="[Spt-BH.xls][Spt-BH_xls]B___265"/>
      <sheetName val="[Spt-BH.xls][Spt-BH.xls]B__1555"/>
      <sheetName val="[Spt-BH.xls][Spt-BH.xls]_Sp_536"/>
      <sheetName val="[Spt-BH.xls][Spt-BH.xls]B__1569"/>
      <sheetName val="[Spt-BH.xls][Spt-BH.xls]B__1570"/>
      <sheetName val="[Spt-BH.xls][Spt-BH.xls]B__1571"/>
      <sheetName val="[Spt-BH.xls][Spt-BH.xls]B__1572"/>
      <sheetName val="[Spt-BH.xls][Spt-BH.xls]B__1573"/>
      <sheetName val="[Spt-BH.xls][Spt-BH.xls]B__1574"/>
      <sheetName val="[Spt-BH.xls][Spt-BH.xls]_Sp_537"/>
      <sheetName val="[Spt-BH.xls][Spt-BH.xls]_Sp_538"/>
      <sheetName val="[Spt-BH.xls][Spt-BH.xls]B__1575"/>
      <sheetName val="[Spt-BH.xls][Spt-BH.xls]B__1576"/>
      <sheetName val="[Spt-BH.xls][Spt-BH.xls]B__1577"/>
      <sheetName val="[Spt-BH.xls][Spt-BH.xls]B__1578"/>
      <sheetName val="[Spt-BH.xls][Spt-BH.xls]B__1579"/>
      <sheetName val="[Spt-BH.xls][Spt-BH.xls]B__1580"/>
      <sheetName val="[Spt-BH.xls][Spt-BH.xls]_Sp_539"/>
      <sheetName val="[Spt-BH.xls][Spt-BH.xls]_Sp_542"/>
      <sheetName val="[Spt-BH.xls][Spt-BH.xls]_Sp_544"/>
      <sheetName val="[Spt-BH.xls][Spt-BH.xls]B__1625"/>
      <sheetName val="[Spt-BH.xls][Spt-BH.xls]B__1626"/>
      <sheetName val="[Spt-BH.xls][Spt-BH.xls]B__1627"/>
      <sheetName val="[Spt-BH.xls][Spt-BH.xls]_Sp_562"/>
      <sheetName val="[Spt-BH.xls][Spt-BH.xls]B__1628"/>
      <sheetName val="[Spt-BH.xls][Spt-BH.xls]B__1629"/>
      <sheetName val="[Spt-BH.xls][Spt-BH.xls]B__1630"/>
      <sheetName val="[Spt-BH.xls][Spt-BH.xls]_Sp_558"/>
      <sheetName val="[Spt-BH.xls][Spt-BH.xls]_Sp_559"/>
      <sheetName val="[Spt-BH.xls][Spt-BH.xls]_Sp_545"/>
      <sheetName val="[Spt-BH.xls][Spt-BH.xls]B__1594"/>
      <sheetName val="[Spt-BH.xls][Spt-BH.xls]B__1595"/>
      <sheetName val="[Spt-BH.xls][Spt-BH.xls]B__1596"/>
      <sheetName val="[Spt-BH.xls][Spt-BH.xls]B__1597"/>
      <sheetName val="[Spt-BH.xls][Spt-BH.xls]B__1598"/>
      <sheetName val="[Spt-BH.xls]B____x005f_x0004______135"/>
      <sheetName val="[Spt-BH.xls]B___x005f_x0000__x000_135"/>
      <sheetName val="[Spt-BH.xls][Spt-BH.xls]B__1599"/>
      <sheetName val="[Spt-BH.xls][Spt-BH.xls]B__1587"/>
      <sheetName val="[Spt-BH.xls][Spt-BH.xls]B__1588"/>
      <sheetName val="[Spt-BH.xls][Spt-BH.xls]_Sp_547"/>
      <sheetName val="[Spt-BH.xls][Spt-BH.xls]B__1589"/>
      <sheetName val="[Spt-BH.xls][Spt-BH.xls]B__1590"/>
      <sheetName val="[Spt-BH.xls][Spt-BH.xls]B__1591"/>
      <sheetName val="[Spt-BH.xls][Spt-BH.xls]B__1592"/>
      <sheetName val="[Spt-BH.xls][Spt-BH.xls]_Sp_548"/>
      <sheetName val="[Spt-BH.xls][Spt-BH_xls]B___268"/>
      <sheetName val="[Spt-BH.xls][Spt-BH_xls]B___269"/>
      <sheetName val="[Spt-BH.xls][Spt-BH.xls]_Sp_546"/>
      <sheetName val="[Spt-BH.xls][Spt-BH.xls]B__1593"/>
      <sheetName val="[Spt-BH.xls][Spt-BH.xls]B__1637"/>
      <sheetName val="[Spt-BH.xls][Spt-BH.xls]B__1638"/>
      <sheetName val="[Spt-BH.xls][Spt-BH.xls]B__1639"/>
      <sheetName val="[Spt-BH.xls][Spt-BH.xls]_Sp_564"/>
      <sheetName val="[Spt-BH.xls][Spt-BH.xls]B__1640"/>
      <sheetName val="[Spt-BH.xls][Spt-BH.xls]B__1641"/>
      <sheetName val="[Spt-BH.xls]B____x005f_x0004______139"/>
      <sheetName val="[Spt-BH.xls]B___x005f_x0000__x000_139"/>
      <sheetName val="[Spt-BH.xls][Spt-BH.xls]B__1642"/>
      <sheetName val="[Spt-BH.xls][Spt-BH.xls]_Sp_563"/>
      <sheetName val="[Spt-BH.xls][Spt-BH_xls]B___276"/>
      <sheetName val="[Spt-BH.xls][Spt-BH_xls]B___277"/>
      <sheetName val="[Spt-BH.xls][Spt-BH.xls]_Sp_551"/>
      <sheetName val="[Spt-BH.xls][Spt-BH.xls]B__1600"/>
      <sheetName val="[Spt-BH.xls][Spt-BH.xls]B__1601"/>
      <sheetName val="[Spt-BH.xls][Spt-BH.xls]B__1602"/>
      <sheetName val="[Spt-BH.xls][Spt-BH.xls]B__1603"/>
      <sheetName val="[Spt-BH.xls][Spt-BH.xls]B__1604"/>
      <sheetName val="[Spt-BH.xls][Spt-BH.xls]B__1605"/>
      <sheetName val="[Spt-BH.xls][Spt-BH.xls]_Sp_549"/>
      <sheetName val="[Spt-BH.xls][Spt-BH.xls]_Sp_550"/>
      <sheetName val="[Spt-BH.xls][Spt-BH.xls]B__1606"/>
      <sheetName val="[Spt-BH.xls][Spt-BH.xls]B__1607"/>
      <sheetName val="[Spt-BH.xls][Spt-BH.xls]B__1608"/>
      <sheetName val="[Spt-BH.xls][Spt-BH.xls]B__1609"/>
      <sheetName val="[Spt-BH.xls][Spt-BH.xls]B__1610"/>
      <sheetName val="[Spt-BH.xls][Spt-BH.xls]B__1611"/>
      <sheetName val="[Spt-BH.xls][Spt-BH.xls]_Sp_552"/>
      <sheetName val="[Spt-BH.xls][Spt-BH.xls]_Sp_553"/>
      <sheetName val="[Spt-BH.xls]B____x005f_x0004______136"/>
      <sheetName val="[Spt-BH.xls]B___x005f_x0000__x000_136"/>
      <sheetName val="[Spt-BH.xls][Spt-BH_xls]B___270"/>
      <sheetName val="[Spt-BH.xls][Spt-BH_xls]B___271"/>
      <sheetName val="[Spt-BH.xls][Spt-BH.xls]_Sp_554"/>
      <sheetName val="[Spt-BH.xls]B____x005f_x0004______137"/>
      <sheetName val="[Spt-BH.xls]B___x005f_x0000__x000_137"/>
      <sheetName val="[Spt-BH.xls][Spt-BH.xls]B__1612"/>
      <sheetName val="[Spt-BH.xls][Spt-BH.xls]B__1613"/>
      <sheetName val="[Spt-BH.xls][Spt-BH.xls]B__1614"/>
      <sheetName val="[Spt-BH.xls][Spt-BH.xls]B__1615"/>
      <sheetName val="[Spt-BH.xls][Spt-BH.xls]B__1616"/>
      <sheetName val="[Spt-BH.xls][Spt-BH.xls]B__1617"/>
      <sheetName val="[Spt-BH.xls][Spt-BH_xls]B___272"/>
      <sheetName val="[Spt-BH.xls][Spt-BH_xls]B___273"/>
      <sheetName val="[Spt-BH.xls][Spt-BH.xls]_Sp_555"/>
      <sheetName val="[Spt-BH.xls][Spt-BH.xls]B__1618"/>
      <sheetName val="[Spt-BH.xls][Spt-BH.xls]B__1619"/>
      <sheetName val="[Spt-BH.xls][Spt-BH.xls]B__1620"/>
      <sheetName val="[Spt-BH.xls][Spt-BH.xls]B__1621"/>
      <sheetName val="[Spt-BH.xls][Spt-BH.xls]B__1622"/>
      <sheetName val="[Spt-BH.xls][Spt-BH.xls]B__1623"/>
      <sheetName val="[Spt-BH.xls][Spt-BH.xls]B__1624"/>
      <sheetName val="[Spt-BH.xls][Spt-BH.xls]_Sp_556"/>
      <sheetName val="[Spt-BH.xls][Spt-BH.xls]_Sp_557"/>
      <sheetName val="[Spt-BH.xls]B____x005f_x0004______138"/>
      <sheetName val="[Spt-BH.xls]B___x005f_x0000__x000_138"/>
      <sheetName val="[Spt-BH.xls][Spt-BH_xls]B___274"/>
      <sheetName val="[Spt-BH.xls][Spt-BH_xls]B___275"/>
      <sheetName val="[Spt-BH.xls][Spt-BH.xls]B__1631"/>
      <sheetName val="[Spt-BH.xls][Spt-BH.xls]B__1632"/>
      <sheetName val="[Spt-BH.xls][Spt-BH.xls]B__1633"/>
      <sheetName val="[Spt-BH.xls][Spt-BH.xls]B__1634"/>
      <sheetName val="[Spt-BH.xls][Spt-BH.xls]B__1635"/>
      <sheetName val="[Spt-BH.xls][Spt-BH.xls]B__1636"/>
      <sheetName val="[Spt-BH.xls][Spt-BH.xls]_Sp_560"/>
      <sheetName val="[Spt-BH.xls][Spt-BH.xls]_Sp_561"/>
      <sheetName val="[Spt-BH.xls]B____x005f_x0004______140"/>
      <sheetName val="[Spt-BH.xls]B___x005f_x0000__x000_140"/>
      <sheetName val="[Spt-BH.xls][Spt-BH_xls]B___278"/>
      <sheetName val="[Spt-BH.xls][Spt-BH_xls]B___279"/>
      <sheetName val="[Spt-BH.xls][Spt-BH.xls]_Sp_565"/>
      <sheetName val="[Spt-BH.xls][Spt-BH.xls]_Sp_566"/>
      <sheetName val="[Spt-BH.xls][Spt-BH.xls]B__1643"/>
      <sheetName val="[Spt-BH.xls][Spt-BH.xls]B__1644"/>
      <sheetName val="[Spt-BH.xls][Spt-BH.xls]B__1645"/>
      <sheetName val="[Spt-BH.xls][Spt-BH.xls]_Sp_568"/>
      <sheetName val="[Spt-BH.xls][Spt-BH.xls]B__1646"/>
      <sheetName val="[Spt-BH.xls][Spt-BH.xls]B__1647"/>
      <sheetName val="[Spt-BH.xls][Spt-BH.xls]B__1648"/>
      <sheetName val="[Spt-BH.xls][Spt-BH.xls]_Sp_567"/>
      <sheetName val="[Spt-BH.xls][Spt-BH.xls]_Sp_569"/>
      <sheetName val="[Spt-BH.xls][Spt-BH.xls]B__1649"/>
      <sheetName val="[Spt-BH.xls][Spt-BH.xls]B__1650"/>
      <sheetName val="[Spt-BH.xls][Spt-BH.xls]B__1651"/>
      <sheetName val="[Spt-BH.xls][Spt-BH.xls]_Sp_572"/>
      <sheetName val="[Spt-BH.xls][Spt-BH.xls]B__1652"/>
      <sheetName val="[Spt-BH.xls][Spt-BH.xls]B__1653"/>
      <sheetName val="[Spt-BH.xls][Spt-BH.xls]B__1654"/>
      <sheetName val="[Spt-BH.xls][Spt-BH.xls]_Sp_570"/>
      <sheetName val="[Spt-BH.xls][Spt-BH.xls]_Sp_571"/>
      <sheetName val="입찰내역 발주처 양식"/>
      <sheetName val="detail'02"/>
      <sheetName val="CASHFLOWS"/>
      <sheetName val="Internet"/>
      <sheetName val="SC Cost FEB 03"/>
      <sheetName val="SILICATE"/>
      <sheetName val="[Spt-BH_xls][Spt-BH_xls][Spt-BH"/>
      <sheetName val="[Spt-BH_xls][Spt-BH_xls]B@[?@??"/>
      <sheetName val="[Spt-BH_xls][Spt-BH_xls]B@[?_x0"/>
      <sheetName val="[Spt-BH_xls]B@[_x005f_x0000__x005f_x0004_@_"/>
      <sheetName val="Labour_Rate_"/>
      <sheetName val="1_01_(a)"/>
      <sheetName val="Basic_Rates"/>
      <sheetName val="activit-graph__"/>
      <sheetName val="beam-reinft-machine_rm"/>
      <sheetName val="B@___x005f_x0004_@___$_"/>
      <sheetName val="glass_project_i"/>
      <sheetName val="oject_indices4_"/>
      <sheetName val="_Recovered_SheetName_511_"/>
      <sheetName val="_Recovered_SheetName_512_"/>
      <sheetName val="_Recovered_SheetName_513_"/>
      <sheetName val="_Recovered_SheetName_514_"/>
      <sheetName val="_Recovered_SheetName_515_"/>
      <sheetName val="_Recovered_SheetName_516_"/>
      <sheetName val="_Recovered_SheetName_517_"/>
      <sheetName val="_Recovered_SheetName_518_"/>
      <sheetName val="_Recovered_SheetName_519_"/>
      <sheetName val="_Recovered_SheetName_520_"/>
      <sheetName val="_Recovered_SheetName_521_"/>
      <sheetName val="_Recovered_SheetName_522_"/>
      <sheetName val="_Recovered_SheetName_523_"/>
      <sheetName val="_Recovered_SheetName_524_"/>
      <sheetName val="_Recovered_SheetName_525_"/>
      <sheetName val="_Recovered_SheetName_526_"/>
      <sheetName val="_Recovered_SheetName_527_"/>
      <sheetName val="_Recovered_SheetName_528_"/>
      <sheetName val="_Recovered_SheetName_529_"/>
      <sheetName val="_Recovered_SheetName_530_"/>
      <sheetName val="_Recovered_SheetName_531_"/>
      <sheetName val="_Recovered_SheetName_532_"/>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_Recovered_SheetName_2913_"/>
      <sheetName val="_Recovered_SheetName_2914_"/>
      <sheetName val="_Recovered_SheetName_2915_"/>
      <sheetName val="_Recovered_SheetName_2916_"/>
      <sheetName val="_Recovered_SheetName_2917_"/>
      <sheetName val="_Recovered_SheetName_2918_"/>
      <sheetName val="_Recovered_SheetName_2919_"/>
      <sheetName val="_Recovered_SheetName_2920_"/>
      <sheetName val="_Recovered_SheetName_2921_"/>
      <sheetName val="_Recovered_SheetName_2922_"/>
      <sheetName val="_Recovered_SheetName_2923_"/>
      <sheetName val="_Recovered_SheetName_2924_"/>
      <sheetName val="_Recovered_SheetName_2925_"/>
      <sheetName val="_Recovered_SheetName_2926_"/>
      <sheetName val="_Recovered_SheetName_2927_"/>
      <sheetName val="_Recovered_SheetName_2928_"/>
      <sheetName val="_Recovered_SheetName_2929_"/>
      <sheetName val="_Recovered_SheetName_2930_"/>
      <sheetName val="_Recovered_SheetName_2931_"/>
      <sheetName val="_Recovered_SheetName_2932_"/>
      <sheetName val="_Recovered_SheetName_2933_"/>
      <sheetName val="_Recovered_SheetName_2934_"/>
      <sheetName val="_Recovered_SheetName_2935_"/>
      <sheetName val="_Recovered_SheetName_2936_"/>
      <sheetName val="_Recovered_SheetName_2937_"/>
      <sheetName val="_Recovered_SheetName_2938_"/>
      <sheetName val="_Recovered_SheetName_2939_"/>
      <sheetName val="_Recovered_SheetName_2940_"/>
      <sheetName val="_Recovered_SheetName_2941_"/>
      <sheetName val="_Recovered_SheetName_2942_"/>
      <sheetName val="_Recovered_SheetName_2943_"/>
      <sheetName val="_Recovered_SheetName_2944_"/>
      <sheetName val="_Recovered_SheetName_2945_"/>
      <sheetName val="_Recovered_SheetName_2946_"/>
      <sheetName val="_Recovered_SheetName_2947_"/>
      <sheetName val="_Recovered_SheetName_2948_"/>
      <sheetName val="_Recovered_SheetName_2949_"/>
      <sheetName val="_Recovered_SheetName_2950_"/>
      <sheetName val="_Recovered_SheetName_2951_"/>
      <sheetName val="_Recovered_SheetName_2952_"/>
      <sheetName val="_Recovered_SheetName_2953_"/>
      <sheetName val="_Recovered_SheetName_2954_"/>
      <sheetName val="_Recovered_SheetName_2955_"/>
      <sheetName val="_Recovered_SheetName_2956_"/>
      <sheetName val="_Recovered_SheetName_2957_"/>
      <sheetName val="_Recovered_SheetName_2958_"/>
      <sheetName val="_Recovered_SheetName_2959_"/>
      <sheetName val="_Recovered_SheetName_2960_"/>
      <sheetName val="_Recovered_SheetName_2961_"/>
      <sheetName val="_Recovered_SheetName_2962_"/>
      <sheetName val="_Recovered_SheetName_2963_"/>
      <sheetName val="_Recovered_SheetName_2964_"/>
      <sheetName val="_Recovered_SheetName_2965_"/>
      <sheetName val="_Recovered_SheetName_2966_"/>
      <sheetName val="_Recovered_SheetName_2967_"/>
      <sheetName val="_Recovered_SheetName_2968_"/>
      <sheetName val="_Recovered_SheetName_2969_"/>
      <sheetName val="_Recovered_SheetName_2970_"/>
      <sheetName val="_Recovered_SheetName_2971_"/>
      <sheetName val="_Recovered_SheetName_2972_"/>
      <sheetName val="_Recovered_SheetName_2973_"/>
      <sheetName val="_Recovered_SheetName_2974_"/>
      <sheetName val="_Recovered_SheetName_2975_"/>
      <sheetName val="_Recovered_SheetName_2976_"/>
      <sheetName val="_Recovered_SheetName_2977_"/>
      <sheetName val="_Recovered_SheetName_2978_"/>
      <sheetName val="_Recovered_SheetName_2979_"/>
      <sheetName val="_Recovered_SheetName_2980_"/>
      <sheetName val="_Recovered_SheetName_2981_"/>
      <sheetName val="_Recovered_SheetName_2982_"/>
      <sheetName val="_Recovered_SheetName_2983_"/>
      <sheetName val="_Recovered_SheetName_2984_"/>
      <sheetName val="_Recovered_SheetName_2985_"/>
      <sheetName val="_Recovered_SheetName_2986_"/>
      <sheetName val="_Recovered_SheetName_2987_"/>
      <sheetName val="_Recovered_SheetName_2988_"/>
      <sheetName val="_Recovered_SheetName_2989_"/>
      <sheetName val="_Recovered_SheetName_2990_"/>
      <sheetName val="_Recovered_SheetName_2991_"/>
      <sheetName val="_Recovered_SheetName_2992_"/>
      <sheetName val="_Recovered_SheetName_2993_"/>
      <sheetName val="_Recovered_SheetName_2994_"/>
      <sheetName val="_Recovered_SheetName_2995_"/>
      <sheetName val="_Recovered_SheetName_2996_"/>
      <sheetName val="_Recovered_SheetName_2997_"/>
      <sheetName val="_Recovered_SheetName_2998_"/>
      <sheetName val="_Recovered_SheetName_2999_"/>
      <sheetName val="_Recovered_SheetName_3000_"/>
      <sheetName val="_Recovered_SheetName_3001_"/>
      <sheetName val="_Recovered_SheetName_3002_"/>
      <sheetName val="_Recovered_SheetName_3003_"/>
      <sheetName val="_Recovered_SheetName_3004_"/>
      <sheetName val="_Recovered_SheetName_3005_"/>
      <sheetName val="_Recovered_SheetName_3006_"/>
      <sheetName val="_Recovered_SheetName_3007_"/>
      <sheetName val="_Recovered_SheetName_3008_"/>
      <sheetName val="_Recovered_SheetName_3009_"/>
      <sheetName val="_Recovered_SheetName_3010_"/>
      <sheetName val="_Recovered_SheetName_3011_"/>
      <sheetName val="_Recovered_SheetName_3012_"/>
      <sheetName val="_Recovered_SheetName_3013_"/>
      <sheetName val="_Recovered_SheetName_3014_"/>
      <sheetName val="_Recovered_SheetName_3015_"/>
      <sheetName val="_Recovered_SheetName_3016_"/>
      <sheetName val="_Recovered_SheetName_3017_"/>
      <sheetName val="_Recovered_SheetName_3018_"/>
      <sheetName val="_Recovered_SheetName_3019_"/>
      <sheetName val="_Recovered_SheetName_3020_"/>
      <sheetName val="_Recovered_SheetName_3021_"/>
      <sheetName val="_Recovered_SheetName_3022_"/>
      <sheetName val="_Recovered_SheetName_3023_"/>
      <sheetName val="_Recovered_SheetName_3024_"/>
      <sheetName val="_Recovered_SheetName_3025_"/>
      <sheetName val="_Recovered_SheetName_3026_"/>
      <sheetName val="_Recovered_SheetName_3027_"/>
      <sheetName val="_Recovered_SheetName_3028_"/>
      <sheetName val="_Recovered_SheetName_3029_"/>
      <sheetName val="_Recovered_SheetName_3030_"/>
      <sheetName val="_Recovered_SheetName_3031_"/>
      <sheetName val="_Recovered_SheetName_3032_"/>
      <sheetName val="_Recovered_SheetName_3033_"/>
      <sheetName val="_Recovered_SheetName_3034_"/>
      <sheetName val="_Recovered_SheetName_3035_"/>
      <sheetName val="_Recovered_SheetName_3036_"/>
      <sheetName val="_Recovered_SheetName_3037_"/>
      <sheetName val="_Recovered_SheetName_3038_"/>
      <sheetName val="_Recovered_SheetName_3039_"/>
      <sheetName val="_Recovered_SheetName_3040_"/>
      <sheetName val="_Recovered_SheetName_3041_"/>
      <sheetName val="_Recovered_SheetName_3042_"/>
      <sheetName val="_Recovered_SheetName_3043_"/>
      <sheetName val="_Recovered_SheetName_3044_"/>
      <sheetName val="_Recovered_SheetName_3045_"/>
      <sheetName val="_Recovered_SheetName_3046_"/>
      <sheetName val="_Recovered_SheetName_3047_"/>
      <sheetName val="_Recovered_SheetName_3048_"/>
      <sheetName val="_Recovered_SheetName_3049_"/>
      <sheetName val="_Recovered_SheetName_3050_"/>
      <sheetName val="_Recovered_SheetName_3051_"/>
      <sheetName val="_Recovered_SheetName_3052_"/>
      <sheetName val="_Recovered_SheetName_3053_"/>
      <sheetName val="_Recovered_SheetName_3054_"/>
      <sheetName val="_Recovered_SheetName_3055_"/>
      <sheetName val="_Recovered_SheetName_3056_"/>
      <sheetName val="_Recovered_SheetName_3057_"/>
      <sheetName val="_Recovered_SheetName_3058_"/>
      <sheetName val="_Recovered_SheetName_3059_"/>
      <sheetName val="_Recovered_SheetName_3060_"/>
      <sheetName val="_Recovered_SheetName_3061_"/>
      <sheetName val="_Recovered_SheetName_3062_"/>
      <sheetName val="_Recovered_SheetName_3063_"/>
      <sheetName val="_Recovered_SheetName_3064_"/>
      <sheetName val="_Recovered_SheetName_3065_"/>
      <sheetName val="_Recovered_SheetName_3066_"/>
      <sheetName val="_Recovered_SheetName_3067_"/>
      <sheetName val="_Recovered_SheetName_3068_"/>
      <sheetName val="_Recovered_SheetName_3069_"/>
      <sheetName val="_Recovered_SheetName_3070_"/>
      <sheetName val="_Recovered_SheetName_3071_"/>
      <sheetName val="_Recovered_SheetName_3072_"/>
      <sheetName val="_Recovered_SheetName_3073_"/>
      <sheetName val="_Recovered_SheetName_3074_"/>
      <sheetName val="_Recovered_SheetName_3075_"/>
      <sheetName val="_Recovered_SheetName_3076_"/>
      <sheetName val="_Recovered_SheetName_3077_"/>
      <sheetName val="_Recovered_SheetName_3078_"/>
      <sheetName val="_Recovered_SheetName_3079_"/>
      <sheetName val="_Recovered_SheetName_3080_"/>
      <sheetName val="_Recovered_SheetName_3081_"/>
      <sheetName val="_Recovered_SheetName_3082_"/>
      <sheetName val="_Recovered_SheetName_3083_"/>
      <sheetName val="_Recovered_SheetName_3084_"/>
      <sheetName val="_Recovered_SheetName_3085_"/>
      <sheetName val="_Recovered_SheetName_3086_"/>
      <sheetName val="_Recovered_SheetName_3087_"/>
      <sheetName val="_Recovered_SheetName_3088_"/>
      <sheetName val="_Recovered_SheetName_3089_"/>
      <sheetName val="_Recovered_SheetName_3090_"/>
      <sheetName val="_Recovered_SheetName_3091_"/>
      <sheetName val="_Recovered_SheetName_3092_"/>
      <sheetName val="_Recovered_SheetName_3093_"/>
      <sheetName val="_Recovered_SheetName_3094_"/>
      <sheetName val="_Recovered_SheetName_3095_"/>
      <sheetName val="_Recovered_SheetName_3096_"/>
      <sheetName val="_Recovered_SheetName_3097_"/>
      <sheetName val="_Recovered_SheetName_3098_"/>
      <sheetName val="_Recovered_SheetName_3099_"/>
      <sheetName val="_Recovered_SheetName_3100_"/>
      <sheetName val="_Recovered_SheetName_3101_"/>
      <sheetName val="_Recovered_SheetName_3102_"/>
      <sheetName val="_Recovered_SheetName_3103_"/>
      <sheetName val="_Recovered_SheetName_3104_"/>
      <sheetName val="_Recovered_SheetName_3105_"/>
      <sheetName val="_Recovered_SheetName_3106_"/>
      <sheetName val="_Recovered_SheetName_3107_"/>
      <sheetName val="_Recovered_SheetName_3108_"/>
      <sheetName val="_Recovered_SheetName_3109_"/>
      <sheetName val="_Recovered_SheetName_3110_"/>
      <sheetName val="_Recovered_SheetName_3111_"/>
      <sheetName val="_Recovered_SheetName_3112_"/>
      <sheetName val="_Recovered_SheetName_3113_"/>
      <sheetName val="_Recovered_SheetName_3114_"/>
      <sheetName val="_Recovered_SheetName_3115_"/>
      <sheetName val="_Recovered_SheetName_3116_"/>
      <sheetName val="_Recovered_SheetName_3117_"/>
      <sheetName val="_Recovered_SheetName_3118_"/>
      <sheetName val="_Recovered_SheetName_3119_"/>
      <sheetName val="_Recovered_SheetName_3120_"/>
      <sheetName val="_Recovered_SheetName_3121_"/>
      <sheetName val="_Recovered_SheetName_3122_"/>
      <sheetName val="_Recovered_SheetName_3123_"/>
      <sheetName val="_Recovered_SheetName_3124_"/>
      <sheetName val="_Recovered_SheetName_3125_"/>
      <sheetName val="_Recovered_SheetName_3126_"/>
      <sheetName val="_Recovered_SheetName_3127_"/>
      <sheetName val="_Recovered_SheetName_3128_"/>
      <sheetName val="_Recovered_SheetName_3129_"/>
      <sheetName val="_Recovered_SheetName_3130_"/>
      <sheetName val="_Recovered_SheetName_3131_"/>
      <sheetName val="_Recovered_SheetName_3132_"/>
      <sheetName val="_Recovered_SheetName_3133_"/>
      <sheetName val="_Recovered_SheetName_3134_"/>
      <sheetName val="_Recovered_SheetName_3135_"/>
      <sheetName val="_Recovered_SheetName_3136_"/>
      <sheetName val="_Recovered_SheetName_3137_"/>
      <sheetName val="_Recovered_SheetName_3138_"/>
      <sheetName val="_Recovered_SheetName_3139_"/>
      <sheetName val="_Recovered_SheetName_3140_"/>
      <sheetName val="_Recovered_SheetName_3141_"/>
      <sheetName val="_Recovered_SheetName_3142_"/>
      <sheetName val="_Recovered_SheetName_3143_"/>
      <sheetName val="_Recovered_SheetName_3144_"/>
      <sheetName val="_Recovered_SheetName_3145_"/>
      <sheetName val="_Recovered_SheetName_3146_"/>
      <sheetName val="_Recovered_SheetName_3147_"/>
      <sheetName val="_Recovered_SheetName_3148_"/>
      <sheetName val="_Recovered_SheetName_3149_"/>
      <sheetName val="_Recovered_SheetName_3150_"/>
      <sheetName val="_Recovered_SheetName_3151_"/>
      <sheetName val="_Recovered_SheetName_3152_"/>
      <sheetName val="_Recovered_SheetName_3153_"/>
      <sheetName val="_Recovered_SheetName_3154_"/>
      <sheetName val="_Recovered_SheetName_3155_"/>
      <sheetName val="_Recovered_SheetName_3156_"/>
      <sheetName val="_Recovered_SheetName_3157_"/>
      <sheetName val="_Recovered_SheetName_3158_"/>
      <sheetName val="_Recovered_SheetName_3159_"/>
      <sheetName val="_Recovered_SheetName_3160_"/>
      <sheetName val="_Recovered_SheetName_3161_"/>
      <sheetName val="_Recovered_SheetName_3162_"/>
      <sheetName val="_Recovered_SheetName_3163_"/>
      <sheetName val="_Recovered_SheetName_3164_"/>
      <sheetName val="_Recovered_SheetName_3165_"/>
      <sheetName val="_Recovered_SheetName_3166_"/>
      <sheetName val="_Recovered_SheetName_3167_"/>
      <sheetName val="_Recovered_SheetName_3168_"/>
      <sheetName val="_Recovered_SheetName_3169_"/>
      <sheetName val="_Recovered_SheetName_3170_"/>
      <sheetName val="_Recovered_SheetName_3171_"/>
      <sheetName val="_Recovered_SheetName_3172_"/>
      <sheetName val="_Recovered_SheetName_3173_"/>
      <sheetName val="_Recovered_SheetName_3174_"/>
      <sheetName val="_Recovered_SheetName_3175_"/>
      <sheetName val="_Recovered_SheetName_3176_"/>
      <sheetName val="_Recovered_SheetName_3177_"/>
      <sheetName val="_Recovered_SheetName_3178_"/>
      <sheetName val="_Recovered_SheetName_3179_"/>
      <sheetName val="_Recovered_SheetName_3180_"/>
      <sheetName val="_Recovered_SheetName_3181_"/>
      <sheetName val="_Recovered_SheetName_3182_"/>
      <sheetName val="_Recovered_SheetName_3183_"/>
      <sheetName val="_Recovered_SheetName_3184_"/>
      <sheetName val="_Recovered_SheetName_3185_"/>
      <sheetName val="_Recovered_SheetName_3186_"/>
      <sheetName val="_Recovered_SheetName_3187_"/>
      <sheetName val="_Recovered_SheetName_3188_"/>
      <sheetName val="_Recovered_SheetName_3189_"/>
      <sheetName val="_Recovered_SheetName_3190_"/>
      <sheetName val="_Recovered_SheetName_3191_"/>
      <sheetName val="_Recovered_SheetName_3192_"/>
      <sheetName val="_Recovered_SheetName_3193_"/>
      <sheetName val="_Recovered_SheetName_3194_"/>
      <sheetName val="_Recovered_SheetName_3195_"/>
      <sheetName val="_Recovered_SheetName_3196_"/>
      <sheetName val="_Recovered_SheetName_3197_"/>
      <sheetName val="_Recovered_SheetName_3198_"/>
      <sheetName val="_Recovered_SheetName_3199_"/>
      <sheetName val="_Recovered_SheetName_3200_"/>
      <sheetName val="_Recovered_SheetName_3201_"/>
      <sheetName val="_Recovered_SheetName_3202_"/>
      <sheetName val="_Recovered_SheetName_3203_"/>
      <sheetName val="_Recovered_SheetName_3204_"/>
      <sheetName val="_Recovered_SheetName_3205_"/>
      <sheetName val="_Recovered_SheetName_3206_"/>
      <sheetName val="_Recovered_SheetName_3207_"/>
      <sheetName val="_Recovered_SheetName_3208_"/>
      <sheetName val="_Recovered_SheetName_3209_"/>
      <sheetName val="_Recovered_SheetName_3210_"/>
      <sheetName val="_Recovered_SheetName_3211_"/>
      <sheetName val="_Recovered_SheetName_3212_"/>
      <sheetName val="_Recovered_SheetName_3213_"/>
      <sheetName val="_Recovered_SheetName_3214_"/>
      <sheetName val="_Recovered_SheetName_3215_"/>
      <sheetName val="_Recovered_SheetName_3216_"/>
      <sheetName val="_Recovered_SheetName_3217_"/>
      <sheetName val="_Recovered_SheetName_3218_"/>
      <sheetName val="_Recovered_SheetName_3219_"/>
      <sheetName val="_Recovered_SheetName_3220_"/>
      <sheetName val="_Recovered_SheetName_3221_"/>
      <sheetName val="_Recovered_SheetName_3222_"/>
      <sheetName val="_Recovered_SheetName_3223_"/>
      <sheetName val="_Recovered_SheetName_3224_"/>
      <sheetName val="_Recovered_SheetName_3225_"/>
      <sheetName val="_Recovered_SheetName_3226_"/>
      <sheetName val="_Recovered_SheetName_3227_"/>
      <sheetName val="_Recovered_SheetName_3228_"/>
      <sheetName val="_Recovered_SheetName_3229_"/>
      <sheetName val="_Recovered_SheetName_3230_"/>
      <sheetName val="_Recovered_SheetName_3231_"/>
      <sheetName val="_Recovered_SheetName_3232_"/>
      <sheetName val="_Recovered_SheetName_3233_"/>
      <sheetName val="_Recovered_SheetName_3234_"/>
      <sheetName val="_Recovered_SheetName_3235_"/>
      <sheetName val="_Recovered_SheetName_3236_"/>
      <sheetName val="_Recovered_SheetName_3237_"/>
      <sheetName val="_Recovered_SheetName_3238_"/>
      <sheetName val="_Recovered_SheetName_3239_"/>
      <sheetName val="_Recovered_SheetName_3240_"/>
      <sheetName val="_Recovered_SheetName_3241_"/>
      <sheetName val="_Recovered_SheetName_3242_"/>
      <sheetName val="_Recovered_SheetName_3243_"/>
      <sheetName val="_Recovered_SheetName_3244_"/>
      <sheetName val="_Recovered_SheetName_3245_"/>
      <sheetName val="_Recovered_SheetName_3246_"/>
      <sheetName val="_Recovered_SheetName_3247_"/>
      <sheetName val="_Recovered_SheetName_3248_"/>
      <sheetName val="_Recovered_SheetName_3249_"/>
      <sheetName val="_Recovered_SheetName_3250_"/>
      <sheetName val="_Recovered_SheetName_3251_"/>
      <sheetName val="_Recovered_SheetName_3252_"/>
      <sheetName val="_Recovered_SheetName_3253_"/>
      <sheetName val="_Recovered_SheetName_3254_"/>
      <sheetName val="_Recovered_SheetName_3255_"/>
      <sheetName val="_Recovered_SheetName_3256_"/>
      <sheetName val="_Recovered_SheetName_3257_"/>
      <sheetName val="_Recovered_SheetName_3258_"/>
      <sheetName val="_Recovered_SheetName_3259_"/>
      <sheetName val="_Recovered_SheetName_3260_"/>
      <sheetName val="_Recovered_SheetName_3261_"/>
      <sheetName val="_Recovered_SheetName_3262_"/>
      <sheetName val="_Recovered_SheetName_3263_"/>
      <sheetName val="_Recovered_SheetName_3264_"/>
      <sheetName val="_Recovered_SheetName_3265_"/>
      <sheetName val="_Recovered_SheetName_3266_"/>
      <sheetName val="_Recovered_SheetName_3267_"/>
      <sheetName val="_Recovered_SheetName_3268_"/>
      <sheetName val="_Recovered_SheetName_3269_"/>
      <sheetName val="_Recovered_SheetName_3270_"/>
      <sheetName val="_Recovered_SheetName_3271_"/>
      <sheetName val="_Recovered_SheetName_3272_"/>
      <sheetName val="_Recovered_SheetName_3273_"/>
      <sheetName val="_Recovered_SheetName_3274_"/>
      <sheetName val="_Recovered_SheetName_3275_"/>
      <sheetName val="_Recovered_SheetName_3276_"/>
      <sheetName val="_Recovered_SheetName_3277_"/>
      <sheetName val="_Recovered_SheetName_3278_"/>
      <sheetName val="_Recovered_SheetName_3279_"/>
      <sheetName val="_Recovered_SheetName_3280_"/>
      <sheetName val="_Recovered_SheetName_3281_"/>
      <sheetName val="_Recovered_SheetName_3282_"/>
      <sheetName val="_Recovered_SheetName_3283_"/>
      <sheetName val="_Recovered_SheetName_3284_"/>
      <sheetName val="_Recovered_SheetName_3285_"/>
      <sheetName val="_Recovered_SheetName_3286_"/>
      <sheetName val="_Recovered_SheetName_3287_"/>
      <sheetName val="_Recovered_SheetName_3288_"/>
      <sheetName val="_Recovered_SheetName_3289_"/>
      <sheetName val="_Recovered_SheetName_3290_"/>
      <sheetName val="_Recovered_SheetName_3291_"/>
      <sheetName val="_Recovered_SheetName_3292_"/>
      <sheetName val="_Recovered_SheetName_3293_"/>
      <sheetName val="_Recovered_SheetName_3294_"/>
      <sheetName val="_Recovered_SheetName_3295_"/>
      <sheetName val="_Recovered_SheetName_3296_"/>
      <sheetName val="_Recovered_SheetName_3297_"/>
      <sheetName val="_Recovered_SheetName_3298_"/>
      <sheetName val="_Recovered_SheetName_3299_"/>
      <sheetName val="_Recovered_SheetName_3300_"/>
      <sheetName val="_Recovered_SheetName_3301_"/>
      <sheetName val="_Recovered_SheetName_3302_"/>
      <sheetName val="_Recovered_SheetName_3303_"/>
      <sheetName val="_Recovered_SheetName_3304_"/>
      <sheetName val="_Recovered_SheetName_3305_"/>
      <sheetName val="_Recovered_SheetName_3306_"/>
      <sheetName val="_Recovered_SheetName_3307_"/>
      <sheetName val="_Recovered_SheetName_3308_"/>
      <sheetName val="_Recovered_SheetName_3309_"/>
      <sheetName val="_Recovered_SheetName_3310_"/>
      <sheetName val="_Recovered_SheetName_3311_"/>
      <sheetName val="_Recovered_SheetName_3312_"/>
      <sheetName val="_Recovered_SheetName_3313_"/>
      <sheetName val="_Recovered_SheetName_3314_"/>
      <sheetName val="_Recovered_SheetName_3315_"/>
      <sheetName val="_Recovered_SheetName_3316_"/>
      <sheetName val="_Recovered_SheetName_3317_"/>
      <sheetName val="_Recovered_SheetName_3318_"/>
      <sheetName val="_Recovered_SheetName_3319_"/>
      <sheetName val="_Recovered_SheetName_3320_"/>
      <sheetName val="_Recovered_SheetName_3321_"/>
      <sheetName val="_Recovered_SheetName_3322_"/>
      <sheetName val="_Recovered_SheetName_3323_"/>
      <sheetName val="_Recovered_SheetName_3324_"/>
      <sheetName val="_Recovered_SheetName_3325_"/>
      <sheetName val="_Recovered_SheetName_3326_"/>
      <sheetName val="_Recovered_SheetName_3327_"/>
      <sheetName val="_Recovered_SheetName_3328_"/>
      <sheetName val="_Recovered_SheetName_3329_"/>
      <sheetName val="_Recovered_SheetName_3330_"/>
      <sheetName val="_Recovered_SheetName_3331_"/>
      <sheetName val="_Recovered_SheetName_3332_"/>
      <sheetName val="_Recovered_SheetName_3333_"/>
      <sheetName val="_Recovered_SheetName_3334_"/>
      <sheetName val="_Recovered_SheetName_3335_"/>
      <sheetName val="_Recovered_SheetName_3336_"/>
      <sheetName val="_Recovered_SheetName_3337_"/>
      <sheetName val="_Recovered_SheetName_3338_"/>
      <sheetName val="_Recovered_SheetName_3339_"/>
      <sheetName val="_Recovered_SheetName_3340_"/>
      <sheetName val="_Recovered_SheetName_3341_"/>
      <sheetName val="_Recovered_SheetName_3342_"/>
      <sheetName val="_Recovered_SheetName_3343_"/>
      <sheetName val="_Recovered_SheetName_3344_"/>
      <sheetName val="_Recovered_SheetName_3345_"/>
      <sheetName val="_Recovered_SheetName_3346_"/>
      <sheetName val="_Recovered_SheetName_3347_"/>
      <sheetName val="_Recovered_SheetName_3348_"/>
      <sheetName val="_Recovered_SheetName_3349_"/>
      <sheetName val="_Recovered_SheetName_3350_"/>
      <sheetName val="_Recovered_SheetName_3351_"/>
      <sheetName val="_Recovered_SheetName_3352_"/>
      <sheetName val="_Recovered_SheetName_3353_"/>
      <sheetName val="_Recovered_SheetName_3354_"/>
      <sheetName val="_Recovered_SheetName_3355_"/>
      <sheetName val="_Recovered_SheetName_3356_"/>
      <sheetName val="_Recovered_SheetName_3357_"/>
      <sheetName val="_Recovered_SheetName_3358_"/>
      <sheetName val="_Recovered_SheetName_3359_"/>
      <sheetName val="_Recovered_SheetName_3360_"/>
      <sheetName val="_Recovered_SheetName_3361_"/>
      <sheetName val="_Recovered_SheetName_3362_"/>
      <sheetName val="_Recovered_SheetName_3363_"/>
      <sheetName val="_Recovered_SheetName_3364_"/>
      <sheetName val="_Recovered_SheetName_3365_"/>
      <sheetName val="_Recovered_SheetName_3366_"/>
      <sheetName val="_Recovered_SheetName_3367_"/>
      <sheetName val="_Recovered_SheetName_3368_"/>
      <sheetName val="_Recovered_SheetName_3369_"/>
      <sheetName val="_Recovered_SheetName_3370_"/>
      <sheetName val="_Recovered_SheetName_3371_"/>
      <sheetName val="_Recovered_SheetName_3372_"/>
      <sheetName val="_Recovered_SheetName_3373_"/>
      <sheetName val="_Recovered_SheetName_3374_"/>
      <sheetName val="_Recovered_SheetName_3375_"/>
      <sheetName val="_Recovered_SheetName_3376_"/>
      <sheetName val="_Recovered_SheetName_3377_"/>
      <sheetName val="_Recovered_SheetName_3378_"/>
      <sheetName val="_Recovered_SheetName_3379_"/>
      <sheetName val="_Recovered_SheetName_3380_"/>
      <sheetName val="_Recovered_SheetName_3381_"/>
      <sheetName val="_Recovered_SheetName_3382_"/>
      <sheetName val="_Recovered_SheetName_3383_"/>
      <sheetName val="_Recovered_SheetName_3384_"/>
      <sheetName val="_Recovered_SheetName_3385_"/>
      <sheetName val="_Recovered_SheetName_3386_"/>
      <sheetName val="_Recovered_SheetName_3387_"/>
      <sheetName val="_Recovered_SheetName_3388_"/>
      <sheetName val="_Recovered_SheetName_3389_"/>
      <sheetName val="_Recovered_SheetName_3390_"/>
      <sheetName val="_Recovered_SheetName_3391_"/>
      <sheetName val="_Recovered_SheetName_3392_"/>
      <sheetName val="_Recovered_SheetName_3393_"/>
      <sheetName val="_Recovered_SheetName_3394_"/>
      <sheetName val="_Recovered_SheetName_3395_"/>
      <sheetName val="_Recovered_SheetName_3396_"/>
      <sheetName val="_Recovered_SheetName_3397_"/>
      <sheetName val="_Recovered_SheetName_3398_"/>
      <sheetName val="_Recovered_SheetName_3399_"/>
      <sheetName val="_Recovered_SheetName_3400_"/>
      <sheetName val="_Recovered_SheetName_3401_"/>
      <sheetName val="_Recovered_SheetName_3402_"/>
      <sheetName val="_Recovered_SheetName_3403_"/>
      <sheetName val="_Recovered_SheetName_3404_"/>
      <sheetName val="_Recovered_SheetName_3405_"/>
      <sheetName val="_Recovered_SheetName_3406_"/>
      <sheetName val="_Recovered_SheetName_3407_"/>
      <sheetName val="_Recovered_SheetName_3408_"/>
      <sheetName val="_Recovered_SheetName_3409_"/>
      <sheetName val="_Recovered_SheetName_3410_"/>
      <sheetName val="_Recovered_SheetName_3411_"/>
      <sheetName val="_Recovered_SheetName_3412_"/>
      <sheetName val="_Recovered_SheetName_3413_"/>
      <sheetName val="_Recovered_SheetName_3414_"/>
      <sheetName val="_Recovered_SheetName_3415_"/>
      <sheetName val="_Recovered_SheetName_3416_"/>
      <sheetName val="_Recovered_SheetName_3417_"/>
      <sheetName val="_Recovered_SheetName_3418_"/>
      <sheetName val="_Recovered_SheetName_3419_"/>
      <sheetName val="_Recovered_SheetName_3420_"/>
      <sheetName val="_Recovered_SheetName_3421_"/>
      <sheetName val="_Recovered_SheetName_3422_"/>
      <sheetName val="_Recovered_SheetName_3423_"/>
      <sheetName val="_Recovered_SheetName_3424_"/>
      <sheetName val="_Recovered_SheetName_3425_"/>
      <sheetName val="_Recovered_SheetName_3426_"/>
      <sheetName val="_Recovered_SheetName_3427_"/>
      <sheetName val="_Recovered_SheetName_3428_"/>
      <sheetName val="_Recovered_SheetName_3429_"/>
      <sheetName val="_Recovered_SheetName_3430_"/>
      <sheetName val="_Recovered_SheetName_3431_"/>
      <sheetName val="_Recovered_SheetName_3432_"/>
      <sheetName val="_Recovered_SheetName_3433_"/>
      <sheetName val="_Recovered_SheetName_3434_"/>
      <sheetName val="_Recovered_SheetName_3435_"/>
      <sheetName val="_Recovered_SheetName_3436_"/>
      <sheetName val="_Recovered_SheetName_3437_"/>
      <sheetName val="_Recovered_SheetName_3438_"/>
      <sheetName val="_Recovered_SheetName_3439_"/>
      <sheetName val="_Recovered_SheetName_3440_"/>
      <sheetName val="_Recovered_SheetName_3441_"/>
      <sheetName val="_Recovered_SheetName_3442_"/>
      <sheetName val="_Recovered_SheetName_3443_"/>
      <sheetName val="_Recovered_SheetName_3444_"/>
      <sheetName val="_Recovered_SheetName_3445_"/>
      <sheetName val="_Recovered_SheetName_3446_"/>
      <sheetName val="_Recovered_SheetName_3447_"/>
      <sheetName val="_Recovered_SheetName_3448_"/>
      <sheetName val="_Recovered_SheetName_3449_"/>
      <sheetName val="_Recovered_SheetName_3450_"/>
      <sheetName val="_Recovered_SheetName_3451_"/>
      <sheetName val="_Recovered_SheetName_3452_"/>
      <sheetName val="_Recovered_SheetName_3453_"/>
      <sheetName val="_Recovered_SheetName_3454_"/>
      <sheetName val="_Recovered_SheetName_3455_"/>
      <sheetName val="_Recovered_SheetName_3456_"/>
      <sheetName val="_Recovered_SheetName_3457_"/>
      <sheetName val="_Recovered_SheetName_3458_"/>
      <sheetName val="_Recovered_SheetName_3459_"/>
      <sheetName val="_Recovered_SheetName_3460_"/>
      <sheetName val="_Recovered_SheetName_3461_"/>
      <sheetName val="_Recovered_SheetName_3462_"/>
      <sheetName val="_Recovered_SheetName_3463_"/>
      <sheetName val="_Recovered_SheetName_3464_"/>
      <sheetName val="_Recovered_SheetName_3465_"/>
      <sheetName val="_Recovered_SheetName_3466_"/>
      <sheetName val="_Recovered_SheetName_3467_"/>
      <sheetName val="_Recovered_SheetName_3468_"/>
      <sheetName val="_Recovered_SheetName_3469_"/>
      <sheetName val="_Recovered_SheetName_3470_"/>
      <sheetName val="_Recovered_SheetName_3471_"/>
      <sheetName val="_Recovered_SheetName_3472_"/>
      <sheetName val="_Recovered_SheetName_3473_"/>
      <sheetName val="_Recovered_SheetName_3474_"/>
      <sheetName val="_Recovered_SheetName_3475_"/>
      <sheetName val="_Recovered_SheetName_3476_"/>
      <sheetName val="_Recovered_SheetName_3477_"/>
      <sheetName val="_Recovered_SheetName_3478_"/>
      <sheetName val="_Recovered_SheetName_3479_"/>
      <sheetName val="_Recovered_SheetName_3480_"/>
      <sheetName val="_Recovered_SheetName_3481_"/>
      <sheetName val="_Recovered_SheetName_3482_"/>
      <sheetName val="_Recovered_SheetName_3483_"/>
      <sheetName val="_Recovered_SheetName_3484_"/>
      <sheetName val="_Recovered_SheetName_3485_"/>
      <sheetName val="_Recovered_SheetName_3486_"/>
      <sheetName val="_Recovered_SheetName_3487_"/>
      <sheetName val="_Recovered_SheetName_3488_"/>
      <sheetName val="_Recovered_SheetName_3489_"/>
      <sheetName val="_Recovered_SheetName_3490_"/>
      <sheetName val="_Recovered_SheetName_3491_"/>
      <sheetName val="_Recovered_SheetName_3492_"/>
      <sheetName val="_Recovered_SheetName_3493_"/>
      <sheetName val="_Recovered_SheetName_3494_"/>
      <sheetName val="_Recovered_SheetName_3495_"/>
      <sheetName val="_Recovered_SheetName_3496_"/>
      <sheetName val="_Recovered_SheetName_3497_"/>
      <sheetName val="_Recovered_SheetName_3498_"/>
      <sheetName val="_Recovered_SheetName_3499_"/>
      <sheetName val="_Recovered_SheetName_3500_"/>
      <sheetName val="_Recovered_SheetName_3501_"/>
      <sheetName val="_Recovered_SheetName_3502_"/>
      <sheetName val="_Recovered_SheetName_3503_"/>
      <sheetName val="_Recovered_SheetName_3504_"/>
      <sheetName val="_Recovered_SheetName_3505_"/>
      <sheetName val="_Recovered_SheetName_3506_"/>
      <sheetName val="_Recovered_SheetName_3507_"/>
      <sheetName val="_Recovered_SheetName_3508_"/>
      <sheetName val="_Recovered_SheetName_3509_"/>
      <sheetName val="_Recovered_SheetName_3510_"/>
      <sheetName val="_Recovered_SheetName_3511_"/>
      <sheetName val="_Recovered_SheetName_3512_"/>
      <sheetName val="_Recovered_SheetName_3513_"/>
      <sheetName val="_Recovered_SheetName_3514_"/>
      <sheetName val="_Recovered_SheetName_3515_"/>
      <sheetName val="_Recovered_SheetName_3516_"/>
      <sheetName val="_Recovered_SheetName_3517_"/>
      <sheetName val="_Recovered_SheetName_3518_"/>
      <sheetName val="_Recovered_SheetName_3519_"/>
      <sheetName val="_Recovered_SheetName_3520_"/>
      <sheetName val="_Recovered_SheetName_3521_"/>
      <sheetName val="_Recovered_SheetName_3522_"/>
      <sheetName val="_Recovered_SheetName_3523_"/>
      <sheetName val="_Recovered_SheetName_3524_"/>
      <sheetName val="_Recovered_SheetName_3525_"/>
      <sheetName val="_Recovered_SheetName_3526_"/>
      <sheetName val="_Recovered_SheetName_3527_"/>
      <sheetName val="_Recovered_SheetName_3528_"/>
      <sheetName val="_Recovered_SheetName_3529_"/>
      <sheetName val="_Recovered_SheetName_3530_"/>
      <sheetName val="_Recovered_SheetName_3531_"/>
      <sheetName val="_Recovered_SheetName_3532_"/>
      <sheetName val="_Recovered_SheetName_3533_"/>
      <sheetName val="_Recovered_SheetName_3534_"/>
      <sheetName val="_Recovered_SheetName_3535_"/>
      <sheetName val="_Recovered_SheetName_3536_"/>
      <sheetName val="_Recovered_SheetName_3537_"/>
      <sheetName val="_Recovered_SheetName_3538_"/>
      <sheetName val="_Recovered_SheetName_3539_"/>
      <sheetName val="_Recovered_SheetName_3540_"/>
      <sheetName val="_Recovered_SheetName_3541_"/>
      <sheetName val="_Recovered_SheetName_3542_"/>
      <sheetName val="_Recovered_SheetName_3543_"/>
      <sheetName val="_Recovered_SheetName_3544_"/>
      <sheetName val="_Recovered_SheetName_3545_"/>
      <sheetName val="_Recovered_SheetName_3546_"/>
      <sheetName val="_Recovered_SheetName_3547_"/>
      <sheetName val="_Recovered_SheetName_3548_"/>
      <sheetName val="_Recovered_SheetName_3549_"/>
      <sheetName val="_Recovered_SheetName_3550_"/>
      <sheetName val="_Recovered_SheetName_3551_"/>
      <sheetName val="_Recovered_SheetName_3552_"/>
      <sheetName val="_Recovered_SheetName_3553_"/>
      <sheetName val="_Recovered_SheetName_3554_"/>
      <sheetName val="_Recovered_SheetName_3555_"/>
      <sheetName val="_Recovered_SheetName_3556_"/>
      <sheetName val="_Recovered_SheetName_3557_"/>
      <sheetName val="_Recovered_SheetName_3558_"/>
      <sheetName val="_Recovered_SheetName_3559_"/>
      <sheetName val="_Recovered_SheetName_3560_"/>
      <sheetName val="_Recovered_SheetName_3561_"/>
      <sheetName val="_Recovered_SheetName_3562_"/>
      <sheetName val="_Recovered_SheetName_3563_"/>
      <sheetName val="_Recovered_SheetName_3564_"/>
      <sheetName val="_Recovered_SheetName_3565_"/>
      <sheetName val="_Recovered_SheetName_3566_"/>
      <sheetName val="_Recovered_SheetName_3567_"/>
      <sheetName val="_Recovered_SheetName_3568_"/>
      <sheetName val="_Recovered_SheetName_3569_"/>
      <sheetName val="_Recovered_SheetName_3570_"/>
      <sheetName val="_Recovered_SheetName_3571_"/>
      <sheetName val="_Recovered_SheetName_3572_"/>
      <sheetName val="_Recovered_SheetName_3573_"/>
      <sheetName val="_Recovered_SheetName_3574_"/>
      <sheetName val="_Recovered_SheetName_3575_"/>
      <sheetName val="_Recovered_SheetName_3576_"/>
      <sheetName val="_Recovered_SheetName_3577_"/>
      <sheetName val="_Recovered_SheetName_3578_"/>
      <sheetName val="_Recovered_SheetName_3579_"/>
      <sheetName val="_Recovered_SheetName_3580_"/>
      <sheetName val="_Recovered_SheetName_3581_"/>
      <sheetName val="_Recovered_SheetName_3582_"/>
      <sheetName val="_Recovered_SheetName_3583_"/>
      <sheetName val="_Recovered_SheetName_3584_"/>
      <sheetName val="_Recovered_SheetName_3585_"/>
      <sheetName val="_Recovered_SheetName_3586_"/>
      <sheetName val="_Recovered_SheetName_3587_"/>
      <sheetName val="_Recovered_SheetName_3588_"/>
      <sheetName val="_Recovered_SheetName_3589_"/>
      <sheetName val="_Recovered_SheetName_3590_"/>
      <sheetName val="_Recovered_SheetName_3591_"/>
      <sheetName val="_Recovered_SheetName_3592_"/>
      <sheetName val="_Recovered_SheetName_3593_"/>
      <sheetName val="_Recovered_SheetName_3594_"/>
      <sheetName val="_Recovered_SheetName_3595_"/>
      <sheetName val="_Recovered_SheetName_3596_"/>
      <sheetName val="_Recovered_SheetName_3597_"/>
      <sheetName val="_Recovered_SheetName_3598_"/>
      <sheetName val="_Recovered_SheetName_3599_"/>
      <sheetName val="_Recovered_SheetName_3600_"/>
      <sheetName val="_Recovered_SheetName_3601_"/>
      <sheetName val="_Recovered_SheetName_3602_"/>
      <sheetName val="_Recovered_SheetName_3603_"/>
      <sheetName val="_Recovered_SheetName_3604_"/>
      <sheetName val="_Recovered_SheetName_3605_"/>
      <sheetName val="_Recovered_SheetName_3606_"/>
      <sheetName val="_Recovered_SheetName_3607_"/>
      <sheetName val="_Recovered_SheetName_3608_"/>
      <sheetName val="_Recovered_SheetName_3609_"/>
      <sheetName val="_Recovered_SheetName_3610_"/>
      <sheetName val="_Recovered_SheetName_3611_"/>
      <sheetName val="_Recovered_SheetName_3612_"/>
      <sheetName val="_Recovered_SheetName_3613_"/>
      <sheetName val="_Recovered_SheetName_3614_"/>
      <sheetName val="_Recovered_SheetName_3615_"/>
      <sheetName val="_Recovered_SheetName_3616_"/>
      <sheetName val="_Recovered_SheetName_3617_"/>
      <sheetName val="_Recovered_SheetName_3618_"/>
      <sheetName val="_Recovered_SheetName_3619_"/>
      <sheetName val="_Recovered_SheetName_3620_"/>
      <sheetName val="_Recovered_SheetName_3621_"/>
      <sheetName val="_Recovered_SheetName_3622_"/>
      <sheetName val="_Recovered_SheetName_3623_"/>
      <sheetName val="_Recovered_SheetName_3624_"/>
      <sheetName val="_Recovered_SheetName_3625_"/>
      <sheetName val="_Recovered_SheetName_3626_"/>
      <sheetName val="_Recovered_SheetName_3627_"/>
      <sheetName val="_Recovered_SheetName_3628_"/>
      <sheetName val="_Recovered_SheetName_3629_"/>
      <sheetName val="_Recovered_SheetName_3630_"/>
      <sheetName val="_Recovered_SheetName_3631_"/>
      <sheetName val="_Recovered_SheetName_3632_"/>
      <sheetName val="_Recovered_SheetName_3633_"/>
      <sheetName val="_Recovered_SheetName_3634_"/>
      <sheetName val="_Recovered_SheetName_3635_"/>
      <sheetName val="_Recovered_SheetName_3636_"/>
      <sheetName val="_Recovered_SheetName_3637_"/>
      <sheetName val="_Recovered_SheetName_3638_"/>
      <sheetName val="_Recovered_SheetName_3639_"/>
      <sheetName val="_Recovered_SheetName_3640_"/>
      <sheetName val="_Recovered_SheetName_3641_"/>
      <sheetName val="_Recovered_SheetName_3642_"/>
      <sheetName val="_Recovered_SheetName_3643_"/>
      <sheetName val="_Recovered_SheetName_3644_"/>
      <sheetName val="_Recovered_SheetName_3645_"/>
      <sheetName val="_Recovered_SheetName_3646_"/>
      <sheetName val="_Recovered_SheetName_3647_"/>
      <sheetName val="_Recovered_SheetName_3648_"/>
      <sheetName val="_Recovered_SheetName_3649_"/>
      <sheetName val="_Recovered_SheetName_3650_"/>
      <sheetName val="_Recovered_SheetName_3651_"/>
      <sheetName val="_Recovered_SheetName_3652_"/>
      <sheetName val="_Recovered_SheetName_3653_"/>
      <sheetName val="_Recovered_SheetName_3654_"/>
      <sheetName val="_Recovered_SheetName_3655_"/>
      <sheetName val="_Recovered_SheetName_3656_"/>
      <sheetName val="_Recovered_SheetName_3657_"/>
      <sheetName val="_Recovered_SheetName_3658_"/>
      <sheetName val="_Recovered_SheetName_3659_"/>
      <sheetName val="_Recovered_SheetName_3660_"/>
      <sheetName val="_Recovered_SheetName_3661_"/>
      <sheetName val="_Recovered_SheetName_3662_"/>
      <sheetName val="_Recovered_SheetName_3663_"/>
      <sheetName val="_Recovered_SheetName_3664_"/>
      <sheetName val="_Recovered_SheetName_3665_"/>
      <sheetName val="_Recovered_SheetName_3666_"/>
      <sheetName val="_Recovered_SheetName_3667_"/>
      <sheetName val="_Recovered_SheetName_3668_"/>
      <sheetName val="_Recovered_SheetName_3669_"/>
      <sheetName val="_Recovered_SheetName_3670_"/>
      <sheetName val="_Recovered_SheetName_3671_"/>
      <sheetName val="_Recovered_SheetName_3672_"/>
      <sheetName val="_Recovered_SheetName_3673_"/>
      <sheetName val="_Recovered_SheetName_3674_"/>
      <sheetName val="_Recovered_SheetName_3675_"/>
      <sheetName val="_Recovered_SheetName_3676_"/>
      <sheetName val="_Recovered_SheetName_3677_"/>
      <sheetName val="_Recovered_SheetName_3678_"/>
      <sheetName val="_Recovered_SheetName_3679_"/>
      <sheetName val="_Recovered_SheetName_3680_"/>
      <sheetName val="_Recovered_SheetName_3681_"/>
      <sheetName val="_Recovered_SheetName_3682_"/>
      <sheetName val="_Recovered_SheetName_3683_"/>
      <sheetName val="_Recovered_SheetName_3684_"/>
      <sheetName val="_Recovered_SheetName_3685_"/>
      <sheetName val="_Recovered_SheetName_3686_"/>
      <sheetName val="_Recovered_SheetName_3687_"/>
      <sheetName val="_Recovered_SheetName_3688_"/>
      <sheetName val="_Recovered_SheetName_3689_"/>
      <sheetName val="_Recovered_SheetName_3690_"/>
      <sheetName val="_Recovered_SheetName_3691_"/>
      <sheetName val="_Recovered_SheetName_3692_"/>
      <sheetName val="_Recovered_SheetName_3693_"/>
      <sheetName val="_Recovered_SheetName_3694_"/>
      <sheetName val="_Recovered_SheetName_3695_"/>
      <sheetName val="_Recovered_SheetName_3696_"/>
      <sheetName val="_Recovered_SheetName_3697_"/>
      <sheetName val="_Recovered_SheetName_3698_"/>
      <sheetName val="_Recovered_SheetName_3699_"/>
      <sheetName val="_Recovered_SheetName_3700_"/>
      <sheetName val="_Recovered_SheetName_3701_"/>
      <sheetName val="_Recovered_SheetName_3702_"/>
      <sheetName val="_Recovered_SheetName_3703_"/>
      <sheetName val="_Recovered_SheetName_3704_"/>
      <sheetName val="_Recovered_SheetName_3705_"/>
      <sheetName val="_Recovered_SheetName_3706_"/>
      <sheetName val="_Recovered_SheetName_3707_"/>
      <sheetName val="_Recovered_SheetName_3708_"/>
      <sheetName val="_Recovered_SheetName_3709_"/>
      <sheetName val="_Recovered_SheetName_3710_"/>
      <sheetName val="_Recovered_SheetName_3711_"/>
      <sheetName val="_Recovered_SheetName_3712_"/>
      <sheetName val="_Recovered_SheetName_3713_"/>
      <sheetName val="_Recovered_SheetName_3714_"/>
      <sheetName val="_Recovered_SheetName_3715_"/>
      <sheetName val="_Recovered_SheetName_3716_"/>
      <sheetName val="_Recovered_SheetName_3717_"/>
      <sheetName val="_Recovered_SheetName_3718_"/>
      <sheetName val="_Recovered_SheetName_3719_"/>
      <sheetName val="_Recovered_SheetName_3720_"/>
      <sheetName val="_Recovered_SheetName_3721_"/>
      <sheetName val="_Recovered_SheetName_3722_"/>
      <sheetName val="_Recovered_SheetName_3723_"/>
      <sheetName val="_Recovered_SheetName_3724_"/>
      <sheetName val="_Recovered_SheetName_3725_"/>
      <sheetName val="_Recovered_SheetName_3726_"/>
      <sheetName val="_Recovered_SheetName_3727_"/>
      <sheetName val="_Recovered_SheetName_3728_"/>
      <sheetName val="_Recovered_SheetName_3729_"/>
      <sheetName val="_Recovered_SheetName_3730_"/>
      <sheetName val="_Recovered_SheetName_3731_"/>
      <sheetName val="_Recovered_SheetName_3732_"/>
      <sheetName val="_Recovered_SheetName_3733_"/>
      <sheetName val="_Recovered_SheetName_3734_"/>
      <sheetName val="_Recovered_SheetName_3735_"/>
      <sheetName val="_Recovered_SheetName_3736_"/>
      <sheetName val="_Recovered_SheetName_3737_"/>
      <sheetName val="_Recovered_SheetName_3738_"/>
      <sheetName val="_Recovered_SheetName_3739_"/>
      <sheetName val="_Recovered_SheetName_3740_"/>
      <sheetName val="_Recovered_SheetName_3741_"/>
      <sheetName val="_Recovered_SheetName_3742_"/>
      <sheetName val="_Recovered_SheetName_3743_"/>
      <sheetName val="_Recovered_SheetName_3744_"/>
      <sheetName val="_Recovered_SheetName_3745_"/>
      <sheetName val="_Recovered_SheetName_3746_"/>
      <sheetName val="_Recovered_SheetName_3747_"/>
      <sheetName val="_Recovered_SheetName_3748_"/>
      <sheetName val="_Recovered_SheetName_3749_"/>
      <sheetName val="_Recovered_SheetName_3750_"/>
      <sheetName val="_Recovered_SheetName_3751_"/>
      <sheetName val="_Recovered_SheetName_3752_"/>
      <sheetName val="_Recovered_SheetName_3753_"/>
      <sheetName val="_Recovered_SheetName_3754_"/>
      <sheetName val="_Recovered_SheetName_3755_"/>
      <sheetName val="_Recovered_SheetName_3756_"/>
      <sheetName val="_Recovered_SheetName_3757_"/>
      <sheetName val="_Recovered_SheetName_3758_"/>
      <sheetName val="_Recovered_SheetName_3759_"/>
      <sheetName val="_Recovered_SheetName_3760_"/>
      <sheetName val="_Recovered_SheetName_3761_"/>
      <sheetName val="_Recovered_SheetName_3762_"/>
      <sheetName val="_Recovered_SheetName_3763_"/>
      <sheetName val="_Recovered_SheetName_3764_"/>
      <sheetName val="_Recovered_SheetName_3765_"/>
      <sheetName val="_Recovered_SheetName_3766_"/>
      <sheetName val="_Recovered_SheetName_3767_"/>
      <sheetName val="_Recovered_SheetName_3768_"/>
      <sheetName val="_Recovered_SheetName_3769_"/>
      <sheetName val="_Recovered_SheetName_3770_"/>
      <sheetName val="_Recovered_SheetName_3771_"/>
      <sheetName val="_Recovered_SheetName_3772_"/>
      <sheetName val="_Recovered_SheetName_3773_"/>
      <sheetName val="_Recovered_SheetName_3774_"/>
      <sheetName val="_Recovered_SheetName_3775_"/>
      <sheetName val="_Recovered_SheetName_3776_"/>
      <sheetName val="_Recovered_SheetName_3777_"/>
      <sheetName val="_Recovered_SheetName_3778_"/>
      <sheetName val="_Recovered_SheetName_3779_"/>
      <sheetName val="_Recovered_SheetName_3780_"/>
      <sheetName val="_Recovered_SheetName_3781_"/>
      <sheetName val="_Recovered_SheetName_3782_"/>
      <sheetName val="_Recovered_SheetName_3783_"/>
      <sheetName val="_Recovered_SheetName_3784_"/>
      <sheetName val="_Recovered_SheetName_3785_"/>
      <sheetName val="_Recovered_SheetName_3786_"/>
      <sheetName val="_Recovered_SheetName_3787_"/>
      <sheetName val="_Recovered_SheetName_3788_"/>
      <sheetName val="_Recovered_SheetName_3789_"/>
      <sheetName val="_Recovered_SheetName_3790_"/>
      <sheetName val="_Recovered_SheetName_3791_"/>
      <sheetName val="_Recovered_SheetName_3792_"/>
      <sheetName val="_Recovered_SheetName_3793_"/>
      <sheetName val="_Recovered_SheetName_3794_"/>
      <sheetName val="_Recovered_SheetName_3795_"/>
      <sheetName val="_Recovered_SheetName_3796_"/>
      <sheetName val="_Recovered_SheetName_3797_"/>
      <sheetName val="_Recovered_SheetName_3798_"/>
      <sheetName val="_Recovered_SheetName_3799_"/>
      <sheetName val="_Recovered_SheetName_3800_"/>
      <sheetName val="_Recovered_SheetName_3801_"/>
      <sheetName val="_Recovered_SheetName_3802_"/>
      <sheetName val="_Recovered_SheetName_3803_"/>
      <sheetName val="_Recovered_SheetName_3804_"/>
      <sheetName val="_Recovered_SheetName_3805_"/>
      <sheetName val="_Recovered_SheetName_3806_"/>
      <sheetName val="_Recovered_SheetName_3807_"/>
      <sheetName val="_Recovered_SheetName_3808_"/>
      <sheetName val="_Recovered_SheetName_3809_"/>
      <sheetName val="_Recovered_SheetName_3810_"/>
      <sheetName val="_Recovered_SheetName_3811_"/>
      <sheetName val="_Recovered_SheetName_3812_"/>
      <sheetName val="_Recovered_SheetName_3813_"/>
      <sheetName val="_Recovered_SheetName_3814_"/>
      <sheetName val="_Recovered_SheetName_3815_"/>
      <sheetName val="_Recovered_SheetName_3816_"/>
      <sheetName val="_Recovered_SheetName_3817_"/>
      <sheetName val="_Recovered_SheetName_3818_"/>
      <sheetName val="_Recovered_SheetName_3819_"/>
      <sheetName val="_Recovered_SheetName_3820_"/>
      <sheetName val="_Recovered_SheetName_3821_"/>
      <sheetName val="_Recovered_SheetName_3822_"/>
      <sheetName val="_Recovered_SheetName_3823_"/>
      <sheetName val="_Recovered_SheetName_3824_"/>
      <sheetName val="_Recovered_SheetName_3825_"/>
      <sheetName val="_Recovered_SheetName_3826_"/>
      <sheetName val="_Recovered_SheetName_3827_"/>
      <sheetName val="_Recovered_SheetName_3828_"/>
      <sheetName val="_Recovered_SheetName_3829_"/>
      <sheetName val="_Recovered_SheetName_3830_"/>
      <sheetName val="_Recovered_SheetName_3831_"/>
      <sheetName val="_Recovered_SheetName_3832_"/>
      <sheetName val="_Recovered_SheetName_3833_"/>
      <sheetName val="_Recovered_SheetName_3834_"/>
      <sheetName val="_Recovered_SheetName_3835_"/>
      <sheetName val="_Recovered_SheetName_3836_"/>
      <sheetName val="_Recovered_SheetName_3837_"/>
      <sheetName val="_Recovered_SheetName_3838_"/>
      <sheetName val="_Recovered_SheetName_3839_"/>
      <sheetName val="_Recovered_SheetName_3840_"/>
      <sheetName val="_Recovered_SheetName_3841_"/>
      <sheetName val="_Recovered_SheetName_3842_"/>
      <sheetName val="_Recovered_SheetName_3843_"/>
      <sheetName val="_Recovered_SheetName_3844_"/>
      <sheetName val="_Recovered_SheetName_3845_"/>
      <sheetName val="_Recovered_SheetName_3846_"/>
      <sheetName val="_Recovered_SheetName_3847_"/>
      <sheetName val="_Recovered_SheetName_3848_"/>
      <sheetName val="_Recovered_SheetName_3849_"/>
      <sheetName val="_Recovered_SheetName_3850_"/>
      <sheetName val="_Recovered_SheetName_3851_"/>
      <sheetName val="_Recovered_SheetName_3852_"/>
      <sheetName val="_Recovered_SheetName_3853_"/>
      <sheetName val="_Recovered_SheetName_3854_"/>
      <sheetName val="_Recovered_SheetName_3855_"/>
      <sheetName val="_Recovered_SheetName_3856_"/>
      <sheetName val="_Recovered_SheetName_3857_"/>
      <sheetName val="_Recovered_SheetName_3858_"/>
      <sheetName val="_Recovered_SheetName_3859_"/>
      <sheetName val="_Recovered_SheetName_3860_"/>
      <sheetName val="_Recovered_SheetName_3861_"/>
      <sheetName val="_Recovered_SheetName_3862_"/>
      <sheetName val="_Recovered_SheetName_3863_"/>
      <sheetName val="_Recovered_SheetName_3864_"/>
      <sheetName val="_Recovered_SheetName_3865_"/>
      <sheetName val="_Recovered_SheetName_3866_"/>
      <sheetName val="_Recovered_SheetName_3867_"/>
      <sheetName val="_Recovered_SheetName_3868_"/>
      <sheetName val="_Recovered_SheetName_3869_"/>
      <sheetName val="_Recovered_SheetName_3870_"/>
      <sheetName val="_Recovered_SheetName_3871_"/>
      <sheetName val="_Recovered_SheetName_3872_"/>
      <sheetName val="_Recovered_SheetName_3873_"/>
      <sheetName val="_Recovered_SheetName_3874_"/>
      <sheetName val="_Recovered_SheetName_3875_"/>
      <sheetName val="_Recovered_SheetName_3876_"/>
      <sheetName val="_Recovered_SheetName_3877_"/>
      <sheetName val="_Recovered_SheetName_3878_"/>
      <sheetName val="_Recovered_SheetName_3879_"/>
      <sheetName val="_Recovered_SheetName_3880_"/>
      <sheetName val="_Recovered_SheetName_3881_"/>
      <sheetName val="_Recovered_SheetName_3882_"/>
      <sheetName val="_Recovered_SheetName_3883_"/>
      <sheetName val="_Recovered_SheetName_3884_"/>
      <sheetName val="_Recovered_SheetName_3885_"/>
      <sheetName val="_Recovered_SheetName_3886_"/>
      <sheetName val="_Recovered_SheetName_3887_"/>
      <sheetName val="_Recovered_SheetName_3888_"/>
      <sheetName val="_Recovered_SheetName_3889_"/>
      <sheetName val="_Recovered_SheetName_3890_"/>
      <sheetName val="_Recovered_SheetName_3891_"/>
      <sheetName val="_Recovered_SheetName_3892_"/>
      <sheetName val="_Recovered_SheetName_3893_"/>
      <sheetName val="_Recovered_SheetName_3894_"/>
      <sheetName val="_Recovered_SheetName_3895_"/>
      <sheetName val="_Recovered_SheetName_3896_"/>
      <sheetName val="_Recovered_SheetName_3897_"/>
      <sheetName val="_Recovered_SheetName_3898_"/>
      <sheetName val="_Recovered_SheetName_3899_"/>
      <sheetName val="_Recovered_SheetName_3900_"/>
      <sheetName val="_Recovered_SheetName_3901_"/>
      <sheetName val="_Recovered_SheetName_3902_"/>
      <sheetName val="_Recovered_SheetName_3903_"/>
      <sheetName val="_Recovered_SheetName_3904_"/>
      <sheetName val="_Recovered_SheetName_3905_"/>
      <sheetName val="_Recovered_SheetName_3906_"/>
      <sheetName val="_Recovered_SheetName_3907_"/>
      <sheetName val="_Recovered_SheetName_3908_"/>
      <sheetName val="_Recovered_SheetName_3909_"/>
      <sheetName val="_Recovered_SheetName_3910_"/>
      <sheetName val="_Recovered_SheetName_3911_"/>
      <sheetName val="_Recovered_SheetName_3912_"/>
      <sheetName val="_Recovered_SheetName_3913_"/>
      <sheetName val="_Recovered_SheetName_3914_"/>
      <sheetName val="_Recovered_SheetName_3915_"/>
      <sheetName val="_Recovered_SheetName_3916_"/>
      <sheetName val="_Recovered_SheetName_3917_"/>
      <sheetName val="_Recovered_SheetName_3918_"/>
      <sheetName val="_Recovered_SheetName_3919_"/>
      <sheetName val="_Recovered_SheetName_3920_"/>
      <sheetName val="_Recovered_SheetName_3921_"/>
      <sheetName val="_Recovered_SheetName_3922_"/>
      <sheetName val="_Recovered_SheetName_3923_"/>
      <sheetName val="_Recovered_SheetName_3924_"/>
      <sheetName val="_Recovered_SheetName_3925_"/>
      <sheetName val="_Recovered_SheetName_3926_"/>
      <sheetName val="_Recovered_SheetName_3927_"/>
      <sheetName val="_Recovered_SheetName_3928_"/>
      <sheetName val="_Recovered_SheetName_3929_"/>
      <sheetName val="_Recovered_SheetName_3930_"/>
      <sheetName val="_Recovered_SheetName_3931_"/>
      <sheetName val="_Recovered_SheetName_3932_"/>
      <sheetName val="_Recovered_SheetName_3933_"/>
      <sheetName val="_Recovered_SheetName_3934_"/>
      <sheetName val="_Recovered_SheetName_3935_"/>
      <sheetName val="_Recovered_SheetName_3936_"/>
      <sheetName val="_Recovered_SheetName_3937_"/>
      <sheetName val="_Recovered_SheetName_3938_"/>
      <sheetName val="_Recovered_SheetName_3939_"/>
      <sheetName val="_Recovered_SheetName_3940_"/>
      <sheetName val="_Recovered_SheetName_3941_"/>
      <sheetName val="_Recovered_SheetName_3942_"/>
      <sheetName val="_Recovered_SheetName_3943_"/>
      <sheetName val="_Recovered_SheetName_3944_"/>
      <sheetName val="_Recovered_SheetName_3945_"/>
      <sheetName val="_Recovered_SheetName_3946_"/>
      <sheetName val="_Recovered_SheetName_3947_"/>
      <sheetName val="_Recovered_SheetName_3948_"/>
      <sheetName val="_Recovered_SheetName_3949_"/>
      <sheetName val="_Recovered_SheetName_3950_"/>
      <sheetName val="_Recovered_SheetName_3951_"/>
      <sheetName val="_Recovered_SheetName_3952_"/>
      <sheetName val="_Recovered_SheetName_3953_"/>
      <sheetName val="_Recovered_SheetName_3954_"/>
      <sheetName val="_Recovered_SheetName_3955_"/>
      <sheetName val="_Recovered_SheetName_3956_"/>
      <sheetName val="_Recovered_SheetName_3957_"/>
      <sheetName val="_Recovered_SheetName_3958_"/>
      <sheetName val="_Recovered_SheetName_3959_"/>
      <sheetName val="_Recovered_SheetName_3960_"/>
      <sheetName val="_Recovered_SheetName_3961_"/>
      <sheetName val="_Recovered_SheetName_3962_"/>
      <sheetName val="_Recovered_SheetName_3963_"/>
      <sheetName val="_Recovered_SheetName_3964_"/>
      <sheetName val="_Recovered_SheetName_3965_"/>
      <sheetName val="_Recovered_SheetName_3966_"/>
      <sheetName val="_Recovered_SheetName_3967_"/>
      <sheetName val="_Recovered_SheetName_3968_"/>
      <sheetName val="_Recovered_SheetName_3969_"/>
      <sheetName val="_Recovered_SheetName_3970_"/>
      <sheetName val="_Recovered_SheetName_3971_"/>
      <sheetName val="_Recovered_SheetName_3972_"/>
      <sheetName val="_Recovered_SheetName_3973_"/>
      <sheetName val="_Recovered_SheetName_3974_"/>
      <sheetName val="_Recovered_SheetName_3975_"/>
      <sheetName val="_Recovered_SheetName_3976_"/>
      <sheetName val="_Recovered_SheetName_3977_"/>
      <sheetName val="_Recovered_SheetName_3978_"/>
      <sheetName val="_Recovered_SheetName_3979_"/>
      <sheetName val="_Recovered_SheetName_3980_"/>
      <sheetName val="_Recovered_SheetName_3981_"/>
      <sheetName val="_Recovered_SheetName_3982_"/>
      <sheetName val="_Recovered_SheetName_3983_"/>
      <sheetName val="_Recovered_SheetName_3984_"/>
      <sheetName val="_Recovered_SheetName_3985_"/>
      <sheetName val="_Recovered_SheetName_3986_"/>
      <sheetName val="_Recovered_SheetName_3987_"/>
      <sheetName val="_Recovered_SheetName_3988_"/>
      <sheetName val="_Recovered_SheetName_3989_"/>
      <sheetName val="_Recovered_SheetName_3990_"/>
      <sheetName val="_Recovered_SheetName_3991_"/>
      <sheetName val="_Recovered_SheetName_3992_"/>
      <sheetName val="_Recovered_SheetName_3993_"/>
      <sheetName val="_Recovered_SheetName_3994_"/>
      <sheetName val="_Recovered_SheetName_3995_"/>
      <sheetName val="_Recovered_SheetName_3996_"/>
      <sheetName val="_Recovered_SheetName_3997_"/>
      <sheetName val="_Recovered_SheetName_3998_"/>
      <sheetName val="_Recovered_SheetName_3999_"/>
      <sheetName val="_Recovered_SheetName_4000_"/>
      <sheetName val="_Recovered_SheetName_4001_"/>
      <sheetName val="_Recovered_SheetName_4002_"/>
      <sheetName val="_Recovered_SheetName_4003_"/>
      <sheetName val="_Recovered_SheetName_4004_"/>
      <sheetName val="_Recovered_SheetName_4005_"/>
      <sheetName val="_Recovered_SheetName_4006_"/>
      <sheetName val="_Recovered_SheetName_4007_"/>
      <sheetName val="_Recovered_SheetName_4008_"/>
      <sheetName val="_Recovered_SheetName_4009_"/>
      <sheetName val="_Recovered_SheetName_4010_"/>
      <sheetName val="_Recovered_SheetName_4011_"/>
      <sheetName val="_Recovered_SheetName_4012_"/>
      <sheetName val="_Recovered_SheetName_4013_"/>
      <sheetName val="_Recovered_SheetName_4014_"/>
      <sheetName val="_Recovered_SheetName_4015_"/>
      <sheetName val="_Recovered_SheetName_4016_"/>
      <sheetName val="_Recovered_SheetName_4017_"/>
      <sheetName val="_Recovered_SheetName_4018_"/>
      <sheetName val="_Recovered_SheetName_4019_"/>
      <sheetName val="_Recovered_SheetName_4020_"/>
      <sheetName val="_Recovered_SheetName_4021_"/>
      <sheetName val="_Recovered_SheetName_4022_"/>
      <sheetName val="_Recovered_SheetName_4023_"/>
      <sheetName val="_Recovered_SheetName_4024_"/>
      <sheetName val="_Recovered_SheetName_4025_"/>
      <sheetName val="_Recovered_SheetName_4026_"/>
      <sheetName val="_Recovered_SheetName_4027_"/>
      <sheetName val="_Recovered_SheetName_4028_"/>
      <sheetName val="_Recovered_SheetName_4029_"/>
      <sheetName val="_Recovered_SheetName_4030_"/>
      <sheetName val="_Recovered_SheetName_4031_"/>
      <sheetName val="_Recovered_SheetName_4032_"/>
      <sheetName val="_Recovered_SheetName_4033_"/>
      <sheetName val="_Recovered_SheetName_4034_"/>
      <sheetName val="_Recovered_SheetName_4035_"/>
      <sheetName val="_Recovered_SheetName_4036_"/>
      <sheetName val="_Recovered_SheetName_4037_"/>
      <sheetName val="_Recovered_SheetName_4038_"/>
      <sheetName val="_Recovered_SheetName_4039_"/>
      <sheetName val="_Recovered_SheetName_4040_"/>
      <sheetName val="_Recovered_SheetName_4041_"/>
      <sheetName val="_Recovered_SheetName_4042_"/>
      <sheetName val="_Recovered_SheetName_4043_"/>
      <sheetName val="_Recovered_SheetName_4044_"/>
      <sheetName val="_Recovered_SheetName_4045_"/>
      <sheetName val="_Recovered_SheetName_4046_"/>
      <sheetName val="_Recovered_SheetName_4047_"/>
      <sheetName val="_Recovered_SheetName_4048_"/>
      <sheetName val="_Recovered_SheetName_4049_"/>
      <sheetName val="_Recovered_SheetName_4050_"/>
      <sheetName val="_Recovered_SheetName_4051_"/>
      <sheetName val="_Recovered_SheetName_4052_"/>
      <sheetName val="_Recovered_SheetName_4053_"/>
      <sheetName val="_Recovered_SheetName_4054_"/>
      <sheetName val="_Recovered_SheetName_4055_"/>
      <sheetName val="_Recovered_SheetName_4056_"/>
      <sheetName val="_Recovered_SheetName_4057_"/>
      <sheetName val="_Recovered_SheetName_4058_"/>
      <sheetName val="_Recovered_SheetName_4059_"/>
      <sheetName val="_Recovered_SheetName_4060_"/>
      <sheetName val="_Recovered_SheetName_4061_"/>
      <sheetName val="_Recovered_SheetName_4062_"/>
      <sheetName val="_Recovered_SheetName_4063_"/>
      <sheetName val="_Recovered_SheetName_4064_"/>
      <sheetName val="_Recovered_SheetName_4065_"/>
      <sheetName val="_Recovered_SheetName_4066_"/>
      <sheetName val="_Recovered_SheetName_4067_"/>
      <sheetName val="_Recovered_SheetName_4068_"/>
      <sheetName val="_Recovered_SheetName_4069_"/>
      <sheetName val="_Recovered_SheetName_4070_"/>
      <sheetName val="_Recovered_SheetName_4071_"/>
      <sheetName val="_Recovered_SheetName_4072_"/>
      <sheetName val="_Recovered_SheetName_4073_"/>
      <sheetName val="_Recovered_SheetName_4074_"/>
      <sheetName val="_Recovered_SheetName_4075_"/>
      <sheetName val="_Recovered_SheetName_4076_"/>
      <sheetName val="_Recovered_SheetName_4077_"/>
      <sheetName val="_Recovered_SheetName_4078_"/>
      <sheetName val="_Recovered_SheetName_4079_"/>
      <sheetName val="_Recovered_SheetName_4080_"/>
      <sheetName val="_Recovered_SheetName_4081_"/>
      <sheetName val="_Recovered_SheetName_4082_"/>
      <sheetName val="_Recovered_SheetName_4083_"/>
      <sheetName val="_Recovered_SheetName_4084_"/>
      <sheetName val="_Recovered_SheetName_4085_"/>
      <sheetName val="_Recovered_SheetName_4086_"/>
      <sheetName val="_Recovered_SheetName_4087_"/>
      <sheetName val="_Recovered_SheetName_4088_"/>
      <sheetName val="_Recovered_SheetName_4089_"/>
      <sheetName val="_Recovered_SheetName_4090_"/>
      <sheetName val="_Recovered_SheetName_4091_"/>
      <sheetName val="_Recovered_SheetName_4092_"/>
      <sheetName val="_Recovered_SheetName_4093_"/>
      <sheetName val="_Recovered_SheetName_4094_"/>
      <sheetName val="_Recovered_SheetName_4095_"/>
      <sheetName val="_Recovered_SheetName_4096_"/>
      <sheetName val="_Recovered_SheetName_4097_"/>
      <sheetName val="_Recovered_SheetName_4098_"/>
      <sheetName val="_Recovered_SheetName_4099_"/>
      <sheetName val="_Recovered_SheetName_4100_"/>
      <sheetName val="_Recovered_SheetName_4101_"/>
      <sheetName val="_Recovered_SheetName_4102_"/>
      <sheetName val="_Recovered_SheetName_4103_"/>
      <sheetName val="_Recovered_SheetName_4104_"/>
      <sheetName val="_Recovered_SheetName_4105_"/>
      <sheetName val="_Recovered_SheetName_4106_"/>
      <sheetName val="_Recovered_SheetName_4107_"/>
      <sheetName val="_Recovered_SheetName_4108_"/>
      <sheetName val="_Recovered_SheetName_4109_"/>
      <sheetName val="_Recovered_SheetName_4110_"/>
      <sheetName val="_Recovered_SheetName_4111_"/>
      <sheetName val="_Recovered_SheetName_4112_"/>
      <sheetName val="_Recovered_SheetName_4113_"/>
      <sheetName val="_Recovered_SheetName_4114_"/>
      <sheetName val="_Recovered_SheetName_4115_"/>
      <sheetName val="_Recovered_SheetName_4116_"/>
      <sheetName val="_Recovered_SheetName_4117_"/>
      <sheetName val="_Recovered_SheetName_4118_"/>
      <sheetName val="_Recovered_SheetName_4119_"/>
      <sheetName val="_Recovered_SheetName_4120_"/>
      <sheetName val="_Recovered_SheetName_4121_"/>
      <sheetName val="_Recovered_SheetName_4122_"/>
      <sheetName val="_Recovered_SheetName_4123_"/>
      <sheetName val="_Recovered_SheetName_4124_"/>
      <sheetName val="_Recovered_SheetName_4125_"/>
      <sheetName val="_Recovered_SheetName_4126_"/>
      <sheetName val="_Recovered_SheetName_4127_"/>
      <sheetName val="_Recovered_SheetName_4128_"/>
      <sheetName val="_Recovered_SheetName_4129_"/>
      <sheetName val="_Recovered_SheetName_4130_"/>
      <sheetName val="_Recovered_SheetName_4131_"/>
      <sheetName val="_Recovered_SheetName_4132_"/>
      <sheetName val="_Recovered_SheetName_4133_"/>
      <sheetName val="_Recovered_SheetName_4134_"/>
      <sheetName val="_Recovered_SheetName_4135_"/>
      <sheetName val="_Recovered_SheetName_4136_"/>
      <sheetName val="_Recovered_SheetName_4137_"/>
      <sheetName val="_Recovered_SheetName_4138_"/>
      <sheetName val="_Recovered_SheetName_4139_"/>
      <sheetName val="_Recovered_SheetName_4140_"/>
      <sheetName val="_Recovered_SheetName_4141_"/>
      <sheetName val="_Recovered_SheetName_4142_"/>
      <sheetName val="_Recovered_SheetName_4143_"/>
      <sheetName val="_Recovered_SheetName_4144_"/>
      <sheetName val="_Recovered_SheetName_4145_"/>
      <sheetName val="_Recovered_SheetName_4146_"/>
      <sheetName val="_Recovered_SheetName_4147_"/>
      <sheetName val="_Recovered_SheetName_4148_"/>
      <sheetName val="_Recovered_SheetName_4149_"/>
      <sheetName val="_Recovered_SheetName_4150_"/>
      <sheetName val="_Recovered_SheetName_4151_"/>
      <sheetName val="_Recovered_SheetName_4152_"/>
      <sheetName val="_Recovered_SheetName_4153_"/>
      <sheetName val="_Recovered_SheetName_4154_"/>
      <sheetName val="_Recovered_SheetName_4155_"/>
      <sheetName val="_Recovered_SheetName_4156_"/>
      <sheetName val="_Recovered_SheetName_4157_"/>
      <sheetName val="_Recovered_SheetName_4158_"/>
      <sheetName val="_Recovered_SheetName_4159_"/>
      <sheetName val="_Recovered_SheetName_4160_"/>
      <sheetName val="_Recovered_SheetName_4161_"/>
      <sheetName val="_Recovered_SheetName_4162_"/>
      <sheetName val="_Recovered_SheetName_4163_"/>
      <sheetName val="_Recovered_SheetName_4164_"/>
      <sheetName val="_Recovered_SheetName_4165_"/>
      <sheetName val="_Recovered_SheetName_4166_"/>
      <sheetName val="_Recovered_SheetName_4167_"/>
      <sheetName val="_Recovered_SheetName_4168_"/>
      <sheetName val="_Recovered_SheetName_4169_"/>
      <sheetName val="_Recovered_SheetName_4170_"/>
      <sheetName val="_Recovered_SheetName_4171_"/>
      <sheetName val="_Recovered_SheetName_4172_"/>
      <sheetName val="_Recovered_SheetName_4173_"/>
      <sheetName val="_Recovered_SheetName_4174_"/>
      <sheetName val="_Recovered_SheetName_4175_"/>
      <sheetName val="_Recovered_SheetName_4176_"/>
      <sheetName val="_Recovered_SheetName_4177_"/>
      <sheetName val="_Recovered_SheetName_4178_"/>
      <sheetName val="_Recovered_SheetName_4179_"/>
      <sheetName val="_Recovered_SheetName_4180_"/>
      <sheetName val="_Recovered_SheetName_4181_"/>
      <sheetName val="_Recovered_SheetName_4182_"/>
      <sheetName val="_Recovered_SheetName_4183_"/>
      <sheetName val="_Recovered_SheetName_4184_"/>
      <sheetName val="_Recovered_SheetName_4185_"/>
      <sheetName val="_Recovered_SheetName_4186_"/>
      <sheetName val="_Recovered_SheetName_4187_"/>
      <sheetName val="_Recovered_SheetName_4188_"/>
      <sheetName val="_Recovered_SheetName_4189_"/>
      <sheetName val="_Recovered_SheetName_4190_"/>
      <sheetName val="_Recovered_SheetName_4191_"/>
      <sheetName val="_Recovered_SheetName_4192_"/>
      <sheetName val="_Recovered_SheetName_4193_"/>
      <sheetName val="_Recovered_SheetName_4194_"/>
      <sheetName val="_Recovered_SheetName_4195_"/>
      <sheetName val="_Recovered_SheetName_4196_"/>
      <sheetName val="_Recovered_SheetName_4197_"/>
      <sheetName val="_Recovered_SheetName_4198_"/>
      <sheetName val="_Recovered_SheetName_4199_"/>
      <sheetName val="_Recovered_SheetName_4200_"/>
      <sheetName val="_Recovered_SheetName_4201_"/>
      <sheetName val="_Recovered_SheetName_4202_"/>
      <sheetName val="_Recovered_SheetName_4203_"/>
      <sheetName val="_Recovered_SheetName_4204_"/>
      <sheetName val="_Recovered_SheetName_4205_"/>
      <sheetName val="_Recovered_SheetName_4206_"/>
      <sheetName val="_Recovered_SheetName_4207_"/>
      <sheetName val="_Recovered_SheetName_4208_"/>
      <sheetName val="_Recovered_SheetName_4209_"/>
      <sheetName val="_Recovered_SheetName_4210_"/>
      <sheetName val="_Recovered_SheetName_4211_"/>
      <sheetName val="_Recovered_SheetName_4212_"/>
      <sheetName val="_Recovered_SheetName_4213_"/>
      <sheetName val="_Recovered_SheetName_4214_"/>
      <sheetName val="_Recovered_SheetName_4215_"/>
      <sheetName val="_Recovered_SheetName_4216_"/>
      <sheetName val="_Recovered_SheetName_4217_"/>
      <sheetName val="_Recovered_SheetName_4218_"/>
      <sheetName val="_Recovered_SheetName_4219_"/>
      <sheetName val="_Recovered_SheetName_4220_"/>
      <sheetName val="_Recovered_SheetName_4221_"/>
      <sheetName val="_Recovered_SheetName_4222_"/>
      <sheetName val="_Recovered_SheetName_4223_"/>
      <sheetName val="_Recovered_SheetName_4224_"/>
      <sheetName val="_Recovered_SheetName_4225_"/>
      <sheetName val="_Recovered_SheetName_4226_"/>
      <sheetName val="_Recovered_SheetName_4227_"/>
      <sheetName val="_Recovered_SheetName_4228_"/>
      <sheetName val="_Recovered_SheetName_4229_"/>
      <sheetName val="_Recovered_SheetName_4230_"/>
      <sheetName val="_Recovered_SheetName_4231_"/>
      <sheetName val="_Recovered_SheetName_4232_"/>
      <sheetName val="_Recovered_SheetName_4233_"/>
      <sheetName val="_Recovered_SheetName_4234_"/>
      <sheetName val="_Recovered_SheetName_4235_"/>
      <sheetName val="_Recovered_SheetName_4236_"/>
      <sheetName val="_Recovered_SheetName_4237_"/>
      <sheetName val="_Recovered_SheetName_4238_"/>
      <sheetName val="_Recovered_SheetName_4239_"/>
      <sheetName val="_Recovered_SheetName_4240_"/>
      <sheetName val="_Recovered_SheetName_4241_"/>
      <sheetName val="_Recovered_SheetName_4242_"/>
      <sheetName val="_Recovered_SheetName_4243_"/>
      <sheetName val="_Recovered_SheetName_4244_"/>
      <sheetName val="_Recovered_SheetName_4245_"/>
      <sheetName val="_Recovered_SheetName_4246_"/>
      <sheetName val="_Recovered_SheetName_4247_"/>
      <sheetName val="_Recovered_SheetName_4248_"/>
      <sheetName val="_Recovered_SheetName_4249_"/>
      <sheetName val="_Recovered_SheetName_4250_"/>
      <sheetName val="_Recovered_SheetName_4251_"/>
      <sheetName val="_Recovered_SheetName_4252_"/>
      <sheetName val="_Recovered_SheetName_4253_"/>
      <sheetName val="_Recovered_SheetName_4254_"/>
      <sheetName val="_Recovered_SheetName_4255_"/>
      <sheetName val="_Recovered_SheetName_4256_"/>
      <sheetName val="_Recovered_SheetName_4257_"/>
      <sheetName val="_Recovered_SheetName_4258_"/>
      <sheetName val="_Recovered_SheetName_4259_"/>
      <sheetName val="_Recovered_SheetName_4260_"/>
      <sheetName val="_Recovered_SheetName_4261_"/>
      <sheetName val="_Recovered_SheetName_4262_"/>
      <sheetName val="_Recovered_SheetName_4263_"/>
      <sheetName val="_Recovered_SheetName_4264_"/>
      <sheetName val="_Recovered_SheetName_4265_"/>
      <sheetName val="_Recovered_SheetName_4266_"/>
      <sheetName val="_Recovered_SheetName_4267_"/>
      <sheetName val="_Recovered_SheetName_4268_"/>
      <sheetName val="_Recovered_SheetName_4269_"/>
      <sheetName val="_Recovered_SheetName_4270_"/>
      <sheetName val="_Recovered_SheetName_4271_"/>
      <sheetName val="_Recovered_SheetName_4272_"/>
      <sheetName val="_Recovered_SheetName_4273_"/>
      <sheetName val="_Recovered_SheetName_4274_"/>
      <sheetName val="_Recovered_SheetName_4275_"/>
      <sheetName val="_Recovered_SheetName_4276_"/>
      <sheetName val="_Recovered_SheetName_4277_"/>
      <sheetName val="_Recovered_SheetName_4278_"/>
      <sheetName val="_Recovered_SheetName_4279_"/>
      <sheetName val="_Recovered_SheetName_4280_"/>
      <sheetName val="_Recovered_SheetName_4281_"/>
      <sheetName val="_Recovered_SheetName_4282_"/>
      <sheetName val="_Recovered_SheetName_4283_"/>
      <sheetName val="_Recovered_SheetName_4284_"/>
      <sheetName val="_Recovered_SheetName_4285_"/>
      <sheetName val="_Recovered_SheetName_4286_"/>
      <sheetName val="_Recovered_SheetName_4287_"/>
      <sheetName val="_Recovered_SheetName_4288_"/>
      <sheetName val="_Recovered_SheetName_4289_"/>
      <sheetName val="_Recovered_SheetName_4290_"/>
      <sheetName val="_Recovered_SheetName_4291_"/>
      <sheetName val="_Recovered_SheetName_4292_"/>
      <sheetName val="_Recovered_SheetName_4293_"/>
      <sheetName val="_Recovered_SheetName_4294_"/>
      <sheetName val="_Recovered_SheetName_4295_"/>
      <sheetName val="_Recovered_SheetName_4296_"/>
      <sheetName val="_Recovered_SheetName_4297_"/>
      <sheetName val="_Recovered_SheetName_4298_"/>
      <sheetName val="_Recovered_SheetName_4299_"/>
      <sheetName val="_Recovered_SheetName_4300_"/>
      <sheetName val="_Recovered_SheetName_4301_"/>
      <sheetName val="_Recovered_SheetName_4302_"/>
      <sheetName val="_Recovered_SheetName_4303_"/>
      <sheetName val="_Recovered_SheetName_4304_"/>
      <sheetName val="_Recovered_SheetName_4305_"/>
      <sheetName val="_Recovered_SheetName_4306_"/>
      <sheetName val="_Recovered_SheetName_4307_"/>
      <sheetName val="_Recovered_SheetName_4308_"/>
      <sheetName val="_Recovered_SheetName_4309_"/>
      <sheetName val="_Recovered_SheetName_4310_"/>
      <sheetName val="_Recovered_SheetName_4311_"/>
      <sheetName val="_Recovered_SheetName_4312_"/>
      <sheetName val="_Recovered_SheetName_4313_"/>
      <sheetName val="_Recovered_SheetName_4314_"/>
      <sheetName val="_Recovered_SheetName_4315_"/>
      <sheetName val="_Recovered_SheetName_4316_"/>
      <sheetName val="_Recovered_SheetName_4317_"/>
      <sheetName val="_Recovered_SheetName_4318_"/>
      <sheetName val="_Recovered_SheetName_4319_"/>
      <sheetName val="_Recovered_SheetName_4320_"/>
      <sheetName val="_Recovered_SheetName_4321_"/>
      <sheetName val="_Recovered_SheetName_4322_"/>
      <sheetName val="_Recovered_SheetName_4323_"/>
      <sheetName val="_Recovered_SheetName_4324_"/>
      <sheetName val="_Recovered_SheetName_4325_"/>
      <sheetName val="_Recovered_SheetName_4326_"/>
      <sheetName val="_Recovered_SheetName_4327_"/>
      <sheetName val="_Recovered_SheetName_4328_"/>
      <sheetName val="_Recovered_SheetName_4329_"/>
      <sheetName val="_Recovered_SheetName_4330_"/>
      <sheetName val="_Recovered_SheetName_4331_"/>
      <sheetName val="_Recovered_SheetName_4332_"/>
      <sheetName val="_Recovered_SheetName_4333_"/>
      <sheetName val="_Recovered_SheetName_4334_"/>
      <sheetName val="_Recovered_SheetName_4335_"/>
      <sheetName val="_Recovered_SheetName_4336_"/>
      <sheetName val="_Recovered_SheetName_4337_"/>
      <sheetName val="_Recovered_SheetName_4338_"/>
      <sheetName val="_Recovered_SheetName_4339_"/>
      <sheetName val="_Recovered_SheetName_4340_"/>
      <sheetName val="_Recovered_SheetName_4341_"/>
      <sheetName val="_Recovered_SheetName_4342_"/>
      <sheetName val="_Recovered_SheetName_4343_"/>
      <sheetName val="_Recovered_SheetName_4344_"/>
      <sheetName val="_Recovered_SheetName_4345_"/>
      <sheetName val="_Recovered_SheetName_4346_"/>
      <sheetName val="_Recovered_SheetName_4347_"/>
      <sheetName val="_Recovered_SheetName_4348_"/>
      <sheetName val="_Recovered_SheetName_4349_"/>
      <sheetName val="_Recovered_SheetName_4350_"/>
      <sheetName val="_Recovered_SheetName_4351_"/>
      <sheetName val="_Recovered_SheetName_4352_"/>
      <sheetName val="_Recovered_SheetName_4353_"/>
      <sheetName val="_Recovered_SheetName_4354_"/>
      <sheetName val="_Recovered_SheetName_4355_"/>
      <sheetName val="_Recovered_SheetName_4356_"/>
      <sheetName val="_Recovered_SheetName_4357_"/>
      <sheetName val="_Recovered_SheetName_4358_"/>
      <sheetName val="_Recovered_SheetName_4359_"/>
      <sheetName val="_Recovered_SheetName_4360_"/>
      <sheetName val="_Recovered_SheetName_4361_"/>
      <sheetName val="_Recovered_SheetName_4362_"/>
      <sheetName val="_Recovered_SheetName_4363_"/>
      <sheetName val="_Recovered_SheetName_4364_"/>
      <sheetName val="_Recovered_SheetName_4365_"/>
      <sheetName val="_Recovered_SheetName_4366_"/>
      <sheetName val="_Recovered_SheetName_4367_"/>
      <sheetName val="_Recovered_SheetName_4368_"/>
      <sheetName val="_Recovered_SheetName_4369_"/>
      <sheetName val="_Recovered_SheetName_4370_"/>
      <sheetName val="_Recovered_SheetName_4371_"/>
      <sheetName val="_Recovered_SheetName_4372_"/>
      <sheetName val="_Recovered_SheetName_4373_"/>
      <sheetName val="_Recovered_SheetName_4374_"/>
      <sheetName val="_Recovered_SheetName_4375_"/>
      <sheetName val="_Recovered_SheetName_4376_"/>
      <sheetName val="_Recovered_SheetName_4377_"/>
      <sheetName val="_Recovered_SheetName_4378_"/>
      <sheetName val="_Recovered_SheetName_4379_"/>
      <sheetName val="_Recovered_SheetName_4380_"/>
      <sheetName val="_Recovered_SheetName_4381_"/>
      <sheetName val="_Recovered_SheetName_4382_"/>
      <sheetName val="_Recovered_SheetName_4383_"/>
      <sheetName val="_Recovered_SheetName_4384_"/>
      <sheetName val="_Recovered_SheetName_4385_"/>
      <sheetName val="_Recovered_SheetName_4386_"/>
      <sheetName val="_Recovered_SheetName_4387_"/>
      <sheetName val="_Recovered_SheetName_4388_"/>
      <sheetName val="_Recovered_SheetName_4389_"/>
      <sheetName val="_Recovered_SheetName_4390_"/>
      <sheetName val="_Recovered_SheetName_4391_"/>
      <sheetName val="_Recovered_SheetName_4392_"/>
      <sheetName val="_Recovered_SheetName_4393_"/>
      <sheetName val="_Recovered_SheetName_4394_"/>
      <sheetName val="_Recovered_SheetName_4395_"/>
      <sheetName val="_Recovered_SheetName_4396_"/>
      <sheetName val="_Recovered_SheetName_4397_"/>
      <sheetName val="_Recovered_SheetName_4398_"/>
      <sheetName val="_Recovered_SheetName_4399_"/>
      <sheetName val="_Recovered_SheetName_4400_"/>
      <sheetName val="_Recovered_SheetName_4401_"/>
      <sheetName val="_Recovered_SheetName_4402_"/>
      <sheetName val="_Recovered_SheetName_4403_"/>
      <sheetName val="_Recovered_SheetName_4404_"/>
      <sheetName val="_Recovered_SheetName_4405_"/>
      <sheetName val="_Recovered_SheetName_4406_"/>
      <sheetName val="_Recovered_SheetName_4407_"/>
      <sheetName val="_Recovered_SheetName_4408_"/>
      <sheetName val="_Recovered_SheetName_4409_"/>
      <sheetName val="_Recovered_SheetName_4410_"/>
      <sheetName val="_Recovered_SheetName_4411_"/>
      <sheetName val="_Recovered_SheetName_4412_"/>
      <sheetName val="_Recovered_SheetName_4413_"/>
      <sheetName val="_Recovered_SheetName_4414_"/>
      <sheetName val="_Recovered_SheetName_4415_"/>
      <sheetName val="_Recovered_SheetName_4416_"/>
      <sheetName val="_Recovered_SheetName_4417_"/>
      <sheetName val="_Recovered_SheetName_4418_"/>
      <sheetName val="_Recovered_SheetName_4419_"/>
      <sheetName val="_Recovered_SheetName_4420_"/>
      <sheetName val="_Recovered_SheetName_4421_"/>
      <sheetName val="_Recovered_SheetName_4422_"/>
      <sheetName val="_Recovered_SheetName_4423_"/>
      <sheetName val="_Recovered_SheetName_4424_"/>
      <sheetName val="_Recovered_SheetName_4425_"/>
      <sheetName val="_Recovered_SheetName_4426_"/>
      <sheetName val="_Recovered_SheetName_4427_"/>
      <sheetName val="_Recovered_SheetName_4428_"/>
      <sheetName val="_Recovered_SheetName_4429_"/>
      <sheetName val="_Recovered_SheetName_4430_"/>
      <sheetName val="_Recovered_SheetName_4431_"/>
      <sheetName val="_Recovered_SheetName_4432_"/>
      <sheetName val="_Recovered_SheetName_4433_"/>
      <sheetName val="_Recovered_SheetName_4434_"/>
      <sheetName val="_Recovered_SheetName_4435_"/>
      <sheetName val="_Recovered_SheetName_4436_"/>
      <sheetName val="_Recovered_SheetName_4437_"/>
      <sheetName val="_Recovered_SheetName_4438_"/>
      <sheetName val="_Recovered_SheetName_4439_"/>
      <sheetName val="_Recovered_SheetName_4440_"/>
      <sheetName val="_Recovered_SheetName_4441_"/>
      <sheetName val="_Recovered_SheetName_4442_"/>
      <sheetName val="_Recovered_SheetName_4443_"/>
      <sheetName val="_Recovered_SheetName_4444_"/>
      <sheetName val="_Recovered_SheetName_4445_"/>
      <sheetName val="_Recovered_SheetName_4446_"/>
      <sheetName val="_Recovered_SheetName_4447_"/>
      <sheetName val="_Recovered_SheetName_4448_"/>
      <sheetName val="_Recovered_SheetName_4449_"/>
      <sheetName val="_Recovered_SheetName_4450_"/>
      <sheetName val="_Recovered_SheetName_4451_"/>
      <sheetName val="_Recovered_SheetName_4452_"/>
      <sheetName val="_Recovered_SheetName_4453_"/>
      <sheetName val="_Recovered_SheetName_4454_"/>
      <sheetName val="_Recovered_SheetName_4455_"/>
      <sheetName val="_Recovered_SheetName_4456_"/>
      <sheetName val="_Recovered_SheetName_4457_"/>
      <sheetName val="_Recovered_SheetName_4458_"/>
      <sheetName val="_Recovered_SheetName_4459_"/>
      <sheetName val="_Recovered_SheetName_4460_"/>
      <sheetName val="_Recovered_SheetName_4461_"/>
      <sheetName val="_Recovered_SheetName_4462_"/>
      <sheetName val="_Recovered_SheetName_4463_"/>
      <sheetName val="_Recovered_SheetName_4464_"/>
      <sheetName val="_Recovered_SheetName_4465_"/>
      <sheetName val="_Recovered_SheetName_4466_"/>
      <sheetName val="_Recovered_SheetName_4467_"/>
      <sheetName val="_Recovered_SheetName_4468_"/>
      <sheetName val="_Recovered_SheetName_4469_"/>
      <sheetName val="_Recovered_SheetName_4470_"/>
      <sheetName val="_Recovered_SheetName_4471_"/>
      <sheetName val="_Recovered_SheetName_4472_"/>
      <sheetName val="_Recovered_SheetName_4473_"/>
      <sheetName val="_Recovered_SheetName_4474_"/>
      <sheetName val="_Recovered_SheetName_4475_"/>
      <sheetName val="_Recovered_SheetName_4476_"/>
      <sheetName val="_Recovered_SheetName_4477_"/>
      <sheetName val="_Recovered_SheetName_4478_"/>
      <sheetName val="_Recovered_SheetName_4479_"/>
      <sheetName val="_Recovered_SheetName_4480_"/>
      <sheetName val="_Recovered_SheetName_4481_"/>
      <sheetName val="_Recovered_SheetName_4482_"/>
      <sheetName val="_Recovered_SheetName_4483_"/>
      <sheetName val="_Recovered_SheetName_4484_"/>
      <sheetName val="_Recovered_SheetName_4485_"/>
      <sheetName val="_Recovered_SheetName_4486_"/>
      <sheetName val="_Recovered_SheetName_4487_"/>
      <sheetName val="_Recovered_SheetName_4488_"/>
      <sheetName val="_Recovered_SheetName_4489_"/>
      <sheetName val="_Recovered_SheetName_4490_"/>
      <sheetName val="_Recovered_SheetName_4491_"/>
      <sheetName val="_Recovered_SheetName_4492_"/>
      <sheetName val="_Recovered_SheetName_4493_"/>
      <sheetName val="_Recovered_SheetName_4494_"/>
      <sheetName val="_Recovered_SheetName_4495_"/>
      <sheetName val="_Recovered_SheetName_4496_"/>
      <sheetName val="_Recovered_SheetName_4497_"/>
      <sheetName val="_Recovered_SheetName_4498_"/>
      <sheetName val="_Recovered_SheetName_4499_"/>
      <sheetName val="_Recovered_SheetName_4500_"/>
      <sheetName val="_Recovered_SheetName_4501_"/>
      <sheetName val="_Recovered_SheetName_4502_"/>
      <sheetName val="_Recovered_SheetName_4503_"/>
      <sheetName val="_Recovered_SheetName_4504_"/>
      <sheetName val="_Recovered_SheetName_4505_"/>
      <sheetName val="_Recovered_SheetName_4506_"/>
      <sheetName val="_Recovered_SheetName_4507_"/>
      <sheetName val="_Recovered_SheetName_4508_"/>
      <sheetName val="_Recovered_SheetName_4509_"/>
      <sheetName val="_Recovered_SheetName_4510_"/>
      <sheetName val="_Recovered_SheetName_4511_"/>
      <sheetName val="_Recovered_SheetName_4512_"/>
      <sheetName val="_Recovered_SheetName_4513_"/>
      <sheetName val="_Recovered_SheetName_4514_"/>
      <sheetName val="_Recovered_SheetName_4515_"/>
      <sheetName val="_Recovered_SheetName_4516_"/>
      <sheetName val="_Recovered_SheetName_4517_"/>
      <sheetName val="_Recovered_SheetName_4518_"/>
      <sheetName val="_Recovered_SheetName_4519_"/>
      <sheetName val="_Recovered_SheetName_4520_"/>
      <sheetName val="_Recovered_SheetName_4521_"/>
      <sheetName val="_Recovered_SheetName_4522_"/>
      <sheetName val="_Recovered_SheetName_4523_"/>
      <sheetName val="_Recovered_SheetName_4524_"/>
      <sheetName val="_Recovered_SheetName_4525_"/>
      <sheetName val="_Recovered_SheetName_4526_"/>
      <sheetName val="_Recovered_SheetName_4527_"/>
      <sheetName val="_Recovered_SheetName_4528_"/>
      <sheetName val="_Recovered_SheetName_4529_"/>
      <sheetName val="_Recovered_SheetName_4530_"/>
      <sheetName val="_Recovered_SheetName_4531_"/>
      <sheetName val="_Recovered_SheetName_4532_"/>
      <sheetName val="_Recovered_SheetName_4533_"/>
      <sheetName val="_Recovered_SheetName_4534_"/>
      <sheetName val="_Recovered_SheetName_4535_"/>
      <sheetName val="_Recovered_SheetName_4536_"/>
      <sheetName val="_Recovered_SheetName_4537_"/>
      <sheetName val="_Recovered_SheetName_4538_"/>
      <sheetName val="_Recovered_SheetName_4539_"/>
      <sheetName val="_Recovered_SheetName_4540_"/>
      <sheetName val="_Recovered_SheetName_4541_"/>
      <sheetName val="_Recovered_SheetName_4542_"/>
      <sheetName val="_Recovered_SheetName_4543_"/>
      <sheetName val="_Recovered_SheetName_4544_"/>
      <sheetName val="_Recovered_SheetName_4545_"/>
      <sheetName val="_Recovered_SheetName_4546_"/>
      <sheetName val="_Recovered_SheetName_4547_"/>
      <sheetName val="_Recovered_SheetName_4548_"/>
      <sheetName val="_Recovered_SheetName_4549_"/>
      <sheetName val="_Recovered_SheetName_4550_"/>
      <sheetName val="_Recovered_SheetName_4551_"/>
      <sheetName val="_Recovered_SheetName_4552_"/>
      <sheetName val="_Recovered_SheetName_4553_"/>
      <sheetName val="_Recovered_SheetName_4554_"/>
      <sheetName val="_Recovered_SheetName_4555_"/>
      <sheetName val="_Recovered_SheetName_4556_"/>
      <sheetName val="_Recovered_SheetName_4557_"/>
      <sheetName val="_Recovered_SheetName_4558_"/>
      <sheetName val="_Recovered_SheetName_4559_"/>
      <sheetName val="_Recovered_SheetName_4560_"/>
      <sheetName val="_Recovered_SheetName_4561_"/>
      <sheetName val="_Recovered_SheetName_4562_"/>
      <sheetName val="_Recovered_SheetName_4563_"/>
      <sheetName val="_Recovered_SheetName_4564_"/>
      <sheetName val="_Recovered_SheetName_4565_"/>
      <sheetName val="_Recovered_SheetName_4566_"/>
      <sheetName val="_Recovered_SheetName_4567_"/>
      <sheetName val="_Recovered_SheetName_4568_"/>
      <sheetName val="_Recovered_SheetName_4569_"/>
      <sheetName val="_Recovered_SheetName_4570_"/>
      <sheetName val="_Recovered_SheetName_4571_"/>
      <sheetName val="_Recovered_SheetName_4572_"/>
      <sheetName val="_Recovered_SheetName_4573_"/>
      <sheetName val="_Recovered_SheetName_4574_"/>
      <sheetName val="_Recovered_SheetName_4575_"/>
      <sheetName val="_Recovered_SheetName_4576_"/>
      <sheetName val="_Recovered_SheetName_4577_"/>
      <sheetName val="_Recovered_SheetName_4578_"/>
      <sheetName val="_Recovered_SheetName_4579_"/>
      <sheetName val="_Recovered_SheetName_4580_"/>
      <sheetName val="_Recovered_SheetName_4581_"/>
      <sheetName val="_Recovered_SheetName_4582_"/>
      <sheetName val="_Recovered_SheetName_4583_"/>
      <sheetName val="_Recovered_SheetName_4584_"/>
      <sheetName val="_Recovered_SheetName_4585_"/>
      <sheetName val="_Recovered_SheetName_4586_"/>
      <sheetName val="_Recovered_SheetName_4587_"/>
      <sheetName val="_Recovered_SheetName_4588_"/>
      <sheetName val="_Recovered_SheetName_4589_"/>
      <sheetName val="_Recovered_SheetName_4590_"/>
      <sheetName val="_Recovered_SheetName_4591_"/>
      <sheetName val="_Recovered_SheetName_4592_"/>
      <sheetName val="_Recovered_SheetName_4593_"/>
      <sheetName val="_Recovered_SheetName_4594_"/>
      <sheetName val="_Recovered_SheetName_4595_"/>
      <sheetName val="_Recovered_SheetName_4596_"/>
      <sheetName val="_Recovered_SheetName_4597_"/>
      <sheetName val="_Recovered_SheetName_4598_"/>
      <sheetName val="_Recovered_SheetName_4599_"/>
      <sheetName val="_Recovered_SheetName_4600_"/>
      <sheetName val="_Recovered_SheetName_4601_"/>
      <sheetName val="_Recovered_SheetName_4602_"/>
      <sheetName val="_Recovered_SheetName_4603_"/>
      <sheetName val="_Recovered_SheetName_4604_"/>
      <sheetName val="_Recovered_SheetName_4605_"/>
      <sheetName val="_Recovered_SheetName_4606_"/>
      <sheetName val="_Recovered_SheetName_4607_"/>
      <sheetName val="_Recovered_SheetName_4608_"/>
      <sheetName val="_Recovered_SheetName_4609_"/>
      <sheetName val="_Recovered_SheetName_4610_"/>
      <sheetName val="_Recovered_SheetName_4611_"/>
      <sheetName val="_Recovered_SheetName_4612_"/>
      <sheetName val="_Recovered_SheetName_4613_"/>
      <sheetName val="_Recovered_SheetName_4614_"/>
      <sheetName val="_Recovered_SheetName_4615_"/>
      <sheetName val="_Recovered_SheetName_4616_"/>
      <sheetName val="_Recovered_SheetName_4617_"/>
      <sheetName val="_Recovered_SheetName_4618_"/>
      <sheetName val="_Recovered_SheetName_4619_"/>
      <sheetName val="_Recovered_SheetName_4620_"/>
      <sheetName val="_Recovered_SheetName_4621_"/>
      <sheetName val="_Recovered_SheetName_4622_"/>
      <sheetName val="_Recovered_SheetName_4623_"/>
      <sheetName val="_Recovered_SheetName_4624_"/>
      <sheetName val="_Recovered_SheetName_4625_"/>
      <sheetName val="_Recovered_SheetName_4626_"/>
      <sheetName val="_Recovered_SheetName_4627_"/>
      <sheetName val="_Recovered_SheetName_4628_"/>
      <sheetName val="_Recovered_SheetName_4629_"/>
      <sheetName val="_Recovered_SheetName_4630_"/>
      <sheetName val="_Recovered_SheetName_4631_"/>
      <sheetName val="_Recovered_SheetName_4632_"/>
      <sheetName val="_Recovered_SheetName_4633_"/>
      <sheetName val="_Recovered_SheetName_4634_"/>
      <sheetName val="_Recovered_SheetName_4635_"/>
      <sheetName val="_Recovered_SheetName_4636_"/>
      <sheetName val="_Recovered_SheetName_4637_"/>
      <sheetName val="_Recovered_SheetName_4638_"/>
      <sheetName val="_Recovered_SheetName_4639_"/>
      <sheetName val="_Recovered_SheetName_4640_"/>
      <sheetName val="_Recovered_SheetName_4641_"/>
      <sheetName val="_Recovered_SheetName_4642_"/>
      <sheetName val="_Recovered_SheetName_4643_"/>
      <sheetName val="_Recovered_SheetName_4644_"/>
      <sheetName val="_Recovered_SheetName_4645_"/>
      <sheetName val="_Recovered_SheetName_4646_"/>
      <sheetName val="_Recovered_SheetName_4647_"/>
      <sheetName val="_Recovered_SheetName_4648_"/>
      <sheetName val="_Recovered_SheetName_4649_"/>
      <sheetName val="_Recovered_SheetName_4650_"/>
      <sheetName val="_Recovered_SheetName_4651_"/>
      <sheetName val="_Recovered_SheetName_4652_"/>
      <sheetName val="_Recovered_SheetName_4653_"/>
      <sheetName val="_Recovered_SheetName_4654_"/>
      <sheetName val="_Recovered_SheetName_4655_"/>
      <sheetName val="_Recovered_SheetName_4656_"/>
      <sheetName val="_Recovered_SheetName_4657_"/>
      <sheetName val="_Recovered_SheetName_4658_"/>
      <sheetName val="_Recovered_SheetName_4659_"/>
      <sheetName val="_Recovered_SheetName_4660_"/>
      <sheetName val="_Recovered_SheetName_4661_"/>
      <sheetName val="_Recovered_SheetName_4662_"/>
      <sheetName val="_Recovered_SheetName_4663_"/>
      <sheetName val="_Recovered_SheetName_4664_"/>
      <sheetName val="_Recovered_SheetName_4665_"/>
      <sheetName val="_Recovered_SheetName_4666_"/>
      <sheetName val="_Recovered_SheetName_4667_"/>
      <sheetName val="_Recovered_SheetName_4668_"/>
      <sheetName val="_Recovered_SheetName_4669_"/>
      <sheetName val="_Recovered_SheetName_4670_"/>
      <sheetName val="_Recovered_SheetName_4671_"/>
      <sheetName val="_Recovered_SheetName_4672_"/>
      <sheetName val="_Recovered_SheetName_4673_"/>
      <sheetName val="_Recovered_SheetName_4674_"/>
      <sheetName val="_Recovered_SheetName_4675_"/>
      <sheetName val="_Recovered_SheetName_4676_"/>
      <sheetName val="_Recovered_SheetName_4677_"/>
      <sheetName val="_Recovered_SheetName_4678_"/>
      <sheetName val="_Recovered_SheetName_4679_"/>
      <sheetName val="_Recovered_SheetName_4680_"/>
      <sheetName val="_Recovered_SheetName_4681_"/>
      <sheetName val="_Recovered_SheetName_4682_"/>
      <sheetName val="_Recovered_SheetName_4683_"/>
      <sheetName val="_Recovered_SheetName_4684_"/>
      <sheetName val="_Recovered_SheetName_4685_"/>
      <sheetName val="_Recovered_SheetName_4686_"/>
      <sheetName val="_Recovered_SheetName_4687_"/>
      <sheetName val="_Recovered_SheetName_4688_"/>
      <sheetName val="_Recovered_SheetName_4689_"/>
      <sheetName val="_Recovered_SheetName_4690_"/>
      <sheetName val="_Recovered_SheetName_4691_"/>
      <sheetName val="_Recovered_SheetName_4692_"/>
      <sheetName val="_Recovered_SheetName_4693_"/>
      <sheetName val="_Recovered_SheetName_4694_"/>
      <sheetName val="_Recovered_SheetName_4695_"/>
      <sheetName val="_Recovered_SheetName_4696_"/>
      <sheetName val="_Recovered_SheetName_4697_"/>
      <sheetName val="_Recovered_SheetName_4698_"/>
      <sheetName val="_Recovered_SheetName_4699_"/>
      <sheetName val="_Recovered_SheetName_4700_"/>
      <sheetName val="_Recovered_SheetName_4701_"/>
      <sheetName val="_Recovered_SheetName_4702_"/>
      <sheetName val="_Recovered_SheetName_4703_"/>
      <sheetName val="_Recovered_SheetName_4704_"/>
      <sheetName val="_Recovered_SheetName_4705_"/>
      <sheetName val="_Recovered_SheetName_4706_"/>
      <sheetName val="_Recovered_SheetName_4707_"/>
      <sheetName val="_Recovered_SheetName_4708_"/>
      <sheetName val="_Recovered_SheetName_4709_"/>
      <sheetName val="_Recovered_SheetName_4710_"/>
      <sheetName val="_Recovered_SheetName_4711_"/>
      <sheetName val="_Recovered_SheetName_4712_"/>
      <sheetName val="_Recovered_SheetName_4713_"/>
      <sheetName val="_Recovered_SheetName_4714_"/>
      <sheetName val="_Recovered_SheetName_4715_"/>
      <sheetName val="_Recovered_SheetName_4716_"/>
      <sheetName val="_Recovered_SheetName_4717_"/>
      <sheetName val="_Recovered_SheetName_4718_"/>
      <sheetName val="_Recovered_SheetName_4719_"/>
      <sheetName val="_Recovered_SheetName_4720_"/>
      <sheetName val="_Recovered_SheetName_4721_"/>
      <sheetName val="_Recovered_SheetName_4722_"/>
      <sheetName val="_Recovered_SheetName_4723_"/>
      <sheetName val="_Recovered_SheetName_4724_"/>
      <sheetName val="_Recovered_SheetName_4725_"/>
      <sheetName val="_Recovered_SheetName_4726_"/>
      <sheetName val="_Recovered_SheetName_4727_"/>
      <sheetName val="_Recovered_SheetName_4728_"/>
      <sheetName val="_Recovered_SheetName_4729_"/>
      <sheetName val="_Recovered_SheetName_4730_"/>
      <sheetName val="_Recovered_SheetName_4731_"/>
      <sheetName val="_Recovered_SheetName_4732_"/>
      <sheetName val="_Recovered_SheetName_4733_"/>
      <sheetName val="_Recovered_SheetName_4734_"/>
      <sheetName val="_Recovered_SheetName_4735_"/>
      <sheetName val="_Recovered_SheetName_4736_"/>
      <sheetName val="_Recovered_SheetName_4737_"/>
      <sheetName val="_Recovered_SheetName_4738_"/>
      <sheetName val="_Recovered_SheetName_4739_"/>
      <sheetName val="_Recovered_SheetName_4740_"/>
      <sheetName val="_Recovered_SheetName_4741_"/>
      <sheetName val="_Recovered_SheetName_4742_"/>
      <sheetName val="_Recovered_SheetName_4743_"/>
      <sheetName val="_Recovered_SheetName_4744_"/>
      <sheetName val="_Recovered_SheetName_4745_"/>
      <sheetName val="_Recovered_SheetName_4746_"/>
      <sheetName val="_Recovered_SheetName_4747_"/>
      <sheetName val="_Recovered_SheetName_4748_"/>
      <sheetName val="_Recovered_SheetName_4749_"/>
      <sheetName val="_Recovered_SheetName_4750_"/>
      <sheetName val="_Recovered_SheetName_4751_"/>
      <sheetName val="_Recovered_SheetName_4752_"/>
      <sheetName val="_Recovered_SheetName_4753_"/>
      <sheetName val="_Recovered_SheetName_4754_"/>
      <sheetName val="_Recovered_SheetName_4755_"/>
      <sheetName val="_Recovered_SheetName_4756_"/>
      <sheetName val="_Recovered_SheetName_4757_"/>
      <sheetName val="_Recovered_SheetName_4758_"/>
      <sheetName val="_Recovered_SheetName_4759_"/>
      <sheetName val="_Recovered_SheetName_4760_"/>
      <sheetName val="_Recovered_SheetName_4761_"/>
      <sheetName val="_Recovered_SheetName_4762_"/>
      <sheetName val="_Recovered_SheetName_4763_"/>
      <sheetName val="_Recovered_SheetName_4764_"/>
      <sheetName val="_Recovered_SheetName_4765_"/>
      <sheetName val="_Recovered_SheetName_4766_"/>
      <sheetName val="_Recovered_SheetName_4767_"/>
      <sheetName val="_Recovered_SheetName_4768_"/>
      <sheetName val="_Recovered_SheetName_4769_"/>
      <sheetName val="_Recovered_SheetName_4770_"/>
      <sheetName val="_Recovered_SheetName_4771_"/>
      <sheetName val="_Recovered_SheetName_4772_"/>
      <sheetName val="_Recovered_SheetName_4773_"/>
      <sheetName val="_Recovered_SheetName_4774_"/>
      <sheetName val="_Recovered_SheetName_4775_"/>
      <sheetName val="_Recovered_SheetName_4776_"/>
      <sheetName val="_Recovered_SheetName_4777_"/>
      <sheetName val="_Recovered_SheetName_4778_"/>
      <sheetName val="_Recovered_SheetName_4779_"/>
      <sheetName val="_Recovered_SheetName_4780_"/>
      <sheetName val="_Recovered_SheetName_4781_"/>
      <sheetName val="_Recovered_SheetName_4782_"/>
      <sheetName val="_Recovered_SheetName_4783_"/>
      <sheetName val="_Recovered_SheetName_4784_"/>
      <sheetName val="_Recovered_SheetName_4785_"/>
      <sheetName val="_Recovered_SheetName_4786_"/>
      <sheetName val="_Recovered_SheetName_4787_"/>
      <sheetName val="_Recovered_SheetName_4788_"/>
      <sheetName val="_Recovered_SheetName_4789_"/>
      <sheetName val="_Recovered_SheetName_4790_"/>
      <sheetName val="_Recovered_SheetName_4791_"/>
      <sheetName val="_Recovered_SheetName_4792_"/>
      <sheetName val="_Recovered_SheetName_4793_"/>
      <sheetName val="_Recovered_SheetName_4794_"/>
      <sheetName val="_Recovered_SheetName_4795_"/>
      <sheetName val="_Recovered_SheetName_4796_"/>
      <sheetName val="_Recovered_SheetName_4797_"/>
      <sheetName val="_Recovered_SheetName_4798_"/>
      <sheetName val="_Recovered_SheetName_4799_"/>
      <sheetName val="_Recovered_SheetName_4800_"/>
      <sheetName val="_Recovered_SheetName_4801_"/>
      <sheetName val="_Recovered_SheetName_4802_"/>
      <sheetName val="_Recovered_SheetName_4803_"/>
      <sheetName val="_Recovered_SheetName_4804_"/>
      <sheetName val="_Recovered_SheetName_4805_"/>
      <sheetName val="_Recovered_SheetName_4806_"/>
      <sheetName val="_Recovered_SheetName_4807_"/>
      <sheetName val="_Recovered_SheetName_4808_"/>
      <sheetName val="_Recovered_SheetName_4809_"/>
      <sheetName val="_Recovered_SheetName_4810_"/>
      <sheetName val="_Recovered_SheetName_4811_"/>
      <sheetName val="_Recovered_SheetName_4812_"/>
      <sheetName val="_Recovered_SheetName_4813_"/>
      <sheetName val="_Recovered_SheetName_4814_"/>
      <sheetName val="_Recovered_SheetName_4815_"/>
      <sheetName val="_Recovered_SheetName_4816_"/>
      <sheetName val="_Recovered_SheetName_4817_"/>
      <sheetName val="_Recovered_SheetName_4818_"/>
      <sheetName val="_Recovered_SheetName_4819_"/>
      <sheetName val="_Recovered_SheetName_4820_"/>
      <sheetName val="_Recovered_SheetName_4821_"/>
      <sheetName val="_Recovered_SheetName_4822_"/>
      <sheetName val="_Recovered_SheetName_4823_"/>
      <sheetName val="_Recovered_SheetName_4824_"/>
      <sheetName val="_Recovered_SheetName_4825_"/>
      <sheetName val="_Recovered_SheetName_4826_"/>
      <sheetName val="_Recovered_SheetName_4827_"/>
      <sheetName val="_Recovered_SheetName_4828_"/>
      <sheetName val="_Recovered_SheetName_4829_"/>
      <sheetName val="_Recovered_SheetName_4830_"/>
      <sheetName val="_Recovered_SheetName_4831_"/>
      <sheetName val="_Recovered_SheetName_4832_"/>
      <sheetName val="_Recovered_SheetName_4833_"/>
      <sheetName val="_Recovered_SheetName_4834_"/>
      <sheetName val="_Recovered_SheetName_4835_"/>
      <sheetName val="_Recovered_SheetName_4836_"/>
      <sheetName val="_Recovered_SheetName_4837_"/>
      <sheetName val="_Recovered_SheetName_4838_"/>
      <sheetName val="_Recovered_SheetName_4839_"/>
      <sheetName val="_Recovered_SheetName_4840_"/>
      <sheetName val="_Recovered_SheetName_4841_"/>
      <sheetName val="_Recovered_SheetName_4842_"/>
      <sheetName val="_Recovered_SheetName_4843_"/>
      <sheetName val="_Recovered_SheetName_4844_"/>
      <sheetName val="_Recovered_SheetName_4845_"/>
      <sheetName val="_Recovered_SheetName_4846_"/>
      <sheetName val="_Recovered_SheetName_4847_"/>
      <sheetName val="_Recovered_SheetName_4848_"/>
      <sheetName val="_Recovered_SheetName_4849_"/>
      <sheetName val="_Recovered_SheetName_4850_"/>
      <sheetName val="_Recovered_SheetName_4851_"/>
      <sheetName val="_Recovered_SheetName_4852_"/>
      <sheetName val="_Recovered_SheetName_4853_"/>
      <sheetName val="_Recovered_SheetName_4854_"/>
      <sheetName val="_Recovered_SheetName_4855_"/>
      <sheetName val="_Recovered_SheetName_4856_"/>
      <sheetName val="_Recovered_SheetName_4857_"/>
      <sheetName val="_Recovered_SheetName_4858_"/>
      <sheetName val="_Recovered_SheetName_4859_"/>
      <sheetName val="_Recovered_SheetName_4860_"/>
      <sheetName val="_Recovered_SheetName_4861_"/>
      <sheetName val="_Recovered_SheetName_4862_"/>
      <sheetName val="_Recovered_SheetName_4863_"/>
      <sheetName val="_Recovered_SheetName_4864_"/>
      <sheetName val="_Recovered_SheetName_4865_"/>
      <sheetName val="_Recovered_SheetName_4866_"/>
      <sheetName val="_Recovered_SheetName_4867_"/>
      <sheetName val="_Recovered_SheetName_4868_"/>
      <sheetName val="_Recovered_SheetName_4869_"/>
      <sheetName val="_Recovered_SheetName_4870_"/>
      <sheetName val="_Recovered_SheetName_4871_"/>
      <sheetName val="_Recovered_SheetName_4872_"/>
      <sheetName val="_Recovered_SheetName_4873_"/>
      <sheetName val="_Recovered_SheetName_4874_"/>
      <sheetName val="_Recovered_SheetName_4875_"/>
      <sheetName val="_Recovered_SheetName_4876_"/>
      <sheetName val="_Recovered_SheetName_4877_"/>
      <sheetName val="_Recovered_SheetName_4878_"/>
      <sheetName val="_Recovered_SheetName_4879_"/>
      <sheetName val="_Recovered_SheetName_4880_"/>
      <sheetName val="_Recovered_SheetName_4881_"/>
      <sheetName val="_Recovered_SheetName_4882_"/>
      <sheetName val="_Recovered_SheetName_4883_"/>
      <sheetName val="_Recovered_SheetName_4884_"/>
      <sheetName val="_Recovered_SheetName_4885_"/>
      <sheetName val="_Recovered_SheetName_4886_"/>
      <sheetName val="_Recovered_SheetName_4887_"/>
      <sheetName val="_Recovered_SheetName_4888_"/>
      <sheetName val="_Recovered_SheetName_4889_"/>
      <sheetName val="_Recovered_SheetName_4890_"/>
      <sheetName val="_Recovered_SheetName_4891_"/>
      <sheetName val="_Recovered_SheetName_4892_"/>
      <sheetName val="_Recovered_SheetName_4893_"/>
      <sheetName val="_Recovered_SheetName_4894_"/>
      <sheetName val="_Recovered_SheetName_4895_"/>
      <sheetName val="_Recovered_SheetName_4896_"/>
      <sheetName val="_Recovered_SheetName_4897_"/>
      <sheetName val="_Recovered_SheetName_4898_"/>
      <sheetName val="_Recovered_SheetName_4899_"/>
      <sheetName val="_Recovered_SheetName_4900_"/>
      <sheetName val="_Recovered_SheetName_4901_"/>
      <sheetName val="_Recovered_SheetName_4902_"/>
      <sheetName val="_Recovered_SheetName_4903_"/>
      <sheetName val="_Recovered_SheetName_4904_"/>
      <sheetName val="_Recovered_SheetName_4905_"/>
      <sheetName val="_Recovered_SheetName_4906_"/>
      <sheetName val="_Recovered_SheetName_4907_"/>
      <sheetName val="_Recovered_SheetName_4908_"/>
      <sheetName val="_Recovered_SheetName_4909_"/>
      <sheetName val="_Recovered_SheetName_4910_"/>
      <sheetName val="_Recovered_SheetName_4911_"/>
      <sheetName val="_Recovered_SheetName_4912_"/>
      <sheetName val="_Recovered_SheetName_4913_"/>
      <sheetName val="_Recovered_SheetName_4914_"/>
      <sheetName val="_Recovered_SheetName_4915_"/>
      <sheetName val="_Recovered_SheetName_4916_"/>
      <sheetName val="_Recovered_SheetName_4917_"/>
      <sheetName val="_Recovered_SheetName_4918_"/>
      <sheetName val="_Recovered_SheetName_4919_"/>
      <sheetName val="_Recovered_SheetName_4920_"/>
      <sheetName val="_Recovered_SheetName_4921_"/>
      <sheetName val="_Recovered_SheetName_4922_"/>
      <sheetName val="_Recovered_SheetName_4923_"/>
      <sheetName val="_Recovered_SheetName_4924_"/>
      <sheetName val="_Recovered_SheetName_4925_"/>
      <sheetName val="_Recovered_SheetName_4926_"/>
      <sheetName val="_Recovered_SheetName_4927_"/>
      <sheetName val="_Recovered_SheetName_4928_"/>
      <sheetName val="_Recovered_SheetName_4929_"/>
      <sheetName val="_Recovered_SheetName_4930_"/>
      <sheetName val="_Recovered_SheetName_4931_"/>
      <sheetName val="_Recovered_SheetName_4932_"/>
      <sheetName val="_Recovered_SheetName_4933_"/>
      <sheetName val="_Recovered_SheetName_4934_"/>
      <sheetName val="_Recovered_SheetName_4935_"/>
      <sheetName val="_Recovered_SheetName_4936_"/>
      <sheetName val="_Recovered_SheetName_4937_"/>
      <sheetName val="_Recovered_SheetName_4938_"/>
      <sheetName val="_Recovered_SheetName_4939_"/>
      <sheetName val="_Recovered_SheetName_4940_"/>
      <sheetName val="_Recovered_SheetName_4941_"/>
      <sheetName val="_Recovered_SheetName_4942_"/>
      <sheetName val="_Recovered_SheetName_4943_"/>
      <sheetName val="_Recovered_SheetName_4944_"/>
      <sheetName val="_Recovered_SheetName_4945_"/>
      <sheetName val="_Recovered_SheetName_4946_"/>
      <sheetName val="_Recovered_SheetName_4947_"/>
      <sheetName val="_Recovered_SheetName_4948_"/>
      <sheetName val="_Recovered_SheetName_4949_"/>
      <sheetName val="_Recovered_SheetName_4950_"/>
      <sheetName val="_Recovered_SheetName_4951_"/>
      <sheetName val="_Recovered_SheetName_4952_"/>
      <sheetName val="_Recovered_SheetName_4953_"/>
      <sheetName val="_Recovered_SheetName_4954_"/>
      <sheetName val="_Recovered_SheetName_4955_"/>
      <sheetName val="_Recovered_SheetName_4956_"/>
      <sheetName val="_Recovered_SheetName_4957_"/>
      <sheetName val="_Recovered_SheetName_4958_"/>
      <sheetName val="_Recovered_SheetName_4959_"/>
      <sheetName val="_Recovered_SheetName_4960_"/>
      <sheetName val="_Recovered_SheetName_4961_"/>
      <sheetName val="_Recovered_SheetName_4962_"/>
      <sheetName val="_Recovered_SheetName_4963_"/>
      <sheetName val="_Recovered_SheetName_4964_"/>
      <sheetName val="_Recovered_SheetName_4965_"/>
      <sheetName val="_Recovered_SheetName_4966_"/>
      <sheetName val="_Recovered_SheetName_4967_"/>
      <sheetName val="_Recovered_SheetName_4968_"/>
      <sheetName val="_Recovered_SheetName_4969_"/>
      <sheetName val="_Recovered_SheetName_4970_"/>
      <sheetName val="_Recovered_SheetName_4971_"/>
      <sheetName val="_Recovered_SheetName_4972_"/>
      <sheetName val="_Recovered_SheetName_4973_"/>
      <sheetName val="_Recovered_SheetName_4974_"/>
      <sheetName val="_Recovered_SheetName_4975_"/>
      <sheetName val="_Recovered_SheetName_4976_"/>
      <sheetName val="_Recovered_SheetName_4977_"/>
      <sheetName val="_Recovered_SheetName_4978_"/>
      <sheetName val="_Recovered_SheetName_4979_"/>
      <sheetName val="_Recovered_SheetName_4980_"/>
      <sheetName val="_Recovered_SheetName_4981_"/>
      <sheetName val="_Recovered_SheetName_4982_"/>
      <sheetName val="_Recovered_SheetName_4983_"/>
      <sheetName val="_Recovered_SheetName_4984_"/>
      <sheetName val="_Recovered_SheetName_4985_"/>
      <sheetName val="_Recovered_SheetName_4986_"/>
      <sheetName val="_Recovered_SheetName_4987_"/>
      <sheetName val="_Recovered_SheetName_4988_"/>
      <sheetName val="_Recovered_SheetName_4989_"/>
      <sheetName val="_Recovered_SheetName_4990_"/>
      <sheetName val="_Recovered_SheetName_4991_"/>
      <sheetName val="_Recovered_SheetName_4992_"/>
      <sheetName val="_Recovered_SheetName_4993_"/>
      <sheetName val="_Recovered_SheetName_4994_"/>
      <sheetName val="_Recovered_SheetName_4995_"/>
      <sheetName val="_Recovered_SheetName_4996_"/>
      <sheetName val="_Recovered_SheetName_4997_"/>
      <sheetName val="_Recovered_SheetName_4998_"/>
      <sheetName val="_Recovered_SheetName_4999_"/>
      <sheetName val="_Recovered_SheetName_5000_"/>
      <sheetName val="_Recovered_SheetName_5001_"/>
      <sheetName val="_Recovered_SheetName_5002_"/>
      <sheetName val="_Recovered_SheetName_5003_"/>
      <sheetName val="_Recovered_SheetName_5004_"/>
      <sheetName val="_Recovered_SheetName_5005_"/>
      <sheetName val="_Recovered_SheetName_5006_"/>
      <sheetName val="_Recovered_SheetName_5007_"/>
      <sheetName val="_Recovered_SheetName_5008_"/>
      <sheetName val="_Recovered_SheetName_5009_"/>
      <sheetName val="_Recovered_SheetName_5010_"/>
      <sheetName val="_Recovered_SheetName_5011_"/>
      <sheetName val="_Recovered_SheetName_5012_"/>
      <sheetName val="_Recovered_SheetName_5013_"/>
      <sheetName val="_Recovered_SheetName_5014_"/>
      <sheetName val="_Recovered_SheetName_5015_"/>
      <sheetName val="_Recovered_SheetName_5016_"/>
      <sheetName val="_Recovered_SheetName_5017_"/>
      <sheetName val="_Recovered_SheetName_5018_"/>
      <sheetName val="_Recovered_SheetName_5019_"/>
      <sheetName val="_Recovered_SheetName_5020_"/>
      <sheetName val="_Recovered_SheetName_5021_"/>
      <sheetName val="_Recovered_SheetName_5022_"/>
      <sheetName val="_Recovered_SheetName_5023_"/>
      <sheetName val="_Recovered_SheetName_5024_"/>
      <sheetName val="_Recovered_SheetName_5025_"/>
      <sheetName val="_Recovered_SheetName_5026_"/>
      <sheetName val="_Recovered_SheetName_5027_"/>
      <sheetName val="_Recovered_SheetName_5028_"/>
      <sheetName val="_Recovered_SheetName_5029_"/>
      <sheetName val="_Recovered_SheetName_5030_"/>
      <sheetName val="_Recovered_SheetName_5031_"/>
      <sheetName val="_Recovered_SheetName_5032_"/>
      <sheetName val="_Recovered_SheetName_5033_"/>
      <sheetName val="_Recovered_SheetName_5034_"/>
      <sheetName val="_Recovered_SheetName_5035_"/>
      <sheetName val="_Recovered_SheetName_5036_"/>
      <sheetName val="_Recovered_SheetName_5037_"/>
      <sheetName val="_Recovered_SheetName_5038_"/>
      <sheetName val="_Recovered_SheetName_5039_"/>
      <sheetName val="_Recovered_SheetName_5040_"/>
      <sheetName val="_Recovered_SheetName_5041_"/>
      <sheetName val="_Recovered_SheetName_5042_"/>
      <sheetName val="_Recovered_SheetName_5043_"/>
      <sheetName val="_Recovered_SheetName_5044_"/>
      <sheetName val="_Recovered_SheetName_5045_"/>
      <sheetName val="_Recovered_SheetName_5046_"/>
      <sheetName val="_Recovered_SheetName_5047_"/>
      <sheetName val="_Recovered_SheetName_5048_"/>
      <sheetName val="_Recovered_SheetName_5049_"/>
      <sheetName val="_Recovered_SheetName_5050_"/>
      <sheetName val="_Recovered_SheetName_5051_"/>
      <sheetName val="_Recovered_SheetName_5052_"/>
      <sheetName val="_Recovered_SheetName_5053_"/>
      <sheetName val="_Recovered_SheetName_5054_"/>
      <sheetName val="_Recovered_SheetName_5055_"/>
      <sheetName val="_Recovered_SheetName_5056_"/>
      <sheetName val="_Recovered_SheetName_5057_"/>
      <sheetName val="_Recovered_SheetName_5058_"/>
      <sheetName val="_Recovered_SheetName_5059_"/>
      <sheetName val="_Recovered_SheetName_5060_"/>
      <sheetName val="_Recovered_SheetName_5061_"/>
      <sheetName val="_Recovered_SheetName_5062_"/>
      <sheetName val="_Recovered_SheetName_5063_"/>
      <sheetName val="_Recovered_SheetName_5064_"/>
      <sheetName val="_Recovered_SheetName_5065_"/>
      <sheetName val="_Recovered_SheetName_5066_"/>
      <sheetName val="_Recovered_SheetName_5067_"/>
      <sheetName val="_Recovered_SheetName_5068_"/>
      <sheetName val="_Recovered_SheetName_5069_"/>
      <sheetName val="_Recovered_SheetName_5070_"/>
      <sheetName val="_Recovered_SheetName_5071_"/>
      <sheetName val="_Recovered_SheetName_5072_"/>
      <sheetName val="_Recovered_SheetName_5073_"/>
      <sheetName val="_Recovered_SheetName_5074_"/>
      <sheetName val="_Recovered_SheetName_5075_"/>
      <sheetName val="_Recovered_SheetName_5076_"/>
      <sheetName val="_Recovered_SheetName_5077_"/>
      <sheetName val="_Recovered_SheetName_5078_"/>
      <sheetName val="_Recovered_SheetName_5079_"/>
      <sheetName val="_Recovered_SheetName_5080_"/>
      <sheetName val="_Recovered_SheetName_5081_"/>
      <sheetName val="_Recovered_SheetName_5082_"/>
      <sheetName val="_Recovered_SheetName_5083_"/>
      <sheetName val="_Recovered_SheetName_5084_"/>
      <sheetName val="_Recovered_SheetName_5085_"/>
      <sheetName val="_Recovered_SheetName_5086_"/>
      <sheetName val="_Recovered_SheetName_5087_"/>
      <sheetName val="_Recovered_SheetName_5088_"/>
      <sheetName val="_Recovered_SheetName_5089_"/>
      <sheetName val="_Recovered_SheetName_5090_"/>
      <sheetName val="_Recovered_SheetName_5091_"/>
      <sheetName val="_Recovered_SheetName_5092_"/>
      <sheetName val="_Recovered_SheetName_5093_"/>
      <sheetName val="_Recovered_SheetName_5094_"/>
      <sheetName val="_Recovered_SheetName_5095_"/>
      <sheetName val="_Recovered_SheetName_5096_"/>
      <sheetName val="_Recovered_SheetName_5097_"/>
      <sheetName val="_Recovered_SheetName_5098_"/>
      <sheetName val="_Recovered_SheetName_5099_"/>
      <sheetName val="_Recovered_SheetName_5100_"/>
      <sheetName val="_Recovered_SheetName_5101_"/>
      <sheetName val="_Recovered_SheetName_5102_"/>
      <sheetName val="_Recovered_SheetName_5103_"/>
      <sheetName val="_Recovered_SheetName_5104_"/>
      <sheetName val="_Recovered_SheetName_5105_"/>
      <sheetName val="_Recovered_SheetName_5106_"/>
      <sheetName val="_Recovered_SheetName_5107_"/>
      <sheetName val="_Recovered_SheetName_5108_"/>
      <sheetName val="_Recovered_SheetName_5109_"/>
      <sheetName val="_Recovered_SheetName_5110_"/>
      <sheetName val="_Recovered_SheetName_5111_"/>
      <sheetName val="_Recovered_SheetName_5112_"/>
      <sheetName val="_Recovered_SheetName_5113_"/>
      <sheetName val="_Recovered_SheetName_5114_"/>
      <sheetName val="_Recovered_SheetName_5115_"/>
      <sheetName val="_Recovered_SheetName_5116_"/>
      <sheetName val="_Recovered_SheetName_5117_"/>
      <sheetName val="_Recovered_SheetName_5118_"/>
      <sheetName val="_Recovered_SheetName_5119_"/>
      <sheetName val="_Recovered_SheetName_5120_"/>
      <sheetName val="_Recovered_SheetName_5121_"/>
      <sheetName val="_Recovered_SheetName_5122_"/>
      <sheetName val="_Recovered_SheetName_5123_"/>
      <sheetName val="_Recovered_SheetName_5124_"/>
      <sheetName val="_Recovered_SheetName_5125_"/>
      <sheetName val="_Recovered_SheetName_5126_"/>
      <sheetName val="_Recovered_SheetName_5127_"/>
      <sheetName val="_Recovered_SheetName_5128_"/>
      <sheetName val="_Recovered_SheetName_5129_"/>
      <sheetName val="_Recovered_SheetName_5130_"/>
      <sheetName val="_Recovered_SheetName_5131_"/>
      <sheetName val="_Recovered_SheetName_5132_"/>
      <sheetName val="_Recovered_SheetName_5133_"/>
      <sheetName val="_Recovered_SheetName_5134_"/>
      <sheetName val="_Recovered_SheetName_5135_"/>
      <sheetName val="_Recovered_SheetName_5136_"/>
      <sheetName val="_Recovered_SheetName_5137_"/>
      <sheetName val="_Recovered_SheetName_5138_"/>
      <sheetName val="_Recovered_SheetName_5139_"/>
      <sheetName val="_Recovered_SheetName_5140_"/>
      <sheetName val="_Recovered_SheetName_5141_"/>
      <sheetName val="_Recovered_SheetName_5142_"/>
      <sheetName val="_Recovered_SheetName_5143_"/>
      <sheetName val="_Recovered_SheetName_5144_"/>
      <sheetName val="_Recovered_SheetName_5145_"/>
      <sheetName val="_Recovered_SheetName_5146_"/>
      <sheetName val="_Recovered_SheetName_5147_"/>
      <sheetName val="_Recovered_SheetName_5148_"/>
      <sheetName val="_Recovered_SheetName_5149_"/>
      <sheetName val="_Recovered_SheetName_5150_"/>
      <sheetName val="_Recovered_SheetName_5151_"/>
      <sheetName val="_Recovered_SheetName_5152_"/>
      <sheetName val="_Recovered_SheetName_5153_"/>
      <sheetName val="_Recovered_SheetName_5154_"/>
      <sheetName val="_Recovered_SheetName_5155_"/>
      <sheetName val="_Recovered_SheetName_5156_"/>
      <sheetName val="_Recovered_SheetName_5157_"/>
      <sheetName val="_Recovered_SheetName_5158_"/>
      <sheetName val="_Recovered_SheetName_5159_"/>
      <sheetName val="_Recovered_SheetName_5160_"/>
      <sheetName val="_Recovered_SheetName_5161_"/>
      <sheetName val="_Recovered_SheetName_5162_"/>
      <sheetName val="_Recovered_SheetName_5163_"/>
      <sheetName val="_Recovered_SheetName_5164_"/>
      <sheetName val="_Recovered_SheetName_5165_"/>
      <sheetName val="_Recovered_SheetName_5166_"/>
      <sheetName val="_Recovered_SheetName_5167_"/>
      <sheetName val="_Recovered_SheetName_5168_"/>
      <sheetName val="_Recovered_SheetName_5169_"/>
      <sheetName val="_Recovered_SheetName_5170_"/>
      <sheetName val="_Recovered_SheetName_5171_"/>
      <sheetName val="_Recovered_SheetName_5172_"/>
      <sheetName val="_Recovered_SheetName_5173_"/>
      <sheetName val="_Recovered_SheetName_5174_"/>
      <sheetName val="_Recovered_SheetName_5175_"/>
      <sheetName val="_Recovered_SheetName_5176_"/>
      <sheetName val="_Recovered_SheetName_5177_"/>
      <sheetName val="_Recovered_SheetName_5178_"/>
      <sheetName val="_Recovered_SheetName_5179_"/>
      <sheetName val="_Recovered_SheetName_5180_"/>
      <sheetName val="_Recovered_SheetName_5181_"/>
      <sheetName val="_Recovered_SheetName_5182_"/>
      <sheetName val="_Recovered_SheetName_5183_"/>
      <sheetName val="_Recovered_SheetName_5184_"/>
      <sheetName val="_Recovered_SheetName_5185_"/>
      <sheetName val="_Recovered_SheetName_5186_"/>
      <sheetName val="_Recovered_SheetName_5187_"/>
      <sheetName val="_Recovered_SheetName_5188_"/>
      <sheetName val="_Recovered_SheetName_5189_"/>
      <sheetName val="_Recovered_SheetName_5190_"/>
      <sheetName val="_Recovered_SheetName_5191_"/>
      <sheetName val="_Recovered_SheetName_5192_"/>
      <sheetName val="_Recovered_SheetName_5193_"/>
      <sheetName val="_Recovered_SheetName_5194_"/>
      <sheetName val="_Recovered_SheetName_5195_"/>
      <sheetName val="_Recovered_SheetName_5196_"/>
      <sheetName val="_Recovered_SheetName_5197_"/>
      <sheetName val="_Recovered_SheetName_5198_"/>
      <sheetName val="_Recovered_SheetName_5199_"/>
      <sheetName val="_Recovered_SheetName_5200_"/>
      <sheetName val="_Recovered_SheetName_5201_"/>
      <sheetName val="_Recovered_SheetName_5202_"/>
      <sheetName val="_Recovered_SheetName_5203_"/>
      <sheetName val="_Recovered_SheetName_5204_"/>
      <sheetName val="_Recovered_SheetName_5205_"/>
      <sheetName val="_Recovered_SheetName_5206_"/>
      <sheetName val="_Recovered_SheetName_5207_"/>
      <sheetName val="_Recovered_SheetName_5208_"/>
      <sheetName val="_Recovered_SheetName_5209_"/>
      <sheetName val="_Recovered_SheetName_5210_"/>
      <sheetName val="_Recovered_SheetName_5211_"/>
      <sheetName val="_Recovered_SheetName_5212_"/>
      <sheetName val="_Recovered_SheetName_5213_"/>
      <sheetName val="_Recovered_SheetName_5214_"/>
      <sheetName val="_Recovered_SheetName_5215_"/>
      <sheetName val="_Recovered_SheetName_5216_"/>
      <sheetName val="_Recovered_SheetName_5217_"/>
      <sheetName val="_Recovered_SheetName_5218_"/>
      <sheetName val="_Recovered_SheetName_5219_"/>
      <sheetName val="_Recovered_SheetName_5220_"/>
      <sheetName val="_Recovered_SheetName_5221_"/>
      <sheetName val="_Recovered_SheetName_5222_"/>
      <sheetName val="_Recovered_SheetName_5223_"/>
      <sheetName val="_Recovered_SheetName_5224_"/>
      <sheetName val="_Recovered_SheetName_5225_"/>
      <sheetName val="_Recovered_SheetName_5226_"/>
      <sheetName val="_Recovered_SheetName_5227_"/>
      <sheetName val="_Recovered_SheetName_5228_"/>
      <sheetName val="_Recovered_SheetName_5229_"/>
      <sheetName val="_Recovered_SheetName_5230_"/>
      <sheetName val="_Recovered_SheetName_5231_"/>
      <sheetName val="_Recovered_SheetName_5232_"/>
      <sheetName val="_Recovered_SheetName_5233_"/>
      <sheetName val="_Recovered_SheetName_5234_"/>
      <sheetName val="_Recovered_SheetName_5235_"/>
      <sheetName val="_Recovered_SheetName_5236_"/>
      <sheetName val="_Recovered_SheetName_5237_"/>
      <sheetName val="_Recovered_SheetName_5238_"/>
      <sheetName val="_Recovered_SheetName_5239_"/>
      <sheetName val="_Recovered_SheetName_5240_"/>
      <sheetName val="_Recovered_SheetName_5241_"/>
      <sheetName val="_Recovered_SheetName_5242_"/>
      <sheetName val="_Recovered_SheetName_5243_"/>
      <sheetName val="_Recovered_SheetName_5244_"/>
      <sheetName val="_Recovered_SheetName_5245_"/>
      <sheetName val="_Recovered_SheetName_5246_"/>
      <sheetName val="_Recovered_SheetName_5247_"/>
      <sheetName val="_Recovered_SheetName_5248_"/>
      <sheetName val="_Recovered_SheetName_5249_"/>
      <sheetName val="_Recovered_SheetName_5250_"/>
      <sheetName val="_Recovered_SheetName_5251_"/>
      <sheetName val="_Recovered_SheetName_5252_"/>
      <sheetName val="_Recovered_SheetName_5253_"/>
      <sheetName val="_Recovered_SheetName_5254_"/>
      <sheetName val="_Recovered_SheetName_5255_"/>
      <sheetName val="_Recovered_SheetName_5256_"/>
      <sheetName val="_Recovered_SheetName_5257_"/>
      <sheetName val="_Recovered_SheetName_5258_"/>
      <sheetName val="_Recovered_SheetName_5259_"/>
      <sheetName val="_Recovered_SheetName_5260_"/>
      <sheetName val="_Recovered_SheetName_5261_"/>
      <sheetName val="_Recovered_SheetName_5262_"/>
      <sheetName val="_Recovered_SheetName_5263_"/>
      <sheetName val="_Recovered_SheetName_5264_"/>
      <sheetName val="_Recovered_SheetName_5265_"/>
      <sheetName val="_Recovered_SheetName_5266_"/>
      <sheetName val="_Recovered_SheetName_5267_"/>
      <sheetName val="_Recovered_SheetName_5268_"/>
      <sheetName val="_Recovered_SheetName_5269_"/>
      <sheetName val="_Recovered_SheetName_5270_"/>
      <sheetName val="_Recovered_SheetName_5271_"/>
      <sheetName val="_Recovered_SheetName_5272_"/>
      <sheetName val="_Recovered_SheetName_5273_"/>
      <sheetName val="_Recovered_SheetName_5274_"/>
      <sheetName val="_Recovered_SheetName_5275_"/>
      <sheetName val="_Recovered_SheetName_5276_"/>
      <sheetName val="_Recovered_SheetName_5277_"/>
      <sheetName val="_Recovered_SheetName_5278_"/>
      <sheetName val="_Recovered_SheetName_5279_"/>
      <sheetName val="_Recovered_SheetName_5280_"/>
      <sheetName val="_Recovered_SheetName_5281_"/>
      <sheetName val="_Recovered_SheetName_5282_"/>
      <sheetName val="_Recovered_SheetName_5283_"/>
      <sheetName val="_Recovered_SheetName_5284_"/>
      <sheetName val="_Recovered_SheetName_5285_"/>
      <sheetName val="_Recovered_SheetName_5286_"/>
      <sheetName val="_Recovered_SheetName_5287_"/>
      <sheetName val="_Recovered_SheetName_5288_"/>
      <sheetName val="_Recovered_SheetName_5289_"/>
      <sheetName val="_Recovered_SheetName_5290_"/>
      <sheetName val="_Recovered_SheetName_5291_"/>
      <sheetName val="_Recovered_SheetName_5292_"/>
      <sheetName val="_Recovered_SheetName_5293_"/>
      <sheetName val="_Recovered_SheetName_5294_"/>
      <sheetName val="_Recovered_SheetName_5295_"/>
      <sheetName val="_Recovered_SheetName_5296_"/>
      <sheetName val="_Recovered_SheetName_5297_"/>
      <sheetName val="_Recovered_SheetName_5298_"/>
      <sheetName val="_Recovered_SheetName_5299_"/>
      <sheetName val="_Recovered_SheetName_5300_"/>
      <sheetName val="_Recovered_SheetName_5301_"/>
      <sheetName val="_Recovered_SheetName_5302_"/>
      <sheetName val="_Recovered_SheetName_5303_"/>
      <sheetName val="_Recovered_SheetName_5304_"/>
      <sheetName val="_Recovered_SheetName_5305_"/>
      <sheetName val="_Recovered_SheetName_5306_"/>
      <sheetName val="_Recovered_SheetName_5307_"/>
      <sheetName val="_Recovered_SheetName_5308_"/>
      <sheetName val="_Recovered_SheetName_5309_"/>
      <sheetName val="_Recovered_SheetName_5310_"/>
      <sheetName val="_Recovered_SheetName_5311_"/>
      <sheetName val="_Recovered_SheetName_5312_"/>
      <sheetName val="_Recovered_SheetName_5313_"/>
      <sheetName val="_Recovered_SheetName_5314_"/>
      <sheetName val="_Recovered_SheetName_5315_"/>
      <sheetName val="_Recovered_SheetName_5316_"/>
      <sheetName val="_Recovered_SheetName_5317_"/>
      <sheetName val="_Recovered_SheetName_5318_"/>
      <sheetName val="_Recovered_SheetName_5319_"/>
      <sheetName val="_Recovered_SheetName_5320_"/>
      <sheetName val="_Recovered_SheetName_5321_"/>
      <sheetName val="_Recovered_SheetName_5322_"/>
      <sheetName val="_Recovered_SheetName_5323_"/>
      <sheetName val="_Recovered_SheetName_5324_"/>
      <sheetName val="_Recovered_SheetName_5325_"/>
      <sheetName val="_Recovered_SheetName_5326_"/>
      <sheetName val="_Recovered_SheetName_5327_"/>
      <sheetName val="_Recovered_SheetName_5328_"/>
      <sheetName val="_Recovered_SheetName_5329_"/>
      <sheetName val="_Recovered_SheetName_5330_"/>
      <sheetName val="_Recovered_SheetName_5331_"/>
      <sheetName val="_Recovered_SheetName_5332_"/>
      <sheetName val="_Recovered_SheetName_5333_"/>
      <sheetName val="_Recovered_SheetName_5334_"/>
      <sheetName val="_Recovered_SheetName_5335_"/>
      <sheetName val="_Recovered_SheetName_5336_"/>
      <sheetName val="_Recovered_SheetName_5337_"/>
      <sheetName val="_Recovered_SheetName_5338_"/>
      <sheetName val="_Recovered_SheetName_5339_"/>
      <sheetName val="_Recovered_SheetName_5340_"/>
      <sheetName val="_Recovered_SheetName_5341_"/>
      <sheetName val="_Recovered_SheetName_5342_"/>
      <sheetName val="INPUTS"/>
      <sheetName val="Door"/>
      <sheetName val="Income Statement"/>
      <sheetName val="RateAnalysis"/>
      <sheetName val="Boq (Main Building)"/>
      <sheetName val="Day work"/>
      <sheetName val="CLAY"/>
      <sheetName val="COP"/>
      <sheetName val="INDIGINEOUS ITEMS "/>
      <sheetName val="intr stool brkup"/>
      <sheetName val="_Spt-BH_xls__Spt-BH_xls_B@_@"/>
      <sheetName val="_Spt-BH_xls__Spt-BH_xls_B@__@_"/>
      <sheetName val="[Spt-BH.xls][Spt-BH.xls]_Sp_574"/>
      <sheetName val="[Spt-BH.xls][Spt-BH.xls]_Sp_573"/>
      <sheetName val="[Spt-BH.xls][Spt-BH.xls]B__1685"/>
      <sheetName val="[Spt-BH.xls][Spt-BH.xls]B__1686"/>
      <sheetName val="[Spt-BH.xls][Spt-BH.xls]B__1687"/>
      <sheetName val="[Spt-BH.xls][Spt-BH.xls]_Sp_590"/>
      <sheetName val="[Spt-BH.xls][Spt-BH.xls]B__1688"/>
      <sheetName val="[Spt-BH.xls][Spt-BH.xls]B__1689"/>
      <sheetName val="[Spt-BH.xls]B____x005f_x0004______145"/>
      <sheetName val="[Spt-BH.xls]B___x005f_x0000__x000_145"/>
      <sheetName val="[Spt-BH.xls][Spt-BH.xls]B__1690"/>
      <sheetName val="[Spt-BH.xls][Spt-BH.xls]B__1679"/>
      <sheetName val="[Spt-BH.xls][Spt-BH.xls]B__1680"/>
      <sheetName val="[Spt-BH.xls][Spt-BH.xls]B__1681"/>
      <sheetName val="[Spt-BH.xls][Spt-BH.xls]_Sp_588"/>
      <sheetName val="[Spt-BH.xls][Spt-BH.xls]B__1682"/>
      <sheetName val="[Spt-BH.xls][Spt-BH.xls]B__1683"/>
      <sheetName val="[Spt-BH.xls][Spt-BH.xls]_Sp_586"/>
      <sheetName val="[Spt-BH.xls][Spt-BH.xls]B__1684"/>
      <sheetName val="[Spt-BH.xls][Spt-BH.xls]_Sp_589"/>
      <sheetName val="[Spt-BH.xls][Spt-BH_xls]B___286"/>
      <sheetName val="[Spt-BH.xls][Spt-BH_xls]B___287"/>
      <sheetName val="[Spt-BH.xls][Spt-BH.xls]_Sp_587"/>
      <sheetName val="[Spt-BH.xls][Spt-BH.xls]_Sp_576"/>
      <sheetName val="[Spt-BH.xls][Spt-BH.xls]_Sp_575"/>
      <sheetName val="[Spt-BH.xls][Spt-BH.xls]B__1655"/>
      <sheetName val="[Spt-BH.xls][Spt-BH.xls]B__1656"/>
      <sheetName val="[Spt-BH.xls][Spt-BH.xls]B__1657"/>
      <sheetName val="[Spt-BH.xls][Spt-BH.xls]_Sp_579"/>
      <sheetName val="[Spt-BH.xls][Spt-BH.xls]B__1658"/>
      <sheetName val="[Spt-BH.xls][Spt-BH.xls]B__1659"/>
      <sheetName val="[Spt-BH.xls][Spt-BH.xls]B__1660"/>
      <sheetName val="[Spt-BH.xls][Spt-BH.xls]_Sp_577"/>
      <sheetName val="[Spt-BH.xls][Spt-BH.xls]_Sp_578"/>
      <sheetName val="[Spt-BH.xls]B____x005f_x0004______141"/>
      <sheetName val="[Spt-BH.xls]B___x005f_x0000__x000_141"/>
      <sheetName val="[Spt-BH.xls][Spt-BH.xls]B__1667"/>
      <sheetName val="[Spt-BH.xls][Spt-BH.xls]B__1668"/>
      <sheetName val="[Spt-BH.xls][Spt-BH.xls]B__1669"/>
      <sheetName val="[Spt-BH.xls][Spt-BH.xls]B__1670"/>
      <sheetName val="[Spt-BH.xls][Spt-BH.xls]B__1671"/>
      <sheetName val="[Spt-BH.xls][Spt-BH.xls]_Sp_582"/>
      <sheetName val="[Spt-BH.xls][Spt-BH.xls]B__1672"/>
      <sheetName val="[Spt-BH.xls][Spt-BH.xls]_Sp_583"/>
      <sheetName val="[Spt-BH.xls]B____x005f_x0004______143"/>
      <sheetName val="[Spt-BH.xls]B___x005f_x0000__x000_143"/>
      <sheetName val="[Spt-BH.xls][Spt-BH_xls]B___282"/>
      <sheetName val="[Spt-BH.xls][Spt-BH_xls]B___283"/>
      <sheetName val="[Spt-BH.xls]B____x005f_x0004______142"/>
      <sheetName val="[Spt-BH.xls]B___x005f_x0000__x000_142"/>
      <sheetName val="[Spt-BH.xls][Spt-BH.xls]B__1661"/>
      <sheetName val="[Spt-BH.xls][Spt-BH.xls]B__1662"/>
      <sheetName val="[Spt-BH.xls][Spt-BH.xls]B__1663"/>
      <sheetName val="[Spt-BH.xls][Spt-BH.xls]B__1664"/>
      <sheetName val="[Spt-BH.xls][Spt-BH.xls]B__1665"/>
      <sheetName val="[Spt-BH.xls][Spt-BH.xls]_Sp_580"/>
      <sheetName val="[Spt-BH.xls][Spt-BH.xls]B__1666"/>
      <sheetName val="[Spt-BH.xls][Spt-BH_xls]B___280"/>
      <sheetName val="[Spt-BH.xls][Spt-BH_xls]B___281"/>
      <sheetName val="[Spt-BH.xls][Spt-BH.xls]_Sp_581"/>
      <sheetName val="[Spt-BH.xls]B____x005f_x0004______144"/>
      <sheetName val="[Spt-BH.xls]B___x005f_x0000__x000_144"/>
      <sheetName val="[Spt-BH.xls][Spt-BH.xls]B__1673"/>
      <sheetName val="[Spt-BH.xls][Spt-BH.xls]B__1674"/>
      <sheetName val="[Spt-BH.xls][Spt-BH.xls]B__1675"/>
      <sheetName val="[Spt-BH.xls][Spt-BH.xls]B__1676"/>
      <sheetName val="[Spt-BH.xls][Spt-BH.xls]B__1677"/>
      <sheetName val="[Spt-BH.xls][Spt-BH.xls]_Sp_584"/>
      <sheetName val="[Spt-BH.xls][Spt-BH.xls]B__1678"/>
      <sheetName val="[Spt-BH.xls][Spt-BH_xls]B___284"/>
      <sheetName val="[Spt-BH.xls][Spt-BH_xls]B___285"/>
      <sheetName val="[Spt-BH.xls][Spt-BH.xls]_Sp_585"/>
      <sheetName val="[Spt-BH.xls][Spt-BH.xls]B__1693"/>
      <sheetName val="[Spt-BH.xls][Spt-BH.xls]B__1694"/>
      <sheetName val="[Spt-BH.xls][Spt-BH.xls]B__1695"/>
      <sheetName val="[Spt-BH.xls][Spt-BH.xls]_Sp_592"/>
      <sheetName val="[Spt-BH.xls][Spt-BH.xls]B__1696"/>
      <sheetName val="[Spt-BH.xls][Spt-BH.xls]B__1697"/>
      <sheetName val="[Spt-BH.xls][Spt-BH.xls]B__1698"/>
      <sheetName val="[Spt-BH.xls][Spt-BH.xls]_Sp_591"/>
      <sheetName val="[Spt-BH.xls][Spt-BH.xls]B__1691"/>
      <sheetName val="[Spt-BH.xls][Spt-BH.xls]B__1692"/>
      <sheetName val="[Spt-BH.xls][Spt-BH.xls]B__1699"/>
      <sheetName val="[Spt-BH.xls][Spt-BH.xls]B__1700"/>
      <sheetName val="[Spt-BH.xls][Spt-BH.xls]B__1701"/>
      <sheetName val="[Spt-BH.xls][Spt-BH.xls]B__1702"/>
      <sheetName val="[Spt-BH.xls][Spt-BH.xls]B__1703"/>
      <sheetName val="[Spt-BH.xls][Spt-BH.xls]B__1704"/>
      <sheetName val="[Spt-BH.xls][Spt-BH.xls]_Sp_593"/>
      <sheetName val="[Spt-BH.xls]B____x005f_x0004______146"/>
      <sheetName val="[Spt-BH.xls]B___x005f_x0000__x000_146"/>
      <sheetName val="[Spt-BH.xls][Spt-BH_xls]B___288"/>
      <sheetName val="[Spt-BH.xls][Spt-BH_xls]B___289"/>
      <sheetName val="[Spt-BH.xls][Spt-BH.xls]B__1705"/>
      <sheetName val="[Spt-BH.xls][Spt-BH.xls]_Sp_594"/>
      <sheetName val="[Spt-BH.xls][Spt-BH.xls]B__1706"/>
      <sheetName val="[Spt-BH.xls][Spt-BH.xls]B__1707"/>
      <sheetName val="[Spt-BH.xls][Spt-BH.xls]B__1708"/>
      <sheetName val="[Spt-BH.xls][Spt-BH.xls]_Sp_602"/>
      <sheetName val="[Spt-BH.xls][Spt-BH.xls]B__1709"/>
      <sheetName val="[Spt-BH.xls][Spt-BH.xls]B__1710"/>
      <sheetName val="[Spt-BH.xls][Spt-BH.xls]B__1711"/>
      <sheetName val="[Spt-BH.xls][Spt-BH.xls]_Sp_595"/>
      <sheetName val="[Spt-BH.xls][Spt-BH.xls]_Sp_597"/>
      <sheetName val="[Spt-BH.xls][Spt-BH.xls]B__1712"/>
      <sheetName val="[Spt-BH.xls][Spt-BH.xls]B__1713"/>
      <sheetName val="[Spt-BH.xls][Spt-BH.xls]B__1714"/>
      <sheetName val="[Spt-BH.xls][Spt-BH.xls]_Sp_599"/>
      <sheetName val="[Spt-BH.xls][Spt-BH.xls]B__1715"/>
      <sheetName val="[Spt-BH.xls][Spt-BH.xls]B__1716"/>
      <sheetName val="[Spt-BH.xls][Spt-BH.xls]B__1717"/>
      <sheetName val="[Spt-BH.xls][Spt-BH.xls]_Sp_598"/>
      <sheetName val="[Spt-BH.xls][Spt-BH.xls]_Sp_596"/>
      <sheetName val="[Spt-BH.xls][Spt-BH.xls]B__1718"/>
      <sheetName val="[Spt-BH.xls][Spt-BH.xls]B__1719"/>
      <sheetName val="[Spt-BH.xls][Spt-BH.xls]B__1720"/>
      <sheetName val="[Spt-BH.xls][Spt-BH.xls]B__1721"/>
      <sheetName val="[Spt-BH.xls][Spt-BH.xls]B__1722"/>
      <sheetName val="[Spt-BH.xls][Spt-BH.xls]B__1723"/>
      <sheetName val="[Spt-BH.xls][Spt-BH.xls]_Sp_600"/>
      <sheetName val="[Spt-BH.xls][Spt-BH.xls]_Sp_601"/>
      <sheetName val="[Spt-BH.xls][Spt-BH.xls]B__1724"/>
      <sheetName val="[Spt-BH.xls][Spt-BH.xls]B__1725"/>
      <sheetName val="[Spt-BH.xls][Spt-BH.xls]B__1726"/>
      <sheetName val="[Spt-BH.xls][Spt-BH.xls]B__1727"/>
      <sheetName val="[Spt-BH.xls][Spt-BH.xls]B__1728"/>
      <sheetName val="[Spt-BH.xls][Spt-BH.xls]B__1729"/>
      <sheetName val="[Spt-BH.xls][Spt-BH.xls]_Sp_603"/>
      <sheetName val="[Spt-BH.xls][Spt-BH.xls]_Sp_604"/>
      <sheetName val="[Spt-BH.xls]B____x005f_x0004______147"/>
      <sheetName val="[Spt-BH.xls]B___x005f_x0000__x000_147"/>
      <sheetName val="[Spt-BH.xls][Spt-BH_xls]B___290"/>
      <sheetName val="[Spt-BH.xls][Spt-BH_xls]B___291"/>
      <sheetName val="[Spt-BH.xls][Spt-BH.xls]B__1730"/>
      <sheetName val="[Spt-BH.xls][Spt-BH.xls]_Sp_610"/>
      <sheetName val="[Spt-BH.xls][Spt-BH.xls]B__1744"/>
      <sheetName val="[Spt-BH.xls][Spt-BH.xls]B__1745"/>
      <sheetName val="[Spt-BH.xls][Spt-BH.xls]B__1746"/>
      <sheetName val="[Spt-BH.xls][Spt-BH.xls]_Sp_612"/>
      <sheetName val="[Spt-BH.xls][Spt-BH.xls]B__1747"/>
      <sheetName val="[Spt-BH.xls][Spt-BH.xls]B__1748"/>
      <sheetName val="[Spt-BH.xls][Spt-BH.xls]B__1749"/>
      <sheetName val="[Spt-BH.xls][Spt-BH.xls]_Sp_611"/>
      <sheetName val="Lowside"/>
      <sheetName val="FITZ MORT 94"/>
      <sheetName val="Fin_Sum4"/>
      <sheetName val="Fin_Sum5"/>
      <sheetName val="Material_5"/>
      <sheetName val="Labour_&amp;_Plant5"/>
      <sheetName val="TRF_details5"/>
      <sheetName val="Materials_Cost5"/>
      <sheetName val="Abstract_for_Variation6"/>
      <sheetName val="LBD_VARIATION6"/>
      <sheetName val="Fin_Sum6"/>
      <sheetName val="Cost_of_O_&amp;_O6"/>
      <sheetName val="Material_List_6"/>
      <sheetName val="Material_6"/>
      <sheetName val="Labour_&amp;_Plant6"/>
      <sheetName val="pr_cal6"/>
      <sheetName val="TRF_details6"/>
      <sheetName val="Materials_Cost6"/>
      <sheetName val="Inputs_&amp;_Summary_Output7"/>
      <sheetName val="Broad_Refresher_Model7"/>
      <sheetName val="Abstract_for_Variation7"/>
      <sheetName val="LBD_VARIATION7"/>
      <sheetName val="Fin_Sum7"/>
      <sheetName val="Cost_of_O_&amp;_O7"/>
      <sheetName val="Material_List_7"/>
      <sheetName val="Material_7"/>
      <sheetName val="Labour_&amp;_Plant7"/>
      <sheetName val="pr_cal7"/>
      <sheetName val="TRF_details7"/>
      <sheetName val="Materials_Cost7"/>
      <sheetName val="Inputs_&amp;_Summary_Output8"/>
      <sheetName val="Broad_Refresher_Model8"/>
      <sheetName val="Abstract_for_Variation8"/>
      <sheetName val="LBD_VARIATION8"/>
      <sheetName val="Fin_Sum8"/>
      <sheetName val="Cost_of_O_&amp;_O8"/>
      <sheetName val="Material_List_8"/>
      <sheetName val="Material_8"/>
      <sheetName val="Labour_&amp;_Plant8"/>
      <sheetName val="pr_cal8"/>
      <sheetName val="TRF_details8"/>
      <sheetName val="Materials_Cost8"/>
      <sheetName val="Inputs_&amp;_Summary_Output9"/>
      <sheetName val="Broad_Refresher_Model9"/>
      <sheetName val="Abstract_for_Variation9"/>
      <sheetName val="LBD_VARIATION9"/>
      <sheetName val="Fin_Sum9"/>
      <sheetName val="Cost_of_O_&amp;_O9"/>
      <sheetName val="Material_List_9"/>
      <sheetName val="Material_9"/>
      <sheetName val="Labour_&amp;_Plant9"/>
      <sheetName val="pr_cal9"/>
      <sheetName val="TRF_details9"/>
      <sheetName val="Materials_Cost9"/>
      <sheetName val="Inputs_&amp;_Summary_Output10"/>
      <sheetName val="Broad_Refresher_Model10"/>
      <sheetName val="Abstract_for_Variation10"/>
      <sheetName val="LBD_VARIATION10"/>
      <sheetName val="Fin_Sum10"/>
      <sheetName val="Cost_of_O_&amp;_O10"/>
      <sheetName val="Material_List_10"/>
      <sheetName val="Material_10"/>
      <sheetName val="Labour_&amp;_Plant10"/>
      <sheetName val="pr_cal10"/>
      <sheetName val="TRF_details10"/>
      <sheetName val="Materials_Cost10"/>
      <sheetName val="Cash2"/>
      <sheetName val="Z"/>
      <sheetName val="acs(1)"/>
      <sheetName val="fas-c(4)"/>
      <sheetName val="cctv(old)"/>
      <sheetName val="[Spt-BH.xls][Spt-BH.xls]_Sp_613"/>
      <sheetName val="[Spt-BH.xls][Spt-BH.xls]_Sp_614"/>
      <sheetName val="[Spt-BH.xls][Spt-BH.xls]B__1750"/>
      <sheetName val="[Spt-BH.xls][Spt-BH.xls]B__1751"/>
      <sheetName val="[Spt-BH.xls][Spt-BH.xls]B__1752"/>
      <sheetName val="[Spt-BH.xls][Spt-BH.xls]_Sp_616"/>
      <sheetName val="[Spt-BH.xls][Spt-BH.xls]B__1753"/>
      <sheetName val="[Spt-BH.xls][Spt-BH.xls]B__1754"/>
      <sheetName val="[Spt-BH.xls][Spt-BH.xls]B__1755"/>
      <sheetName val="[Spt-BH.xls][Spt-BH.xls]_Sp_615"/>
      <sheetName val="Calculation Sheet"/>
      <sheetName val="CASH-FLOW"/>
      <sheetName val="SàQa_x0005_@_x0000_"/>
      <sheetName val="Direct co_x0006__x0000__x0017__x0000__x000a__x0000__x000e__x0000__x000d__x0000__x0009__x0000_"/>
      <sheetName val="_x0000__x0009__x0000__x0008__x0000__x0011__x0000__x0009_"/>
      <sheetName val="Direct co_x0006__x0000__x0017__x0000__x000a__x0000__x000e__x0000__x000d__x0000_ _x0000_"/>
      <sheetName val="_x0000_ _x0000__x0008__x0000__x0011__x0000_ "/>
      <sheetName val="B@__x005f_x005f_x005F"/>
      <sheetName val="cctv_est1"/>
      <sheetName val="TORRENT CEMENT"/>
      <sheetName val="A"/>
      <sheetName val="TBEAM"/>
      <sheetName val="B@_?_x0004_@?__$_x0"/>
      <sheetName val="[Spt-BH.xls][Spt-BH.xls]B__1806"/>
      <sheetName val="[Spt-BH.xls][Spt-BH.xls]B__1807"/>
      <sheetName val="[Spt-BH.xls][Spt-BH.xls]B__1808"/>
      <sheetName val="[Spt-BH.xls][Spt-BH.xls]_Sp_641"/>
      <sheetName val="[Spt-BH.xls][Spt-BH.xls]B__1809"/>
      <sheetName val="[Spt-BH.xls][Spt-BH.xls]B__1810"/>
      <sheetName val="[Spt-BH.xls]B____x005f_x0004______152"/>
      <sheetName val="[Spt-BH.xls]B___x005f_x0000__x000_152"/>
      <sheetName val="[Spt-BH.xls][Spt-BH.xls]B__1811"/>
      <sheetName val="[Spt-BH.xls][Spt-BH.xls]B__1800"/>
      <sheetName val="[Spt-BH.xls][Spt-BH.xls]B__1801"/>
      <sheetName val="[Spt-BH.xls][Spt-BH.xls]_Sp_637"/>
      <sheetName val="[Spt-BH.xls][Spt-BH.xls]B__1802"/>
      <sheetName val="[Spt-BH.xls][Spt-BH.xls]B__1803"/>
      <sheetName val="[Spt-BH.xls][Spt-BH.xls]B__1804"/>
      <sheetName val="[Spt-BH.xls][Spt-BH.xls]_Sp_638"/>
      <sheetName val="[Spt-BH.xls][Spt-BH_xls]B___300"/>
      <sheetName val="[Spt-BH.xls][Spt-BH_xls]B___301"/>
      <sheetName val="[Spt-BH.xls][Spt-BH.xls]B__1805"/>
      <sheetName val="[Spt-BH.xls][Spt-BH.xls]_Sp_635"/>
      <sheetName val="[Spt-BH.xls][Spt-BH.xls]_Sp_636"/>
      <sheetName val="[Spt-BH.xls][Spt-BH.xls]_Sp_617"/>
      <sheetName val="[Spt-BH.xls][Spt-BH.xls]B__1756"/>
      <sheetName val="[Spt-BH.xls][Spt-BH.xls]B__1757"/>
      <sheetName val="[Spt-BH.xls][Spt-BH.xls]B__1758"/>
      <sheetName val="[Spt-BH.xls][Spt-BH.xls]_Sp_619"/>
      <sheetName val="[Spt-BH.xls][Spt-BH.xls]B__1759"/>
      <sheetName val="[Spt-BH.xls][Spt-BH.xls]B__1760"/>
      <sheetName val="[Spt-BH.xls][Spt-BH.xls]B__1761"/>
      <sheetName val="[Spt-BH.xls][Spt-BH.xls]_Sp_618"/>
      <sheetName val="[Spt-BH.xls][Spt-BH.xls]B__1763"/>
      <sheetName val="[Spt-BH.xls][Spt-BH.xls]B__1764"/>
      <sheetName val="[Spt-BH.xls][Spt-BH.xls]B__1765"/>
      <sheetName val="[Spt-BH.xls][Spt-BH.xls]_Sp_621"/>
      <sheetName val="[Spt-BH.xls][Spt-BH.xls]B__1766"/>
      <sheetName val="[Spt-BH.xls][Spt-BH.xls]B__1767"/>
      <sheetName val="[Spt-BH.xls]B____x005f_x0004______149"/>
      <sheetName val="[Spt-BH.xls]B___x005f_x0000__x000_149"/>
      <sheetName val="[Spt-BH.xls][Spt-BH.xls]B__1768"/>
      <sheetName val="[Spt-BH.xls][Spt-BH.xls]_Sp_620"/>
      <sheetName val="[Spt-BH.xls][Spt-BH_xls]B___294"/>
      <sheetName val="[Spt-BH.xls][Spt-BH_xls]B___295"/>
      <sheetName val="[Spt-BH.xls][Spt-BH.xls]B__1762"/>
      <sheetName val="[Spt-BH.xls][Spt-BH.xls]_Sp_629"/>
      <sheetName val="[Spt-BH.xls][Spt-BH.xls]B__1775"/>
      <sheetName val="[Spt-BH.xls][Spt-BH.xls]B__1776"/>
      <sheetName val="[Spt-BH.xls][Spt-BH.xls]B__1777"/>
      <sheetName val="[Spt-BH.xls][Spt-BH.xls]B__1778"/>
      <sheetName val="[Spt-BH.xls][Spt-BH.xls]B__1779"/>
      <sheetName val="[Spt-BH.xls][Spt-BH.xls]B__1769"/>
      <sheetName val="[Spt-BH.xls][Spt-BH.xls]B__1770"/>
      <sheetName val="[Spt-BH.xls][Spt-BH.xls]_Sp_623"/>
      <sheetName val="[Spt-BH.xls][Spt-BH.xls]B__1771"/>
      <sheetName val="[Spt-BH.xls][Spt-BH.xls]B__1772"/>
      <sheetName val="[Spt-BH.xls][Spt-BH.xls]B__1773"/>
      <sheetName val="[Spt-BH.xls][Spt-BH.xls]B__1774"/>
      <sheetName val="[Spt-BH.xls][Spt-BH.xls]_Sp_622"/>
      <sheetName val="[Spt-BH.xls][Spt-BH.xls]_Sp_625"/>
      <sheetName val="[Spt-BH.xls][Spt-BH.xls]B__1780"/>
      <sheetName val="[Spt-BH.xls][Spt-BH.xls]_Sp_624"/>
      <sheetName val="[Spt-BH.xls][Spt-BH.xls]B__1788"/>
      <sheetName val="[Spt-BH.xls][Spt-BH.xls]B__1789"/>
      <sheetName val="[Spt-BH.xls][Spt-BH.xls]B__1790"/>
      <sheetName val="[Spt-BH.xls][Spt-BH.xls]B__1791"/>
      <sheetName val="[Spt-BH.xls][Spt-BH.xls]B__1792"/>
      <sheetName val="[Spt-BH.xls]B____x005f_x0004______150"/>
      <sheetName val="[Spt-BH.xls]B___x005f_x0000__x000_150"/>
      <sheetName val="[Spt-BH.xls][Spt-BH.xls]B__1793"/>
      <sheetName val="[Spt-BH.xls][Spt-BH.xls]B__1781"/>
      <sheetName val="[Spt-BH.xls][Spt-BH.xls]B__1782"/>
      <sheetName val="[Spt-BH.xls][Spt-BH.xls]_Sp_627"/>
      <sheetName val="[Spt-BH.xls][Spt-BH.xls]B__1783"/>
      <sheetName val="[Spt-BH.xls][Spt-BH.xls]B__1784"/>
      <sheetName val="[Spt-BH.xls][Spt-BH.xls]B__1785"/>
      <sheetName val="[Spt-BH.xls][Spt-BH.xls]_Sp_628"/>
      <sheetName val="[Spt-BH.xls][Spt-BH_xls]B___296"/>
      <sheetName val="[Spt-BH.xls][Spt-BH_xls]B___297"/>
      <sheetName val="[Spt-BH.xls][Spt-BH.xls]B__1786"/>
      <sheetName val="[Spt-BH.xls][Spt-BH.xls]_Sp_626"/>
      <sheetName val="[Spt-BH.xls][Spt-BH.xls]B__1787"/>
      <sheetName val="[Spt-BH.xls][Spt-BH.xls]_Sp_630"/>
      <sheetName val="[Spt-BH.xls][Spt-BH.xls]_Sp_631"/>
      <sheetName val="[Spt-BH.xls][Spt-BH.xls]_Sp_632"/>
      <sheetName val="[Spt-BH.xls]B____x005f_x0004______151"/>
      <sheetName val="[Spt-BH.xls]B___x005f_x0000__x000_151"/>
      <sheetName val="[Spt-BH.xls][Spt-BH.xls]B__1794"/>
      <sheetName val="[Spt-BH.xls][Spt-BH.xls]B__1795"/>
      <sheetName val="[Spt-BH.xls][Spt-BH.xls]B__1796"/>
      <sheetName val="[Spt-BH.xls][Spt-BH.xls]B__1797"/>
      <sheetName val="[Spt-BH.xls][Spt-BH.xls]B__1798"/>
      <sheetName val="[Spt-BH.xls][Spt-BH_xls]B___298"/>
      <sheetName val="[Spt-BH.xls][Spt-BH_xls]B___299"/>
      <sheetName val="[Spt-BH.xls][Spt-BH.xls]B__1799"/>
      <sheetName val="[Spt-BH.xls][Spt-BH.xls]_Sp_633"/>
      <sheetName val="[Spt-BH.xls][Spt-BH.xls]_Sp_634"/>
      <sheetName val="[Spt-BH.xls][Spt-BH.xls]B__1818"/>
      <sheetName val="[Spt-BH.xls][Spt-BH.xls]B__1819"/>
      <sheetName val="[Spt-BH.xls][Spt-BH.xls]B__1820"/>
      <sheetName val="[Spt-BH.xls][Spt-BH.xls]_Sp_643"/>
      <sheetName val="[Spt-BH.xls][Spt-BH.xls]B__1821"/>
      <sheetName val="[Spt-BH.xls][Spt-BH.xls]B__1822"/>
      <sheetName val="[Spt-BH.xls][Spt-BH.xls]B__1823"/>
      <sheetName val="[Spt-BH.xls][Spt-BH.xls]_Sp_642"/>
      <sheetName val="[Spt-BH.xls][Spt-BH.xls]_Sp_639"/>
      <sheetName val="[Spt-BH.xls][Spt-BH.xls]B__1812"/>
      <sheetName val="[Spt-BH.xls][Spt-BH.xls]B__1813"/>
      <sheetName val="[Spt-BH.xls][Spt-BH.xls]B__1814"/>
      <sheetName val="[Spt-BH.xls][Spt-BH.xls]B__1815"/>
      <sheetName val="[Spt-BH.xls][Spt-BH.xls]B__1816"/>
      <sheetName val="[Spt-BH.xls][Spt-BH.xls]B__1817"/>
      <sheetName val="[Spt-BH.xls][Spt-BH.xls]_Sp_640"/>
      <sheetName val="[Spt-BH.xls][Spt-BH.xls]_Sp_644"/>
      <sheetName val="[Spt-BH.xls][Spt-BH.xls]B__1824"/>
      <sheetName val="[Spt-BH.xls][Spt-BH.xls]B__1825"/>
      <sheetName val="[Spt-BH.xls][Spt-BH.xls]B__1826"/>
      <sheetName val="[Spt-BH.xls][Spt-BH.xls]_Sp_646"/>
      <sheetName val="[Spt-BH.xls][Spt-BH.xls]B__1827"/>
      <sheetName val="[Spt-BH.xls][Spt-BH.xls]B__1828"/>
      <sheetName val="[Spt-BH.xls][Spt-BH.xls]B__1829"/>
      <sheetName val="[Spt-BH.xls][Spt-BH.xls]_Sp_645"/>
      <sheetName val="[Spt-BH.xls][Spt-BH.xls]B__1830"/>
      <sheetName val="[Spt-BH.xls][Spt-BH.xls]B__1831"/>
      <sheetName val="[Spt-BH.xls][Spt-BH.xls]B__1832"/>
      <sheetName val="[Spt-BH.xls][Spt-BH.xls]_Sp_649"/>
      <sheetName val="[Spt-BH.xls][Spt-BH.xls]B__1833"/>
      <sheetName val="[Spt-BH.xls][Spt-BH.xls]B__1834"/>
      <sheetName val="[Spt-BH.xls][Spt-BH.xls]B__1835"/>
      <sheetName val="[Spt-BH.xls][Spt-BH.xls]_Sp_647"/>
      <sheetName val="[Spt-BH.xls][Spt-BH.xls]_Sp_648"/>
      <sheetName val="[Spt-BH.xls][Spt-BH.xls]B__1837"/>
      <sheetName val="[Spt-BH.xls][Spt-BH.xls]B__1838"/>
      <sheetName val="[Spt-BH.xls][Spt-BH.xls]B__1839"/>
      <sheetName val="[Spt-BH.xls][Spt-BH.xls]_Sp_651"/>
      <sheetName val="[Spt-BH.xls][Spt-BH.xls]B__1840"/>
      <sheetName val="[Spt-BH.xls][Spt-BH.xls]B__1841"/>
      <sheetName val="[Spt-BH.xls]B____x005f_x0004______153"/>
      <sheetName val="[Spt-BH.xls]B___x005f_x0000__x000_153"/>
      <sheetName val="[Spt-BH.xls][Spt-BH.xls]B__1842"/>
      <sheetName val="[Spt-BH.xls][Spt-BH.xls]_Sp_650"/>
      <sheetName val="[Spt-BH.xls][Spt-BH_xls]B___302"/>
      <sheetName val="[Spt-BH.xls][Spt-BH_xls]B___303"/>
      <sheetName val="[Spt-BH.xls][Spt-BH.xls]B__1836"/>
      <sheetName val="[Spt-BH.xls][Spt-BH.xls]B__1844"/>
      <sheetName val="[Spt-BH.xls][Spt-BH.xls]B__1845"/>
      <sheetName val="[Spt-BH.xls][Spt-BH.xls]B__1846"/>
      <sheetName val="[Spt-BH.xls][Spt-BH.xls]_Sp_653"/>
      <sheetName val="[Spt-BH.xls][Spt-BH.xls]B__1847"/>
      <sheetName val="[Spt-BH.xls][Spt-BH.xls]B__1848"/>
      <sheetName val="[Spt-BH.xls]B____x005f_x0004______154"/>
      <sheetName val="[Spt-BH.xls]B___x005f_x0000__x000_154"/>
      <sheetName val="[Spt-BH.xls][Spt-BH.xls]B__1849"/>
      <sheetName val="[Spt-BH.xls][Spt-BH.xls]_Sp_652"/>
      <sheetName val="[Spt-BH.xls][Spt-BH_xls]B___304"/>
      <sheetName val="[Spt-BH.xls][Spt-BH_xls]B___305"/>
      <sheetName val="[Spt-BH.xls][Spt-BH.xls]B__1843"/>
      <sheetName val="[Spt-BH.xls][Spt-BH.xls]_Sp_689"/>
      <sheetName val="[Spt-BH.xls][Spt-BH.xls]B__1944"/>
      <sheetName val="[Spt-BH.xls][Spt-BH.xls]B__1945"/>
      <sheetName val="[Spt-BH.xls][Spt-BH.xls]B__1946"/>
      <sheetName val="[Spt-BH.xls][Spt-BH.xls]_Sp_692"/>
      <sheetName val="[Spt-BH.xls][Spt-BH.xls]B__1947"/>
      <sheetName val="[Spt-BH.xls][Spt-BH.xls]B__1948"/>
      <sheetName val="[Spt-BH.xls][Spt-BH.xls]B__1949"/>
      <sheetName val="[Spt-BH.xls][Spt-BH.xls]_Sp_690"/>
      <sheetName val="OVER HEADS"/>
      <sheetName val="[Spt-BH.xls][Spt-BH.xls]_Sp_660"/>
      <sheetName val="[Spt-BH.xls][Spt-BH.xls]B__1863"/>
      <sheetName val="[Spt-BH.xls][Spt-BH.xls]B__1864"/>
      <sheetName val="[Spt-BH.xls][Spt-BH.xls]B__1865"/>
      <sheetName val="[Spt-BH.xls][Spt-BH.xls]_Sp_662"/>
      <sheetName val="[Spt-BH.xls][Spt-BH.xls]B__1866"/>
      <sheetName val="[Spt-BH.xls][Spt-BH.xls]B__1867"/>
      <sheetName val="[Spt-BH.xls][Spt-BH.xls]B__1868"/>
      <sheetName val="[Spt-BH.xls][Spt-BH.xls]_Sp_661"/>
      <sheetName val="[Spt-BH.xls][Spt-BH.xls]_Sp_656"/>
      <sheetName val="[Spt-BH.xls][Spt-BH.xls]B__1851"/>
      <sheetName val="[Spt-BH.xls][Spt-BH.xls]B__1852"/>
      <sheetName val="[Spt-BH.xls][Spt-BH.xls]B__1853"/>
      <sheetName val="[Spt-BH.xls][Spt-BH.xls]B__1854"/>
      <sheetName val="[Spt-BH.xls][Spt-BH.xls]B__1855"/>
      <sheetName val="[Spt-BH.xls][Spt-BH.xls]B__1856"/>
      <sheetName val="[Spt-BH.xls][Spt-BH.xls]_Sp_657"/>
      <sheetName val="[Spt-BH.xls][Spt-BH.xls]_Sp_654"/>
      <sheetName val="[Spt-BH.xls][Spt-BH.xls]B__1850"/>
      <sheetName val="[Spt-BH.xls][Spt-BH.xls]_Sp_655"/>
      <sheetName val="[Spt-BH.xls][Spt-BH.xls]_Sp_658"/>
      <sheetName val="[Spt-BH.xls][Spt-BH.xls]B__1857"/>
      <sheetName val="[Spt-BH.xls][Spt-BH.xls]B__1858"/>
      <sheetName val="[Spt-BH.xls][Spt-BH.xls]B__1859"/>
      <sheetName val="[Spt-BH.xls][Spt-BH.xls]B__1860"/>
      <sheetName val="[Spt-BH.xls][Spt-BH.xls]B__1861"/>
      <sheetName val="[Spt-BH.xls][Spt-BH.xls]B__1862"/>
      <sheetName val="[Spt-BH.xls][Spt-BH.xls]_Sp_659"/>
      <sheetName val="[Spt-BH.xls][Spt-BH.xls]_Sp_663"/>
      <sheetName val="[Spt-BH.xls][Spt-BH.xls]B__1869"/>
      <sheetName val="[Spt-BH.xls][Spt-BH.xls]B__1870"/>
      <sheetName val="[Spt-BH.xls][Spt-BH.xls]B__1871"/>
      <sheetName val="[Spt-BH.xls][Spt-BH.xls]_Sp_664"/>
      <sheetName val="[Spt-BH.xls][Spt-BH.xls]B__1872"/>
      <sheetName val="[Spt-BH.xls][Spt-BH.xls]B__1906"/>
      <sheetName val="[Spt-BH.xls][Spt-BH.xls]B__1907"/>
      <sheetName val="[Spt-BH.xls][Spt-BH.xls]B__1908"/>
      <sheetName val="[Spt-BH.xls][Spt-BH.xls]_Sp_682"/>
      <sheetName val="[Spt-BH.xls][Spt-BH.xls]B__1909"/>
      <sheetName val="[Spt-BH.xls][Spt-BH.xls]B__1910"/>
      <sheetName val="[Spt-BH.xls][Spt-BH.xls]B__1911"/>
      <sheetName val="[Spt-BH.xls][Spt-BH.xls]_Sp_676"/>
      <sheetName val="[Spt-BH.xls][Spt-BH.xls]_Sp_677"/>
      <sheetName val="[Spt-BH.xls][Spt-BH.xls]_Sp_665"/>
      <sheetName val="[Spt-BH.xls][Spt-BH.xls]B__1873"/>
      <sheetName val="[Spt-BH.xls][Spt-BH.xls]B__1874"/>
      <sheetName val="[Spt-BH.xls][Spt-BH.xls]B__1875"/>
      <sheetName val="[Spt-BH.xls][Spt-BH.xls]B__1876"/>
      <sheetName val="[Spt-BH.xls][Spt-BH.xls]B__1877"/>
      <sheetName val="[Spt-BH.xls][Spt-BH.xls]_Sp_667"/>
      <sheetName val="[Spt-BH.xls][Spt-BH.xls]B__1878"/>
      <sheetName val="[Spt-BH.xls][Spt-BH.xls]B__1879"/>
      <sheetName val="[Spt-BH.xls][Spt-BH.xls]B__1880"/>
      <sheetName val="[Spt-BH.xls][Spt-BH.xls]_Sp_666"/>
      <sheetName val="[Spt-BH.xls][Spt-BH.xls]B__1881"/>
      <sheetName val="[Spt-BH.xls][Spt-BH.xls]B__1882"/>
      <sheetName val="[Spt-BH.xls][Spt-BH.xls]B__1883"/>
      <sheetName val="[Spt-BH.xls][Spt-BH.xls]_Sp_669"/>
      <sheetName val="[Spt-BH.xls][Spt-BH.xls]B__1884"/>
      <sheetName val="[Spt-BH.xls][Spt-BH.xls]B__1885"/>
      <sheetName val="[Spt-BH.xls]B____x005f_x0004______155"/>
      <sheetName val="[Spt-BH.xls]B___x005f_x0000__x000_155"/>
      <sheetName val="[Spt-BH.xls][Spt-BH.xls]B__1886"/>
      <sheetName val="[Spt-BH.xls][Spt-BH.xls]_Sp_668"/>
      <sheetName val="[Spt-BH.xls][Spt-BH_xls]B___306"/>
      <sheetName val="[Spt-BH.xls][Spt-BH_xls]B___307"/>
      <sheetName val="[Spt-BH.xls][Spt-BH.xls]B__1887"/>
      <sheetName val="[Spt-BH.xls][Spt-BH.xls]B__1888"/>
      <sheetName val="[Spt-BH.xls][Spt-BH.xls]B__1889"/>
      <sheetName val="[Spt-BH.xls][Spt-BH.xls]B__1890"/>
      <sheetName val="[Spt-BH.xls][Spt-BH.xls]B__1891"/>
      <sheetName val="[Spt-BH.xls][Spt-BH.xls]B__1892"/>
      <sheetName val="[Spt-BH.xls][Spt-BH.xls]_Sp_670"/>
      <sheetName val="[Spt-BH.xls][Spt-BH.xls]_Sp_671"/>
      <sheetName val="[Spt-BH.xls][Spt-BH.xls]B__1893"/>
      <sheetName val="[Spt-BH.xls][Spt-BH.xls]B__1894"/>
      <sheetName val="[Spt-BH.xls][Spt-BH.xls]B__1895"/>
      <sheetName val="[Spt-BH.xls][Spt-BH.xls]B__1896"/>
      <sheetName val="[Spt-BH.xls][Spt-BH.xls]B__1897"/>
      <sheetName val="[Spt-BH.xls][Spt-BH.xls]B__1898"/>
      <sheetName val="[Spt-BH.xls][Spt-BH.xls]_Sp_672"/>
      <sheetName val="[Spt-BH.xls][Spt-BH.xls]_Sp_673"/>
      <sheetName val="[Spt-BH.xls][Spt-BH.xls]B__1925"/>
      <sheetName val="[Spt-BH.xls][Spt-BH.xls]B__1926"/>
      <sheetName val="[Spt-BH.xls][Spt-BH.xls]B__1927"/>
      <sheetName val="[Spt-BH.xls][Spt-BH.xls]_Sp_684"/>
      <sheetName val="[Spt-BH.xls][Spt-BH.xls]B__1928"/>
      <sheetName val="[Spt-BH.xls][Spt-BH.xls]B__1929"/>
      <sheetName val="[Spt-BH.xls]B____x005f_x0004______157"/>
      <sheetName val="[Spt-BH.xls]B___x005f_x0000__x000_157"/>
      <sheetName val="[Spt-BH.xls][Spt-BH.xls]B__1930"/>
      <sheetName val="[Spt-BH.xls][Spt-BH.xls]_Sp_683"/>
      <sheetName val="[Spt-BH.xls][Spt-BH_xls]B___310"/>
      <sheetName val="[Spt-BH.xls][Spt-BH_xls]B___311"/>
      <sheetName val="[Spt-BH.xls][Spt-BH.xls]B__1912"/>
      <sheetName val="[Spt-BH.xls][Spt-BH.xls]B__1899"/>
      <sheetName val="[Spt-BH.xls][Spt-BH.xls]B__1900"/>
      <sheetName val="[Spt-BH.xls][Spt-BH.xls]B__1901"/>
      <sheetName val="[Spt-BH.xls][Spt-BH.xls]B__1902"/>
      <sheetName val="[Spt-BH.xls][Spt-BH.xls]B__1903"/>
      <sheetName val="[Spt-BH.xls][Spt-BH.xls]B__1904"/>
      <sheetName val="[Spt-BH.xls][Spt-BH.xls]_Sp_674"/>
      <sheetName val="[Spt-BH.xls][Spt-BH.xls]_Sp_675"/>
      <sheetName val="[Spt-BH.xls]B____x005f_x0004______156"/>
      <sheetName val="[Spt-BH.xls]B___x005f_x0000__x000_156"/>
      <sheetName val="[Spt-BH.xls][Spt-BH_xls]B___308"/>
      <sheetName val="[Spt-BH.xls][Spt-BH_xls]B___309"/>
      <sheetName val="[Spt-BH.xls][Spt-BH.xls]B__1905"/>
      <sheetName val="[Spt-BH.xls][Spt-BH.xls]_Sp_678"/>
      <sheetName val="[Spt-BH.xls][Spt-BH.xls]B__1913"/>
      <sheetName val="[Spt-BH.xls][Spt-BH.xls]B__1914"/>
      <sheetName val="[Spt-BH.xls][Spt-BH.xls]B__1915"/>
      <sheetName val="[Spt-BH.xls][Spt-BH.xls]B__1916"/>
      <sheetName val="[Spt-BH.xls][Spt-BH.xls]B__1917"/>
      <sheetName val="[Spt-BH.xls][Spt-BH.xls]B__1918"/>
      <sheetName val="[Spt-BH.xls][Spt-BH.xls]_Sp_679"/>
      <sheetName val="[Spt-BH.xls][Spt-BH.xls]_Sp_680"/>
      <sheetName val="[Spt-BH.xls][Spt-BH.xls]B__1919"/>
      <sheetName val="[Spt-BH.xls][Spt-BH.xls]B__1920"/>
      <sheetName val="[Spt-BH.xls][Spt-BH.xls]B__1921"/>
      <sheetName val="[Spt-BH.xls][Spt-BH.xls]B__1922"/>
      <sheetName val="[Spt-BH.xls][Spt-BH.xls]B__1923"/>
      <sheetName val="[Spt-BH.xls][Spt-BH.xls]B__1924"/>
      <sheetName val="[Spt-BH.xls][Spt-BH.xls]_Sp_681"/>
      <sheetName val="[Spt-BH.xls][Spt-BH.xls]B__1932"/>
      <sheetName val="[Spt-BH.xls][Spt-BH.xls]B__1933"/>
      <sheetName val="[Spt-BH.xls][Spt-BH.xls]B__1934"/>
      <sheetName val="[Spt-BH.xls][Spt-BH.xls]_Sp_686"/>
      <sheetName val="[Spt-BH.xls][Spt-BH.xls]B__1935"/>
      <sheetName val="[Spt-BH.xls][Spt-BH.xls]B__1936"/>
      <sheetName val="[Spt-BH.xls]B____x005f_x0004______158"/>
      <sheetName val="[Spt-BH.xls]B___x005f_x0000__x000_158"/>
      <sheetName val="[Spt-BH.xls][Spt-BH.xls]B__1937"/>
      <sheetName val="[Spt-BH.xls][Spt-BH.xls]_Sp_685"/>
      <sheetName val="[Spt-BH.xls][Spt-BH_xls]B___312"/>
      <sheetName val="[Spt-BH.xls][Spt-BH_xls]B___313"/>
      <sheetName val="[Spt-BH.xls][Spt-BH.xls]B__1931"/>
      <sheetName val="[Spt-BH.xls][Spt-BH.xls]_Sp_687"/>
      <sheetName val="[Spt-BH.xls][Spt-BH.xls]B__1938"/>
      <sheetName val="[Spt-BH.xls][Spt-BH.xls]B__1939"/>
      <sheetName val="[Spt-BH.xls][Spt-BH.xls]B__1940"/>
      <sheetName val="[Spt-BH.xls][Spt-BH.xls]B__1941"/>
      <sheetName val="[Spt-BH.xls][Spt-BH.xls]B__1942"/>
      <sheetName val="[Spt-BH.xls][Spt-BH.xls]B__1943"/>
      <sheetName val="[Spt-BH.xls][Spt-BH.xls]_Sp_688"/>
      <sheetName val="[Spt-BH.xls][Spt-BH.xls]_Sp_691"/>
      <sheetName val="[Spt-BH.xls][Spt-BH.xls]B__1950"/>
      <sheetName val="[Spt-BH.xls][Spt-BH.xls]B__1951"/>
      <sheetName val="[Spt-BH.xls][Spt-BH.xls]B__1952"/>
      <sheetName val="[Spt-BH.xls][Spt-BH.xls]_Sp_694"/>
      <sheetName val="[Spt-BH.xls][Spt-BH.xls]B__1953"/>
      <sheetName val="[Spt-BH.xls][Spt-BH.xls]B__1954"/>
      <sheetName val="[Spt-BH.xls][Spt-BH.xls]B__1955"/>
      <sheetName val="[Spt-BH.xls][Spt-BH.xls]_Sp_693"/>
      <sheetName val="[Spt-BH.xls][Spt-BH.xls]_Sp_696"/>
      <sheetName val="[Spt-BH.xls][Spt-BH.xls]_Sp_695"/>
      <sheetName val="[Spt-BH.xls][Spt-BH.xls]_Sp_697"/>
      <sheetName val="[Spt-BH.xls][Spt-BH.xls]_Sp_698"/>
      <sheetName val="[Spt-BH.xls][Spt-BH.xls]B__1956"/>
      <sheetName val="[Spt-BH.xls][Spt-BH.xls]B__1957"/>
      <sheetName val="[Spt-BH.xls][Spt-BH.xls]B__1958"/>
      <sheetName val="[Spt-BH.xls][Spt-BH.xls]_Sp_700"/>
      <sheetName val="[Spt-BH.xls][Spt-BH.xls]B__1959"/>
      <sheetName val="[Spt-BH.xls][Spt-BH.xls]B__1960"/>
      <sheetName val="[Spt-BH.xls][Spt-BH.xls]_Sp_699"/>
      <sheetName val="[Spt-BH.xls][Spt-BH.xls]B__1961"/>
      <sheetName val="[Spt-BH.xls][Spt-BH.xls]B__1962"/>
      <sheetName val="[Spt-BH.xls][Spt-BH.xls]B__1963"/>
      <sheetName val="[Spt-BH.xls][Spt-BH.xls]_Sp_771"/>
      <sheetName val="[Spt-BH.xls][Spt-BH.xls]B__1964"/>
      <sheetName val="[Spt-BH.xls][Spt-BH.xls]B__1965"/>
      <sheetName val="[Spt-BH.xls]B____x005f_x0004______159"/>
      <sheetName val="[Spt-BH.xls]B___x005f_x0000__x000_159"/>
      <sheetName val="[Spt-BH.xls][Spt-BH.xls]B__1986"/>
      <sheetName val="[Spt-BH.xls][Spt-BH.xls]B__1987"/>
      <sheetName val="[Spt-BH.xls][Spt-BH.xls]B__1988"/>
      <sheetName val="[Spt-BH.xls][Spt-BH.xls]_Sp_714"/>
      <sheetName val="[Spt-BH.xls][Spt-BH.xls]B__1989"/>
      <sheetName val="[Spt-BH.xls][Spt-BH.xls]B__1990"/>
      <sheetName val="[Spt-BH.xls]B____x005f_x0004______162"/>
      <sheetName val="[Spt-BH.xls]B___x005f_x0000__x000_162"/>
      <sheetName val="[Spt-BH.xls][Spt-BH.xls]B__1991"/>
      <sheetName val="[Spt-BH.xls][Spt-BH.xls]B__1980"/>
      <sheetName val="[Spt-BH.xls][Spt-BH.xls]B__1981"/>
      <sheetName val="[Spt-BH.xls][Spt-BH.xls]_Sp_712"/>
      <sheetName val="[Spt-BH.xls][Spt-BH.xls]B__1982"/>
      <sheetName val="[Spt-BH.xls][Spt-BH.xls]B__1983"/>
      <sheetName val="[Spt-BH.xls][Spt-BH.xls]B__1984"/>
      <sheetName val="[Spt-BH.xls][Spt-BH.xls]_Sp_713"/>
      <sheetName val="[Spt-BH.xls][Spt-BH_xls]B___320"/>
      <sheetName val="[Spt-BH.xls][Spt-BH_xls]B___321"/>
      <sheetName val="[Spt-BH.xls][Spt-BH.xls]_Sp_710"/>
      <sheetName val="[Spt-BH.xls][Spt-BH.xls]B__1985"/>
      <sheetName val="[Spt-BH.xls][Spt-BH.xls]_Sp_711"/>
      <sheetName val="[Spt-BH.xls][Spt-BH.xls]_Sp_706"/>
      <sheetName val="[Spt-BH.xls][Spt-BH.xls]B__1966"/>
      <sheetName val="[Spt-BH.xls][Spt-BH.xls]B__1967"/>
      <sheetName val="[Spt-BH.xls][Spt-BH.xls]_Sp_703"/>
      <sheetName val="[Spt-BH.xls][Spt-BH.xls]_Sp_704"/>
      <sheetName val="[Spt-BH.xls][Spt-BH_xls]B___314"/>
      <sheetName val="[Spt-BH.xls][Spt-BH_xls]B___315"/>
      <sheetName val="[Spt-BH.xls][Spt-BH.xls]_Sp_701"/>
      <sheetName val="[Spt-BH.xls][Spt-BH.xls]_Sp_702"/>
      <sheetName val="[Spt-BH.xls][Spt-BH.xls]_Sp_705"/>
      <sheetName val="[Spt-BH.xls]B____x005f_x0004______160"/>
      <sheetName val="[Spt-BH.xls]B___x005f_x0000__x000_160"/>
      <sheetName val="[Spt-BH.xls][Spt-BH.xls]B__1968"/>
      <sheetName val="[Spt-BH.xls][Spt-BH.xls]B__1969"/>
      <sheetName val="[Spt-BH.xls][Spt-BH.xls]B__1970"/>
      <sheetName val="[Spt-BH.xls][Spt-BH.xls]B__1971"/>
      <sheetName val="[Spt-BH.xls][Spt-BH.xls]B__1972"/>
      <sheetName val="[Spt-BH.xls][Spt-BH_xls]B___316"/>
      <sheetName val="[Spt-BH.xls][Spt-BH_xls]B___317"/>
      <sheetName val="[Spt-BH.xls][Spt-BH.xls]B__1973"/>
      <sheetName val="[Spt-BH.xls][Spt-BH.xls]_Sp_707"/>
      <sheetName val="[Spt-BH.xls]B____x005f_x0004______161"/>
      <sheetName val="[Spt-BH.xls]B___x005f_x0000__x000_161"/>
      <sheetName val="[Spt-BH.xls][Spt-BH.xls]B__1974"/>
      <sheetName val="[Spt-BH.xls][Spt-BH.xls]B__1975"/>
      <sheetName val="[Spt-BH.xls][Spt-BH.xls]B__1976"/>
      <sheetName val="[Spt-BH.xls][Spt-BH.xls]B__1977"/>
      <sheetName val="[Spt-BH.xls][Spt-BH.xls]B__1978"/>
      <sheetName val="[Spt-BH.xls][Spt-BH_xls]B___318"/>
      <sheetName val="[Spt-BH.xls][Spt-BH_xls]B___319"/>
      <sheetName val="[Spt-BH.xls][Spt-BH.xls]_Sp_708"/>
      <sheetName val="[Spt-BH.xls][Spt-BH.xls]B__1979"/>
      <sheetName val="[Spt-BH.xls][Spt-BH.xls]_Sp_709"/>
      <sheetName val="[Spt-BH.xls][Spt-BH.xls]_Sp_715"/>
      <sheetName val="[Spt-BH.xls][Spt-BH.xls]B__1992"/>
      <sheetName val="[Spt-BH.xls][Spt-BH.xls]B__1993"/>
      <sheetName val="[Spt-BH.xls][Spt-BH.xls]B__1994"/>
      <sheetName val="[Spt-BH.xls][Spt-BH.xls]_Sp_717"/>
      <sheetName val="[Spt-BH.xls][Spt-BH.xls]B__1995"/>
      <sheetName val="[Spt-BH.xls][Spt-BH.xls]B__1996"/>
      <sheetName val="[Spt-BH.xls][Spt-BH.xls]B__1997"/>
      <sheetName val="[Spt-BH.xls][Spt-BH.xls]_Sp_716"/>
      <sheetName val="[Spt-BH.xls][Spt-BH.xls]B__1998"/>
      <sheetName val="[Spt-BH.xls][Spt-BH.xls]B__1999"/>
      <sheetName val="[Spt-BH.xls][Spt-BH.xls]B__2000"/>
      <sheetName val="[Spt-BH.xls][Spt-BH.xls]_Sp_766"/>
      <sheetName val="[Spt-BH.xls][Spt-BH.xls]B__2001"/>
      <sheetName val="[Spt-BH.xls][Spt-BH.xls]B__2002"/>
      <sheetName val="[Spt-BH.xls][Spt-BH.xls]B__2003"/>
      <sheetName val="[Spt-BH.xls][Spt-BH.xls]_Sp_718"/>
      <sheetName val="[Spt-BH.xls][Spt-BH.xls]B__2097"/>
      <sheetName val="[Spt-BH.xls][Spt-BH.xls]B__2098"/>
      <sheetName val="[Spt-BH.xls][Spt-BH.xls]B__2099"/>
      <sheetName val="[Spt-BH.xls][Spt-BH.xls]_Sp_768"/>
      <sheetName val="[Spt-BH.xls][Spt-BH.xls]B__2100"/>
      <sheetName val="[Spt-BH.xls][Spt-BH.xls]B__2101"/>
      <sheetName val="[Spt-BH.xls]B____x005f_x0004______163"/>
      <sheetName val="[Spt-BH.xls]B___x005f_x0000__x000_163"/>
      <sheetName val="[Spt-BH.xls][Spt-BH.xls]B__2102"/>
      <sheetName val="[Spt-BH.xls][Spt-BH.xls]_Sp_767"/>
      <sheetName val="[Spt-BH.xls][Spt-BH_xls]B___322"/>
      <sheetName val="[Spt-BH.xls][Spt-BH_xls]B___323"/>
      <sheetName val="[Spt-BH.xls][Spt-BH.xls]_Sp_719"/>
      <sheetName val="[Spt-BH.xls][Spt-BH.xls]B__2004"/>
      <sheetName val="[Spt-BH.xls][Spt-BH.xls]B__2005"/>
      <sheetName val="[Spt-BH.xls][Spt-BH.xls]B__2006"/>
      <sheetName val="[Spt-BH.xls][Spt-BH.xls]_Sp_721"/>
      <sheetName val="[Spt-BH.xls][Spt-BH.xls]B__2007"/>
      <sheetName val="[Spt-BH.xls][Spt-BH.xls]B__2008"/>
      <sheetName val="[Spt-BH.xls][Spt-BH.xls]B__2009"/>
      <sheetName val="[Spt-BH.xls][Spt-BH.xls]_Sp_720"/>
      <sheetName val="[Spt-BH.xls][Spt-BH.xls]_Sp_728"/>
      <sheetName val="[Spt-BH.xls][Spt-BH.xls]_Sp_726"/>
      <sheetName val="[Spt-BH.xls][Spt-BH.xls]B__2010"/>
      <sheetName val="[Spt-BH.xls][Spt-BH.xls]B__2011"/>
      <sheetName val="[Spt-BH.xls][Spt-BH.xls]B__2012"/>
      <sheetName val="[Spt-BH.xls][Spt-BH.xls]B__2013"/>
      <sheetName val="[Spt-BH.xls][Spt-BH.xls]_Sp_722"/>
      <sheetName val="[Spt-BH.xls][Spt-BH.xls]B__2020"/>
      <sheetName val="[Spt-BH.xls][Spt-BH.xls]B__2021"/>
      <sheetName val="[Spt-BH.xls][Spt-BH.xls]B__2022"/>
      <sheetName val="[Spt-BH.xls][Spt-BH.xls]B__2023"/>
      <sheetName val="[Spt-BH.xls][Spt-BH.xls]B__2024"/>
      <sheetName val="[Spt-BH.xls][Spt-BH.xls]B__2025"/>
      <sheetName val="[Spt-BH.xls][Spt-BH.xls]_Sp_727"/>
      <sheetName val="[Spt-BH.xls][Spt-BH.xls]_Sp_723"/>
      <sheetName val="[Spt-BH.xls][Spt-BH.xls]_Sp_724"/>
      <sheetName val="[Spt-BH.xls][Spt-BH.xls]B__2014"/>
      <sheetName val="[Spt-BH.xls][Spt-BH.xls]B__2015"/>
      <sheetName val="[Spt-BH.xls][Spt-BH.xls]B__2016"/>
      <sheetName val="[Spt-BH.xls][Spt-BH.xls]B__2017"/>
      <sheetName val="[Spt-BH.xls][Spt-BH.xls]B__2018"/>
      <sheetName val="[Spt-BH.xls][Spt-BH.xls]B__2019"/>
      <sheetName val="[Spt-BH.xls][Spt-BH.xls]_Sp_725"/>
      <sheetName val="Data_sheet"/>
      <sheetName val="Vind_-_BtB"/>
      <sheetName val="1_01_(a)1"/>
      <sheetName val="Data_sheet1"/>
      <sheetName val="Ra__stair1"/>
      <sheetName val="beam-reinft-machine_rm1"/>
      <sheetName val="Vind_-_BtB1"/>
      <sheetName val="2_BHK1"/>
      <sheetName val="BALANCE-IOTL_1"/>
      <sheetName val="Basic_Rates1"/>
      <sheetName val="activit-graph__1"/>
      <sheetName val="Mat_Cost1"/>
      <sheetName val="kppl_pl1"/>
      <sheetName val="[Spt-BH.xls][Spt-BH_xls]_Spt_16"/>
      <sheetName val="[Spt-BH.xls][Spt-BH_xls]_Spt_17"/>
      <sheetName val="[Spt-BH.xls][Spt-BH_xls]_Spt__2"/>
      <sheetName val="[Spt-BH.xls][Spt-BH_xls]_Spt__3"/>
      <sheetName val="det_est"/>
      <sheetName val="[Spt-BH.xls][Spt-BH_xls]_Spt__4"/>
      <sheetName val="[Spt-BH.xls][Spt-BH_xls]_Spt__5"/>
      <sheetName val="[Spt-BH.xls][Spt-BH_xls]_Spt__6"/>
      <sheetName val="[Spt-BH.xls][Spt-BH_xls]_Spt__7"/>
      <sheetName val="[Spt-BH.xls][Spt-BH_xls]_Spt__8"/>
      <sheetName val="[Spt-BH.xls][Spt-BH_xls]_Spt__9"/>
      <sheetName val="[Spt-BH.xls][Spt-BH_xls]_Spt_10"/>
      <sheetName val="[Spt-BH.xls][Spt-BH_xls]_Spt_11"/>
      <sheetName val="[Spt-BH.xls][Spt-BH_xls]_Spt_12"/>
      <sheetName val="[Spt-BH.xls][Spt-BH_xls]_Spt_13"/>
      <sheetName val="[Spt-BH.xls][Spt-BH_xls]_Spt_14"/>
      <sheetName val="[Spt-BH.xls][Spt-BH_xls]_Spt_15"/>
      <sheetName val="JMR abstract"/>
      <sheetName val="[Spt-BH.xls][Spt-BH.xls]_Sp_729"/>
      <sheetName val="[Spt-BH.xls][Spt-BH.xls]_Sp_731"/>
      <sheetName val="[Spt-BH.xls][Spt-BH.xls]_Sp_730"/>
      <sheetName val="[Spt-BH.xls][Spt-BH.xls]_Sp_749"/>
      <sheetName val="[Spt-BH.xls][Spt-BH.xls]B__2042"/>
      <sheetName val="[Spt-BH.xls][Spt-BH.xls]B__2043"/>
      <sheetName val="[Spt-BH.xls][Spt-BH.xls]B__2044"/>
      <sheetName val="[Spt-BH.xls][Spt-BH.xls]_Sp_739"/>
      <sheetName val="[Spt-BH.xls][Spt-BH.xls]B__2045"/>
      <sheetName val="[Spt-BH.xls][Spt-BH.xls]B__2046"/>
      <sheetName val="[Spt-BH.xls][Spt-BH.xls]B__2047"/>
      <sheetName val="[Spt-BH.xls][Spt-BH.xls]B__2030"/>
      <sheetName val="[Spt-BH.xls][Spt-BH.xls]B__2031"/>
      <sheetName val="[Spt-BH.xls][Spt-BH.xls]B__2032"/>
      <sheetName val="[Spt-BH.xls][Spt-BH.xls]B__2033"/>
      <sheetName val="[Spt-BH.xls][Spt-BH.xls]B__2034"/>
      <sheetName val="[Spt-BH.xls]B____x005f_x0004______164"/>
      <sheetName val="[Spt-BH.xls]B___x005f_x0000__x000_164"/>
      <sheetName val="[Spt-BH.xls][Spt-BH.xls]B__2035"/>
      <sheetName val="[Spt-BH.xls][Spt-BH_xls]B___324"/>
      <sheetName val="[Spt-BH.xls][Spt-BH_xls]B___325"/>
      <sheetName val="[Spt-BH.xls][Spt-BH.xls]B__2026"/>
      <sheetName val="[Spt-BH.xls][Spt-BH.xls]B__2027"/>
      <sheetName val="[Spt-BH.xls][Spt-BH.xls]B__2028"/>
      <sheetName val="[Spt-BH.xls][Spt-BH.xls]B__2029"/>
      <sheetName val="[Spt-BH.xls][Spt-BH.xls]B__2036"/>
      <sheetName val="[Spt-BH.xls][Spt-BH.xls]B__2037"/>
      <sheetName val="[Spt-BH.xls][Spt-BH.xls]B__2038"/>
      <sheetName val="[Spt-BH.xls][Spt-BH.xls]B__2039"/>
      <sheetName val="[Spt-BH.xls][Spt-BH.xls]B__2040"/>
      <sheetName val="[Spt-BH.xls][Spt-BH.xls]B__2041"/>
      <sheetName val="[Spt-BH.xls][Spt-BH.xls]_Sp_736"/>
      <sheetName val="[Spt-BH.xls][Spt-BH.xls]_Sp_732"/>
      <sheetName val="[Spt-BH.xls][Spt-BH.xls]_Sp_733"/>
      <sheetName val="[Spt-BH.xls][Spt-BH.xls]B__2054"/>
      <sheetName val="[Spt-BH.xls][Spt-BH.xls]B__2055"/>
      <sheetName val="[Spt-BH.xls][Spt-BH.xls]B__2056"/>
      <sheetName val="[Spt-BH.xls][Spt-BH.xls]_Sp_738"/>
      <sheetName val="[Spt-BH.xls][Spt-BH.xls]B__2057"/>
      <sheetName val="[Spt-BH.xls][Spt-BH.xls]B__2058"/>
      <sheetName val="[Spt-BH.xls][Spt-BH.xls]B__2059"/>
      <sheetName val="[Spt-BH.xls][Spt-BH.xls]_Sp_737"/>
      <sheetName val="[Spt-BH.xls][Spt-BH.xls]_Sp_734"/>
      <sheetName val="[Spt-BH.xls][Spt-BH.xls]B__2048"/>
      <sheetName val="[Spt-BH.xls][Spt-BH.xls]B__2049"/>
      <sheetName val="[Spt-BH.xls][Spt-BH.xls]B__2050"/>
      <sheetName val="[Spt-BH.xls][Spt-BH.xls]B__2051"/>
      <sheetName val="[Spt-BH.xls][Spt-BH.xls]B__2052"/>
      <sheetName val="[Spt-BH.xls][Spt-BH.xls]B__2053"/>
      <sheetName val="[Spt-BH.xls][Spt-BH.xls]_Sp_735"/>
      <sheetName val="[Spt-BH.xls][Spt-BH.xls]_Sp_744"/>
      <sheetName val="[Spt-BH.xls][Spt-BH.xls]_Sp_740"/>
      <sheetName val="[Spt-BH.xls][Spt-BH.xls]_Sp_743"/>
      <sheetName val="[Spt-BH.xls][Spt-BH.xls]_Sp_741"/>
      <sheetName val="[Spt-BH.xls][Spt-BH.xls]_Sp_742"/>
      <sheetName val="[Spt-BH.xls][Spt-BH.xls]_Sp_745"/>
      <sheetName val="[Spt-BH.xls][Spt-BH.xls]_Sp_746"/>
      <sheetName val="[Spt-BH.xls][Spt-BH.xls]_Sp_747"/>
      <sheetName val="[Spt-BH.xls][Spt-BH.xls]_Sp_748"/>
      <sheetName val="[Spt-BH.xls][Spt-BH.xls]B__2060"/>
      <sheetName val="[Spt-BH.xls][Spt-BH.xls]B__2061"/>
      <sheetName val="[Spt-BH.xls][Spt-BH.xls]B__2062"/>
      <sheetName val="[Spt-BH.xls][Spt-BH.xls]_Sp_752"/>
      <sheetName val="[Spt-BH.xls][Spt-BH.xls]B__2063"/>
      <sheetName val="[Spt-BH.xls][Spt-BH.xls]B__2064"/>
      <sheetName val="[Spt-BH.xls][Spt-BH.xls]B__2065"/>
      <sheetName val="[Spt-BH.xls][Spt-BH.xls]_Sp_750"/>
      <sheetName val="[Spt-BH.xls][Spt-BH.xls]_Sp_751"/>
      <sheetName val="[Spt-BH.xls][Spt-BH.xls]B__2067"/>
      <sheetName val="[Spt-BH.xls][Spt-BH.xls]B__2068"/>
      <sheetName val="[Spt-BH.xls][Spt-BH.xls]B__2069"/>
      <sheetName val="[Spt-BH.xls][Spt-BH.xls]_Sp_756"/>
      <sheetName val="[Spt-BH.xls][Spt-BH.xls]B__2070"/>
      <sheetName val="[Spt-BH.xls][Spt-BH.xls]B__2071"/>
      <sheetName val="[Spt-BH.xls]B____x005f_x0004______165"/>
      <sheetName val="[Spt-BH.xls]B___x005f_x0000__x000_165"/>
      <sheetName val="[Spt-BH.xls][Spt-BH.xls]B__2072"/>
      <sheetName val="[Spt-BH.xls][Spt-BH.xls]_Sp_753"/>
      <sheetName val="[Spt-BH.xls][Spt-BH_xls]B___326"/>
      <sheetName val="[Spt-BH.xls][Spt-BH_xls]B___327"/>
      <sheetName val="[Spt-BH.xls][Spt-BH.xls]B__2066"/>
      <sheetName val="[Spt-BH.xls][Spt-BH.xls]_Sp_754"/>
      <sheetName val="[Spt-BH.xls][Spt-BH.xls]B__2073"/>
      <sheetName val="[Spt-BH.xls][Spt-BH.xls]B__2074"/>
      <sheetName val="[Spt-BH.xls][Spt-BH.xls]B__2075"/>
      <sheetName val="[Spt-BH.xls][Spt-BH.xls]B__2076"/>
      <sheetName val="[Spt-BH.xls][Spt-BH.xls]B__2077"/>
      <sheetName val="[Spt-BH.xls][Spt-BH.xls]B__2078"/>
      <sheetName val="[Spt-BH.xls][Spt-BH.xls]_Sp_755"/>
      <sheetName val="[Spt-BH.xls][Spt-BH.xls]B__2079"/>
      <sheetName val="[Spt-BH.xls][Spt-BH.xls]B__2080"/>
      <sheetName val="[Spt-BH.xls][Spt-BH.xls]B__2081"/>
      <sheetName val="[Spt-BH.xls][Spt-BH.xls]_Sp_762"/>
      <sheetName val="[Spt-BH.xls][Spt-BH.xls]B__2082"/>
      <sheetName val="[Spt-BH.xls][Spt-BH.xls]B__2083"/>
      <sheetName val="[Spt-BH.xls][Spt-BH.xls]B__2084"/>
      <sheetName val="[Spt-BH.xls][Spt-BH.xls]_Sp_757"/>
      <sheetName val="[Spt-BH.xls][Spt-BH.xls]_Sp_758"/>
      <sheetName val="[Spt-BH.xls][Spt-BH.xls]_Sp_759"/>
      <sheetName val="[Spt-BH.xls][Spt-BH.xls]B__2091"/>
      <sheetName val="[Spt-BH.xls][Spt-BH.xls]B__2092"/>
      <sheetName val="[Spt-BH.xls][Spt-BH.xls]_Sp_765"/>
      <sheetName val="[Spt-BH.xls][Spt-BH.xls]B__2093"/>
      <sheetName val="[Spt-BH.xls][Spt-BH.xls]B__2094"/>
      <sheetName val="[Spt-BH.xls][Spt-BH.xls]B__2095"/>
      <sheetName val="[Spt-BH.xls][Spt-BH.xls]B__2096"/>
      <sheetName val="[Spt-BH.xls][Spt-BH.xls]_Sp_763"/>
      <sheetName val="[Spt-BH.xls][Spt-BH.xls]_Sp_760"/>
      <sheetName val="[Spt-BH.xls][Spt-BH.xls]B__2085"/>
      <sheetName val="[Spt-BH.xls][Spt-BH.xls]B__2086"/>
      <sheetName val="[Spt-BH.xls][Spt-BH.xls]B__2087"/>
      <sheetName val="[Spt-BH.xls][Spt-BH.xls]B__2088"/>
      <sheetName val="[Spt-BH.xls][Spt-BH.xls]B__2089"/>
      <sheetName val="[Spt-BH.xls][Spt-BH.xls]B__2090"/>
      <sheetName val="[Spt-BH.xls][Spt-BH.xls]_Sp_761"/>
      <sheetName val="[Spt-BH.xls][Spt-BH.xls]_Sp_764"/>
      <sheetName val="[Spt-BH.xls][Spt-BH.xls]_Sp_770"/>
      <sheetName val="[Spt-BH.xls][Spt-BH.xls]_Sp_769"/>
      <sheetName val="[Spt-BH.xls][Spt-BH.xls]B__2103"/>
      <sheetName val="[Spt-BH.xls][Spt-BH.xls]B__2104"/>
      <sheetName val="[Spt-BH.xls][Spt-BH.xls]B__2105"/>
      <sheetName val="[Spt-BH.xls][Spt-BH.xls]_Sp_773"/>
      <sheetName val="[Spt-BH.xls][Spt-BH.xls]B__2106"/>
      <sheetName val="[Spt-BH.xls][Spt-BH.xls]B__2107"/>
      <sheetName val="[Spt-BH.xls][Spt-BH.xls]_Sp_772"/>
      <sheetName val="[Spt-BH.xls][Spt-BH.xls]B__2123"/>
      <sheetName val="[Spt-BH.xls][Spt-BH.xls]B__2124"/>
      <sheetName val="[Spt-BH.xls][Spt-BH.xls]B__2125"/>
      <sheetName val="[Spt-BH.xls][Spt-BH.xls]_Sp_778"/>
      <sheetName val="[Spt-BH.xls][Spt-BH.xls]B__2126"/>
      <sheetName val="[Spt-BH.xls][Spt-BH.xls]B__2127"/>
      <sheetName val="[Spt-BH.xls][Spt-BH.xls]_Sp_775"/>
      <sheetName val="[Spt-BH.xls][Spt-BH.xls]B__2113"/>
      <sheetName val="[Spt-BH.xls][Spt-BH.xls]B__2114"/>
      <sheetName val="[Spt-BH.xls][Spt-BH.xls]B__2115"/>
      <sheetName val="[Spt-BH.xls][Spt-BH.xls]B__2116"/>
      <sheetName val="[Spt-BH.xls][Spt-BH.xls]B__2117"/>
      <sheetName val="[Spt-BH.xls][Spt-BH.xls]_Sp_776"/>
      <sheetName val="[Spt-BH.xls][Spt-BH.xls]B__2118"/>
      <sheetName val="[Spt-BH.xls][Spt-BH.xls]B__2119"/>
      <sheetName val="[Spt-BH.xls][Spt-BH.xls]B__2120"/>
      <sheetName val="[Spt-BH.xls][Spt-BH.xls]B__2121"/>
      <sheetName val="[Spt-BH.xls][Spt-BH.xls]B__2122"/>
      <sheetName val="[Spt-BH.xls][Spt-BH.xls]_Sp_779"/>
      <sheetName val="[Spt-BH.xls][Spt-BH_xls]B___362"/>
      <sheetName val="[Spt-BH.xls][Spt-BH_xls]B___363"/>
      <sheetName val="[Spt-BH.xls][Spt-BH_xls]B___364"/>
      <sheetName val="[Spt-BH.xls][Spt-BH_xls]B___365"/>
      <sheetName val="[Spt-BH.xls][Spt-BH_xls]B___366"/>
      <sheetName val="[Spt-BH.xls][Spt-BH_xls]B___357"/>
      <sheetName val="[Spt-BH.xls][Spt-BH_xls]B___358"/>
      <sheetName val="[Spt-BH.xls][Spt-BH_xls]B___359"/>
      <sheetName val="[Spt-BH.xls][Spt-BH_xls]B___360"/>
      <sheetName val="[Spt-BH.xls][Spt-BH_xls]B___361"/>
      <sheetName val="[Spt-BH.xls][Spt-BH_xls]B___347"/>
      <sheetName val="[Spt-BH.xls][Spt-BH_xls]B___348"/>
      <sheetName val="[Spt-BH.xls][Spt-BH_xls]B___349"/>
      <sheetName val="[Spt-BH.xls][Spt-BH_xls]B___350"/>
      <sheetName val="[Spt-BH.xls][Spt-BH_xls]B___351"/>
      <sheetName val="[Spt-BH.xls][Spt-BH_xls]B___328"/>
      <sheetName val="[Spt-BH.xls][Spt-BH_xls]B___329"/>
      <sheetName val="[Spt-BH.xls][Spt-BH_xls]B___330"/>
      <sheetName val="[Spt-BH.xls][Spt-BH_xls]B___331"/>
      <sheetName val="[Spt-BH.xls][Spt-BH_xls]B___337"/>
      <sheetName val="[Spt-BH.xls][Spt-BH_xls]B___338"/>
      <sheetName val="[Spt-BH.xls][Spt-BH_xls]B___339"/>
      <sheetName val="[Spt-BH.xls][Spt-BH_xls]B___340"/>
      <sheetName val="[Spt-BH.xls][Spt-BH_xls]B___341"/>
      <sheetName val="[Spt-BH.xls][Spt-BH_xls]B___332"/>
      <sheetName val="[Spt-BH.xls][Spt-BH_xls]B___333"/>
      <sheetName val="[Spt-BH.xls][Spt-BH_xls]B___334"/>
      <sheetName val="[Spt-BH.xls][Spt-BH_xls]B___335"/>
      <sheetName val="[Spt-BH.xls][Spt-BH_xls]B___336"/>
      <sheetName val="[Spt-BH.xls][Spt-BH_xls]B___342"/>
      <sheetName val="[Spt-BH.xls][Spt-BH_xls]B___343"/>
      <sheetName val="[Spt-BH.xls][Spt-BH_xls]B___344"/>
      <sheetName val="[Spt-BH.xls][Spt-BH_xls]B___345"/>
      <sheetName val="[Spt-BH.xls][Spt-BH_xls]B___346"/>
      <sheetName val="[Spt-BH.xls][Spt-BH_xls]B___352"/>
      <sheetName val="[Spt-BH.xls][Spt-BH_xls]B___353"/>
      <sheetName val="[Spt-BH.xls][Spt-BH_xls]B___354"/>
      <sheetName val="[Spt-BH.xls][Spt-BH_xls]B___355"/>
      <sheetName val="[Spt-BH.xls][Spt-BH_xls]B___356"/>
      <sheetName val="[Spt-BH.xls][Spt-BH_xls]B___367"/>
      <sheetName val="[Spt-BH.xls][Spt-BH_xls]B___368"/>
      <sheetName val="[Spt-BH.xls][Spt-BH_xls]B___369"/>
      <sheetName val="[Spt-BH.xls][Spt-BH_xls]B___370"/>
      <sheetName val="[Spt-BH.xls][Spt-BH_xls]B___371"/>
      <sheetName val="[Spt-BH.xls][Spt-BH_xls]B___372"/>
      <sheetName val="[Spt-BH.xls][Spt-BH_xls]B___373"/>
      <sheetName val="[Spt-BH.xls][Spt-BH_xls]B___374"/>
      <sheetName val="[Spt-BH.xls][Spt-BH_xls]B___375"/>
      <sheetName val="[Spt-BH.xls][Spt-BH_xls]B___376"/>
      <sheetName val="[Spt-BH.xls][Spt-BH_xls]B___377"/>
      <sheetName val="[Spt-BH.xls][Spt-BH_xls]B___378"/>
      <sheetName val="[Spt-BH.xls][Spt-BH_xls]B___379"/>
      <sheetName val="[Spt-BH.xls][Spt-BH_xls]B___380"/>
      <sheetName val="[Spt-BH.xls][Spt-BH_xls]B___381"/>
      <sheetName val="[Spt-BH.xls][Spt-BH_xls]B___382"/>
      <sheetName val="[Spt-BH.xls][Spt-BH_xls]B___383"/>
      <sheetName val="[Spt-BH.xls][Spt-BH_xls]B___384"/>
      <sheetName val="[Spt-BH.xls][Spt-BH_xls]B___385"/>
      <sheetName val="[Spt-BH.xls][Spt-BH_xls]B___386"/>
      <sheetName val="[Spt-BH.xls][Spt-BH_xls]B___407"/>
      <sheetName val="[Spt-BH.xls][Spt-BH_xls]B___408"/>
      <sheetName val="[Spt-BH.xls][Spt-BH_xls]B___409"/>
      <sheetName val="[Spt-BH.xls][Spt-BH_xls]B___410"/>
      <sheetName val="[Spt-BH.xls][Spt-BH_xls]B___411"/>
      <sheetName val="[Spt-BH.xls][Spt-BH_xls]B___387"/>
      <sheetName val="[Spt-BH.xls][Spt-BH_xls]B___388"/>
      <sheetName val="[Spt-BH.xls][Spt-BH_xls]B___389"/>
      <sheetName val="[Spt-BH.xls][Spt-BH_xls]B___390"/>
      <sheetName val="[Spt-BH.xls][Spt-BH_xls]B___391"/>
      <sheetName val="[Spt-BH.xls][Spt-BH_xls]B___397"/>
      <sheetName val="[Spt-BH.xls][Spt-BH_xls]B___398"/>
      <sheetName val="[Spt-BH.xls][Spt-BH_xls]B___399"/>
      <sheetName val="[Spt-BH.xls][Spt-BH_xls]B___400"/>
      <sheetName val="[Spt-BH.xls][Spt-BH_xls]B___401"/>
      <sheetName val="[Spt-BH.xls][Spt-BH_xls]B___392"/>
      <sheetName val="[Spt-BH.xls][Spt-BH_xls]B___393"/>
      <sheetName val="[Spt-BH.xls][Spt-BH_xls]B___394"/>
      <sheetName val="[Spt-BH.xls][Spt-BH_xls]B___395"/>
      <sheetName val="[Spt-BH.xls][Spt-BH_xls]B___396"/>
      <sheetName val="[Spt-BH.xls][Spt-BH_xls]B___402"/>
      <sheetName val="[Spt-BH.xls][Spt-BH_xls]B___403"/>
      <sheetName val="[Spt-BH.xls][Spt-BH_xls]B___404"/>
      <sheetName val="[Spt-BH.xls][Spt-BH_xls]B___405"/>
      <sheetName val="[Spt-BH.xls][Spt-BH_xls]B___406"/>
      <sheetName val="[Spt-BH.xls][Spt-BH_xls]B___422"/>
      <sheetName val="[Spt-BH.xls][Spt-BH_xls]B___423"/>
      <sheetName val="[Spt-BH.xls][Spt-BH_xls]B___424"/>
      <sheetName val="[Spt-BH.xls][Spt-BH_xls]B___425"/>
      <sheetName val="[Spt-BH.xls][Spt-BH_xls]B___426"/>
      <sheetName val="[Spt-BH.xls][Spt-BH_xls]B___412"/>
      <sheetName val="[Spt-BH.xls][Spt-BH_xls]B___413"/>
      <sheetName val="[Spt-BH.xls][Spt-BH_xls]B___414"/>
      <sheetName val="[Spt-BH.xls][Spt-BH_xls]B___415"/>
      <sheetName val="[Spt-BH.xls][Spt-BH_xls]B___416"/>
      <sheetName val="[Spt-BH.xls][Spt-BH_xls]B___417"/>
      <sheetName val="[Spt-BH.xls][Spt-BH_xls]B___418"/>
      <sheetName val="[Spt-BH.xls][Spt-BH_xls]B___419"/>
      <sheetName val="[Spt-BH.xls][Spt-BH_xls]B___420"/>
      <sheetName val="[Spt-BH.xls][Spt-BH_xls]B___421"/>
      <sheetName val="[Spt-BH.xls][Spt-BH_xls]B___427"/>
      <sheetName val="[Spt-BH.xls][Spt-BH_xls]B___428"/>
      <sheetName val="[Spt-BH.xls][Spt-BH_xls]B___429"/>
      <sheetName val="[Spt-BH.xls][Spt-BH_xls]B___430"/>
      <sheetName val="[Spt-BH.xls][Spt-BH_xls]B___431"/>
      <sheetName val="[Spt-BH.xls][Spt-BH_xls]B___522"/>
      <sheetName val="[Spt-BH.xls][Spt-BH_xls]B___523"/>
      <sheetName val="[Spt-BH.xls][Spt-BH_xls]B___524"/>
      <sheetName val="[Spt-BH.xls][Spt-BH_xls]B___525"/>
      <sheetName val="[Spt-BH.xls][Spt-BH_xls]B___526"/>
      <sheetName val="[Spt-BH.xls][Spt-BH_xls]B___432"/>
      <sheetName val="[Spt-BH.xls][Spt-BH_xls]B___433"/>
      <sheetName val="[Spt-BH.xls][Spt-BH_xls]B___434"/>
      <sheetName val="[Spt-BH.xls][Spt-BH_xls]B___435"/>
      <sheetName val="[Spt-BH.xls][Spt-BH_xls]B___436"/>
      <sheetName val="[Spt-BH.xls][Spt-BH_xls]B___437"/>
      <sheetName val="[Spt-BH.xls][Spt-BH_xls]B___438"/>
      <sheetName val="[Spt-BH.xls][Spt-BH_xls]B___439"/>
      <sheetName val="[Spt-BH.xls][Spt-BH_xls]B___440"/>
      <sheetName val="[Spt-BH.xls][Spt-BH_xls]B___441"/>
      <sheetName val="[Spt-BH.xls][Spt-BH_xls]B___452"/>
      <sheetName val="[Spt-BH.xls][Spt-BH_xls]B___453"/>
      <sheetName val="[Spt-BH.xls][Spt-BH_xls]B___454"/>
      <sheetName val="[Spt-BH.xls][Spt-BH_xls]B___455"/>
      <sheetName val="[Spt-BH.xls][Spt-BH_xls]B___456"/>
      <sheetName val="[Spt-BH.xls][Spt-BH_xls]B___442"/>
      <sheetName val="[Spt-BH.xls][Spt-BH_xls]B___443"/>
      <sheetName val="[Spt-BH.xls][Spt-BH_xls]B___444"/>
      <sheetName val="[Spt-BH.xls][Spt-BH_xls]B___445"/>
      <sheetName val="[Spt-BH.xls][Spt-BH_xls]B___446"/>
      <sheetName val="[Spt-BH.xls][Spt-BH_xls]B___447"/>
      <sheetName val="[Spt-BH.xls][Spt-BH_xls]B___448"/>
      <sheetName val="[Spt-BH.xls][Spt-BH_xls]B___449"/>
      <sheetName val="[Spt-BH.xls][Spt-BH_xls]B___450"/>
      <sheetName val="[Spt-BH.xls][Spt-BH_xls]B___451"/>
      <sheetName val="[Spt-BH.xls][Spt-BH_xls]B___462"/>
      <sheetName val="[Spt-BH.xls][Spt-BH_xls]B___463"/>
      <sheetName val="[Spt-BH.xls][Spt-BH_xls]B___464"/>
      <sheetName val="[Spt-BH.xls][Spt-BH_xls]B___465"/>
      <sheetName val="[Spt-BH.xls][Spt-BH_xls]B___466"/>
      <sheetName val="[Spt-BH.xls][Spt-BH_xls]B___457"/>
      <sheetName val="[Spt-BH.xls][Spt-BH_xls]B___458"/>
      <sheetName val="[Spt-BH.xls][Spt-BH_xls]B___459"/>
      <sheetName val="[Spt-BH.xls][Spt-BH_xls]B___460"/>
      <sheetName val="[Spt-BH.xls][Spt-BH_xls]B___461"/>
      <sheetName val="[Spt-BH.xls][Spt-BH_xls]B___467"/>
      <sheetName val="[Spt-BH.xls][Spt-BH_xls]B___468"/>
      <sheetName val="[Spt-BH.xls][Spt-BH_xls]B___469"/>
      <sheetName val="[Spt-BH.xls][Spt-BH_xls]B___470"/>
      <sheetName val="[Spt-BH.xls][Spt-BH_xls]B___471"/>
      <sheetName val="[Spt-BH.xls][Spt-BH_xls]B___472"/>
      <sheetName val="[Spt-BH.xls][Spt-BH_xls]B___473"/>
      <sheetName val="[Spt-BH.xls][Spt-BH_xls]B___474"/>
      <sheetName val="[Spt-BH.xls][Spt-BH_xls]B___475"/>
      <sheetName val="[Spt-BH.xls][Spt-BH_xls]B___476"/>
      <sheetName val="[Spt-BH.xls][Spt-BH_xls]B___482"/>
      <sheetName val="[Spt-BH.xls][Spt-BH_xls]B___483"/>
      <sheetName val="[Spt-BH.xls][Spt-BH_xls]B___484"/>
      <sheetName val="[Spt-BH.xls][Spt-BH_xls]B___485"/>
      <sheetName val="[Spt-BH.xls][Spt-BH_xls]B___486"/>
      <sheetName val="[Spt-BH.xls][Spt-BH_xls]B___477"/>
      <sheetName val="[Spt-BH.xls][Spt-BH_xls]B___478"/>
      <sheetName val="[Spt-BH.xls][Spt-BH_xls]B___479"/>
      <sheetName val="[Spt-BH.xls][Spt-BH_xls]B___480"/>
      <sheetName val="[Spt-BH.xls][Spt-BH_xls]B___481"/>
      <sheetName val="[Spt-BH.xls][Spt-BH_xls]B___487"/>
      <sheetName val="[Spt-BH.xls][Spt-BH_xls]B___488"/>
      <sheetName val="[Spt-BH.xls][Spt-BH_xls]B___489"/>
      <sheetName val="[Spt-BH.xls][Spt-BH_xls]B___490"/>
      <sheetName val="[Spt-BH.xls][Spt-BH_xls]B___491"/>
      <sheetName val="[Spt-BH.xls][Spt-BH_xls]B___492"/>
      <sheetName val="[Spt-BH.xls][Spt-BH_xls]B___493"/>
      <sheetName val="[Spt-BH.xls][Spt-BH_xls]B___494"/>
      <sheetName val="[Spt-BH.xls][Spt-BH_xls]B___495"/>
      <sheetName val="[Spt-BH.xls][Spt-BH_xls]B___496"/>
      <sheetName val="[Spt-BH.xls][Spt-BH_xls]B___502"/>
      <sheetName val="[Spt-BH.xls][Spt-BH_xls]B___503"/>
      <sheetName val="[Spt-BH.xls][Spt-BH_xls]B___504"/>
      <sheetName val="[Spt-BH.xls][Spt-BH_xls]B___505"/>
      <sheetName val="[Spt-BH.xls][Spt-BH_xls]B___506"/>
      <sheetName val="[Spt-BH.xls][Spt-BH_xls]B___497"/>
      <sheetName val="[Spt-BH.xls][Spt-BH_xls]B___498"/>
      <sheetName val="[Spt-BH.xls][Spt-BH_xls]B___499"/>
      <sheetName val="[Spt-BH.xls][Spt-BH_xls]B___500"/>
      <sheetName val="[Spt-BH.xls][Spt-BH_xls]B___501"/>
      <sheetName val="[Spt-BH.xls][Spt-BH_xls]B___517"/>
      <sheetName val="[Spt-BH.xls][Spt-BH_xls]B___518"/>
      <sheetName val="[Spt-BH.xls][Spt-BH_xls]B___519"/>
      <sheetName val="[Spt-BH.xls][Spt-BH_xls]B___520"/>
      <sheetName val="[Spt-BH.xls][Spt-BH_xls]B___521"/>
      <sheetName val="[Spt-BH.xls][Spt-BH_xls]B___507"/>
      <sheetName val="[Spt-BH.xls][Spt-BH_xls]B___508"/>
      <sheetName val="[Spt-BH.xls][Spt-BH_xls]B___509"/>
      <sheetName val="[Spt-BH.xls][Spt-BH_xls]B___510"/>
      <sheetName val="[Spt-BH.xls][Spt-BH_xls]B___511"/>
      <sheetName val="[Spt-BH.xls][Spt-BH_xls]B___512"/>
      <sheetName val="[Spt-BH.xls][Spt-BH_xls]B___513"/>
      <sheetName val="[Spt-BH.xls][Spt-BH_xls]B___514"/>
      <sheetName val="[Spt-BH.xls][Spt-BH_xls]B___515"/>
      <sheetName val="[Spt-BH.xls][Spt-BH_xls]B___516"/>
      <sheetName val="[Spt-BH.xls][Spt-BH_xls]B___527"/>
      <sheetName val="[Spt-BH.xls][Spt-BH_xls]B___528"/>
      <sheetName val="[Spt-BH.xls][Spt-BH_xls]B___529"/>
      <sheetName val="[Spt-BH.xls][Spt-BH_xls]B___530"/>
      <sheetName val="[Spt-BH.xls][Spt-BH_xls]B___531"/>
      <sheetName val="[Spt-BH.xls][Spt-BH_xls]B___532"/>
      <sheetName val="[Spt-BH.xls][Spt-BH_xls]B___533"/>
      <sheetName val="[Spt-BH.xls][Spt-BH_xls]B___534"/>
      <sheetName val="[Spt-BH.xls][Spt-BH_xls]B___535"/>
      <sheetName val="[Spt-BH.xls][Spt-BH_xls]B___536"/>
      <sheetName val="[Spt-BH.xls][Spt-BH_xls]B___637"/>
      <sheetName val="[Spt-BH.xls][Spt-BH_xls]B___638"/>
      <sheetName val="[Spt-BH.xls][Spt-BH_xls]B___639"/>
      <sheetName val="[Spt-BH.xls][Spt-BH_xls]B___640"/>
      <sheetName val="[Spt-BH.xls][Spt-BH_xls]B___641"/>
      <sheetName val="[Spt-BH.xls][Spt-BH_xls]B___542"/>
      <sheetName val="[Spt-BH.xls][Spt-BH_xls]B___543"/>
      <sheetName val="[Spt-BH.xls][Spt-BH_xls]B___544"/>
      <sheetName val="[Spt-BH.xls][Spt-BH_xls]B___545"/>
      <sheetName val="[Spt-BH.xls][Spt-BH_xls]B___546"/>
      <sheetName val="[Spt-BH.xls][Spt-BH_xls]B___537"/>
      <sheetName val="[Spt-BH.xls][Spt-BH_xls]B___538"/>
      <sheetName val="[Spt-BH.xls][Spt-BH_xls]B___539"/>
      <sheetName val="[Spt-BH.xls][Spt-BH_xls]B___540"/>
      <sheetName val="[Spt-BH.xls][Spt-BH_xls]B___541"/>
      <sheetName val="[Spt-BH.xls][Spt-BH_xls]B___547"/>
      <sheetName val="[Spt-BH.xls][Spt-BH_xls]B___548"/>
      <sheetName val="[Spt-BH.xls][Spt-BH_xls]B___549"/>
      <sheetName val="[Spt-BH.xls][Spt-BH_xls]B___550"/>
      <sheetName val="[Spt-BH.xls][Spt-BH_xls]B___551"/>
      <sheetName val="[Spt-BH.xls][Spt-BH_xls]B___552"/>
      <sheetName val="[Spt-BH.xls][Spt-BH_xls]B___553"/>
      <sheetName val="[Spt-BH.xls][Spt-BH_xls]B___554"/>
      <sheetName val="[Spt-BH.xls][Spt-BH_xls]B___555"/>
      <sheetName val="[Spt-BH.xls][Spt-BH_xls]B___556"/>
      <sheetName val="[Spt-BH.xls][Spt-BH_xls]B___562"/>
      <sheetName val="[Spt-BH.xls][Spt-BH_xls]B___563"/>
      <sheetName val="[Spt-BH.xls][Spt-BH_xls]B___564"/>
      <sheetName val="[Spt-BH.xls][Spt-BH_xls]B___565"/>
      <sheetName val="[Spt-BH.xls][Spt-BH_xls]B___566"/>
      <sheetName val="[Spt-BH.xls][Spt-BH_xls]B___557"/>
      <sheetName val="[Spt-BH.xls][Spt-BH_xls]B___558"/>
      <sheetName val="[Spt-BH.xls][Spt-BH_xls]B___559"/>
      <sheetName val="[Spt-BH.xls][Spt-BH_xls]B___560"/>
      <sheetName val="[Spt-BH.xls][Spt-BH_xls]B___561"/>
      <sheetName val="[Spt-BH.xls][Spt-BH_xls]B___592"/>
      <sheetName val="[Spt-BH.xls][Spt-BH_xls]B___593"/>
      <sheetName val="[Spt-BH.xls][Spt-BH_xls]B___594"/>
      <sheetName val="[Spt-BH.xls][Spt-BH_xls]B___595"/>
      <sheetName val="[Spt-BH.xls][Spt-BH_xls]B___596"/>
      <sheetName val="[Spt-BH.xls][Spt-BH_xls]B___567"/>
      <sheetName val="[Spt-BH.xls][Spt-BH_xls]B___568"/>
      <sheetName val="[Spt-BH.xls][Spt-BH_xls]B___569"/>
      <sheetName val="[Spt-BH.xls][Spt-BH_xls]B___570"/>
      <sheetName val="[Spt-BH.xls][Spt-BH_xls]B___571"/>
      <sheetName val="[Spt-BH.xls][Spt-BH_xls]B___572"/>
      <sheetName val="[Spt-BH.xls][Spt-BH_xls]B___573"/>
      <sheetName val="[Spt-BH.xls][Spt-BH_xls]B___574"/>
      <sheetName val="[Spt-BH.xls][Spt-BH_xls]B___575"/>
      <sheetName val="[Spt-BH.xls][Spt-BH_xls]B___576"/>
      <sheetName val="[Spt-BH.xls][Spt-BH_xls]B___577"/>
      <sheetName val="[Spt-BH.xls][Spt-BH_xls]B___578"/>
      <sheetName val="[Spt-BH.xls][Spt-BH_xls]B___579"/>
      <sheetName val="[Spt-BH.xls][Spt-BH_xls]B___580"/>
      <sheetName val="[Spt-BH.xls][Spt-BH_xls]B___581"/>
      <sheetName val="[Spt-BH.xls][Spt-BH_xls]B___582"/>
      <sheetName val="[Spt-BH.xls][Spt-BH_xls]B___583"/>
      <sheetName val="[Spt-BH.xls][Spt-BH_xls]B___584"/>
      <sheetName val="[Spt-BH.xls][Spt-BH_xls]B___585"/>
      <sheetName val="[Spt-BH.xls][Spt-BH_xls]B___586"/>
      <sheetName val="[Spt-BH.xls][Spt-BH_xls]B___587"/>
      <sheetName val="[Spt-BH.xls][Spt-BH_xls]B___588"/>
      <sheetName val="[Spt-BH.xls][Spt-BH_xls]B___589"/>
      <sheetName val="[Spt-BH.xls][Spt-BH_xls]B___590"/>
      <sheetName val="[Spt-BH.xls][Spt-BH_xls]B___591"/>
      <sheetName val="[Spt-BH.xls][Spt-BH_xls]B___597"/>
      <sheetName val="[Spt-BH.xls][Spt-BH_xls]B___598"/>
      <sheetName val="[Spt-BH.xls][Spt-BH_xls]B___599"/>
      <sheetName val="[Spt-BH.xls][Spt-BH_xls]B___600"/>
      <sheetName val="[Spt-BH.xls][Spt-BH_xls]B___601"/>
      <sheetName val="[Spt-BH.xls][Spt-BH_xls]B___607"/>
      <sheetName val="[Spt-BH.xls][Spt-BH_xls]B___608"/>
      <sheetName val="[Spt-BH.xls][Spt-BH_xls]B___609"/>
      <sheetName val="[Spt-BH.xls][Spt-BH_xls]B___610"/>
      <sheetName val="[Spt-BH.xls][Spt-BH_xls]B___611"/>
      <sheetName val="[Spt-BH.xls][Spt-BH_xls]B___602"/>
      <sheetName val="[Spt-BH.xls][Spt-BH_xls]B___603"/>
      <sheetName val="[Spt-BH.xls][Spt-BH_xls]B___604"/>
      <sheetName val="[Spt-BH.xls][Spt-BH_xls]B___605"/>
      <sheetName val="[Spt-BH.xls][Spt-BH_xls]B___606"/>
      <sheetName val="[Spt-BH.xls][Spt-BH_xls]B___617"/>
      <sheetName val="[Spt-BH.xls][Spt-BH_xls]B___618"/>
      <sheetName val="[Spt-BH.xls][Spt-BH_xls]B___619"/>
      <sheetName val="[Spt-BH.xls][Spt-BH_xls]B___620"/>
      <sheetName val="[Spt-BH.xls][Spt-BH_xls]B___621"/>
      <sheetName val="[Spt-BH.xls][Spt-BH_xls]B___612"/>
      <sheetName val="[Spt-BH.xls][Spt-BH_xls]B___613"/>
      <sheetName val="[Spt-BH.xls][Spt-BH_xls]B___614"/>
      <sheetName val="[Spt-BH.xls][Spt-BH_xls]B___615"/>
      <sheetName val="[Spt-BH.xls][Spt-BH_xls]B___616"/>
      <sheetName val="[Spt-BH.xls][Spt-BH_xls]B___632"/>
      <sheetName val="[Spt-BH.xls][Spt-BH_xls]B___633"/>
      <sheetName val="[Spt-BH.xls][Spt-BH_xls]B___634"/>
      <sheetName val="[Spt-BH.xls][Spt-BH_xls]B___635"/>
      <sheetName val="[Spt-BH.xls][Spt-BH_xls]B___636"/>
      <sheetName val="[Spt-BH.xls][Spt-BH_xls]B___622"/>
      <sheetName val="[Spt-BH.xls][Spt-BH_xls]B___623"/>
      <sheetName val="[Spt-BH.xls][Spt-BH_xls]B___624"/>
      <sheetName val="[Spt-BH.xls][Spt-BH_xls]B___625"/>
      <sheetName val="[Spt-BH.xls][Spt-BH_xls]B___626"/>
      <sheetName val="[Spt-BH.xls][Spt-BH_xls]B___627"/>
      <sheetName val="[Spt-BH.xls][Spt-BH_xls]B___628"/>
      <sheetName val="[Spt-BH.xls][Spt-BH_xls]B___629"/>
      <sheetName val="[Spt-BH.xls][Spt-BH_xls]B___630"/>
      <sheetName val="[Spt-BH.xls][Spt-BH_xls]B___631"/>
      <sheetName val="(10) Other Costs5"/>
      <sheetName val="[Spt-BH.xls][Spt-BH.xls]_Sp_784"/>
      <sheetName val="[Spt-BH.xls][Spt-BH.xls]_Sp_780"/>
      <sheetName val="[Spt-BH.xls][Spt-BH.xls]_Sp_781"/>
      <sheetName val="[Spt-BH.xls][Spt-BH.xls]_Sp_782"/>
      <sheetName val="[Spt-BH.xls][Spt-BH.xls]_Sp_783"/>
      <sheetName val="[Spt-BH.xls][Spt-BH_xls]B___642"/>
      <sheetName val="[Spt-BH.xls][Spt-BH_xls]B___643"/>
      <sheetName val="[Spt-BH.xls][Spt-BH_xls]B___644"/>
      <sheetName val="[Spt-BH.xls][Spt-BH_xls]B___645"/>
      <sheetName val="[Spt-BH.xls][Spt-BH_xls]B___646"/>
      <sheetName val="[Spt-BH.xls][Spt-BH_xls]B___647"/>
      <sheetName val="[Spt-BH.xls][Spt-BH_xls]B___648"/>
      <sheetName val="[Spt-BH.xls][Spt-BH_xls]B___649"/>
      <sheetName val="[Spt-BH.xls][Spt-BH_xls]B___650"/>
      <sheetName val="[Spt-BH.xls][Spt-BH_xls]B___651"/>
      <sheetName val="[Spt-BH.xls][Spt-BH_xls]B___652"/>
      <sheetName val="[Spt-BH.xls][Spt-BH_xls]B___653"/>
      <sheetName val="[Spt-BH.xls][Spt-BH_xls]B___654"/>
      <sheetName val="[Spt-BH.xls][Spt-BH_xls]B___655"/>
      <sheetName val="[Spt-BH.xls][Spt-BH_xls]B___656"/>
      <sheetName val="[Spt-BH.xls][Spt-BH_xls]B___657"/>
      <sheetName val="[Spt-BH.xls][Spt-BH_xls]B___658"/>
      <sheetName val="[Spt-BH.xls][Spt-BH_xls]B___659"/>
      <sheetName val="[Spt-BH.xls][Spt-BH_xls]B___660"/>
      <sheetName val="[Spt-BH.xls][Spt-BH_xls]B___661"/>
      <sheetName val="[Spt-BH.xls][Spt-BH_xls]B___737"/>
      <sheetName val="[Spt-BH.xls][Spt-BH_xls]B___738"/>
      <sheetName val="[Spt-BH.xls][Spt-BH_xls]B___739"/>
      <sheetName val="[Spt-BH.xls][Spt-BH_xls]B___740"/>
      <sheetName val="[Spt-BH.xls][Spt-BH_xls]B___741"/>
      <sheetName val="[Spt-BH.xls][Spt-BH_xls]B___667"/>
      <sheetName val="[Spt-BH.xls][Spt-BH_xls]B___668"/>
      <sheetName val="[Spt-BH.xls][Spt-BH_xls]B___669"/>
      <sheetName val="[Spt-BH.xls][Spt-BH_xls]B___670"/>
      <sheetName val="[Spt-BH.xls][Spt-BH_xls]B___671"/>
      <sheetName val="[Spt-BH.xls][Spt-BH_xls]B___662"/>
      <sheetName val="[Spt-BH.xls][Spt-BH_xls]B___663"/>
      <sheetName val="[Spt-BH.xls][Spt-BH_xls]B___664"/>
      <sheetName val="[Spt-BH.xls][Spt-BH_xls]B___665"/>
      <sheetName val="[Spt-BH.xls][Spt-BH_xls]B___666"/>
      <sheetName val="[Spt-BH.xls][Spt-BH_xls]B___672"/>
      <sheetName val="[Spt-BH.xls][Spt-BH_xls]B___673"/>
      <sheetName val="[Spt-BH.xls][Spt-BH_xls]B___674"/>
      <sheetName val="[Spt-BH.xls][Spt-BH_xls]B___675"/>
      <sheetName val="[Spt-BH.xls][Spt-BH_xls]B___676"/>
      <sheetName val="[Spt-BH.xls][Spt-BH_xls]B___677"/>
      <sheetName val="[Spt-BH.xls][Spt-BH_xls]B___678"/>
      <sheetName val="[Spt-BH.xls][Spt-BH_xls]B___679"/>
      <sheetName val="[Spt-BH.xls][Spt-BH_xls]B___680"/>
      <sheetName val="[Spt-BH.xls][Spt-BH_xls]B___681"/>
      <sheetName val="[Spt-BH.xls][Spt-BH_xls]B___682"/>
      <sheetName val="[Spt-BH.xls][Spt-BH_xls]B___683"/>
      <sheetName val="[Spt-BH.xls][Spt-BH_xls]B___684"/>
      <sheetName val="[Spt-BH.xls][Spt-BH_xls]B___685"/>
      <sheetName val="[Spt-BH.xls][Spt-BH_xls]B___686"/>
      <sheetName val="[Spt-BH.xls][Spt-BH_xls]B___687"/>
      <sheetName val="[Spt-BH.xls][Spt-BH_xls]B___688"/>
      <sheetName val="[Spt-BH.xls][Spt-BH_xls]B___689"/>
      <sheetName val="[Spt-BH.xls][Spt-BH_xls]B___690"/>
      <sheetName val="[Spt-BH.xls][Spt-BH_xls]B___691"/>
      <sheetName val="[Spt-BH.xls][Spt-BH_xls]B___692"/>
      <sheetName val="[Spt-BH.xls][Spt-BH_xls]B___693"/>
      <sheetName val="[Spt-BH.xls][Spt-BH_xls]B___694"/>
      <sheetName val="[Spt-BH.xls][Spt-BH_xls]B___695"/>
      <sheetName val="[Spt-BH.xls][Spt-BH_xls]B___696"/>
      <sheetName val="[Spt-BH.xls][Spt-BH_xls]B___697"/>
      <sheetName val="[Spt-BH.xls][Spt-BH_xls]B___698"/>
      <sheetName val="[Spt-BH.xls][Spt-BH_xls]B___699"/>
      <sheetName val="[Spt-BH.xls][Spt-BH_xls]B___700"/>
      <sheetName val="[Spt-BH.xls][Spt-BH_xls]B___701"/>
      <sheetName val="[Spt-BH.xls][Spt-BH_xls]B___702"/>
      <sheetName val="[Spt-BH.xls][Spt-BH_xls]B___703"/>
      <sheetName val="[Spt-BH.xls][Spt-BH_xls]B___704"/>
      <sheetName val="[Spt-BH.xls][Spt-BH_xls]B___705"/>
      <sheetName val="[Spt-BH.xls][Spt-BH_xls]B___706"/>
      <sheetName val="[Spt-BH.xls][Spt-BH_xls]B___707"/>
      <sheetName val="[Spt-BH.xls][Spt-BH_xls]B___708"/>
      <sheetName val="[Spt-BH.xls][Spt-BH_xls]B___709"/>
      <sheetName val="[Spt-BH.xls][Spt-BH_xls]B___710"/>
      <sheetName val="[Spt-BH.xls][Spt-BH_xls]B___711"/>
      <sheetName val="[Spt-BH.xls][Spt-BH_xls]B___712"/>
      <sheetName val="[Spt-BH.xls][Spt-BH_xls]B___713"/>
      <sheetName val="[Spt-BH.xls][Spt-BH_xls]B___714"/>
      <sheetName val="[Spt-BH.xls][Spt-BH_xls]B___715"/>
      <sheetName val="[Spt-BH.xls][Spt-BH_xls]B___716"/>
      <sheetName val="[Spt-BH.xls][Spt-BH_xls]B___717"/>
      <sheetName val="[Spt-BH.xls][Spt-BH_xls]B___718"/>
      <sheetName val="[Spt-BH.xls][Spt-BH_xls]B___719"/>
      <sheetName val="[Spt-BH.xls][Spt-BH_xls]B___720"/>
      <sheetName val="[Spt-BH.xls][Spt-BH_xls]B___721"/>
      <sheetName val="[Spt-BH.xls][Spt-BH_xls]B___722"/>
      <sheetName val="[Spt-BH.xls][Spt-BH_xls]B___723"/>
      <sheetName val="[Spt-BH.xls][Spt-BH_xls]B___724"/>
      <sheetName val="[Spt-BH.xls][Spt-BH_xls]B___725"/>
      <sheetName val="[Spt-BH.xls][Spt-BH_xls]B___726"/>
      <sheetName val="[Spt-BH.xls][Spt-BH_xls]B___727"/>
      <sheetName val="[Spt-BH.xls][Spt-BH_xls]B___728"/>
      <sheetName val="[Spt-BH.xls][Spt-BH_xls]B___729"/>
      <sheetName val="[Spt-BH.xls][Spt-BH_xls]B___730"/>
      <sheetName val="[Spt-BH.xls][Spt-BH_xls]B___731"/>
      <sheetName val="[Spt-BH.xls][Spt-BH_xls]B___732"/>
      <sheetName val="[Spt-BH.xls][Spt-BH_xls]B___733"/>
      <sheetName val="[Spt-BH.xls][Spt-BH_xls]B___734"/>
      <sheetName val="[Spt-BH.xls][Spt-BH_xls]B___735"/>
      <sheetName val="[Spt-BH.xls][Spt-BH_xls]B___736"/>
      <sheetName val="[Spt-BH.xls][Spt-BH_xls]B___742"/>
      <sheetName val="[Spt-BH.xls][Spt-BH_xls]B___743"/>
      <sheetName val="[Spt-BH.xls][Spt-BH_xls]B___744"/>
      <sheetName val="[Spt-BH.xls][Spt-BH_xls]B___745"/>
      <sheetName val="[Spt-BH.xls][Spt-BH_xls]B___746"/>
      <sheetName val="[Spt-BH.xls][Spt-BH_xls]B___747"/>
      <sheetName val="[Spt-BH.xls][Spt-BH_xls]B___748"/>
      <sheetName val="[Spt-BH.xls][Spt-BH_xls]B___749"/>
      <sheetName val="[Spt-BH.xls][Spt-BH_xls]B___750"/>
      <sheetName val="[Spt-BH.xls][Spt-BH_xls]B___751"/>
      <sheetName val="[Spt-BH.xls][Spt-BH_xls]B___752"/>
      <sheetName val="[Spt-BH.xls][Spt-BH_xls]B___753"/>
      <sheetName val="[Spt-BH.xls][Spt-BH_xls]B___754"/>
      <sheetName val="[Spt-BH.xls][Spt-BH_xls]B___755"/>
      <sheetName val="[Spt-BH.xls][Spt-BH_xls]B___756"/>
      <sheetName val="[Spt-BH.xls]B____x005f_x0004______181"/>
      <sheetName val="[Spt-BH.xls]B___x005f_x0000__x000_181"/>
      <sheetName val="[Spt-BH.xls][Spt-BH_xls]B___857"/>
      <sheetName val="[Spt-BH.xls][Spt-BH_xls]B___858"/>
      <sheetName val="[Spt-BH.xls][Spt-BH_xls]B___859"/>
      <sheetName val="[Spt-BH.xls][Spt-BH_xls]B___860"/>
      <sheetName val="[Spt-BH.xls][Spt-BH_xls]B___861"/>
      <sheetName val="[Spt-BH.xls]B____x005f_x0004______171"/>
      <sheetName val="[Spt-BH.xls]B___x005f_x0000__x000_171"/>
      <sheetName val="[Spt-BH.xls][Spt-BH_xls]B___807"/>
      <sheetName val="[Spt-BH.xls][Spt-BH_xls]B___808"/>
      <sheetName val="[Spt-BH.xls][Spt-BH_xls]B___809"/>
      <sheetName val="[Spt-BH.xls][Spt-BH_xls]B___810"/>
      <sheetName val="[Spt-BH.xls][Spt-BH_xls]B___811"/>
      <sheetName val="[Spt-BH.xls][Spt-BH_xls]B___762"/>
      <sheetName val="[Spt-BH.xls][Spt-BH_xls]B___763"/>
      <sheetName val="[Spt-BH.xls][Spt-BH_xls]B___764"/>
      <sheetName val="[Spt-BH.xls][Spt-BH_xls]B___765"/>
      <sheetName val="[Spt-BH.xls][Spt-BH_xls]B___766"/>
      <sheetName val="[Spt-BH.xls][Spt-BH_xls]B___757"/>
      <sheetName val="[Spt-BH.xls][Spt-BH_xls]B___758"/>
      <sheetName val="[Spt-BH.xls][Spt-BH_xls]B___759"/>
      <sheetName val="[Spt-BH.xls][Spt-BH_xls]B___760"/>
      <sheetName val="[Spt-BH.xls][Spt-BH_xls]B___761"/>
      <sheetName val="[Spt-BH.xls][Spt-BH_xls]B___777"/>
      <sheetName val="[Spt-BH.xls][Spt-BH_xls]B___778"/>
      <sheetName val="[Spt-BH.xls][Spt-BH_xls]B___779"/>
      <sheetName val="[Spt-BH.xls][Spt-BH_xls]B___780"/>
      <sheetName val="[Spt-BH.xls][Spt-BH_xls]B___781"/>
      <sheetName val="[Spt-BH.xls][Spt-BH_xls]B___767"/>
      <sheetName val="[Spt-BH.xls][Spt-BH_xls]B___768"/>
      <sheetName val="[Spt-BH.xls][Spt-BH_xls]B___769"/>
      <sheetName val="[Spt-BH.xls][Spt-BH_xls]B___770"/>
      <sheetName val="[Spt-BH.xls][Spt-BH_xls]B___771"/>
      <sheetName val="[Spt-BH.xls][Spt-BH_xls]B___772"/>
      <sheetName val="[Spt-BH.xls][Spt-BH_xls]B___773"/>
      <sheetName val="[Spt-BH.xls][Spt-BH_xls]B___774"/>
      <sheetName val="[Spt-BH.xls][Spt-BH_xls]B___775"/>
      <sheetName val="[Spt-BH.xls][Spt-BH_xls]B___776"/>
      <sheetName val="[Spt-BH.xls]B____x005f_x0004______166"/>
      <sheetName val="[Spt-BH.xls]B___x005f_x0000__x000_166"/>
      <sheetName val="[Spt-BH.xls][Spt-BH_xls]B___782"/>
      <sheetName val="[Spt-BH.xls][Spt-BH_xls]B___783"/>
      <sheetName val="[Spt-BH.xls][Spt-BH_xls]B___784"/>
      <sheetName val="[Spt-BH.xls][Spt-BH_xls]B___785"/>
      <sheetName val="[Spt-BH.xls][Spt-BH_xls]B___786"/>
      <sheetName val="[Spt-BH.xls]B____x005f_x0004______168"/>
      <sheetName val="[Spt-BH.xls]B___x005f_x0000__x000_168"/>
      <sheetName val="[Spt-BH.xls][Spt-BH_xls]B___792"/>
      <sheetName val="[Spt-BH.xls][Spt-BH_xls]B___793"/>
      <sheetName val="[Spt-BH.xls][Spt-BH_xls]B___794"/>
      <sheetName val="[Spt-BH.xls][Spt-BH_xls]B___795"/>
      <sheetName val="[Spt-BH.xls][Spt-BH_xls]B___796"/>
      <sheetName val="[Spt-BH.xls]B____x005f_x0004______167"/>
      <sheetName val="[Spt-BH.xls]B___x005f_x0000__x000_167"/>
      <sheetName val="[Spt-BH.xls][Spt-BH_xls]B___787"/>
      <sheetName val="[Spt-BH.xls][Spt-BH_xls]B___788"/>
      <sheetName val="[Spt-BH.xls][Spt-BH_xls]B___789"/>
      <sheetName val="[Spt-BH.xls][Spt-BH_xls]B___790"/>
      <sheetName val="[Spt-BH.xls][Spt-BH_xls]B___791"/>
      <sheetName val="[Spt-BH.xls]B____x005f_x0004______170"/>
      <sheetName val="[Spt-BH.xls]B___x005f_x0000__x000_170"/>
      <sheetName val="[Spt-BH.xls][Spt-BH_xls]B___802"/>
      <sheetName val="[Spt-BH.xls][Spt-BH_xls]B___803"/>
      <sheetName val="[Spt-BH.xls][Spt-BH_xls]B___804"/>
      <sheetName val="[Spt-BH.xls][Spt-BH_xls]B___805"/>
      <sheetName val="[Spt-BH.xls][Spt-BH_xls]B___806"/>
      <sheetName val="[Spt-BH.xls]B____x005f_x0004______169"/>
      <sheetName val="[Spt-BH.xls]B___x005f_x0000__x000_169"/>
      <sheetName val="[Spt-BH.xls][Spt-BH_xls]B___797"/>
      <sheetName val="[Spt-BH.xls][Spt-BH_xls]B___798"/>
      <sheetName val="[Spt-BH.xls][Spt-BH_xls]B___799"/>
      <sheetName val="[Spt-BH.xls][Spt-BH_xls]B___800"/>
      <sheetName val="[Spt-BH.xls][Spt-BH_xls]B___801"/>
      <sheetName val="[Spt-BH.xls]B____x005f_x0004______172"/>
      <sheetName val="[Spt-BH.xls]B___x005f_x0000__x000_172"/>
      <sheetName val="[Spt-BH.xls][Spt-BH_xls]B___812"/>
      <sheetName val="[Spt-BH.xls][Spt-BH_xls]B___813"/>
      <sheetName val="[Spt-BH.xls][Spt-BH_xls]B___814"/>
      <sheetName val="[Spt-BH.xls][Spt-BH_xls]B___815"/>
      <sheetName val="[Spt-BH.xls][Spt-BH_xls]B___816"/>
      <sheetName val="[Spt-BH.xls]B____x005f_x0004______173"/>
      <sheetName val="[Spt-BH.xls]B___x005f_x0000__x000_173"/>
      <sheetName val="[Spt-BH.xls][Spt-BH_xls]B___817"/>
      <sheetName val="[Spt-BH.xls][Spt-BH_xls]B___818"/>
      <sheetName val="[Spt-BH.xls][Spt-BH_xls]B___819"/>
      <sheetName val="[Spt-BH.xls][Spt-BH_xls]B___820"/>
      <sheetName val="[Spt-BH.xls][Spt-BH_xls]B___821"/>
      <sheetName val="[Spt-BH.xls]B____x005f_x0004______179"/>
      <sheetName val="[Spt-BH.xls]B___x005f_x0000__x000_179"/>
      <sheetName val="[Spt-BH.xls][Spt-BH_xls]B___847"/>
      <sheetName val="[Spt-BH.xls][Spt-BH_xls]B___848"/>
      <sheetName val="[Spt-BH.xls][Spt-BH_xls]B___849"/>
      <sheetName val="[Spt-BH.xls][Spt-BH_xls]B___850"/>
      <sheetName val="[Spt-BH.xls][Spt-BH_xls]B___851"/>
      <sheetName val="[Spt-BH.xls]B____x005f_x0004______174"/>
      <sheetName val="[Spt-BH.xls]B___x005f_x0000__x000_174"/>
      <sheetName val="[Spt-BH.xls][Spt-BH_xls]B___822"/>
      <sheetName val="[Spt-BH.xls][Spt-BH_xls]B___823"/>
      <sheetName val="[Spt-BH.xls][Spt-BH_xls]B___824"/>
      <sheetName val="[Spt-BH.xls][Spt-BH_xls]B___825"/>
      <sheetName val="[Spt-BH.xls][Spt-BH_xls]B___826"/>
      <sheetName val="[Spt-BH.xls]B____x005f_x0004______175"/>
      <sheetName val="[Spt-BH.xls]B___x005f_x0000__x000_175"/>
      <sheetName val="[Spt-BH.xls][Spt-BH_xls]B___827"/>
      <sheetName val="[Spt-BH.xls][Spt-BH_xls]B___828"/>
      <sheetName val="[Spt-BH.xls][Spt-BH_xls]B___829"/>
      <sheetName val="[Spt-BH.xls][Spt-BH_xls]B___830"/>
      <sheetName val="[Spt-BH.xls][Spt-BH_xls]B___831"/>
      <sheetName val="[Spt-BH.xls]B____x005f_x0004______176"/>
      <sheetName val="[Spt-BH.xls]B___x005f_x0000__x000_176"/>
      <sheetName val="[Spt-BH.xls][Spt-BH_xls]B___832"/>
      <sheetName val="[Spt-BH.xls][Spt-BH_xls]B___833"/>
      <sheetName val="[Spt-BH.xls][Spt-BH_xls]B___834"/>
      <sheetName val="[Spt-BH.xls][Spt-BH_xls]B___835"/>
      <sheetName val="[Spt-BH.xls][Spt-BH_xls]B___836"/>
      <sheetName val="[Spt-BH.xls]B____x005f_x0004______177"/>
      <sheetName val="[Spt-BH.xls]B___x005f_x0000__x000_177"/>
      <sheetName val="[Spt-BH.xls][Spt-BH_xls]B___837"/>
      <sheetName val="[Spt-BH.xls][Spt-BH_xls]B___838"/>
      <sheetName val="[Spt-BH.xls][Spt-BH_xls]B___839"/>
      <sheetName val="[Spt-BH.xls][Spt-BH_xls]B___840"/>
      <sheetName val="[Spt-BH.xls][Spt-BH_xls]B___841"/>
      <sheetName val="[Spt-BH.xls]B____x005f_x0004______178"/>
      <sheetName val="[Spt-BH.xls]B___x005f_x0000__x000_178"/>
      <sheetName val="[Spt-BH.xls][Spt-BH_xls]B___842"/>
      <sheetName val="[Spt-BH.xls][Spt-BH_xls]B___843"/>
      <sheetName val="[Spt-BH.xls][Spt-BH_xls]B___844"/>
      <sheetName val="[Spt-BH.xls][Spt-BH_xls]B___845"/>
      <sheetName val="[Spt-BH.xls][Spt-BH_xls]B___846"/>
      <sheetName val="[Spt-BH.xls]B____x005f_x0004______180"/>
      <sheetName val="[Spt-BH.xls]B___x005f_x0000__x000_180"/>
      <sheetName val="[Spt-BH.xls][Spt-BH_xls]B___852"/>
      <sheetName val="[Spt-BH.xls][Spt-BH_xls]B___853"/>
      <sheetName val="[Spt-BH.xls][Spt-BH_xls]B___854"/>
      <sheetName val="[Spt-BH.xls][Spt-BH_xls]B___855"/>
      <sheetName val="[Spt-BH.xls][Spt-BH_xls]B___856"/>
      <sheetName val="[Spt-BH.xls][Spt-BH.xls]_Sp_785"/>
      <sheetName val="[Spt-BH.xls][Spt-BH.xls]B__2128"/>
      <sheetName val="[Spt-BH.xls][Spt-BH.xls]B__2129"/>
      <sheetName val="[Spt-BH.xls][Spt-BH.xls]_Sp_787"/>
      <sheetName val="[Spt-BH.xls][Spt-BH.xls]B__2130"/>
      <sheetName val="[Spt-BH.xls][Spt-BH.xls]B__2131"/>
      <sheetName val="[Spt-BH.xls][Spt-BH.xls]_Sp_786"/>
      <sheetName val="[Spt-BH.xls][Spt-BH.xls]_Sp_788"/>
      <sheetName val="[Spt-BH.xls][Spt-BH.xls]_Sp_789"/>
      <sheetName val="[Spt-BH.xls][Spt-BH.xls]_Sp_790"/>
      <sheetName val="[Spt-BH.xls][Spt-BH.xls]B__2132"/>
      <sheetName val="[Spt-BH.xls][Spt-BH.xls]B__2133"/>
      <sheetName val="[Spt-BH.xls][Spt-BH.xls]B__2134"/>
      <sheetName val="[Spt-BH.xls][Spt-BH.xls]_Sp_791"/>
      <sheetName val="[Spt-BH.xls][Spt-BH.xls]B__2135"/>
      <sheetName val="[Spt-BH.xls][Spt-BH.xls]B__2136"/>
      <sheetName val="[Spt-BH.xls][Spt-BH.xls]B__2137"/>
      <sheetName val="[Spt-BH.xls][Spt-BH.xls]B__2138"/>
      <sheetName val="[Spt-BH.xls][Spt-BH.xls]B__2139"/>
      <sheetName val="[Spt-BH.xls][Spt-BH.xls]B__2140"/>
      <sheetName val="[Spt-BH.xls][Spt-BH.xls]_Sp_792"/>
      <sheetName val="[Spt-BH.xls][Spt-BH.xls]B__2141"/>
      <sheetName val="[Spt-BH.xls][Spt-BH.xls]B__2142"/>
      <sheetName val="[Spt-BH.xls]B____x005f_x0004______182"/>
      <sheetName val="[Spt-BH.xls]B___x005f_x0000__x000_182"/>
      <sheetName val="[Spt-BH.xls][Spt-BH.xls]B__2143"/>
      <sheetName val="[Spt-BH.xls][Spt-BH.xls]B__2144"/>
      <sheetName val="[Spt-BH.xls][Spt-BH.xls]B__2145"/>
      <sheetName val="[Spt-BH.xls][Spt-BH.xls]B__2146"/>
      <sheetName val="[Spt-BH.xls][Spt-BH.xls]_Sp_793"/>
      <sheetName val="[Spt-BH.xls][Spt-BH.xls]B__2147"/>
      <sheetName val="[Spt-BH.xls][Spt-BH.xls]B__2148"/>
      <sheetName val="[Spt-BH.xls][Spt-BH.xls]B__2149"/>
      <sheetName val="[Spt-BH.xls][Spt-BH.xls]B__2150"/>
      <sheetName val="[Spt-BH.xls][Spt-BH.xls]_Sp_794"/>
      <sheetName val="[Spt-BH.xls][Spt-BH.xls]B__2151"/>
      <sheetName val="[Spt-BH.xls][Spt-BH.xls]_Sp_795"/>
      <sheetName val="Direct co_x0006_"/>
      <sheetName val="B@__x0004_@_x0000"/>
      <sheetName val="[Spt-BH.xls][Spt-BH.xls]B@[_x0004_@"/>
      <sheetName val="B@__x0004_@__$_x0"/>
      <sheetName val="[Spt-BH.xls]B@[_x0000__x0004_@_"/>
      <sheetName val="[Spt-BH.xls][Spt-BH.xls]B__2158"/>
      <sheetName val="[Spt-BH.xls][Spt-BH.xls]B__2159"/>
      <sheetName val="[Spt-BH.xls][Spt-BH.xls]_Sp_798"/>
      <sheetName val="[Spt-BH.xls][Spt-BH.xls]B__2160"/>
      <sheetName val="[Spt-BH.xls][Spt-BH.xls]B__2161"/>
      <sheetName val="[Spt-BH.xls][Spt-BH.xls]B__2162"/>
      <sheetName val="[Spt-BH.xls][Spt-BH.xls]B__2163"/>
      <sheetName val="[Spt-BH.xls][Spt-BH.xls]B__2152"/>
      <sheetName val="[Spt-BH.xls][Spt-BH.xls]B__2153"/>
      <sheetName val="[Spt-BH.xls][Spt-BH.xls]_Sp_797"/>
      <sheetName val="[Spt-BH.xls][Spt-BH.xls]B__2154"/>
      <sheetName val="[Spt-BH.xls][Spt-BH.xls]B__2155"/>
      <sheetName val="[Spt-BH.xls][Spt-BH.xls]B__2156"/>
      <sheetName val="[Spt-BH.xls][Spt-BH.xls]B__2157"/>
      <sheetName val="[Spt-BH.xls][Spt-BH.xls]_Sp_796"/>
      <sheetName val="[Spt-BH.xls][Spt-BH.xls]_Sp_799"/>
      <sheetName val="[Spt-BH.xls][Spt-BH.xls]_Sp_800"/>
    </sheetNames>
    <sheetDataSet>
      <sheetData sheetId="0">
        <row r="1">
          <cell r="J1">
            <v>1.7453292519943295E-2</v>
          </cell>
        </row>
      </sheetData>
      <sheetData sheetId="1">
        <row r="1">
          <cell r="J1">
            <v>1.7453292519943295E-2</v>
          </cell>
        </row>
      </sheetData>
      <sheetData sheetId="2">
        <row r="1">
          <cell r="J1">
            <v>1.7453292519943295E-2</v>
          </cell>
        </row>
      </sheetData>
      <sheetData sheetId="3" refreshError="1">
        <row r="1">
          <cell r="J1">
            <v>1.7453292519943295E-2</v>
          </cell>
        </row>
        <row r="2">
          <cell r="B2">
            <v>1</v>
          </cell>
          <cell r="C2">
            <v>25</v>
          </cell>
          <cell r="E2">
            <v>1</v>
          </cell>
          <cell r="F2">
            <v>1.72</v>
          </cell>
        </row>
        <row r="3">
          <cell r="B3">
            <v>2</v>
          </cell>
          <cell r="C3">
            <v>25</v>
          </cell>
          <cell r="E3">
            <v>2</v>
          </cell>
          <cell r="F3">
            <v>1.55</v>
          </cell>
        </row>
        <row r="4">
          <cell r="B4">
            <v>3</v>
          </cell>
          <cell r="C4">
            <v>25</v>
          </cell>
          <cell r="E4">
            <v>3</v>
          </cell>
          <cell r="F4">
            <v>1.4</v>
          </cell>
        </row>
        <row r="5">
          <cell r="B5">
            <v>4</v>
          </cell>
          <cell r="C5">
            <v>25</v>
          </cell>
          <cell r="E5">
            <v>4</v>
          </cell>
          <cell r="F5">
            <v>1.28</v>
          </cell>
        </row>
        <row r="6">
          <cell r="B6">
            <v>5</v>
          </cell>
          <cell r="C6">
            <v>28</v>
          </cell>
          <cell r="E6">
            <v>5</v>
          </cell>
          <cell r="F6">
            <v>1.2</v>
          </cell>
        </row>
        <row r="7">
          <cell r="B7">
            <v>6</v>
          </cell>
          <cell r="C7">
            <v>28.5</v>
          </cell>
          <cell r="E7">
            <v>6</v>
          </cell>
          <cell r="F7">
            <v>1.1200000000000001</v>
          </cell>
        </row>
        <row r="8">
          <cell r="B8">
            <v>7</v>
          </cell>
          <cell r="C8">
            <v>29</v>
          </cell>
          <cell r="E8">
            <v>7</v>
          </cell>
          <cell r="F8">
            <v>1.0900000000000001</v>
          </cell>
        </row>
        <row r="9">
          <cell r="B9">
            <v>8</v>
          </cell>
          <cell r="C9">
            <v>29</v>
          </cell>
          <cell r="E9">
            <v>8</v>
          </cell>
          <cell r="F9">
            <v>1.05</v>
          </cell>
        </row>
        <row r="10">
          <cell r="B10">
            <v>9</v>
          </cell>
          <cell r="C10">
            <v>30</v>
          </cell>
          <cell r="E10">
            <v>9</v>
          </cell>
          <cell r="F10">
            <v>1.02</v>
          </cell>
        </row>
        <row r="11">
          <cell r="B11">
            <v>10</v>
          </cell>
          <cell r="C11">
            <v>30</v>
          </cell>
          <cell r="E11">
            <v>10</v>
          </cell>
          <cell r="F11">
            <v>1</v>
          </cell>
        </row>
        <row r="12">
          <cell r="B12">
            <v>11</v>
          </cell>
          <cell r="C12">
            <v>30</v>
          </cell>
          <cell r="E12">
            <v>11</v>
          </cell>
          <cell r="F12">
            <v>0.98</v>
          </cell>
        </row>
        <row r="13">
          <cell r="B13">
            <v>12</v>
          </cell>
          <cell r="C13">
            <v>31</v>
          </cell>
          <cell r="E13">
            <v>12</v>
          </cell>
          <cell r="F13">
            <v>0.95</v>
          </cell>
        </row>
        <row r="14">
          <cell r="B14">
            <v>13</v>
          </cell>
          <cell r="C14">
            <v>31</v>
          </cell>
          <cell r="E14">
            <v>13</v>
          </cell>
          <cell r="F14">
            <v>0.91</v>
          </cell>
        </row>
        <row r="15">
          <cell r="B15">
            <v>14</v>
          </cell>
          <cell r="C15">
            <v>31</v>
          </cell>
          <cell r="E15">
            <v>14</v>
          </cell>
          <cell r="F15">
            <v>0.9</v>
          </cell>
        </row>
        <row r="16">
          <cell r="B16">
            <v>15</v>
          </cell>
          <cell r="C16">
            <v>32</v>
          </cell>
          <cell r="E16">
            <v>15</v>
          </cell>
          <cell r="F16">
            <v>0.88</v>
          </cell>
        </row>
        <row r="17">
          <cell r="B17">
            <v>16</v>
          </cell>
          <cell r="C17">
            <v>32</v>
          </cell>
          <cell r="E17">
            <v>16</v>
          </cell>
          <cell r="F17">
            <v>0.85</v>
          </cell>
        </row>
        <row r="18">
          <cell r="B18">
            <v>17</v>
          </cell>
          <cell r="C18">
            <v>32</v>
          </cell>
          <cell r="E18">
            <v>17</v>
          </cell>
          <cell r="F18">
            <v>0.83</v>
          </cell>
        </row>
        <row r="19">
          <cell r="B19">
            <v>18</v>
          </cell>
          <cell r="C19">
            <v>33</v>
          </cell>
          <cell r="E19">
            <v>18</v>
          </cell>
          <cell r="F19">
            <v>0.81</v>
          </cell>
        </row>
        <row r="20">
          <cell r="B20">
            <v>19</v>
          </cell>
          <cell r="C20">
            <v>33</v>
          </cell>
          <cell r="E20">
            <v>19</v>
          </cell>
          <cell r="F20">
            <v>0.8</v>
          </cell>
        </row>
        <row r="21">
          <cell r="B21">
            <v>20</v>
          </cell>
          <cell r="C21">
            <v>33</v>
          </cell>
          <cell r="E21">
            <v>20</v>
          </cell>
          <cell r="F21">
            <v>0.78</v>
          </cell>
        </row>
        <row r="22">
          <cell r="B22">
            <v>21</v>
          </cell>
          <cell r="C22">
            <v>33</v>
          </cell>
          <cell r="E22">
            <v>21</v>
          </cell>
          <cell r="F22">
            <v>0.76</v>
          </cell>
        </row>
        <row r="23">
          <cell r="B23">
            <v>22</v>
          </cell>
          <cell r="C23">
            <v>34</v>
          </cell>
          <cell r="E23">
            <v>22</v>
          </cell>
          <cell r="F23">
            <v>0.75</v>
          </cell>
        </row>
        <row r="24">
          <cell r="B24">
            <v>23</v>
          </cell>
          <cell r="C24">
            <v>34</v>
          </cell>
          <cell r="E24">
            <v>23</v>
          </cell>
          <cell r="F24">
            <v>0.73</v>
          </cell>
        </row>
        <row r="25">
          <cell r="B25">
            <v>24</v>
          </cell>
          <cell r="C25">
            <v>35</v>
          </cell>
          <cell r="E25">
            <v>24</v>
          </cell>
          <cell r="F25">
            <v>0.72</v>
          </cell>
        </row>
        <row r="26">
          <cell r="B26">
            <v>25</v>
          </cell>
          <cell r="C26">
            <v>35</v>
          </cell>
          <cell r="E26">
            <v>25</v>
          </cell>
          <cell r="F26">
            <v>0.71</v>
          </cell>
        </row>
        <row r="27">
          <cell r="B27">
            <v>26</v>
          </cell>
          <cell r="C27">
            <v>35</v>
          </cell>
          <cell r="E27">
            <v>26</v>
          </cell>
          <cell r="F27">
            <v>0.69799999999999995</v>
          </cell>
        </row>
        <row r="28">
          <cell r="B28">
            <v>27</v>
          </cell>
          <cell r="C28">
            <v>35</v>
          </cell>
          <cell r="E28">
            <v>27</v>
          </cell>
          <cell r="F28">
            <v>0.68600000000000005</v>
          </cell>
        </row>
        <row r="29">
          <cell r="B29">
            <v>28</v>
          </cell>
          <cell r="C29">
            <v>36</v>
          </cell>
          <cell r="E29">
            <v>28</v>
          </cell>
          <cell r="F29">
            <v>0.67400000000000004</v>
          </cell>
        </row>
        <row r="30">
          <cell r="B30">
            <v>29</v>
          </cell>
          <cell r="C30">
            <v>36</v>
          </cell>
          <cell r="E30">
            <v>29</v>
          </cell>
          <cell r="F30">
            <v>0.66200000000000003</v>
          </cell>
        </row>
        <row r="31">
          <cell r="B31">
            <v>30</v>
          </cell>
          <cell r="C31">
            <v>36</v>
          </cell>
          <cell r="E31">
            <v>30</v>
          </cell>
          <cell r="F31">
            <v>0.65</v>
          </cell>
        </row>
        <row r="32">
          <cell r="B32">
            <v>31</v>
          </cell>
          <cell r="C32">
            <v>36</v>
          </cell>
          <cell r="E32">
            <v>31</v>
          </cell>
          <cell r="F32">
            <v>0.64</v>
          </cell>
        </row>
        <row r="33">
          <cell r="B33">
            <v>32</v>
          </cell>
          <cell r="C33">
            <v>37</v>
          </cell>
          <cell r="E33">
            <v>32</v>
          </cell>
          <cell r="F33">
            <v>0.63</v>
          </cell>
        </row>
        <row r="34">
          <cell r="B34">
            <v>33</v>
          </cell>
          <cell r="C34">
            <v>36</v>
          </cell>
          <cell r="E34">
            <v>33</v>
          </cell>
          <cell r="F34">
            <v>0.62</v>
          </cell>
        </row>
        <row r="35">
          <cell r="B35">
            <v>34</v>
          </cell>
          <cell r="C35">
            <v>37</v>
          </cell>
          <cell r="E35">
            <v>34</v>
          </cell>
          <cell r="F35">
            <v>0.61</v>
          </cell>
        </row>
        <row r="36">
          <cell r="B36">
            <v>35</v>
          </cell>
          <cell r="C36">
            <v>37</v>
          </cell>
          <cell r="E36">
            <v>35</v>
          </cell>
          <cell r="F36">
            <v>0.6</v>
          </cell>
        </row>
        <row r="37">
          <cell r="B37">
            <v>36</v>
          </cell>
          <cell r="C37">
            <v>38</v>
          </cell>
          <cell r="E37">
            <v>36</v>
          </cell>
          <cell r="F37">
            <v>0.59</v>
          </cell>
        </row>
        <row r="38">
          <cell r="B38">
            <v>37</v>
          </cell>
          <cell r="C38">
            <v>38</v>
          </cell>
          <cell r="E38">
            <v>37</v>
          </cell>
          <cell r="F38">
            <v>0.57999999999999996</v>
          </cell>
        </row>
        <row r="39">
          <cell r="B39">
            <v>38</v>
          </cell>
          <cell r="C39">
            <v>38</v>
          </cell>
          <cell r="E39">
            <v>38</v>
          </cell>
          <cell r="F39">
            <v>0.56999999999999995</v>
          </cell>
        </row>
        <row r="40">
          <cell r="B40">
            <v>39</v>
          </cell>
          <cell r="C40">
            <v>38</v>
          </cell>
          <cell r="E40">
            <v>39</v>
          </cell>
          <cell r="F40">
            <v>0.56000000000000005</v>
          </cell>
        </row>
        <row r="41">
          <cell r="B41">
            <v>40</v>
          </cell>
          <cell r="C41">
            <v>39</v>
          </cell>
          <cell r="E41">
            <v>40</v>
          </cell>
          <cell r="F41">
            <v>0.55000000000000004</v>
          </cell>
        </row>
        <row r="42">
          <cell r="B42">
            <v>41</v>
          </cell>
          <cell r="C42">
            <v>39</v>
          </cell>
          <cell r="E42">
            <v>41</v>
          </cell>
          <cell r="F42">
            <v>0.54</v>
          </cell>
        </row>
        <row r="43">
          <cell r="B43">
            <v>42</v>
          </cell>
          <cell r="C43">
            <v>39</v>
          </cell>
          <cell r="E43">
            <v>42</v>
          </cell>
          <cell r="F43">
            <v>0.53</v>
          </cell>
        </row>
        <row r="44">
          <cell r="B44">
            <v>43</v>
          </cell>
          <cell r="C44">
            <v>39</v>
          </cell>
          <cell r="E44">
            <v>43</v>
          </cell>
          <cell r="F44">
            <v>0.52</v>
          </cell>
        </row>
        <row r="45">
          <cell r="B45">
            <v>44</v>
          </cell>
          <cell r="C45">
            <v>39</v>
          </cell>
          <cell r="E45">
            <v>44</v>
          </cell>
          <cell r="F45">
            <v>0.51</v>
          </cell>
        </row>
        <row r="46">
          <cell r="B46">
            <v>45</v>
          </cell>
          <cell r="C46">
            <v>39</v>
          </cell>
          <cell r="E46">
            <v>45</v>
          </cell>
          <cell r="F46">
            <v>0.5</v>
          </cell>
        </row>
        <row r="47">
          <cell r="B47">
            <v>46</v>
          </cell>
          <cell r="C47">
            <v>39</v>
          </cell>
          <cell r="E47">
            <v>50</v>
          </cell>
          <cell r="F47">
            <v>0.46</v>
          </cell>
        </row>
        <row r="48">
          <cell r="B48">
            <v>47</v>
          </cell>
          <cell r="C48">
            <v>40</v>
          </cell>
        </row>
        <row r="49">
          <cell r="B49">
            <v>48</v>
          </cell>
          <cell r="C49">
            <v>40</v>
          </cell>
        </row>
        <row r="50">
          <cell r="B50">
            <v>49</v>
          </cell>
          <cell r="C50">
            <v>40</v>
          </cell>
        </row>
        <row r="51">
          <cell r="B51">
            <v>50</v>
          </cell>
          <cell r="C51">
            <v>40</v>
          </cell>
        </row>
        <row r="52">
          <cell r="B52">
            <v>51</v>
          </cell>
          <cell r="C52">
            <v>41</v>
          </cell>
        </row>
        <row r="53">
          <cell r="B53">
            <v>52</v>
          </cell>
          <cell r="C53">
            <v>41</v>
          </cell>
        </row>
        <row r="54">
          <cell r="B54">
            <v>53</v>
          </cell>
          <cell r="C54">
            <v>41</v>
          </cell>
        </row>
        <row r="55">
          <cell r="B55">
            <v>54</v>
          </cell>
          <cell r="C55">
            <v>41</v>
          </cell>
        </row>
        <row r="56">
          <cell r="B56">
            <v>55</v>
          </cell>
          <cell r="C56">
            <v>42</v>
          </cell>
        </row>
        <row r="57">
          <cell r="B57">
            <v>56</v>
          </cell>
          <cell r="C57">
            <v>42</v>
          </cell>
        </row>
        <row r="58">
          <cell r="B58">
            <v>57</v>
          </cell>
          <cell r="C58">
            <v>42</v>
          </cell>
        </row>
        <row r="59">
          <cell r="B59">
            <v>58</v>
          </cell>
          <cell r="C59">
            <v>42</v>
          </cell>
        </row>
        <row r="60">
          <cell r="B60">
            <v>59</v>
          </cell>
          <cell r="C60">
            <v>42</v>
          </cell>
        </row>
        <row r="61">
          <cell r="B61">
            <v>60</v>
          </cell>
          <cell r="C61">
            <v>42</v>
          </cell>
        </row>
        <row r="62">
          <cell r="B62">
            <v>61</v>
          </cell>
          <cell r="C62">
            <v>42</v>
          </cell>
        </row>
        <row r="63">
          <cell r="B63">
            <v>62</v>
          </cell>
          <cell r="C63">
            <v>43</v>
          </cell>
        </row>
        <row r="64">
          <cell r="B64">
            <v>63</v>
          </cell>
          <cell r="C64">
            <v>43</v>
          </cell>
        </row>
        <row r="65">
          <cell r="B65">
            <v>64</v>
          </cell>
          <cell r="C65">
            <v>43</v>
          </cell>
        </row>
      </sheetData>
      <sheetData sheetId="4">
        <row r="1">
          <cell r="J1">
            <v>1.7453292519943295E-2</v>
          </cell>
        </row>
      </sheetData>
      <sheetData sheetId="5">
        <row r="1">
          <cell r="J1">
            <v>1.7453292519943295E-2</v>
          </cell>
        </row>
      </sheetData>
      <sheetData sheetId="6">
        <row r="1">
          <cell r="J1">
            <v>1.7453292519943295E-2</v>
          </cell>
        </row>
      </sheetData>
      <sheetData sheetId="7">
        <row r="1">
          <cell r="J1">
            <v>1.7453292519943295E-2</v>
          </cell>
        </row>
      </sheetData>
      <sheetData sheetId="8">
        <row r="1">
          <cell r="J1">
            <v>1.7453292519943295E-2</v>
          </cell>
        </row>
      </sheetData>
      <sheetData sheetId="9">
        <row r="1">
          <cell r="J1">
            <v>1.7453292519943295E-2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J1">
            <v>1.7453292519943295E-2</v>
          </cell>
        </row>
      </sheetData>
      <sheetData sheetId="19">
        <row r="1">
          <cell r="J1">
            <v>1.7453292519943295E-2</v>
          </cell>
        </row>
      </sheetData>
      <sheetData sheetId="20">
        <row r="1">
          <cell r="J1">
            <v>1.7453292519943295E-2</v>
          </cell>
        </row>
      </sheetData>
      <sheetData sheetId="21">
        <row r="1">
          <cell r="J1">
            <v>1.7453292519943295E-2</v>
          </cell>
        </row>
      </sheetData>
      <sheetData sheetId="22">
        <row r="1">
          <cell r="J1">
            <v>1.7453292519943295E-2</v>
          </cell>
        </row>
      </sheetData>
      <sheetData sheetId="23">
        <row r="1">
          <cell r="J1">
            <v>1.7453292519943295E-2</v>
          </cell>
        </row>
      </sheetData>
      <sheetData sheetId="24">
        <row r="1">
          <cell r="J1">
            <v>1.7453292519943295E-2</v>
          </cell>
        </row>
      </sheetData>
      <sheetData sheetId="25">
        <row r="1">
          <cell r="J1">
            <v>1.7453292519943295E-2</v>
          </cell>
        </row>
      </sheetData>
      <sheetData sheetId="26">
        <row r="1">
          <cell r="J1">
            <v>1.7453292519943295E-2</v>
          </cell>
        </row>
      </sheetData>
      <sheetData sheetId="27">
        <row r="1">
          <cell r="J1">
            <v>1.7453292519943295E-2</v>
          </cell>
        </row>
      </sheetData>
      <sheetData sheetId="28">
        <row r="1">
          <cell r="J1">
            <v>1.7453292519943295E-2</v>
          </cell>
        </row>
      </sheetData>
      <sheetData sheetId="29">
        <row r="1">
          <cell r="J1">
            <v>1.7453292519943295E-2</v>
          </cell>
        </row>
      </sheetData>
      <sheetData sheetId="30">
        <row r="1">
          <cell r="J1">
            <v>1.7453292519943295E-2</v>
          </cell>
        </row>
      </sheetData>
      <sheetData sheetId="31">
        <row r="1">
          <cell r="J1">
            <v>1.7453292519943295E-2</v>
          </cell>
        </row>
      </sheetData>
      <sheetData sheetId="32">
        <row r="1">
          <cell r="J1">
            <v>1.7453292519943295E-2</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ow r="1">
          <cell r="J1">
            <v>1.7453292519943295E-2</v>
          </cell>
        </row>
      </sheetData>
      <sheetData sheetId="51">
        <row r="1">
          <cell r="J1">
            <v>1.7453292519943295E-2</v>
          </cell>
        </row>
      </sheetData>
      <sheetData sheetId="52">
        <row r="1">
          <cell r="J1">
            <v>1.7453292519943295E-2</v>
          </cell>
        </row>
      </sheetData>
      <sheetData sheetId="53">
        <row r="1">
          <cell r="J1">
            <v>1.7453292519943295E-2</v>
          </cell>
        </row>
      </sheetData>
      <sheetData sheetId="54" refreshError="1"/>
      <sheetData sheetId="55">
        <row r="1">
          <cell r="J1">
            <v>1.7453292519943295E-2</v>
          </cell>
        </row>
      </sheetData>
      <sheetData sheetId="56">
        <row r="2">
          <cell r="B2">
            <v>1</v>
          </cell>
        </row>
      </sheetData>
      <sheetData sheetId="57">
        <row r="2">
          <cell r="B2">
            <v>1</v>
          </cell>
        </row>
      </sheetData>
      <sheetData sheetId="58">
        <row r="1">
          <cell r="J1">
            <v>1.7453292519943295E-2</v>
          </cell>
        </row>
      </sheetData>
      <sheetData sheetId="59">
        <row r="1">
          <cell r="J1">
            <v>1.7453292519943295E-2</v>
          </cell>
        </row>
      </sheetData>
      <sheetData sheetId="60">
        <row r="1">
          <cell r="J1">
            <v>1.7453292519943295E-2</v>
          </cell>
        </row>
      </sheetData>
      <sheetData sheetId="61">
        <row r="1">
          <cell r="J1">
            <v>1.7453292519943295E-2</v>
          </cell>
        </row>
      </sheetData>
      <sheetData sheetId="62">
        <row r="1">
          <cell r="J1">
            <v>1.7453292519943295E-2</v>
          </cell>
        </row>
      </sheetData>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ow r="1">
          <cell r="J1">
            <v>1.7453292519943295E-2</v>
          </cell>
        </row>
      </sheetData>
      <sheetData sheetId="202">
        <row r="1">
          <cell r="J1">
            <v>1.7453292519943295E-2</v>
          </cell>
        </row>
      </sheetData>
      <sheetData sheetId="203" refreshError="1"/>
      <sheetData sheetId="204" refreshError="1"/>
      <sheetData sheetId="205" refreshError="1"/>
      <sheetData sheetId="206" refreshError="1"/>
      <sheetData sheetId="207" refreshError="1"/>
      <sheetData sheetId="208" refreshError="1"/>
      <sheetData sheetId="209">
        <row r="1">
          <cell r="J1">
            <v>1.7453292519943295E-2</v>
          </cell>
        </row>
      </sheetData>
      <sheetData sheetId="210" refreshError="1"/>
      <sheetData sheetId="211" refreshError="1"/>
      <sheetData sheetId="212" refreshError="1"/>
      <sheetData sheetId="213" refreshError="1"/>
      <sheetData sheetId="214" refreshError="1"/>
      <sheetData sheetId="215" refreshError="1"/>
      <sheetData sheetId="216" refreshError="1"/>
      <sheetData sheetId="217">
        <row r="1">
          <cell r="J1">
            <v>1.7453292519943295E-2</v>
          </cell>
        </row>
      </sheetData>
      <sheetData sheetId="218">
        <row r="1">
          <cell r="J1">
            <v>1.7453292519943295E-2</v>
          </cell>
        </row>
      </sheetData>
      <sheetData sheetId="219">
        <row r="1">
          <cell r="J1">
            <v>1.7453292519943295E-2</v>
          </cell>
        </row>
      </sheetData>
      <sheetData sheetId="220">
        <row r="1">
          <cell r="J1">
            <v>1.7453292519943295E-2</v>
          </cell>
        </row>
      </sheetData>
      <sheetData sheetId="221">
        <row r="1">
          <cell r="J1">
            <v>1.7453292519943295E-2</v>
          </cell>
        </row>
      </sheetData>
      <sheetData sheetId="222">
        <row r="1">
          <cell r="J1">
            <v>1.7453292519943295E-2</v>
          </cell>
        </row>
      </sheetData>
      <sheetData sheetId="223">
        <row r="1">
          <cell r="J1">
            <v>1.7453292519943295E-2</v>
          </cell>
        </row>
      </sheetData>
      <sheetData sheetId="224">
        <row r="1">
          <cell r="J1">
            <v>1.7453292519943295E-2</v>
          </cell>
        </row>
      </sheetData>
      <sheetData sheetId="225">
        <row r="1">
          <cell r="J1">
            <v>1.7453292519943295E-2</v>
          </cell>
        </row>
      </sheetData>
      <sheetData sheetId="226">
        <row r="1">
          <cell r="J1">
            <v>1.7453292519943295E-2</v>
          </cell>
        </row>
      </sheetData>
      <sheetData sheetId="227">
        <row r="1">
          <cell r="J1">
            <v>1.7453292519943295E-2</v>
          </cell>
        </row>
      </sheetData>
      <sheetData sheetId="228">
        <row r="1">
          <cell r="J1">
            <v>1.7453292519943295E-2</v>
          </cell>
        </row>
      </sheetData>
      <sheetData sheetId="229">
        <row r="1">
          <cell r="J1">
            <v>1.7453292519943295E-2</v>
          </cell>
        </row>
      </sheetData>
      <sheetData sheetId="230">
        <row r="1">
          <cell r="J1">
            <v>1.7453292519943295E-2</v>
          </cell>
        </row>
      </sheetData>
      <sheetData sheetId="231">
        <row r="1">
          <cell r="J1">
            <v>1.7453292519943295E-2</v>
          </cell>
        </row>
      </sheetData>
      <sheetData sheetId="232">
        <row r="1">
          <cell r="J1">
            <v>1.7453292519943295E-2</v>
          </cell>
        </row>
      </sheetData>
      <sheetData sheetId="233">
        <row r="1">
          <cell r="J1">
            <v>1.7453292519943295E-2</v>
          </cell>
        </row>
      </sheetData>
      <sheetData sheetId="234">
        <row r="1">
          <cell r="J1">
            <v>1.7453292519943295E-2</v>
          </cell>
        </row>
      </sheetData>
      <sheetData sheetId="235">
        <row r="1">
          <cell r="J1">
            <v>1.7453292519943295E-2</v>
          </cell>
        </row>
      </sheetData>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ow r="2">
          <cell r="B2">
            <v>1</v>
          </cell>
        </row>
      </sheetData>
      <sheetData sheetId="258">
        <row r="2">
          <cell r="B2">
            <v>1</v>
          </cell>
        </row>
      </sheetData>
      <sheetData sheetId="259">
        <row r="2">
          <cell r="B2">
            <v>1</v>
          </cell>
        </row>
      </sheetData>
      <sheetData sheetId="260" refreshError="1"/>
      <sheetData sheetId="261" refreshError="1"/>
      <sheetData sheetId="262">
        <row r="1">
          <cell r="J1">
            <v>1.7453292519943295E-2</v>
          </cell>
        </row>
      </sheetData>
      <sheetData sheetId="263">
        <row r="1">
          <cell r="J1">
            <v>1.7453292519943295E-2</v>
          </cell>
        </row>
      </sheetData>
      <sheetData sheetId="264">
        <row r="1">
          <cell r="J1">
            <v>1.7453292519943295E-2</v>
          </cell>
        </row>
      </sheetData>
      <sheetData sheetId="265">
        <row r="1">
          <cell r="J1">
            <v>1.7453292519943295E-2</v>
          </cell>
        </row>
      </sheetData>
      <sheetData sheetId="266" refreshError="1"/>
      <sheetData sheetId="267" refreshError="1"/>
      <sheetData sheetId="268" refreshError="1"/>
      <sheetData sheetId="269" refreshError="1"/>
      <sheetData sheetId="270">
        <row r="2">
          <cell r="B2">
            <v>1</v>
          </cell>
        </row>
      </sheetData>
      <sheetData sheetId="271" refreshError="1"/>
      <sheetData sheetId="272">
        <row r="1">
          <cell r="J1">
            <v>1.7453292519943295E-2</v>
          </cell>
        </row>
      </sheetData>
      <sheetData sheetId="273">
        <row r="1">
          <cell r="J1">
            <v>1.7453292519943295E-2</v>
          </cell>
        </row>
      </sheetData>
      <sheetData sheetId="274">
        <row r="1">
          <cell r="J1">
            <v>1.7453292519943295E-2</v>
          </cell>
        </row>
      </sheetData>
      <sheetData sheetId="275">
        <row r="2">
          <cell r="B2">
            <v>1</v>
          </cell>
        </row>
      </sheetData>
      <sheetData sheetId="276">
        <row r="1">
          <cell r="J1">
            <v>1.7453292519943295E-2</v>
          </cell>
        </row>
      </sheetData>
      <sheetData sheetId="277">
        <row r="1">
          <cell r="J1">
            <v>1.7453292519943295E-2</v>
          </cell>
        </row>
      </sheetData>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ow r="1">
          <cell r="J1">
            <v>1.7453292519943295E-2</v>
          </cell>
        </row>
      </sheetData>
      <sheetData sheetId="289">
        <row r="1">
          <cell r="J1">
            <v>1.7453292519943295E-2</v>
          </cell>
        </row>
      </sheetData>
      <sheetData sheetId="290">
        <row r="1">
          <cell r="J1">
            <v>1.7453292519943295E-2</v>
          </cell>
        </row>
      </sheetData>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ow r="1">
          <cell r="J1">
            <v>1.7453292519943295E-2</v>
          </cell>
        </row>
      </sheetData>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ow r="1">
          <cell r="J1">
            <v>1.7453292519943295E-2</v>
          </cell>
        </row>
      </sheetData>
      <sheetData sheetId="348">
        <row r="1">
          <cell r="J1">
            <v>1.7453292519943295E-2</v>
          </cell>
        </row>
      </sheetData>
      <sheetData sheetId="349" refreshError="1"/>
      <sheetData sheetId="350">
        <row r="1">
          <cell r="J1">
            <v>1.7453292519943295E-2</v>
          </cell>
        </row>
      </sheetData>
      <sheetData sheetId="351">
        <row r="1">
          <cell r="J1">
            <v>1.7453292519943295E-2</v>
          </cell>
        </row>
      </sheetData>
      <sheetData sheetId="352">
        <row r="1">
          <cell r="J1">
            <v>1.7453292519943295E-2</v>
          </cell>
        </row>
      </sheetData>
      <sheetData sheetId="353">
        <row r="1">
          <cell r="J1">
            <v>1.7453292519943295E-2</v>
          </cell>
        </row>
      </sheetData>
      <sheetData sheetId="354">
        <row r="1">
          <cell r="J1">
            <v>1.7453292519943295E-2</v>
          </cell>
        </row>
      </sheetData>
      <sheetData sheetId="355">
        <row r="1">
          <cell r="J1">
            <v>1.7453292519943295E-2</v>
          </cell>
        </row>
      </sheetData>
      <sheetData sheetId="356">
        <row r="1">
          <cell r="J1">
            <v>1.7453292519943295E-2</v>
          </cell>
        </row>
      </sheetData>
      <sheetData sheetId="357" refreshError="1"/>
      <sheetData sheetId="358" refreshError="1"/>
      <sheetData sheetId="359">
        <row r="1">
          <cell r="J1">
            <v>1.7453292519943295E-2</v>
          </cell>
        </row>
      </sheetData>
      <sheetData sheetId="360">
        <row r="1">
          <cell r="J1">
            <v>1.7453292519943295E-2</v>
          </cell>
        </row>
      </sheetData>
      <sheetData sheetId="361">
        <row r="1">
          <cell r="J1">
            <v>1.7453292519943295E-2</v>
          </cell>
        </row>
      </sheetData>
      <sheetData sheetId="362">
        <row r="1">
          <cell r="J1">
            <v>1.7453292519943295E-2</v>
          </cell>
        </row>
      </sheetData>
      <sheetData sheetId="363">
        <row r="1">
          <cell r="J1">
            <v>1.7453292519943295E-2</v>
          </cell>
        </row>
      </sheetData>
      <sheetData sheetId="364">
        <row r="1">
          <cell r="J1">
            <v>1.7453292519943295E-2</v>
          </cell>
        </row>
      </sheetData>
      <sheetData sheetId="365">
        <row r="1">
          <cell r="J1">
            <v>1.7453292519943295E-2</v>
          </cell>
        </row>
      </sheetData>
      <sheetData sheetId="366">
        <row r="1">
          <cell r="J1">
            <v>1.7453292519943295E-2</v>
          </cell>
        </row>
      </sheetData>
      <sheetData sheetId="367">
        <row r="1">
          <cell r="J1">
            <v>1.7453292519943295E-2</v>
          </cell>
        </row>
      </sheetData>
      <sheetData sheetId="368">
        <row r="1">
          <cell r="J1">
            <v>1.7453292519943295E-2</v>
          </cell>
        </row>
      </sheetData>
      <sheetData sheetId="369">
        <row r="1">
          <cell r="J1">
            <v>1.7453292519943295E-2</v>
          </cell>
        </row>
      </sheetData>
      <sheetData sheetId="370">
        <row r="1">
          <cell r="J1">
            <v>1.7453292519943295E-2</v>
          </cell>
        </row>
      </sheetData>
      <sheetData sheetId="371">
        <row r="1">
          <cell r="J1">
            <v>1.7453292519943295E-2</v>
          </cell>
        </row>
      </sheetData>
      <sheetData sheetId="372">
        <row r="1">
          <cell r="J1">
            <v>1.7453292519943295E-2</v>
          </cell>
        </row>
      </sheetData>
      <sheetData sheetId="373">
        <row r="1">
          <cell r="J1">
            <v>1.7453292519943295E-2</v>
          </cell>
        </row>
      </sheetData>
      <sheetData sheetId="374">
        <row r="1">
          <cell r="J1">
            <v>1.7453292519943295E-2</v>
          </cell>
        </row>
      </sheetData>
      <sheetData sheetId="375">
        <row r="1">
          <cell r="J1">
            <v>1.7453292519943295E-2</v>
          </cell>
        </row>
      </sheetData>
      <sheetData sheetId="376">
        <row r="1">
          <cell r="J1">
            <v>1.7453292519943295E-2</v>
          </cell>
        </row>
      </sheetData>
      <sheetData sheetId="377">
        <row r="1">
          <cell r="J1">
            <v>1.7453292519943295E-2</v>
          </cell>
        </row>
      </sheetData>
      <sheetData sheetId="378">
        <row r="1">
          <cell r="J1">
            <v>1.7453292519943295E-2</v>
          </cell>
        </row>
      </sheetData>
      <sheetData sheetId="379">
        <row r="1">
          <cell r="J1">
            <v>1.7453292519943295E-2</v>
          </cell>
        </row>
      </sheetData>
      <sheetData sheetId="380">
        <row r="1">
          <cell r="J1">
            <v>1.7453292519943295E-2</v>
          </cell>
        </row>
      </sheetData>
      <sheetData sheetId="381">
        <row r="1">
          <cell r="J1">
            <v>1.7453292519943295E-2</v>
          </cell>
        </row>
      </sheetData>
      <sheetData sheetId="382">
        <row r="1">
          <cell r="J1">
            <v>1.7453292519943295E-2</v>
          </cell>
        </row>
      </sheetData>
      <sheetData sheetId="383">
        <row r="1">
          <cell r="J1">
            <v>1.7453292519943295E-2</v>
          </cell>
        </row>
      </sheetData>
      <sheetData sheetId="384">
        <row r="1">
          <cell r="J1">
            <v>1.7453292519943295E-2</v>
          </cell>
        </row>
      </sheetData>
      <sheetData sheetId="385">
        <row r="1">
          <cell r="J1">
            <v>1.7453292519943295E-2</v>
          </cell>
        </row>
      </sheetData>
      <sheetData sheetId="386">
        <row r="1">
          <cell r="J1">
            <v>1.7453292519943295E-2</v>
          </cell>
        </row>
      </sheetData>
      <sheetData sheetId="387">
        <row r="1">
          <cell r="J1">
            <v>1.7453292519943295E-2</v>
          </cell>
        </row>
      </sheetData>
      <sheetData sheetId="388">
        <row r="1">
          <cell r="J1">
            <v>1.7453292519943295E-2</v>
          </cell>
        </row>
      </sheetData>
      <sheetData sheetId="389">
        <row r="1">
          <cell r="J1">
            <v>1.7453292519943295E-2</v>
          </cell>
        </row>
      </sheetData>
      <sheetData sheetId="390">
        <row r="1">
          <cell r="J1">
            <v>1.7453292519943295E-2</v>
          </cell>
        </row>
      </sheetData>
      <sheetData sheetId="391" refreshError="1"/>
      <sheetData sheetId="392" refreshError="1"/>
      <sheetData sheetId="393" refreshError="1"/>
      <sheetData sheetId="394" refreshError="1"/>
      <sheetData sheetId="395">
        <row r="1">
          <cell r="J1">
            <v>1.7453292519943295E-2</v>
          </cell>
        </row>
      </sheetData>
      <sheetData sheetId="396">
        <row r="1">
          <cell r="J1">
            <v>1.7453292519943295E-2</v>
          </cell>
        </row>
      </sheetData>
      <sheetData sheetId="397">
        <row r="1">
          <cell r="J1">
            <v>1.7453292519943295E-2</v>
          </cell>
        </row>
      </sheetData>
      <sheetData sheetId="398">
        <row r="1">
          <cell r="J1">
            <v>1.7453292519943295E-2</v>
          </cell>
        </row>
      </sheetData>
      <sheetData sheetId="399">
        <row r="1">
          <cell r="J1">
            <v>1.7453292519943295E-2</v>
          </cell>
        </row>
      </sheetData>
      <sheetData sheetId="400">
        <row r="1">
          <cell r="J1">
            <v>1.7453292519943295E-2</v>
          </cell>
        </row>
      </sheetData>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ow r="1">
          <cell r="J1">
            <v>1.7453292519943295E-2</v>
          </cell>
        </row>
      </sheetData>
      <sheetData sheetId="636" refreshError="1"/>
      <sheetData sheetId="637" refreshError="1"/>
      <sheetData sheetId="638" refreshError="1"/>
      <sheetData sheetId="639">
        <row r="1">
          <cell r="J1">
            <v>1.7453292519943295E-2</v>
          </cell>
        </row>
      </sheetData>
      <sheetData sheetId="640" refreshError="1"/>
      <sheetData sheetId="641" refreshError="1"/>
      <sheetData sheetId="642">
        <row r="1">
          <cell r="J1">
            <v>1.7453292519943295E-2</v>
          </cell>
        </row>
      </sheetData>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ow r="1">
          <cell r="J1">
            <v>1.7453292519943295E-2</v>
          </cell>
        </row>
      </sheetData>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ow r="1">
          <cell r="J1">
            <v>1.7453292519943295E-2</v>
          </cell>
        </row>
      </sheetData>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ow r="1">
          <cell r="J1">
            <v>1.7453292519943295E-2</v>
          </cell>
        </row>
      </sheetData>
      <sheetData sheetId="672" refreshError="1"/>
      <sheetData sheetId="673" refreshError="1"/>
      <sheetData sheetId="674" refreshError="1"/>
      <sheetData sheetId="675">
        <row r="1">
          <cell r="J1">
            <v>1.7453292519943295E-2</v>
          </cell>
        </row>
      </sheetData>
      <sheetData sheetId="676">
        <row r="1">
          <cell r="J1">
            <v>1.7453292519943295E-2</v>
          </cell>
        </row>
      </sheetData>
      <sheetData sheetId="677" refreshError="1"/>
      <sheetData sheetId="678" refreshError="1"/>
      <sheetData sheetId="679">
        <row r="1">
          <cell r="J1">
            <v>1.7453292519943295E-2</v>
          </cell>
        </row>
      </sheetData>
      <sheetData sheetId="680" refreshError="1"/>
      <sheetData sheetId="681" refreshError="1"/>
      <sheetData sheetId="682" refreshError="1"/>
      <sheetData sheetId="683">
        <row r="1">
          <cell r="J1">
            <v>1.7453292519943295E-2</v>
          </cell>
        </row>
      </sheetData>
      <sheetData sheetId="684" refreshError="1"/>
      <sheetData sheetId="685" refreshError="1"/>
      <sheetData sheetId="686" refreshError="1"/>
      <sheetData sheetId="687" refreshError="1"/>
      <sheetData sheetId="688" refreshError="1"/>
      <sheetData sheetId="689">
        <row r="2">
          <cell r="B2">
            <v>1</v>
          </cell>
        </row>
      </sheetData>
      <sheetData sheetId="690">
        <row r="2">
          <cell r="B2">
            <v>1</v>
          </cell>
        </row>
      </sheetData>
      <sheetData sheetId="691" refreshError="1"/>
      <sheetData sheetId="692" refreshError="1"/>
      <sheetData sheetId="693" refreshError="1"/>
      <sheetData sheetId="694" refreshError="1"/>
      <sheetData sheetId="695" refreshError="1"/>
      <sheetData sheetId="696">
        <row r="1">
          <cell r="J1">
            <v>1.7453292519943295E-2</v>
          </cell>
        </row>
      </sheetData>
      <sheetData sheetId="697" refreshError="1"/>
      <sheetData sheetId="698" refreshError="1"/>
      <sheetData sheetId="699" refreshError="1"/>
      <sheetData sheetId="700" refreshError="1"/>
      <sheetData sheetId="701" refreshError="1"/>
      <sheetData sheetId="702">
        <row r="2">
          <cell r="B2">
            <v>1</v>
          </cell>
        </row>
      </sheetData>
      <sheetData sheetId="703" refreshError="1"/>
      <sheetData sheetId="704" refreshError="1"/>
      <sheetData sheetId="705" refreshError="1"/>
      <sheetData sheetId="706" refreshError="1"/>
      <sheetData sheetId="707" refreshError="1"/>
      <sheetData sheetId="708">
        <row r="1">
          <cell r="J1">
            <v>1.7453292519943295E-2</v>
          </cell>
        </row>
      </sheetData>
      <sheetData sheetId="709" refreshError="1"/>
      <sheetData sheetId="710" refreshError="1"/>
      <sheetData sheetId="711" refreshError="1"/>
      <sheetData sheetId="712" refreshError="1"/>
      <sheetData sheetId="713" refreshError="1"/>
      <sheetData sheetId="714">
        <row r="1">
          <cell r="J1">
            <v>1.7453292519943295E-2</v>
          </cell>
        </row>
      </sheetData>
      <sheetData sheetId="715" refreshError="1"/>
      <sheetData sheetId="716" refreshError="1"/>
      <sheetData sheetId="717" refreshError="1"/>
      <sheetData sheetId="718" refreshError="1"/>
      <sheetData sheetId="719" refreshError="1"/>
      <sheetData sheetId="720">
        <row r="1">
          <cell r="J1">
            <v>1.7453292519943295E-2</v>
          </cell>
        </row>
      </sheetData>
      <sheetData sheetId="721">
        <row r="1">
          <cell r="J1">
            <v>1.7453292519943295E-2</v>
          </cell>
        </row>
      </sheetData>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ow r="1">
          <cell r="J1">
            <v>1.7453292519943295E-2</v>
          </cell>
        </row>
      </sheetData>
      <sheetData sheetId="759">
        <row r="1">
          <cell r="J1">
            <v>1.7453292519943295E-2</v>
          </cell>
        </row>
      </sheetData>
      <sheetData sheetId="760" refreshError="1"/>
      <sheetData sheetId="761" refreshError="1"/>
      <sheetData sheetId="762" refreshError="1"/>
      <sheetData sheetId="763">
        <row r="1">
          <cell r="J1">
            <v>1.7453292519943295E-2</v>
          </cell>
        </row>
      </sheetData>
      <sheetData sheetId="764">
        <row r="1">
          <cell r="J1">
            <v>1.7453292519943295E-2</v>
          </cell>
        </row>
      </sheetData>
      <sheetData sheetId="765">
        <row r="1">
          <cell r="J1">
            <v>1.7453292519943295E-2</v>
          </cell>
        </row>
      </sheetData>
      <sheetData sheetId="766">
        <row r="1">
          <cell r="J1">
            <v>1.7453292519943295E-2</v>
          </cell>
        </row>
      </sheetData>
      <sheetData sheetId="767">
        <row r="1">
          <cell r="J1">
            <v>1.7453292519943295E-2</v>
          </cell>
        </row>
      </sheetData>
      <sheetData sheetId="768">
        <row r="1">
          <cell r="J1">
            <v>1.7453292519943295E-2</v>
          </cell>
        </row>
      </sheetData>
      <sheetData sheetId="769">
        <row r="1">
          <cell r="J1">
            <v>1.7453292519943295E-2</v>
          </cell>
        </row>
      </sheetData>
      <sheetData sheetId="770">
        <row r="1">
          <cell r="J1">
            <v>1.7453292519943295E-2</v>
          </cell>
        </row>
      </sheetData>
      <sheetData sheetId="771">
        <row r="1">
          <cell r="J1">
            <v>1.7453292519943295E-2</v>
          </cell>
        </row>
      </sheetData>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ow r="1">
          <cell r="J1">
            <v>1.7453292519943295E-2</v>
          </cell>
        </row>
      </sheetData>
      <sheetData sheetId="817">
        <row r="1">
          <cell r="J1">
            <v>1.7453292519943295E-2</v>
          </cell>
        </row>
      </sheetData>
      <sheetData sheetId="818">
        <row r="1">
          <cell r="J1">
            <v>1.7453292519943295E-2</v>
          </cell>
        </row>
      </sheetData>
      <sheetData sheetId="819">
        <row r="1">
          <cell r="J1">
            <v>1.7453292519943295E-2</v>
          </cell>
        </row>
      </sheetData>
      <sheetData sheetId="820">
        <row r="1">
          <cell r="J1">
            <v>1.7453292519943295E-2</v>
          </cell>
        </row>
      </sheetData>
      <sheetData sheetId="821">
        <row r="1">
          <cell r="J1">
            <v>1.7453292519943295E-2</v>
          </cell>
        </row>
      </sheetData>
      <sheetData sheetId="822">
        <row r="1">
          <cell r="J1">
            <v>1.7453292519943295E-2</v>
          </cell>
        </row>
      </sheetData>
      <sheetData sheetId="823">
        <row r="1">
          <cell r="J1">
            <v>1.7453292519943295E-2</v>
          </cell>
        </row>
      </sheetData>
      <sheetData sheetId="824">
        <row r="1">
          <cell r="J1">
            <v>1.7453292519943295E-2</v>
          </cell>
        </row>
      </sheetData>
      <sheetData sheetId="825">
        <row r="1">
          <cell r="J1">
            <v>1.7453292519943295E-2</v>
          </cell>
        </row>
      </sheetData>
      <sheetData sheetId="826">
        <row r="1">
          <cell r="J1">
            <v>1.7453292519943295E-2</v>
          </cell>
        </row>
      </sheetData>
      <sheetData sheetId="827">
        <row r="1">
          <cell r="J1">
            <v>1.7453292519943295E-2</v>
          </cell>
        </row>
      </sheetData>
      <sheetData sheetId="828">
        <row r="1">
          <cell r="J1">
            <v>1.7453292519943295E-2</v>
          </cell>
        </row>
      </sheetData>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ow r="1">
          <cell r="J1">
            <v>1.7453292519943295E-2</v>
          </cell>
        </row>
      </sheetData>
      <sheetData sheetId="2750">
        <row r="1">
          <cell r="J1">
            <v>1.7453292519943295E-2</v>
          </cell>
        </row>
      </sheetData>
      <sheetData sheetId="2751">
        <row r="1">
          <cell r="J1">
            <v>1.7453292519943295E-2</v>
          </cell>
        </row>
      </sheetData>
      <sheetData sheetId="2752">
        <row r="1">
          <cell r="J1">
            <v>1.7453292519943295E-2</v>
          </cell>
        </row>
      </sheetData>
      <sheetData sheetId="2753">
        <row r="1">
          <cell r="J1">
            <v>1.7453292519943295E-2</v>
          </cell>
        </row>
      </sheetData>
      <sheetData sheetId="2754">
        <row r="1">
          <cell r="J1">
            <v>1.7453292519943295E-2</v>
          </cell>
        </row>
      </sheetData>
      <sheetData sheetId="2755">
        <row r="1">
          <cell r="J1">
            <v>1.7453292519943295E-2</v>
          </cell>
        </row>
      </sheetData>
      <sheetData sheetId="2756">
        <row r="1">
          <cell r="J1">
            <v>1.7453292519943295E-2</v>
          </cell>
        </row>
      </sheetData>
      <sheetData sheetId="2757">
        <row r="1">
          <cell r="J1">
            <v>1.7453292519943295E-2</v>
          </cell>
        </row>
      </sheetData>
      <sheetData sheetId="2758">
        <row r="1">
          <cell r="J1">
            <v>1.7453292519943295E-2</v>
          </cell>
        </row>
      </sheetData>
      <sheetData sheetId="2759">
        <row r="1">
          <cell r="J1">
            <v>1.7453292519943295E-2</v>
          </cell>
        </row>
      </sheetData>
      <sheetData sheetId="2760">
        <row r="1">
          <cell r="J1">
            <v>1.7453292519943295E-2</v>
          </cell>
        </row>
      </sheetData>
      <sheetData sheetId="2761">
        <row r="1">
          <cell r="J1">
            <v>1.7453292519943295E-2</v>
          </cell>
        </row>
      </sheetData>
      <sheetData sheetId="2762">
        <row r="1">
          <cell r="J1">
            <v>1.7453292519943295E-2</v>
          </cell>
        </row>
      </sheetData>
      <sheetData sheetId="2763">
        <row r="1">
          <cell r="J1">
            <v>1.7453292519943295E-2</v>
          </cell>
        </row>
      </sheetData>
      <sheetData sheetId="2764">
        <row r="1">
          <cell r="J1">
            <v>1.7453292519943295E-2</v>
          </cell>
        </row>
      </sheetData>
      <sheetData sheetId="2765">
        <row r="1">
          <cell r="J1">
            <v>1.7453292519943295E-2</v>
          </cell>
        </row>
      </sheetData>
      <sheetData sheetId="2766">
        <row r="1">
          <cell r="J1">
            <v>1.7453292519943295E-2</v>
          </cell>
        </row>
      </sheetData>
      <sheetData sheetId="2767">
        <row r="1">
          <cell r="J1">
            <v>1.7453292519943295E-2</v>
          </cell>
        </row>
      </sheetData>
      <sheetData sheetId="2768">
        <row r="1">
          <cell r="J1">
            <v>1.7453292519943295E-2</v>
          </cell>
        </row>
      </sheetData>
      <sheetData sheetId="2769">
        <row r="1">
          <cell r="J1">
            <v>1.7453292519943295E-2</v>
          </cell>
        </row>
      </sheetData>
      <sheetData sheetId="2770">
        <row r="1">
          <cell r="J1">
            <v>1.7453292519943295E-2</v>
          </cell>
        </row>
      </sheetData>
      <sheetData sheetId="2771">
        <row r="1">
          <cell r="J1">
            <v>1.7453292519943295E-2</v>
          </cell>
        </row>
      </sheetData>
      <sheetData sheetId="2772">
        <row r="1">
          <cell r="J1">
            <v>1.7453292519943295E-2</v>
          </cell>
        </row>
      </sheetData>
      <sheetData sheetId="2773">
        <row r="1">
          <cell r="J1">
            <v>1.7453292519943295E-2</v>
          </cell>
        </row>
      </sheetData>
      <sheetData sheetId="2774">
        <row r="1">
          <cell r="J1">
            <v>1.7453292519943295E-2</v>
          </cell>
        </row>
      </sheetData>
      <sheetData sheetId="2775">
        <row r="1">
          <cell r="J1">
            <v>1.7453292519943295E-2</v>
          </cell>
        </row>
      </sheetData>
      <sheetData sheetId="2776">
        <row r="1">
          <cell r="J1">
            <v>1.7453292519943295E-2</v>
          </cell>
        </row>
      </sheetData>
      <sheetData sheetId="2777">
        <row r="1">
          <cell r="J1">
            <v>1.7453292519943295E-2</v>
          </cell>
        </row>
      </sheetData>
      <sheetData sheetId="2778">
        <row r="1">
          <cell r="J1">
            <v>1.7453292519943295E-2</v>
          </cell>
        </row>
      </sheetData>
      <sheetData sheetId="2779">
        <row r="1">
          <cell r="J1">
            <v>1.7453292519943295E-2</v>
          </cell>
        </row>
      </sheetData>
      <sheetData sheetId="2780">
        <row r="1">
          <cell r="J1">
            <v>1.7453292519943295E-2</v>
          </cell>
        </row>
      </sheetData>
      <sheetData sheetId="2781">
        <row r="1">
          <cell r="J1">
            <v>1.7453292519943295E-2</v>
          </cell>
        </row>
      </sheetData>
      <sheetData sheetId="2782">
        <row r="1">
          <cell r="J1">
            <v>1.7453292519943295E-2</v>
          </cell>
        </row>
      </sheetData>
      <sheetData sheetId="2783">
        <row r="1">
          <cell r="J1">
            <v>1.7453292519943295E-2</v>
          </cell>
        </row>
      </sheetData>
      <sheetData sheetId="2784">
        <row r="1">
          <cell r="J1">
            <v>1.7453292519943295E-2</v>
          </cell>
        </row>
      </sheetData>
      <sheetData sheetId="2785">
        <row r="1">
          <cell r="J1">
            <v>1.7453292519943295E-2</v>
          </cell>
        </row>
      </sheetData>
      <sheetData sheetId="2786">
        <row r="1">
          <cell r="J1">
            <v>1.7453292519943295E-2</v>
          </cell>
        </row>
      </sheetData>
      <sheetData sheetId="2787">
        <row r="1">
          <cell r="J1">
            <v>1.7453292519943295E-2</v>
          </cell>
        </row>
      </sheetData>
      <sheetData sheetId="2788">
        <row r="1">
          <cell r="J1">
            <v>1.7453292519943295E-2</v>
          </cell>
        </row>
      </sheetData>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ow r="2">
          <cell r="B2">
            <v>1</v>
          </cell>
        </row>
      </sheetData>
      <sheetData sheetId="2944">
        <row r="1">
          <cell r="J1">
            <v>1.7453292519943295E-2</v>
          </cell>
        </row>
      </sheetData>
      <sheetData sheetId="2945">
        <row r="1">
          <cell r="J1">
            <v>1.7453292519943295E-2</v>
          </cell>
        </row>
      </sheetData>
      <sheetData sheetId="2946" refreshError="1"/>
      <sheetData sheetId="2947" refreshError="1"/>
      <sheetData sheetId="2948" refreshError="1"/>
      <sheetData sheetId="2949" refreshError="1"/>
      <sheetData sheetId="2950" refreshError="1"/>
      <sheetData sheetId="2951" refreshError="1"/>
      <sheetData sheetId="2952"/>
      <sheetData sheetId="2953"/>
      <sheetData sheetId="2954" refreshError="1"/>
      <sheetData sheetId="2955" refreshError="1"/>
      <sheetData sheetId="2956">
        <row r="2">
          <cell r="B2">
            <v>1</v>
          </cell>
        </row>
      </sheetData>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ow r="1">
          <cell r="J1">
            <v>1.7453292519943295E-2</v>
          </cell>
        </row>
      </sheetData>
      <sheetData sheetId="2973" refreshError="1"/>
      <sheetData sheetId="2974" refreshError="1"/>
      <sheetData sheetId="2975" refreshError="1"/>
      <sheetData sheetId="2976">
        <row r="1">
          <cell r="J1">
            <v>1.7453292519943295E-2</v>
          </cell>
        </row>
      </sheetData>
      <sheetData sheetId="2977" refreshError="1"/>
      <sheetData sheetId="2978" refreshError="1"/>
      <sheetData sheetId="2979">
        <row r="1">
          <cell r="J1">
            <v>1.7453292519943295E-2</v>
          </cell>
        </row>
      </sheetData>
      <sheetData sheetId="2980" refreshError="1"/>
      <sheetData sheetId="2981" refreshError="1"/>
      <sheetData sheetId="2982" refreshError="1"/>
      <sheetData sheetId="2983" refreshError="1"/>
      <sheetData sheetId="2984" refreshError="1"/>
      <sheetData sheetId="2985" refreshError="1"/>
      <sheetData sheetId="2986" refreshError="1"/>
      <sheetData sheetId="2987">
        <row r="1">
          <cell r="J1">
            <v>1.7453292519943295E-2</v>
          </cell>
        </row>
      </sheetData>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ow r="1">
          <cell r="J1">
            <v>1.7453292519943295E-2</v>
          </cell>
        </row>
      </sheetData>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ow r="1">
          <cell r="J1">
            <v>1.7453292519943295E-2</v>
          </cell>
        </row>
      </sheetData>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ow r="1">
          <cell r="J1">
            <v>1.7453292519943295E-2</v>
          </cell>
        </row>
      </sheetData>
      <sheetData sheetId="3023" refreshError="1"/>
      <sheetData sheetId="3024" refreshError="1"/>
      <sheetData sheetId="3025" refreshError="1"/>
      <sheetData sheetId="3026" refreshError="1"/>
      <sheetData sheetId="3027" refreshError="1"/>
      <sheetData sheetId="3028">
        <row r="1">
          <cell r="J1">
            <v>1.7453292519943295E-2</v>
          </cell>
        </row>
      </sheetData>
      <sheetData sheetId="3029" refreshError="1"/>
      <sheetData sheetId="3030" refreshError="1"/>
      <sheetData sheetId="3031" refreshError="1"/>
      <sheetData sheetId="3032" refreshError="1"/>
      <sheetData sheetId="3033" refreshError="1"/>
      <sheetData sheetId="3034" refreshError="1"/>
      <sheetData sheetId="3035" refreshError="1"/>
      <sheetData sheetId="3036">
        <row r="1">
          <cell r="J1">
            <v>1.7453292519943295E-2</v>
          </cell>
        </row>
      </sheetData>
      <sheetData sheetId="3037">
        <row r="1">
          <cell r="J1">
            <v>1.7453292519943295E-2</v>
          </cell>
        </row>
      </sheetData>
      <sheetData sheetId="3038" refreshError="1"/>
      <sheetData sheetId="3039" refreshError="1"/>
      <sheetData sheetId="3040">
        <row r="1">
          <cell r="J1">
            <v>1.7453292519943295E-2</v>
          </cell>
        </row>
      </sheetData>
      <sheetData sheetId="3041" refreshError="1"/>
      <sheetData sheetId="3042" refreshError="1"/>
      <sheetData sheetId="3043" refreshError="1"/>
      <sheetData sheetId="3044" refreshError="1"/>
      <sheetData sheetId="3045" refreshError="1"/>
      <sheetData sheetId="3046" refreshError="1"/>
      <sheetData sheetId="3047">
        <row r="1">
          <cell r="J1">
            <v>1.7453292519943295E-2</v>
          </cell>
        </row>
      </sheetData>
      <sheetData sheetId="3048" refreshError="1"/>
      <sheetData sheetId="3049" refreshError="1"/>
      <sheetData sheetId="3050" refreshError="1"/>
      <sheetData sheetId="3051" refreshError="1"/>
      <sheetData sheetId="3052" refreshError="1"/>
      <sheetData sheetId="3053" refreshError="1"/>
      <sheetData sheetId="3054">
        <row r="1">
          <cell r="J1">
            <v>1.7453292519943295E-2</v>
          </cell>
        </row>
      </sheetData>
      <sheetData sheetId="3055" refreshError="1"/>
      <sheetData sheetId="3056" refreshError="1"/>
      <sheetData sheetId="3057" refreshError="1"/>
      <sheetData sheetId="3058" refreshError="1"/>
      <sheetData sheetId="3059" refreshError="1"/>
      <sheetData sheetId="3060">
        <row r="1">
          <cell r="J1">
            <v>1.7453292519943295E-2</v>
          </cell>
        </row>
      </sheetData>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ow r="1">
          <cell r="J1">
            <v>1.7453292519943295E-2</v>
          </cell>
        </row>
      </sheetData>
      <sheetData sheetId="3074" refreshError="1"/>
      <sheetData sheetId="3075" refreshError="1"/>
      <sheetData sheetId="3076" refreshError="1"/>
      <sheetData sheetId="3077">
        <row r="1">
          <cell r="J1">
            <v>1.7453292519943295E-2</v>
          </cell>
        </row>
      </sheetData>
      <sheetData sheetId="3078" refreshError="1"/>
      <sheetData sheetId="3079" refreshError="1"/>
      <sheetData sheetId="3080" refreshError="1"/>
      <sheetData sheetId="3081" refreshError="1"/>
      <sheetData sheetId="3082" refreshError="1"/>
      <sheetData sheetId="3083">
        <row r="1">
          <cell r="J1">
            <v>1.7453292519943295E-2</v>
          </cell>
        </row>
      </sheetData>
      <sheetData sheetId="3084" refreshError="1"/>
      <sheetData sheetId="3085" refreshError="1"/>
      <sheetData sheetId="3086" refreshError="1"/>
      <sheetData sheetId="3087">
        <row r="1">
          <cell r="J1">
            <v>1.7453292519943295E-2</v>
          </cell>
        </row>
      </sheetData>
      <sheetData sheetId="3088" refreshError="1"/>
      <sheetData sheetId="3089" refreshError="1"/>
      <sheetData sheetId="3090">
        <row r="1">
          <cell r="J1">
            <v>1.7453292519943295E-2</v>
          </cell>
        </row>
      </sheetData>
      <sheetData sheetId="3091" refreshError="1"/>
      <sheetData sheetId="3092" refreshError="1"/>
      <sheetData sheetId="3093" refreshError="1"/>
      <sheetData sheetId="3094" refreshError="1"/>
      <sheetData sheetId="3095" refreshError="1"/>
      <sheetData sheetId="3096" refreshError="1"/>
      <sheetData sheetId="3097">
        <row r="1">
          <cell r="J1">
            <v>1.7453292519943295E-2</v>
          </cell>
        </row>
      </sheetData>
      <sheetData sheetId="3098" refreshError="1"/>
      <sheetData sheetId="3099" refreshError="1"/>
      <sheetData sheetId="3100" refreshError="1"/>
      <sheetData sheetId="3101" refreshError="1"/>
      <sheetData sheetId="3102" refreshError="1"/>
      <sheetData sheetId="3103">
        <row r="1">
          <cell r="J1">
            <v>1.7453292519943295E-2</v>
          </cell>
        </row>
      </sheetData>
      <sheetData sheetId="3104" refreshError="1"/>
      <sheetData sheetId="3105" refreshError="1"/>
      <sheetData sheetId="3106" refreshError="1"/>
      <sheetData sheetId="3107" refreshError="1"/>
      <sheetData sheetId="3108" refreshError="1"/>
      <sheetData sheetId="3109" refreshError="1"/>
      <sheetData sheetId="3110" refreshError="1"/>
      <sheetData sheetId="3111">
        <row r="1">
          <cell r="J1">
            <v>1.7453292519943295E-2</v>
          </cell>
        </row>
      </sheetData>
      <sheetData sheetId="3112">
        <row r="1">
          <cell r="J1">
            <v>1.7453292519943295E-2</v>
          </cell>
        </row>
      </sheetData>
      <sheetData sheetId="3113">
        <row r="1">
          <cell r="J1">
            <v>1.7453292519943295E-2</v>
          </cell>
        </row>
      </sheetData>
      <sheetData sheetId="3114">
        <row r="1">
          <cell r="J1">
            <v>1.7453292519943295E-2</v>
          </cell>
        </row>
      </sheetData>
      <sheetData sheetId="3115" refreshError="1"/>
      <sheetData sheetId="3116" refreshError="1"/>
      <sheetData sheetId="3117">
        <row r="1">
          <cell r="J1">
            <v>1.7453292519943295E-2</v>
          </cell>
        </row>
      </sheetData>
      <sheetData sheetId="3118" refreshError="1"/>
      <sheetData sheetId="3119" refreshError="1"/>
      <sheetData sheetId="3120" refreshError="1"/>
      <sheetData sheetId="3121" refreshError="1"/>
      <sheetData sheetId="3122">
        <row r="1">
          <cell r="J1">
            <v>1.7453292519943295E-2</v>
          </cell>
        </row>
      </sheetData>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ow r="1">
          <cell r="J1">
            <v>1.7453292519943295E-2</v>
          </cell>
        </row>
      </sheetData>
      <sheetData sheetId="3134" refreshError="1"/>
      <sheetData sheetId="3135" refreshError="1"/>
      <sheetData sheetId="3136" refreshError="1"/>
      <sheetData sheetId="3137" refreshError="1"/>
      <sheetData sheetId="3138" refreshError="1"/>
      <sheetData sheetId="3139" refreshError="1"/>
      <sheetData sheetId="3140">
        <row r="1">
          <cell r="J1">
            <v>1.7453292519943295E-2</v>
          </cell>
        </row>
      </sheetData>
      <sheetData sheetId="3141">
        <row r="1">
          <cell r="J1">
            <v>1.7453292519943295E-2</v>
          </cell>
        </row>
      </sheetData>
      <sheetData sheetId="3142">
        <row r="1">
          <cell r="J1">
            <v>1.7453292519943295E-2</v>
          </cell>
        </row>
      </sheetData>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ow r="2">
          <cell r="B2">
            <v>1</v>
          </cell>
        </row>
      </sheetData>
      <sheetData sheetId="3152" refreshError="1"/>
      <sheetData sheetId="3153" refreshError="1"/>
      <sheetData sheetId="3154" refreshError="1"/>
      <sheetData sheetId="3155" refreshError="1"/>
      <sheetData sheetId="3156" refreshError="1"/>
      <sheetData sheetId="3157" refreshError="1"/>
      <sheetData sheetId="3158">
        <row r="1">
          <cell r="J1">
            <v>1.7453292519943295E-2</v>
          </cell>
        </row>
      </sheetData>
      <sheetData sheetId="3159">
        <row r="1">
          <cell r="J1">
            <v>1.7453292519943295E-2</v>
          </cell>
        </row>
      </sheetData>
      <sheetData sheetId="3160">
        <row r="1">
          <cell r="J1">
            <v>1.7453292519943295E-2</v>
          </cell>
        </row>
      </sheetData>
      <sheetData sheetId="3161">
        <row r="1">
          <cell r="J1">
            <v>1.7453292519943295E-2</v>
          </cell>
        </row>
      </sheetData>
      <sheetData sheetId="3162" refreshError="1"/>
      <sheetData sheetId="3163" refreshError="1"/>
      <sheetData sheetId="3164" refreshError="1"/>
      <sheetData sheetId="3165" refreshError="1"/>
      <sheetData sheetId="3166" refreshError="1"/>
      <sheetData sheetId="3167" refreshError="1"/>
      <sheetData sheetId="3168" refreshError="1"/>
      <sheetData sheetId="3169">
        <row r="1">
          <cell r="J1">
            <v>1.7453292519943295E-2</v>
          </cell>
        </row>
      </sheetData>
      <sheetData sheetId="3170">
        <row r="1">
          <cell r="J1">
            <v>1.7453292519943295E-2</v>
          </cell>
        </row>
      </sheetData>
      <sheetData sheetId="3171">
        <row r="1">
          <cell r="J1">
            <v>1.7453292519943295E-2</v>
          </cell>
        </row>
      </sheetData>
      <sheetData sheetId="3172">
        <row r="1">
          <cell r="J1">
            <v>1.7453292519943295E-2</v>
          </cell>
        </row>
      </sheetData>
      <sheetData sheetId="3173">
        <row r="1">
          <cell r="J1">
            <v>1.7453292519943295E-2</v>
          </cell>
        </row>
      </sheetData>
      <sheetData sheetId="3174">
        <row r="1">
          <cell r="J1">
            <v>1.7453292519943295E-2</v>
          </cell>
        </row>
      </sheetData>
      <sheetData sheetId="3175">
        <row r="1">
          <cell r="J1">
            <v>1.7453292519943295E-2</v>
          </cell>
        </row>
      </sheetData>
      <sheetData sheetId="3176">
        <row r="1">
          <cell r="J1">
            <v>1.7453292519943295E-2</v>
          </cell>
        </row>
      </sheetData>
      <sheetData sheetId="3177">
        <row r="1">
          <cell r="J1">
            <v>1.7453292519943295E-2</v>
          </cell>
        </row>
      </sheetData>
      <sheetData sheetId="3178">
        <row r="1">
          <cell r="J1">
            <v>1.7453292519943295E-2</v>
          </cell>
        </row>
      </sheetData>
      <sheetData sheetId="3179">
        <row r="1">
          <cell r="J1">
            <v>1.7453292519943295E-2</v>
          </cell>
        </row>
      </sheetData>
      <sheetData sheetId="3180">
        <row r="1">
          <cell r="J1">
            <v>1.7453292519943295E-2</v>
          </cell>
        </row>
      </sheetData>
      <sheetData sheetId="3181">
        <row r="1">
          <cell r="J1">
            <v>1.7453292519943295E-2</v>
          </cell>
        </row>
      </sheetData>
      <sheetData sheetId="3182">
        <row r="1">
          <cell r="J1">
            <v>1.7453292519943295E-2</v>
          </cell>
        </row>
      </sheetData>
      <sheetData sheetId="3183">
        <row r="1">
          <cell r="J1">
            <v>1.7453292519943295E-2</v>
          </cell>
        </row>
      </sheetData>
      <sheetData sheetId="3184">
        <row r="1">
          <cell r="J1">
            <v>1.7453292519943295E-2</v>
          </cell>
        </row>
      </sheetData>
      <sheetData sheetId="3185">
        <row r="1">
          <cell r="J1">
            <v>1.7453292519943295E-2</v>
          </cell>
        </row>
      </sheetData>
      <sheetData sheetId="3186">
        <row r="1">
          <cell r="J1">
            <v>1.7453292519943295E-2</v>
          </cell>
        </row>
      </sheetData>
      <sheetData sheetId="3187">
        <row r="1">
          <cell r="J1">
            <v>1.7453292519943295E-2</v>
          </cell>
        </row>
      </sheetData>
      <sheetData sheetId="3188">
        <row r="1">
          <cell r="J1">
            <v>1.7453292519943295E-2</v>
          </cell>
        </row>
      </sheetData>
      <sheetData sheetId="3189">
        <row r="1">
          <cell r="J1">
            <v>1.7453292519943295E-2</v>
          </cell>
        </row>
      </sheetData>
      <sheetData sheetId="3190">
        <row r="1">
          <cell r="J1">
            <v>1.7453292519943295E-2</v>
          </cell>
        </row>
      </sheetData>
      <sheetData sheetId="3191">
        <row r="1">
          <cell r="J1">
            <v>1.7453292519943295E-2</v>
          </cell>
        </row>
      </sheetData>
      <sheetData sheetId="3192">
        <row r="1">
          <cell r="J1">
            <v>1.7453292519943295E-2</v>
          </cell>
        </row>
      </sheetData>
      <sheetData sheetId="3193">
        <row r="1">
          <cell r="J1">
            <v>1.7453292519943295E-2</v>
          </cell>
        </row>
      </sheetData>
      <sheetData sheetId="3194">
        <row r="1">
          <cell r="J1">
            <v>1.7453292519943295E-2</v>
          </cell>
        </row>
      </sheetData>
      <sheetData sheetId="3195">
        <row r="1">
          <cell r="J1">
            <v>1.7453292519943295E-2</v>
          </cell>
        </row>
      </sheetData>
      <sheetData sheetId="3196">
        <row r="1">
          <cell r="J1">
            <v>1.7453292519943295E-2</v>
          </cell>
        </row>
      </sheetData>
      <sheetData sheetId="3197">
        <row r="1">
          <cell r="J1">
            <v>1.7453292519943295E-2</v>
          </cell>
        </row>
      </sheetData>
      <sheetData sheetId="3198">
        <row r="1">
          <cell r="J1">
            <v>1.7453292519943295E-2</v>
          </cell>
        </row>
      </sheetData>
      <sheetData sheetId="3199">
        <row r="1">
          <cell r="J1">
            <v>1.7453292519943295E-2</v>
          </cell>
        </row>
      </sheetData>
      <sheetData sheetId="3200">
        <row r="1">
          <cell r="J1">
            <v>1.7453292519943295E-2</v>
          </cell>
        </row>
      </sheetData>
      <sheetData sheetId="3201">
        <row r="1">
          <cell r="J1">
            <v>1.7453292519943295E-2</v>
          </cell>
        </row>
      </sheetData>
      <sheetData sheetId="3202">
        <row r="1">
          <cell r="J1">
            <v>1.7453292519943295E-2</v>
          </cell>
        </row>
      </sheetData>
      <sheetData sheetId="3203">
        <row r="1">
          <cell r="J1">
            <v>1.7453292519943295E-2</v>
          </cell>
        </row>
      </sheetData>
      <sheetData sheetId="3204">
        <row r="1">
          <cell r="J1">
            <v>1.7453292519943295E-2</v>
          </cell>
        </row>
      </sheetData>
      <sheetData sheetId="3205">
        <row r="1">
          <cell r="J1">
            <v>1.7453292519943295E-2</v>
          </cell>
        </row>
      </sheetData>
      <sheetData sheetId="3206">
        <row r="1">
          <cell r="J1">
            <v>1.7453292519943295E-2</v>
          </cell>
        </row>
      </sheetData>
      <sheetData sheetId="3207">
        <row r="1">
          <cell r="J1">
            <v>1.7453292519943295E-2</v>
          </cell>
        </row>
      </sheetData>
      <sheetData sheetId="3208">
        <row r="1">
          <cell r="J1">
            <v>1.7453292519943295E-2</v>
          </cell>
        </row>
      </sheetData>
      <sheetData sheetId="3209">
        <row r="1">
          <cell r="J1">
            <v>1.7453292519943295E-2</v>
          </cell>
        </row>
      </sheetData>
      <sheetData sheetId="3210">
        <row r="1">
          <cell r="J1">
            <v>1.7453292519943295E-2</v>
          </cell>
        </row>
      </sheetData>
      <sheetData sheetId="3211">
        <row r="1">
          <cell r="J1">
            <v>1.7453292519943295E-2</v>
          </cell>
        </row>
      </sheetData>
      <sheetData sheetId="3212">
        <row r="1">
          <cell r="J1">
            <v>1.7453292519943295E-2</v>
          </cell>
        </row>
      </sheetData>
      <sheetData sheetId="3213">
        <row r="1">
          <cell r="J1">
            <v>1.7453292519943295E-2</v>
          </cell>
        </row>
      </sheetData>
      <sheetData sheetId="3214">
        <row r="1">
          <cell r="J1">
            <v>1.7453292519943295E-2</v>
          </cell>
        </row>
      </sheetData>
      <sheetData sheetId="3215">
        <row r="1">
          <cell r="J1">
            <v>1.7453292519943295E-2</v>
          </cell>
        </row>
      </sheetData>
      <sheetData sheetId="3216">
        <row r="1">
          <cell r="J1">
            <v>1.7453292519943295E-2</v>
          </cell>
        </row>
      </sheetData>
      <sheetData sheetId="3217">
        <row r="1">
          <cell r="J1">
            <v>1.7453292519943295E-2</v>
          </cell>
        </row>
      </sheetData>
      <sheetData sheetId="3218">
        <row r="1">
          <cell r="J1">
            <v>1.7453292519943295E-2</v>
          </cell>
        </row>
      </sheetData>
      <sheetData sheetId="3219">
        <row r="1">
          <cell r="J1">
            <v>1.7453292519943295E-2</v>
          </cell>
        </row>
      </sheetData>
      <sheetData sheetId="3220">
        <row r="1">
          <cell r="J1">
            <v>1.7453292519943295E-2</v>
          </cell>
        </row>
      </sheetData>
      <sheetData sheetId="3221">
        <row r="1">
          <cell r="J1">
            <v>1.7453292519943295E-2</v>
          </cell>
        </row>
      </sheetData>
      <sheetData sheetId="3222">
        <row r="1">
          <cell r="J1">
            <v>1.7453292519943295E-2</v>
          </cell>
        </row>
      </sheetData>
      <sheetData sheetId="3223">
        <row r="1">
          <cell r="J1">
            <v>1.7453292519943295E-2</v>
          </cell>
        </row>
      </sheetData>
      <sheetData sheetId="3224">
        <row r="1">
          <cell r="J1">
            <v>1.7453292519943295E-2</v>
          </cell>
        </row>
      </sheetData>
      <sheetData sheetId="3225">
        <row r="1">
          <cell r="J1">
            <v>1.7453292519943295E-2</v>
          </cell>
        </row>
      </sheetData>
      <sheetData sheetId="3226">
        <row r="1">
          <cell r="J1">
            <v>1.7453292519943295E-2</v>
          </cell>
        </row>
      </sheetData>
      <sheetData sheetId="3227">
        <row r="1">
          <cell r="J1">
            <v>1.7453292519943295E-2</v>
          </cell>
        </row>
      </sheetData>
      <sheetData sheetId="3228">
        <row r="1">
          <cell r="J1">
            <v>1.7453292519943295E-2</v>
          </cell>
        </row>
      </sheetData>
      <sheetData sheetId="3229">
        <row r="1">
          <cell r="J1">
            <v>1.7453292519943295E-2</v>
          </cell>
        </row>
      </sheetData>
      <sheetData sheetId="3230">
        <row r="1">
          <cell r="J1">
            <v>1.7453292519943295E-2</v>
          </cell>
        </row>
      </sheetData>
      <sheetData sheetId="3231">
        <row r="1">
          <cell r="J1">
            <v>1.7453292519943295E-2</v>
          </cell>
        </row>
      </sheetData>
      <sheetData sheetId="3232">
        <row r="1">
          <cell r="J1">
            <v>1.7453292519943295E-2</v>
          </cell>
        </row>
      </sheetData>
      <sheetData sheetId="3233">
        <row r="1">
          <cell r="J1">
            <v>1.7453292519943295E-2</v>
          </cell>
        </row>
      </sheetData>
      <sheetData sheetId="3234">
        <row r="1">
          <cell r="J1">
            <v>1.7453292519943295E-2</v>
          </cell>
        </row>
      </sheetData>
      <sheetData sheetId="3235">
        <row r="1">
          <cell r="J1">
            <v>1.7453292519943295E-2</v>
          </cell>
        </row>
      </sheetData>
      <sheetData sheetId="3236">
        <row r="1">
          <cell r="J1">
            <v>1.7453292519943295E-2</v>
          </cell>
        </row>
      </sheetData>
      <sheetData sheetId="3237">
        <row r="1">
          <cell r="J1">
            <v>1.7453292519943295E-2</v>
          </cell>
        </row>
      </sheetData>
      <sheetData sheetId="3238">
        <row r="1">
          <cell r="J1">
            <v>1.7453292519943295E-2</v>
          </cell>
        </row>
      </sheetData>
      <sheetData sheetId="3239">
        <row r="1">
          <cell r="J1">
            <v>1.7453292519943295E-2</v>
          </cell>
        </row>
      </sheetData>
      <sheetData sheetId="3240">
        <row r="1">
          <cell r="J1">
            <v>1.7453292519943295E-2</v>
          </cell>
        </row>
      </sheetData>
      <sheetData sheetId="3241">
        <row r="1">
          <cell r="J1">
            <v>1.7453292519943295E-2</v>
          </cell>
        </row>
      </sheetData>
      <sheetData sheetId="3242">
        <row r="1">
          <cell r="J1">
            <v>1.7453292519943295E-2</v>
          </cell>
        </row>
      </sheetData>
      <sheetData sheetId="3243">
        <row r="1">
          <cell r="J1">
            <v>1.7453292519943295E-2</v>
          </cell>
        </row>
      </sheetData>
      <sheetData sheetId="3244">
        <row r="1">
          <cell r="J1">
            <v>1.7453292519943295E-2</v>
          </cell>
        </row>
      </sheetData>
      <sheetData sheetId="3245">
        <row r="1">
          <cell r="J1">
            <v>1.7453292519943295E-2</v>
          </cell>
        </row>
      </sheetData>
      <sheetData sheetId="3246">
        <row r="1">
          <cell r="J1">
            <v>1.7453292519943295E-2</v>
          </cell>
        </row>
      </sheetData>
      <sheetData sheetId="3247">
        <row r="1">
          <cell r="J1">
            <v>1.7453292519943295E-2</v>
          </cell>
        </row>
      </sheetData>
      <sheetData sheetId="3248">
        <row r="1">
          <cell r="J1">
            <v>1.7453292519943295E-2</v>
          </cell>
        </row>
      </sheetData>
      <sheetData sheetId="3249">
        <row r="1">
          <cell r="J1">
            <v>1.7453292519943295E-2</v>
          </cell>
        </row>
      </sheetData>
      <sheetData sheetId="3250">
        <row r="1">
          <cell r="J1">
            <v>1.7453292519943295E-2</v>
          </cell>
        </row>
      </sheetData>
      <sheetData sheetId="3251">
        <row r="1">
          <cell r="J1">
            <v>1.7453292519943295E-2</v>
          </cell>
        </row>
      </sheetData>
      <sheetData sheetId="3252">
        <row r="1">
          <cell r="J1">
            <v>1.7453292519943295E-2</v>
          </cell>
        </row>
      </sheetData>
      <sheetData sheetId="3253">
        <row r="1">
          <cell r="J1">
            <v>1.7453292519943295E-2</v>
          </cell>
        </row>
      </sheetData>
      <sheetData sheetId="3254">
        <row r="1">
          <cell r="J1">
            <v>1.7453292519943295E-2</v>
          </cell>
        </row>
      </sheetData>
      <sheetData sheetId="3255">
        <row r="1">
          <cell r="J1">
            <v>1.7453292519943295E-2</v>
          </cell>
        </row>
      </sheetData>
      <sheetData sheetId="3256">
        <row r="1">
          <cell r="J1">
            <v>1.7453292519943295E-2</v>
          </cell>
        </row>
      </sheetData>
      <sheetData sheetId="3257">
        <row r="1">
          <cell r="J1">
            <v>1.7453292519943295E-2</v>
          </cell>
        </row>
      </sheetData>
      <sheetData sheetId="3258">
        <row r="1">
          <cell r="J1">
            <v>1.7453292519943295E-2</v>
          </cell>
        </row>
      </sheetData>
      <sheetData sheetId="3259">
        <row r="1">
          <cell r="J1">
            <v>1.7453292519943295E-2</v>
          </cell>
        </row>
      </sheetData>
      <sheetData sheetId="3260">
        <row r="1">
          <cell r="J1">
            <v>1.7453292519943295E-2</v>
          </cell>
        </row>
      </sheetData>
      <sheetData sheetId="3261">
        <row r="1">
          <cell r="J1">
            <v>1.7453292519943295E-2</v>
          </cell>
        </row>
      </sheetData>
      <sheetData sheetId="3262">
        <row r="1">
          <cell r="J1">
            <v>1.7453292519943295E-2</v>
          </cell>
        </row>
      </sheetData>
      <sheetData sheetId="3263">
        <row r="1">
          <cell r="J1">
            <v>1.7453292519943295E-2</v>
          </cell>
        </row>
      </sheetData>
      <sheetData sheetId="3264">
        <row r="1">
          <cell r="J1">
            <v>1.7453292519943295E-2</v>
          </cell>
        </row>
      </sheetData>
      <sheetData sheetId="3265">
        <row r="1">
          <cell r="J1">
            <v>1.7453292519943295E-2</v>
          </cell>
        </row>
      </sheetData>
      <sheetData sheetId="3266">
        <row r="1">
          <cell r="J1">
            <v>1.7453292519943295E-2</v>
          </cell>
        </row>
      </sheetData>
      <sheetData sheetId="3267">
        <row r="1">
          <cell r="J1">
            <v>1.7453292519943295E-2</v>
          </cell>
        </row>
      </sheetData>
      <sheetData sheetId="3268">
        <row r="1">
          <cell r="J1">
            <v>1.7453292519943295E-2</v>
          </cell>
        </row>
      </sheetData>
      <sheetData sheetId="3269">
        <row r="1">
          <cell r="J1">
            <v>1.7453292519943295E-2</v>
          </cell>
        </row>
      </sheetData>
      <sheetData sheetId="3270">
        <row r="1">
          <cell r="J1">
            <v>1.7453292519943295E-2</v>
          </cell>
        </row>
      </sheetData>
      <sheetData sheetId="3271">
        <row r="1">
          <cell r="J1">
            <v>1.7453292519943295E-2</v>
          </cell>
        </row>
      </sheetData>
      <sheetData sheetId="3272">
        <row r="1">
          <cell r="J1">
            <v>1.7453292519943295E-2</v>
          </cell>
        </row>
      </sheetData>
      <sheetData sheetId="3273">
        <row r="1">
          <cell r="J1">
            <v>1.7453292519943295E-2</v>
          </cell>
        </row>
      </sheetData>
      <sheetData sheetId="3274">
        <row r="1">
          <cell r="J1">
            <v>1.7453292519943295E-2</v>
          </cell>
        </row>
      </sheetData>
      <sheetData sheetId="3275">
        <row r="1">
          <cell r="J1">
            <v>1.7453292519943295E-2</v>
          </cell>
        </row>
      </sheetData>
      <sheetData sheetId="3276">
        <row r="1">
          <cell r="J1">
            <v>1.7453292519943295E-2</v>
          </cell>
        </row>
      </sheetData>
      <sheetData sheetId="3277">
        <row r="1">
          <cell r="J1">
            <v>1.7453292519943295E-2</v>
          </cell>
        </row>
      </sheetData>
      <sheetData sheetId="3278">
        <row r="1">
          <cell r="J1">
            <v>1.7453292519943295E-2</v>
          </cell>
        </row>
      </sheetData>
      <sheetData sheetId="3279">
        <row r="1">
          <cell r="J1">
            <v>1.7453292519943295E-2</v>
          </cell>
        </row>
      </sheetData>
      <sheetData sheetId="3280">
        <row r="1">
          <cell r="J1">
            <v>1.7453292519943295E-2</v>
          </cell>
        </row>
      </sheetData>
      <sheetData sheetId="3281">
        <row r="1">
          <cell r="J1">
            <v>1.7453292519943295E-2</v>
          </cell>
        </row>
      </sheetData>
      <sheetData sheetId="3282">
        <row r="1">
          <cell r="J1">
            <v>1.7453292519943295E-2</v>
          </cell>
        </row>
      </sheetData>
      <sheetData sheetId="3283">
        <row r="1">
          <cell r="J1">
            <v>1.7453292519943295E-2</v>
          </cell>
        </row>
      </sheetData>
      <sheetData sheetId="3284">
        <row r="1">
          <cell r="J1">
            <v>1.7453292519943295E-2</v>
          </cell>
        </row>
      </sheetData>
      <sheetData sheetId="3285">
        <row r="1">
          <cell r="J1">
            <v>1.7453292519943295E-2</v>
          </cell>
        </row>
      </sheetData>
      <sheetData sheetId="3286">
        <row r="1">
          <cell r="J1">
            <v>1.7453292519943295E-2</v>
          </cell>
        </row>
      </sheetData>
      <sheetData sheetId="3287">
        <row r="1">
          <cell r="J1">
            <v>1.7453292519943295E-2</v>
          </cell>
        </row>
      </sheetData>
      <sheetData sheetId="3288">
        <row r="1">
          <cell r="J1">
            <v>1.7453292519943295E-2</v>
          </cell>
        </row>
      </sheetData>
      <sheetData sheetId="3289">
        <row r="1">
          <cell r="J1">
            <v>1.7453292519943295E-2</v>
          </cell>
        </row>
      </sheetData>
      <sheetData sheetId="3290">
        <row r="1">
          <cell r="J1">
            <v>1.7453292519943295E-2</v>
          </cell>
        </row>
      </sheetData>
      <sheetData sheetId="3291">
        <row r="1">
          <cell r="J1">
            <v>1.7453292519943295E-2</v>
          </cell>
        </row>
      </sheetData>
      <sheetData sheetId="3292">
        <row r="1">
          <cell r="J1">
            <v>1.7453292519943295E-2</v>
          </cell>
        </row>
      </sheetData>
      <sheetData sheetId="3293">
        <row r="1">
          <cell r="J1">
            <v>1.7453292519943295E-2</v>
          </cell>
        </row>
      </sheetData>
      <sheetData sheetId="3294">
        <row r="1">
          <cell r="J1">
            <v>1.7453292519943295E-2</v>
          </cell>
        </row>
      </sheetData>
      <sheetData sheetId="3295">
        <row r="1">
          <cell r="J1">
            <v>1.7453292519943295E-2</v>
          </cell>
        </row>
      </sheetData>
      <sheetData sheetId="3296">
        <row r="1">
          <cell r="J1">
            <v>1.7453292519943295E-2</v>
          </cell>
        </row>
      </sheetData>
      <sheetData sheetId="3297">
        <row r="1">
          <cell r="J1">
            <v>1.7453292519943295E-2</v>
          </cell>
        </row>
      </sheetData>
      <sheetData sheetId="3298">
        <row r="1">
          <cell r="J1">
            <v>1.7453292519943295E-2</v>
          </cell>
        </row>
      </sheetData>
      <sheetData sheetId="3299">
        <row r="1">
          <cell r="J1">
            <v>1.7453292519943295E-2</v>
          </cell>
        </row>
      </sheetData>
      <sheetData sheetId="3300">
        <row r="1">
          <cell r="J1">
            <v>1.7453292519943295E-2</v>
          </cell>
        </row>
      </sheetData>
      <sheetData sheetId="3301">
        <row r="1">
          <cell r="J1">
            <v>1.7453292519943295E-2</v>
          </cell>
        </row>
      </sheetData>
      <sheetData sheetId="3302">
        <row r="1">
          <cell r="J1">
            <v>1.7453292519943295E-2</v>
          </cell>
        </row>
      </sheetData>
      <sheetData sheetId="3303">
        <row r="1">
          <cell r="J1">
            <v>1.7453292519943295E-2</v>
          </cell>
        </row>
      </sheetData>
      <sheetData sheetId="3304">
        <row r="1">
          <cell r="J1">
            <v>1.7453292519943295E-2</v>
          </cell>
        </row>
      </sheetData>
      <sheetData sheetId="3305">
        <row r="1">
          <cell r="J1">
            <v>1.7453292519943295E-2</v>
          </cell>
        </row>
      </sheetData>
      <sheetData sheetId="3306">
        <row r="1">
          <cell r="J1">
            <v>1.7453292519943295E-2</v>
          </cell>
        </row>
      </sheetData>
      <sheetData sheetId="3307">
        <row r="1">
          <cell r="J1">
            <v>1.7453292519943295E-2</v>
          </cell>
        </row>
      </sheetData>
      <sheetData sheetId="3308">
        <row r="1">
          <cell r="J1">
            <v>1.7453292519943295E-2</v>
          </cell>
        </row>
      </sheetData>
      <sheetData sheetId="3309">
        <row r="1">
          <cell r="J1">
            <v>1.7453292519943295E-2</v>
          </cell>
        </row>
      </sheetData>
      <sheetData sheetId="3310">
        <row r="1">
          <cell r="J1">
            <v>1.7453292519943295E-2</v>
          </cell>
        </row>
      </sheetData>
      <sheetData sheetId="3311">
        <row r="1">
          <cell r="J1">
            <v>1.7453292519943295E-2</v>
          </cell>
        </row>
      </sheetData>
      <sheetData sheetId="3312">
        <row r="1">
          <cell r="J1">
            <v>1.7453292519943295E-2</v>
          </cell>
        </row>
      </sheetData>
      <sheetData sheetId="3313">
        <row r="1">
          <cell r="J1">
            <v>1.7453292519943295E-2</v>
          </cell>
        </row>
      </sheetData>
      <sheetData sheetId="3314">
        <row r="1">
          <cell r="J1">
            <v>1.7453292519943295E-2</v>
          </cell>
        </row>
      </sheetData>
      <sheetData sheetId="3315">
        <row r="1">
          <cell r="J1">
            <v>1.7453292519943295E-2</v>
          </cell>
        </row>
      </sheetData>
      <sheetData sheetId="3316">
        <row r="1">
          <cell r="J1">
            <v>1.7453292519943295E-2</v>
          </cell>
        </row>
      </sheetData>
      <sheetData sheetId="3317">
        <row r="1">
          <cell r="J1">
            <v>1.7453292519943295E-2</v>
          </cell>
        </row>
      </sheetData>
      <sheetData sheetId="3318">
        <row r="1">
          <cell r="J1">
            <v>1.7453292519943295E-2</v>
          </cell>
        </row>
      </sheetData>
      <sheetData sheetId="3319">
        <row r="1">
          <cell r="J1">
            <v>1.7453292519943295E-2</v>
          </cell>
        </row>
      </sheetData>
      <sheetData sheetId="3320">
        <row r="1">
          <cell r="J1">
            <v>1.7453292519943295E-2</v>
          </cell>
        </row>
      </sheetData>
      <sheetData sheetId="3321">
        <row r="1">
          <cell r="J1">
            <v>1.7453292519943295E-2</v>
          </cell>
        </row>
      </sheetData>
      <sheetData sheetId="3322">
        <row r="1">
          <cell r="J1">
            <v>1.7453292519943295E-2</v>
          </cell>
        </row>
      </sheetData>
      <sheetData sheetId="3323">
        <row r="1">
          <cell r="J1">
            <v>1.7453292519943295E-2</v>
          </cell>
        </row>
      </sheetData>
      <sheetData sheetId="3324">
        <row r="1">
          <cell r="J1">
            <v>1.7453292519943295E-2</v>
          </cell>
        </row>
      </sheetData>
      <sheetData sheetId="3325">
        <row r="1">
          <cell r="J1">
            <v>1.7453292519943295E-2</v>
          </cell>
        </row>
      </sheetData>
      <sheetData sheetId="3326">
        <row r="1">
          <cell r="J1">
            <v>1.7453292519943295E-2</v>
          </cell>
        </row>
      </sheetData>
      <sheetData sheetId="3327">
        <row r="1">
          <cell r="J1">
            <v>1.7453292519943295E-2</v>
          </cell>
        </row>
      </sheetData>
      <sheetData sheetId="3328">
        <row r="1">
          <cell r="J1">
            <v>1.7453292519943295E-2</v>
          </cell>
        </row>
      </sheetData>
      <sheetData sheetId="3329">
        <row r="1">
          <cell r="J1">
            <v>1.7453292519943295E-2</v>
          </cell>
        </row>
      </sheetData>
      <sheetData sheetId="3330">
        <row r="1">
          <cell r="J1">
            <v>1.7453292519943295E-2</v>
          </cell>
        </row>
      </sheetData>
      <sheetData sheetId="3331">
        <row r="1">
          <cell r="J1">
            <v>1.7453292519943295E-2</v>
          </cell>
        </row>
      </sheetData>
      <sheetData sheetId="3332">
        <row r="1">
          <cell r="J1">
            <v>1.7453292519943295E-2</v>
          </cell>
        </row>
      </sheetData>
      <sheetData sheetId="3333">
        <row r="1">
          <cell r="J1">
            <v>1.7453292519943295E-2</v>
          </cell>
        </row>
      </sheetData>
      <sheetData sheetId="3334">
        <row r="1">
          <cell r="J1">
            <v>1.7453292519943295E-2</v>
          </cell>
        </row>
      </sheetData>
      <sheetData sheetId="3335">
        <row r="1">
          <cell r="J1">
            <v>1.7453292519943295E-2</v>
          </cell>
        </row>
      </sheetData>
      <sheetData sheetId="3336">
        <row r="1">
          <cell r="J1">
            <v>1.7453292519943295E-2</v>
          </cell>
        </row>
      </sheetData>
      <sheetData sheetId="3337">
        <row r="1">
          <cell r="J1">
            <v>1.7453292519943295E-2</v>
          </cell>
        </row>
      </sheetData>
      <sheetData sheetId="3338">
        <row r="1">
          <cell r="J1">
            <v>1.7453292519943295E-2</v>
          </cell>
        </row>
      </sheetData>
      <sheetData sheetId="3339">
        <row r="1">
          <cell r="J1">
            <v>1.7453292519943295E-2</v>
          </cell>
        </row>
      </sheetData>
      <sheetData sheetId="3340">
        <row r="1">
          <cell r="J1">
            <v>1.7453292519943295E-2</v>
          </cell>
        </row>
      </sheetData>
      <sheetData sheetId="3341">
        <row r="1">
          <cell r="J1">
            <v>1.7453292519943295E-2</v>
          </cell>
        </row>
      </sheetData>
      <sheetData sheetId="3342">
        <row r="1">
          <cell r="J1">
            <v>1.7453292519943295E-2</v>
          </cell>
        </row>
      </sheetData>
      <sheetData sheetId="3343">
        <row r="1">
          <cell r="J1">
            <v>1.7453292519943295E-2</v>
          </cell>
        </row>
      </sheetData>
      <sheetData sheetId="3344">
        <row r="1">
          <cell r="J1">
            <v>1.7453292519943295E-2</v>
          </cell>
        </row>
      </sheetData>
      <sheetData sheetId="3345">
        <row r="1">
          <cell r="J1">
            <v>1.7453292519943295E-2</v>
          </cell>
        </row>
      </sheetData>
      <sheetData sheetId="3346">
        <row r="1">
          <cell r="J1">
            <v>1.7453292519943295E-2</v>
          </cell>
        </row>
      </sheetData>
      <sheetData sheetId="3347">
        <row r="2">
          <cell r="B2">
            <v>1</v>
          </cell>
        </row>
      </sheetData>
      <sheetData sheetId="3348">
        <row r="2">
          <cell r="B2">
            <v>1</v>
          </cell>
        </row>
      </sheetData>
      <sheetData sheetId="3349">
        <row r="1">
          <cell r="J1">
            <v>1.7453292519943295E-2</v>
          </cell>
        </row>
      </sheetData>
      <sheetData sheetId="3350" refreshError="1"/>
      <sheetData sheetId="3351" refreshError="1"/>
      <sheetData sheetId="3352">
        <row r="1">
          <cell r="J1">
            <v>1.7453292519943295E-2</v>
          </cell>
        </row>
      </sheetData>
      <sheetData sheetId="3353" refreshError="1"/>
      <sheetData sheetId="3354" refreshError="1"/>
      <sheetData sheetId="3355" refreshError="1"/>
      <sheetData sheetId="3356">
        <row r="1">
          <cell r="J1">
            <v>1.7453292519943295E-2</v>
          </cell>
        </row>
      </sheetData>
      <sheetData sheetId="3357" refreshError="1"/>
      <sheetData sheetId="3358" refreshError="1"/>
      <sheetData sheetId="3359" refreshError="1"/>
      <sheetData sheetId="3360" refreshError="1"/>
      <sheetData sheetId="3361" refreshError="1"/>
      <sheetData sheetId="3362" refreshError="1"/>
      <sheetData sheetId="3363" refreshError="1"/>
      <sheetData sheetId="3364">
        <row r="1">
          <cell r="J1">
            <v>1.7453292519943295E-2</v>
          </cell>
        </row>
      </sheetData>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ow r="2">
          <cell r="B2">
            <v>1</v>
          </cell>
        </row>
      </sheetData>
      <sheetData sheetId="3378">
        <row r="1">
          <cell r="J1">
            <v>1.7453292519943295E-2</v>
          </cell>
        </row>
      </sheetData>
      <sheetData sheetId="3379">
        <row r="1">
          <cell r="J1">
            <v>1.7453292519943295E-2</v>
          </cell>
        </row>
      </sheetData>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ow r="1">
          <cell r="J1">
            <v>1.7453292519943295E-2</v>
          </cell>
        </row>
      </sheetData>
      <sheetData sheetId="3396" refreshError="1"/>
      <sheetData sheetId="3397" refreshError="1"/>
      <sheetData sheetId="3398" refreshError="1"/>
      <sheetData sheetId="3399" refreshError="1"/>
      <sheetData sheetId="3400" refreshError="1"/>
      <sheetData sheetId="3401" refreshError="1"/>
      <sheetData sheetId="3402" refreshError="1"/>
      <sheetData sheetId="3403"/>
      <sheetData sheetId="3404" refreshError="1"/>
      <sheetData sheetId="3405" refreshError="1"/>
      <sheetData sheetId="3406">
        <row r="1">
          <cell r="J1">
            <v>1.7453292519943295E-2</v>
          </cell>
        </row>
      </sheetData>
      <sheetData sheetId="3407">
        <row r="1">
          <cell r="J1">
            <v>1.7453292519943295E-2</v>
          </cell>
        </row>
      </sheetData>
      <sheetData sheetId="3408">
        <row r="1">
          <cell r="J1">
            <v>1.7453292519943295E-2</v>
          </cell>
        </row>
      </sheetData>
      <sheetData sheetId="3409" refreshError="1"/>
      <sheetData sheetId="3410" refreshError="1"/>
      <sheetData sheetId="3411">
        <row r="1">
          <cell r="J1">
            <v>1.7453292519943295E-2</v>
          </cell>
        </row>
      </sheetData>
      <sheetData sheetId="3412" refreshError="1"/>
      <sheetData sheetId="3413" refreshError="1"/>
      <sheetData sheetId="3414" refreshError="1"/>
      <sheetData sheetId="3415" refreshError="1"/>
      <sheetData sheetId="3416">
        <row r="1">
          <cell r="J1">
            <v>1.7453292519943295E-2</v>
          </cell>
        </row>
      </sheetData>
      <sheetData sheetId="3417">
        <row r="1">
          <cell r="J1">
            <v>1.7453292519943295E-2</v>
          </cell>
        </row>
      </sheetData>
      <sheetData sheetId="3418">
        <row r="1">
          <cell r="J1">
            <v>1.7453292519943295E-2</v>
          </cell>
        </row>
      </sheetData>
      <sheetData sheetId="3419">
        <row r="1">
          <cell r="J1">
            <v>1.7453292519943295E-2</v>
          </cell>
        </row>
      </sheetData>
      <sheetData sheetId="3420">
        <row r="1">
          <cell r="J1">
            <v>1.7453292519943295E-2</v>
          </cell>
        </row>
      </sheetData>
      <sheetData sheetId="3421">
        <row r="1">
          <cell r="J1">
            <v>1.7453292519943295E-2</v>
          </cell>
        </row>
      </sheetData>
      <sheetData sheetId="3422">
        <row r="1">
          <cell r="J1">
            <v>1.7453292519943295E-2</v>
          </cell>
        </row>
      </sheetData>
      <sheetData sheetId="3423">
        <row r="1">
          <cell r="J1">
            <v>1.7453292519943295E-2</v>
          </cell>
        </row>
      </sheetData>
      <sheetData sheetId="3424">
        <row r="1">
          <cell r="J1">
            <v>1.7453292519943295E-2</v>
          </cell>
        </row>
      </sheetData>
      <sheetData sheetId="3425">
        <row r="1">
          <cell r="J1">
            <v>1.7453292519943295E-2</v>
          </cell>
        </row>
      </sheetData>
      <sheetData sheetId="3426">
        <row r="1">
          <cell r="J1">
            <v>1.7453292519943295E-2</v>
          </cell>
        </row>
      </sheetData>
      <sheetData sheetId="3427">
        <row r="1">
          <cell r="J1">
            <v>1.7453292519943295E-2</v>
          </cell>
        </row>
      </sheetData>
      <sheetData sheetId="3428">
        <row r="1">
          <cell r="J1">
            <v>1.7453292519943295E-2</v>
          </cell>
        </row>
      </sheetData>
      <sheetData sheetId="3429">
        <row r="1">
          <cell r="J1">
            <v>1.7453292519943295E-2</v>
          </cell>
        </row>
      </sheetData>
      <sheetData sheetId="3430">
        <row r="1">
          <cell r="J1">
            <v>1.7453292519943295E-2</v>
          </cell>
        </row>
      </sheetData>
      <sheetData sheetId="3431">
        <row r="1">
          <cell r="J1">
            <v>1.7453292519943295E-2</v>
          </cell>
        </row>
      </sheetData>
      <sheetData sheetId="3432">
        <row r="1">
          <cell r="J1">
            <v>1.7453292519943295E-2</v>
          </cell>
        </row>
      </sheetData>
      <sheetData sheetId="3433">
        <row r="1">
          <cell r="J1">
            <v>1.7453292519943295E-2</v>
          </cell>
        </row>
      </sheetData>
      <sheetData sheetId="3434">
        <row r="1">
          <cell r="J1">
            <v>1.7453292519943295E-2</v>
          </cell>
        </row>
      </sheetData>
      <sheetData sheetId="3435">
        <row r="1">
          <cell r="J1">
            <v>1.7453292519943295E-2</v>
          </cell>
        </row>
      </sheetData>
      <sheetData sheetId="3436">
        <row r="1">
          <cell r="J1">
            <v>1.7453292519943295E-2</v>
          </cell>
        </row>
      </sheetData>
      <sheetData sheetId="3437">
        <row r="1">
          <cell r="J1">
            <v>1.7453292519943295E-2</v>
          </cell>
        </row>
      </sheetData>
      <sheetData sheetId="3438">
        <row r="1">
          <cell r="J1">
            <v>1.7453292519943295E-2</v>
          </cell>
        </row>
      </sheetData>
      <sheetData sheetId="3439">
        <row r="1">
          <cell r="J1">
            <v>1.7453292519943295E-2</v>
          </cell>
        </row>
      </sheetData>
      <sheetData sheetId="3440">
        <row r="1">
          <cell r="J1">
            <v>1.7453292519943295E-2</v>
          </cell>
        </row>
      </sheetData>
      <sheetData sheetId="3441">
        <row r="1">
          <cell r="J1">
            <v>1.7453292519943295E-2</v>
          </cell>
        </row>
      </sheetData>
      <sheetData sheetId="3442">
        <row r="1">
          <cell r="J1">
            <v>1.7453292519943295E-2</v>
          </cell>
        </row>
      </sheetData>
      <sheetData sheetId="3443">
        <row r="1">
          <cell r="J1">
            <v>1.7453292519943295E-2</v>
          </cell>
        </row>
      </sheetData>
      <sheetData sheetId="3444">
        <row r="1">
          <cell r="J1">
            <v>1.7453292519943295E-2</v>
          </cell>
        </row>
      </sheetData>
      <sheetData sheetId="3445">
        <row r="1">
          <cell r="J1">
            <v>1.7453292519943295E-2</v>
          </cell>
        </row>
      </sheetData>
      <sheetData sheetId="3446">
        <row r="1">
          <cell r="J1">
            <v>1.7453292519943295E-2</v>
          </cell>
        </row>
      </sheetData>
      <sheetData sheetId="3447">
        <row r="1">
          <cell r="J1">
            <v>1.7453292519943295E-2</v>
          </cell>
        </row>
      </sheetData>
      <sheetData sheetId="3448">
        <row r="1">
          <cell r="J1">
            <v>1.7453292519943295E-2</v>
          </cell>
        </row>
      </sheetData>
      <sheetData sheetId="3449">
        <row r="1">
          <cell r="J1">
            <v>1.7453292519943295E-2</v>
          </cell>
        </row>
      </sheetData>
      <sheetData sheetId="3450">
        <row r="1">
          <cell r="J1">
            <v>1.7453292519943295E-2</v>
          </cell>
        </row>
      </sheetData>
      <sheetData sheetId="3451">
        <row r="1">
          <cell r="J1">
            <v>1.7453292519943295E-2</v>
          </cell>
        </row>
      </sheetData>
      <sheetData sheetId="3452">
        <row r="1">
          <cell r="J1">
            <v>1.7453292519943295E-2</v>
          </cell>
        </row>
      </sheetData>
      <sheetData sheetId="3453">
        <row r="1">
          <cell r="J1">
            <v>1.7453292519943295E-2</v>
          </cell>
        </row>
      </sheetData>
      <sheetData sheetId="3454">
        <row r="1">
          <cell r="J1">
            <v>1.7453292519943295E-2</v>
          </cell>
        </row>
      </sheetData>
      <sheetData sheetId="3455">
        <row r="1">
          <cell r="J1">
            <v>1.7453292519943295E-2</v>
          </cell>
        </row>
      </sheetData>
      <sheetData sheetId="3456">
        <row r="1">
          <cell r="J1">
            <v>1.7453292519943295E-2</v>
          </cell>
        </row>
      </sheetData>
      <sheetData sheetId="3457">
        <row r="1">
          <cell r="J1">
            <v>1.7453292519943295E-2</v>
          </cell>
        </row>
      </sheetData>
      <sheetData sheetId="3458">
        <row r="1">
          <cell r="J1">
            <v>1.7453292519943295E-2</v>
          </cell>
        </row>
      </sheetData>
      <sheetData sheetId="3459">
        <row r="1">
          <cell r="J1">
            <v>1.7453292519943295E-2</v>
          </cell>
        </row>
      </sheetData>
      <sheetData sheetId="3460">
        <row r="1">
          <cell r="J1">
            <v>1.7453292519943295E-2</v>
          </cell>
        </row>
      </sheetData>
      <sheetData sheetId="3461">
        <row r="1">
          <cell r="J1">
            <v>1.7453292519943295E-2</v>
          </cell>
        </row>
      </sheetData>
      <sheetData sheetId="3462">
        <row r="1">
          <cell r="J1">
            <v>1.7453292519943295E-2</v>
          </cell>
        </row>
      </sheetData>
      <sheetData sheetId="3463">
        <row r="1">
          <cell r="J1">
            <v>1.7453292519943295E-2</v>
          </cell>
        </row>
      </sheetData>
      <sheetData sheetId="3464">
        <row r="1">
          <cell r="J1">
            <v>1.7453292519943295E-2</v>
          </cell>
        </row>
      </sheetData>
      <sheetData sheetId="3465">
        <row r="1">
          <cell r="J1">
            <v>1.7453292519943295E-2</v>
          </cell>
        </row>
      </sheetData>
      <sheetData sheetId="3466">
        <row r="1">
          <cell r="J1">
            <v>1.7453292519943295E-2</v>
          </cell>
        </row>
      </sheetData>
      <sheetData sheetId="3467">
        <row r="1">
          <cell r="J1">
            <v>1.7453292519943295E-2</v>
          </cell>
        </row>
      </sheetData>
      <sheetData sheetId="3468">
        <row r="1">
          <cell r="J1">
            <v>1.7453292519943295E-2</v>
          </cell>
        </row>
      </sheetData>
      <sheetData sheetId="3469">
        <row r="1">
          <cell r="J1">
            <v>1.7453292519943295E-2</v>
          </cell>
        </row>
      </sheetData>
      <sheetData sheetId="3470">
        <row r="1">
          <cell r="J1">
            <v>1.7453292519943295E-2</v>
          </cell>
        </row>
      </sheetData>
      <sheetData sheetId="3471">
        <row r="1">
          <cell r="J1">
            <v>1.7453292519943295E-2</v>
          </cell>
        </row>
      </sheetData>
      <sheetData sheetId="3472">
        <row r="1">
          <cell r="J1">
            <v>1.7453292519943295E-2</v>
          </cell>
        </row>
      </sheetData>
      <sheetData sheetId="3473">
        <row r="1">
          <cell r="J1">
            <v>1.7453292519943295E-2</v>
          </cell>
        </row>
      </sheetData>
      <sheetData sheetId="3474">
        <row r="1">
          <cell r="J1">
            <v>1.7453292519943295E-2</v>
          </cell>
        </row>
      </sheetData>
      <sheetData sheetId="3475">
        <row r="1">
          <cell r="J1">
            <v>1.7453292519943295E-2</v>
          </cell>
        </row>
      </sheetData>
      <sheetData sheetId="3476">
        <row r="1">
          <cell r="J1">
            <v>1.7453292519943295E-2</v>
          </cell>
        </row>
      </sheetData>
      <sheetData sheetId="3477">
        <row r="1">
          <cell r="J1">
            <v>1.7453292519943295E-2</v>
          </cell>
        </row>
      </sheetData>
      <sheetData sheetId="3478">
        <row r="1">
          <cell r="J1">
            <v>1.7453292519943295E-2</v>
          </cell>
        </row>
      </sheetData>
      <sheetData sheetId="3479">
        <row r="1">
          <cell r="J1">
            <v>1.7453292519943295E-2</v>
          </cell>
        </row>
      </sheetData>
      <sheetData sheetId="3480">
        <row r="1">
          <cell r="J1">
            <v>1.7453292519943295E-2</v>
          </cell>
        </row>
      </sheetData>
      <sheetData sheetId="3481">
        <row r="1">
          <cell r="J1">
            <v>1.7453292519943295E-2</v>
          </cell>
        </row>
      </sheetData>
      <sheetData sheetId="3482">
        <row r="1">
          <cell r="J1">
            <v>1.7453292519943295E-2</v>
          </cell>
        </row>
      </sheetData>
      <sheetData sheetId="3483">
        <row r="1">
          <cell r="J1">
            <v>1.7453292519943295E-2</v>
          </cell>
        </row>
      </sheetData>
      <sheetData sheetId="3484">
        <row r="1">
          <cell r="J1">
            <v>1.7453292519943295E-2</v>
          </cell>
        </row>
      </sheetData>
      <sheetData sheetId="3485">
        <row r="1">
          <cell r="J1">
            <v>1.7453292519943295E-2</v>
          </cell>
        </row>
      </sheetData>
      <sheetData sheetId="3486">
        <row r="1">
          <cell r="J1">
            <v>1.7453292519943295E-2</v>
          </cell>
        </row>
      </sheetData>
      <sheetData sheetId="3487">
        <row r="1">
          <cell r="J1">
            <v>1.7453292519943295E-2</v>
          </cell>
        </row>
      </sheetData>
      <sheetData sheetId="3488">
        <row r="1">
          <cell r="J1">
            <v>1.7453292519943295E-2</v>
          </cell>
        </row>
      </sheetData>
      <sheetData sheetId="3489">
        <row r="1">
          <cell r="J1">
            <v>1.7453292519943295E-2</v>
          </cell>
        </row>
      </sheetData>
      <sheetData sheetId="3490">
        <row r="1">
          <cell r="J1">
            <v>1.7453292519943295E-2</v>
          </cell>
        </row>
      </sheetData>
      <sheetData sheetId="3491">
        <row r="1">
          <cell r="J1">
            <v>1.7453292519943295E-2</v>
          </cell>
        </row>
      </sheetData>
      <sheetData sheetId="3492" refreshError="1"/>
      <sheetData sheetId="3493">
        <row r="1">
          <cell r="J1">
            <v>1.7453292519943295E-2</v>
          </cell>
        </row>
      </sheetData>
      <sheetData sheetId="3494">
        <row r="1">
          <cell r="J1">
            <v>1.7453292519943295E-2</v>
          </cell>
        </row>
      </sheetData>
      <sheetData sheetId="3495" refreshError="1"/>
      <sheetData sheetId="3496">
        <row r="1">
          <cell r="J1">
            <v>1.7453292519943295E-2</v>
          </cell>
        </row>
      </sheetData>
      <sheetData sheetId="3497">
        <row r="1">
          <cell r="J1">
            <v>1.7453292519943295E-2</v>
          </cell>
        </row>
      </sheetData>
      <sheetData sheetId="3498">
        <row r="1">
          <cell r="J1">
            <v>1.7453292519943295E-2</v>
          </cell>
        </row>
      </sheetData>
      <sheetData sheetId="3499">
        <row r="1">
          <cell r="J1">
            <v>1.7453292519943295E-2</v>
          </cell>
        </row>
      </sheetData>
      <sheetData sheetId="3500">
        <row r="1">
          <cell r="J1">
            <v>1.7453292519943295E-2</v>
          </cell>
        </row>
      </sheetData>
      <sheetData sheetId="3501" refreshError="1"/>
      <sheetData sheetId="3502" refreshError="1"/>
      <sheetData sheetId="3503" refreshError="1"/>
      <sheetData sheetId="3504" refreshError="1"/>
      <sheetData sheetId="3505" refreshError="1"/>
      <sheetData sheetId="3506">
        <row r="1">
          <cell r="J1">
            <v>1.7453292519943295E-2</v>
          </cell>
        </row>
      </sheetData>
      <sheetData sheetId="3507">
        <row r="1">
          <cell r="J1">
            <v>1.7453292519943295E-2</v>
          </cell>
        </row>
      </sheetData>
      <sheetData sheetId="3508">
        <row r="1">
          <cell r="J1">
            <v>1.7453292519943295E-2</v>
          </cell>
        </row>
      </sheetData>
      <sheetData sheetId="3509">
        <row r="1">
          <cell r="J1">
            <v>1.7453292519943295E-2</v>
          </cell>
        </row>
      </sheetData>
      <sheetData sheetId="3510">
        <row r="1">
          <cell r="J1">
            <v>1.7453292519943295E-2</v>
          </cell>
        </row>
      </sheetData>
      <sheetData sheetId="3511">
        <row r="1">
          <cell r="J1">
            <v>1.7453292519943295E-2</v>
          </cell>
        </row>
      </sheetData>
      <sheetData sheetId="3512" refreshError="1"/>
      <sheetData sheetId="3513">
        <row r="1">
          <cell r="J1">
            <v>1.7453292519943295E-2</v>
          </cell>
        </row>
      </sheetData>
      <sheetData sheetId="3514" refreshError="1"/>
      <sheetData sheetId="3515">
        <row r="1">
          <cell r="J1">
            <v>1.7453292519943295E-2</v>
          </cell>
        </row>
      </sheetData>
      <sheetData sheetId="3516">
        <row r="1">
          <cell r="J1">
            <v>1.7453292519943295E-2</v>
          </cell>
        </row>
      </sheetData>
      <sheetData sheetId="3517">
        <row r="1">
          <cell r="J1">
            <v>1.7453292519943295E-2</v>
          </cell>
        </row>
      </sheetData>
      <sheetData sheetId="3518" refreshError="1"/>
      <sheetData sheetId="3519" refreshError="1"/>
      <sheetData sheetId="3520" refreshError="1"/>
      <sheetData sheetId="3521" refreshError="1"/>
      <sheetData sheetId="3522">
        <row r="1">
          <cell r="J1">
            <v>1.7453292519943295E-2</v>
          </cell>
        </row>
      </sheetData>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ow r="1">
          <cell r="J1">
            <v>1.7453292519943295E-2</v>
          </cell>
        </row>
      </sheetData>
      <sheetData sheetId="3537" refreshError="1"/>
      <sheetData sheetId="3538" refreshError="1"/>
      <sheetData sheetId="3539" refreshError="1"/>
      <sheetData sheetId="3540" refreshError="1"/>
      <sheetData sheetId="3541">
        <row r="1">
          <cell r="J1">
            <v>1.7453292519943295E-2</v>
          </cell>
        </row>
      </sheetData>
      <sheetData sheetId="3542">
        <row r="1">
          <cell r="J1">
            <v>1.7453292519943295E-2</v>
          </cell>
        </row>
      </sheetData>
      <sheetData sheetId="3543">
        <row r="1">
          <cell r="J1">
            <v>1.7453292519943295E-2</v>
          </cell>
        </row>
      </sheetData>
      <sheetData sheetId="3544">
        <row r="1">
          <cell r="J1">
            <v>1.7453292519943295E-2</v>
          </cell>
        </row>
      </sheetData>
      <sheetData sheetId="3545">
        <row r="1">
          <cell r="J1">
            <v>1.7453292519943295E-2</v>
          </cell>
        </row>
      </sheetData>
      <sheetData sheetId="3546">
        <row r="1">
          <cell r="J1">
            <v>1.7453292519943295E-2</v>
          </cell>
        </row>
      </sheetData>
      <sheetData sheetId="3547">
        <row r="1">
          <cell r="J1">
            <v>1.7453292519943295E-2</v>
          </cell>
        </row>
      </sheetData>
      <sheetData sheetId="3548">
        <row r="1">
          <cell r="J1">
            <v>1.7453292519943295E-2</v>
          </cell>
        </row>
      </sheetData>
      <sheetData sheetId="3549">
        <row r="1">
          <cell r="J1">
            <v>1.7453292519943295E-2</v>
          </cell>
        </row>
      </sheetData>
      <sheetData sheetId="3550">
        <row r="1">
          <cell r="J1">
            <v>1.7453292519943295E-2</v>
          </cell>
        </row>
      </sheetData>
      <sheetData sheetId="3551">
        <row r="1">
          <cell r="J1">
            <v>1.7453292519943295E-2</v>
          </cell>
        </row>
      </sheetData>
      <sheetData sheetId="3552">
        <row r="1">
          <cell r="J1">
            <v>1.7453292519943295E-2</v>
          </cell>
        </row>
      </sheetData>
      <sheetData sheetId="3553">
        <row r="1">
          <cell r="J1">
            <v>1.7453292519943295E-2</v>
          </cell>
        </row>
      </sheetData>
      <sheetData sheetId="3554">
        <row r="1">
          <cell r="J1">
            <v>1.7453292519943295E-2</v>
          </cell>
        </row>
      </sheetData>
      <sheetData sheetId="3555">
        <row r="1">
          <cell r="J1">
            <v>1.7453292519943295E-2</v>
          </cell>
        </row>
      </sheetData>
      <sheetData sheetId="3556">
        <row r="1">
          <cell r="J1">
            <v>1.7453292519943295E-2</v>
          </cell>
        </row>
      </sheetData>
      <sheetData sheetId="3557">
        <row r="1">
          <cell r="J1">
            <v>1.7453292519943295E-2</v>
          </cell>
        </row>
      </sheetData>
      <sheetData sheetId="3558">
        <row r="1">
          <cell r="J1">
            <v>1.7453292519943295E-2</v>
          </cell>
        </row>
      </sheetData>
      <sheetData sheetId="3559">
        <row r="1">
          <cell r="J1">
            <v>1.7453292519943295E-2</v>
          </cell>
        </row>
      </sheetData>
      <sheetData sheetId="3560">
        <row r="1">
          <cell r="J1">
            <v>1.7453292519943295E-2</v>
          </cell>
        </row>
      </sheetData>
      <sheetData sheetId="3561">
        <row r="1">
          <cell r="J1">
            <v>1.7453292519943295E-2</v>
          </cell>
        </row>
      </sheetData>
      <sheetData sheetId="3562">
        <row r="1">
          <cell r="J1">
            <v>1.7453292519943295E-2</v>
          </cell>
        </row>
      </sheetData>
      <sheetData sheetId="3563">
        <row r="1">
          <cell r="J1">
            <v>1.7453292519943295E-2</v>
          </cell>
        </row>
      </sheetData>
      <sheetData sheetId="3564">
        <row r="1">
          <cell r="J1">
            <v>1.7453292519943295E-2</v>
          </cell>
        </row>
      </sheetData>
      <sheetData sheetId="3565">
        <row r="1">
          <cell r="J1">
            <v>1.7453292519943295E-2</v>
          </cell>
        </row>
      </sheetData>
      <sheetData sheetId="3566">
        <row r="1">
          <cell r="J1">
            <v>1.7453292519943295E-2</v>
          </cell>
        </row>
      </sheetData>
      <sheetData sheetId="3567">
        <row r="1">
          <cell r="J1">
            <v>1.7453292519943295E-2</v>
          </cell>
        </row>
      </sheetData>
      <sheetData sheetId="3568">
        <row r="1">
          <cell r="J1">
            <v>1.7453292519943295E-2</v>
          </cell>
        </row>
      </sheetData>
      <sheetData sheetId="3569">
        <row r="1">
          <cell r="J1">
            <v>1.7453292519943295E-2</v>
          </cell>
        </row>
      </sheetData>
      <sheetData sheetId="3570">
        <row r="1">
          <cell r="J1">
            <v>1.7453292519943295E-2</v>
          </cell>
        </row>
      </sheetData>
      <sheetData sheetId="3571">
        <row r="1">
          <cell r="J1">
            <v>1.7453292519943295E-2</v>
          </cell>
        </row>
      </sheetData>
      <sheetData sheetId="3572">
        <row r="1">
          <cell r="J1">
            <v>1.7453292519943295E-2</v>
          </cell>
        </row>
      </sheetData>
      <sheetData sheetId="3573">
        <row r="1">
          <cell r="J1">
            <v>1.7453292519943295E-2</v>
          </cell>
        </row>
      </sheetData>
      <sheetData sheetId="3574">
        <row r="2">
          <cell r="B2">
            <v>0</v>
          </cell>
        </row>
      </sheetData>
      <sheetData sheetId="3575">
        <row r="2">
          <cell r="B2">
            <v>0</v>
          </cell>
        </row>
      </sheetData>
      <sheetData sheetId="3576">
        <row r="2">
          <cell r="B2">
            <v>0</v>
          </cell>
        </row>
      </sheetData>
      <sheetData sheetId="3577">
        <row r="2">
          <cell r="B2">
            <v>0</v>
          </cell>
        </row>
      </sheetData>
      <sheetData sheetId="3578">
        <row r="2">
          <cell r="B2">
            <v>0</v>
          </cell>
        </row>
      </sheetData>
      <sheetData sheetId="3579">
        <row r="2">
          <cell r="B2">
            <v>0</v>
          </cell>
        </row>
      </sheetData>
      <sheetData sheetId="3580">
        <row r="2">
          <cell r="B2">
            <v>0</v>
          </cell>
        </row>
      </sheetData>
      <sheetData sheetId="3581">
        <row r="1">
          <cell r="J1">
            <v>1.7453292519943295E-2</v>
          </cell>
        </row>
      </sheetData>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ow r="1">
          <cell r="J1">
            <v>1.7453292519943295E-2</v>
          </cell>
        </row>
      </sheetData>
      <sheetData sheetId="3670">
        <row r="1">
          <cell r="J1">
            <v>1.7453292519943295E-2</v>
          </cell>
        </row>
      </sheetData>
      <sheetData sheetId="3671">
        <row r="1">
          <cell r="J1">
            <v>1.7453292519943295E-2</v>
          </cell>
        </row>
      </sheetData>
      <sheetData sheetId="3672">
        <row r="1">
          <cell r="J1">
            <v>1.7453292519943295E-2</v>
          </cell>
        </row>
      </sheetData>
      <sheetData sheetId="3673">
        <row r="1">
          <cell r="J1">
            <v>1.7453292519943295E-2</v>
          </cell>
        </row>
      </sheetData>
      <sheetData sheetId="3674"/>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ow r="1">
          <cell r="J1">
            <v>1.7453292519943295E-2</v>
          </cell>
        </row>
      </sheetData>
      <sheetData sheetId="3741" refreshError="1"/>
      <sheetData sheetId="3742" refreshError="1"/>
      <sheetData sheetId="3743" refreshError="1"/>
      <sheetData sheetId="3744" refreshError="1"/>
      <sheetData sheetId="3745" refreshError="1"/>
      <sheetData sheetId="3746">
        <row r="1">
          <cell r="J1">
            <v>1.7453292519943295E-2</v>
          </cell>
        </row>
      </sheetData>
      <sheetData sheetId="3747">
        <row r="1">
          <cell r="J1">
            <v>1.7453292519943295E-2</v>
          </cell>
        </row>
      </sheetData>
      <sheetData sheetId="3748">
        <row r="1">
          <cell r="J1">
            <v>1.7453292519943295E-2</v>
          </cell>
        </row>
      </sheetData>
      <sheetData sheetId="3749" refreshError="1"/>
      <sheetData sheetId="3750" refreshError="1"/>
      <sheetData sheetId="3751">
        <row r="1">
          <cell r="J1">
            <v>1.7453292519943295E-2</v>
          </cell>
        </row>
      </sheetData>
      <sheetData sheetId="3752" refreshError="1"/>
      <sheetData sheetId="3753" refreshError="1"/>
      <sheetData sheetId="3754" refreshError="1"/>
      <sheetData sheetId="3755">
        <row r="1">
          <cell r="J1">
            <v>1.7453292519943295E-2</v>
          </cell>
        </row>
      </sheetData>
      <sheetData sheetId="3756" refreshError="1"/>
      <sheetData sheetId="3757">
        <row r="1">
          <cell r="J1">
            <v>1.7453292519943295E-2</v>
          </cell>
        </row>
      </sheetData>
      <sheetData sheetId="3758" refreshError="1"/>
      <sheetData sheetId="3759">
        <row r="1">
          <cell r="J1">
            <v>1.7453292519943295E-2</v>
          </cell>
        </row>
      </sheetData>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ow r="1">
          <cell r="J1">
            <v>1.7453292519943295E-2</v>
          </cell>
        </row>
      </sheetData>
      <sheetData sheetId="3773" refreshError="1"/>
      <sheetData sheetId="3774" refreshError="1"/>
      <sheetData sheetId="3775">
        <row r="1">
          <cell r="J1">
            <v>1.7453292519943295E-2</v>
          </cell>
        </row>
      </sheetData>
      <sheetData sheetId="3776" refreshError="1"/>
      <sheetData sheetId="3777" refreshError="1"/>
      <sheetData sheetId="3778" refreshError="1"/>
      <sheetData sheetId="3779">
        <row r="1">
          <cell r="J1">
            <v>1.7453292519943295E-2</v>
          </cell>
        </row>
      </sheetData>
      <sheetData sheetId="3780" refreshError="1"/>
      <sheetData sheetId="3781" refreshError="1"/>
      <sheetData sheetId="3782" refreshError="1"/>
      <sheetData sheetId="3783" refreshError="1"/>
      <sheetData sheetId="3784" refreshError="1"/>
      <sheetData sheetId="3785" refreshError="1"/>
      <sheetData sheetId="3786">
        <row r="1">
          <cell r="J1">
            <v>1.7453292519943295E-2</v>
          </cell>
        </row>
      </sheetData>
      <sheetData sheetId="3787" refreshError="1"/>
      <sheetData sheetId="3788">
        <row r="1">
          <cell r="J1">
            <v>1.7453292519943295E-2</v>
          </cell>
        </row>
      </sheetData>
      <sheetData sheetId="3789" refreshError="1"/>
      <sheetData sheetId="3790" refreshError="1"/>
      <sheetData sheetId="3791">
        <row r="1">
          <cell r="J1">
            <v>1.7453292519943295E-2</v>
          </cell>
        </row>
      </sheetData>
      <sheetData sheetId="3792">
        <row r="1">
          <cell r="J1">
            <v>1.7453292519943295E-2</v>
          </cell>
        </row>
      </sheetData>
      <sheetData sheetId="3793" refreshError="1"/>
      <sheetData sheetId="3794" refreshError="1"/>
      <sheetData sheetId="3795" refreshError="1"/>
      <sheetData sheetId="3796">
        <row r="1">
          <cell r="J1">
            <v>1.7453292519943295E-2</v>
          </cell>
        </row>
      </sheetData>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ow r="1">
          <cell r="J1">
            <v>1.7453292519943295E-2</v>
          </cell>
        </row>
      </sheetData>
      <sheetData sheetId="3806" refreshError="1"/>
      <sheetData sheetId="3807">
        <row r="1">
          <cell r="J1">
            <v>1.7453292519943295E-2</v>
          </cell>
        </row>
      </sheetData>
      <sheetData sheetId="3808" refreshError="1"/>
      <sheetData sheetId="3809" refreshError="1"/>
      <sheetData sheetId="3810" refreshError="1"/>
      <sheetData sheetId="3811">
        <row r="1">
          <cell r="J1">
            <v>1.7453292519943295E-2</v>
          </cell>
        </row>
      </sheetData>
      <sheetData sheetId="3812">
        <row r="1">
          <cell r="J1">
            <v>1.7453292519943295E-2</v>
          </cell>
        </row>
      </sheetData>
      <sheetData sheetId="3813" refreshError="1"/>
      <sheetData sheetId="3814" refreshError="1"/>
      <sheetData sheetId="3815" refreshError="1"/>
      <sheetData sheetId="3816">
        <row r="1">
          <cell r="J1">
            <v>1.7453292519943295E-2</v>
          </cell>
        </row>
      </sheetData>
      <sheetData sheetId="3817" refreshError="1"/>
      <sheetData sheetId="3818">
        <row r="1">
          <cell r="J1">
            <v>1.7453292519943295E-2</v>
          </cell>
        </row>
      </sheetData>
      <sheetData sheetId="3819">
        <row r="1">
          <cell r="J1">
            <v>1.7453292519943295E-2</v>
          </cell>
        </row>
      </sheetData>
      <sheetData sheetId="3820">
        <row r="1">
          <cell r="J1">
            <v>1.7453292519943295E-2</v>
          </cell>
        </row>
      </sheetData>
      <sheetData sheetId="3821" refreshError="1"/>
      <sheetData sheetId="3822" refreshError="1"/>
      <sheetData sheetId="3823" refreshError="1"/>
      <sheetData sheetId="3824">
        <row r="1">
          <cell r="J1">
            <v>1.7453292519943295E-2</v>
          </cell>
        </row>
      </sheetData>
      <sheetData sheetId="3825" refreshError="1"/>
      <sheetData sheetId="3826">
        <row r="1">
          <cell r="J1">
            <v>1.7453292519943295E-2</v>
          </cell>
        </row>
      </sheetData>
      <sheetData sheetId="3827" refreshError="1"/>
      <sheetData sheetId="3828">
        <row r="1">
          <cell r="J1">
            <v>1.7453292519943295E-2</v>
          </cell>
        </row>
      </sheetData>
      <sheetData sheetId="3829" refreshError="1"/>
      <sheetData sheetId="3830">
        <row r="1">
          <cell r="J1">
            <v>1.7453292519943295E-2</v>
          </cell>
        </row>
      </sheetData>
      <sheetData sheetId="3831" refreshError="1"/>
      <sheetData sheetId="3832" refreshError="1"/>
      <sheetData sheetId="3833">
        <row r="1">
          <cell r="J1">
            <v>1.7453292519943295E-2</v>
          </cell>
        </row>
      </sheetData>
      <sheetData sheetId="3834" refreshError="1"/>
      <sheetData sheetId="3835" refreshError="1"/>
      <sheetData sheetId="3836">
        <row r="1">
          <cell r="J1">
            <v>1.7453292519943295E-2</v>
          </cell>
        </row>
      </sheetData>
      <sheetData sheetId="3837" refreshError="1"/>
      <sheetData sheetId="3838" refreshError="1"/>
      <sheetData sheetId="3839" refreshError="1"/>
      <sheetData sheetId="3840" refreshError="1"/>
      <sheetData sheetId="3841">
        <row r="1">
          <cell r="J1">
            <v>1.7453292519943295E-2</v>
          </cell>
        </row>
      </sheetData>
      <sheetData sheetId="3842">
        <row r="1">
          <cell r="J1">
            <v>1.7453292519943295E-2</v>
          </cell>
        </row>
      </sheetData>
      <sheetData sheetId="3843" refreshError="1"/>
      <sheetData sheetId="3844" refreshError="1"/>
      <sheetData sheetId="3845">
        <row r="2">
          <cell r="B2">
            <v>1</v>
          </cell>
        </row>
      </sheetData>
      <sheetData sheetId="3846">
        <row r="1">
          <cell r="J1">
            <v>1.7453292519943295E-2</v>
          </cell>
        </row>
      </sheetData>
      <sheetData sheetId="3847" refreshError="1"/>
      <sheetData sheetId="3848">
        <row r="1">
          <cell r="J1">
            <v>1.7453292519943295E-2</v>
          </cell>
        </row>
      </sheetData>
      <sheetData sheetId="3849" refreshError="1"/>
      <sheetData sheetId="3850">
        <row r="1">
          <cell r="J1">
            <v>1.7453292519943295E-2</v>
          </cell>
        </row>
      </sheetData>
      <sheetData sheetId="3851">
        <row r="1">
          <cell r="J1">
            <v>1.7453292519943295E-2</v>
          </cell>
        </row>
      </sheetData>
      <sheetData sheetId="3852">
        <row r="1">
          <cell r="J1">
            <v>1.7453292519943295E-2</v>
          </cell>
        </row>
      </sheetData>
      <sheetData sheetId="3853">
        <row r="1">
          <cell r="J1">
            <v>1.7453292519943295E-2</v>
          </cell>
        </row>
      </sheetData>
      <sheetData sheetId="3854">
        <row r="1">
          <cell r="J1">
            <v>1.7453292519943295E-2</v>
          </cell>
        </row>
      </sheetData>
      <sheetData sheetId="3855"/>
      <sheetData sheetId="3856"/>
      <sheetData sheetId="3857">
        <row r="1">
          <cell r="J1">
            <v>1.7453292519943295E-2</v>
          </cell>
        </row>
      </sheetData>
      <sheetData sheetId="3858">
        <row r="1">
          <cell r="J1">
            <v>1.7453292519943295E-2</v>
          </cell>
        </row>
      </sheetData>
      <sheetData sheetId="3859"/>
      <sheetData sheetId="3860"/>
      <sheetData sheetId="3861"/>
      <sheetData sheetId="3862"/>
      <sheetData sheetId="3863"/>
      <sheetData sheetId="3864">
        <row r="1">
          <cell r="J1">
            <v>1.7453292519943295E-2</v>
          </cell>
        </row>
      </sheetData>
      <sheetData sheetId="3865">
        <row r="1">
          <cell r="J1">
            <v>1.7453292519943295E-2</v>
          </cell>
        </row>
      </sheetData>
      <sheetData sheetId="3866"/>
      <sheetData sheetId="3867">
        <row r="1">
          <cell r="J1">
            <v>1.7453292519943295E-2</v>
          </cell>
        </row>
      </sheetData>
      <sheetData sheetId="3868"/>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sheetData sheetId="3945"/>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sheetData sheetId="3974">
        <row r="1">
          <cell r="J1">
            <v>1.7453292519943295E-2</v>
          </cell>
        </row>
      </sheetData>
      <sheetData sheetId="3975">
        <row r="1">
          <cell r="J1">
            <v>1.7453292519943295E-2</v>
          </cell>
        </row>
      </sheetData>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ow r="1">
          <cell r="J1">
            <v>1.7453292519943295E-2</v>
          </cell>
        </row>
      </sheetData>
      <sheetData sheetId="3986">
        <row r="1">
          <cell r="J1">
            <v>1.7453292519943295E-2</v>
          </cell>
        </row>
      </sheetData>
      <sheetData sheetId="3987" refreshError="1"/>
      <sheetData sheetId="3988" refreshError="1"/>
      <sheetData sheetId="3989" refreshError="1"/>
      <sheetData sheetId="3990" refreshError="1"/>
      <sheetData sheetId="3991" refreshError="1"/>
      <sheetData sheetId="3992">
        <row r="1">
          <cell r="J1">
            <v>1.7453292519943295E-2</v>
          </cell>
        </row>
      </sheetData>
      <sheetData sheetId="3993"/>
      <sheetData sheetId="3994" refreshError="1"/>
      <sheetData sheetId="3995" refreshError="1"/>
      <sheetData sheetId="3996">
        <row r="1">
          <cell r="J1">
            <v>1.7453292519943295E-2</v>
          </cell>
        </row>
      </sheetData>
      <sheetData sheetId="3997" refreshError="1"/>
      <sheetData sheetId="3998">
        <row r="1">
          <cell r="J1">
            <v>1.7453292519943295E-2</v>
          </cell>
        </row>
      </sheetData>
      <sheetData sheetId="3999" refreshError="1"/>
      <sheetData sheetId="4000" refreshError="1"/>
      <sheetData sheetId="4001">
        <row r="1">
          <cell r="J1">
            <v>1.7453292519943295E-2</v>
          </cell>
        </row>
      </sheetData>
      <sheetData sheetId="4002"/>
      <sheetData sheetId="4003" refreshError="1"/>
      <sheetData sheetId="4004" refreshError="1"/>
      <sheetData sheetId="4005" refreshError="1"/>
      <sheetData sheetId="4006" refreshError="1"/>
      <sheetData sheetId="4007"/>
      <sheetData sheetId="4008" refreshError="1"/>
      <sheetData sheetId="4009" refreshError="1"/>
      <sheetData sheetId="4010" refreshError="1"/>
      <sheetData sheetId="4011" refreshError="1"/>
      <sheetData sheetId="4012"/>
      <sheetData sheetId="4013" refreshError="1"/>
      <sheetData sheetId="4014" refreshError="1"/>
      <sheetData sheetId="4015" refreshError="1"/>
      <sheetData sheetId="4016" refreshError="1"/>
      <sheetData sheetId="4017"/>
      <sheetData sheetId="4018" refreshError="1"/>
      <sheetData sheetId="4019" refreshError="1"/>
      <sheetData sheetId="4020" refreshError="1"/>
      <sheetData sheetId="4021" refreshError="1"/>
      <sheetData sheetId="4022"/>
      <sheetData sheetId="4023" refreshError="1"/>
      <sheetData sheetId="4024" refreshError="1"/>
      <sheetData sheetId="4025" refreshError="1"/>
      <sheetData sheetId="4026" refreshError="1"/>
      <sheetData sheetId="4027">
        <row r="2">
          <cell r="B2">
            <v>1</v>
          </cell>
        </row>
      </sheetData>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ow r="1">
          <cell r="J1">
            <v>1.7453292519943295E-2</v>
          </cell>
        </row>
      </sheetData>
      <sheetData sheetId="4075">
        <row r="1">
          <cell r="J1">
            <v>1.7453292519943295E-2</v>
          </cell>
        </row>
      </sheetData>
      <sheetData sheetId="4076">
        <row r="1">
          <cell r="J1">
            <v>1.7453292519943295E-2</v>
          </cell>
        </row>
      </sheetData>
      <sheetData sheetId="4077">
        <row r="1">
          <cell r="J1">
            <v>1.7453292519943295E-2</v>
          </cell>
        </row>
      </sheetData>
      <sheetData sheetId="4078">
        <row r="1">
          <cell r="J1">
            <v>1.7453292519943295E-2</v>
          </cell>
        </row>
      </sheetData>
      <sheetData sheetId="4079">
        <row r="1">
          <cell r="J1">
            <v>1.7453292519943295E-2</v>
          </cell>
        </row>
      </sheetData>
      <sheetData sheetId="4080">
        <row r="1">
          <cell r="J1">
            <v>1.7453292519943295E-2</v>
          </cell>
        </row>
      </sheetData>
      <sheetData sheetId="4081">
        <row r="1">
          <cell r="J1">
            <v>1.7453292519943295E-2</v>
          </cell>
        </row>
      </sheetData>
      <sheetData sheetId="4082">
        <row r="1">
          <cell r="J1">
            <v>1.7453292519943295E-2</v>
          </cell>
        </row>
      </sheetData>
      <sheetData sheetId="4083">
        <row r="1">
          <cell r="J1">
            <v>1.7453292519943295E-2</v>
          </cell>
        </row>
      </sheetData>
      <sheetData sheetId="4084">
        <row r="1">
          <cell r="J1">
            <v>1.7453292519943295E-2</v>
          </cell>
        </row>
      </sheetData>
      <sheetData sheetId="4085" refreshError="1"/>
      <sheetData sheetId="4086">
        <row r="1">
          <cell r="J1">
            <v>1.7453292519943295E-2</v>
          </cell>
        </row>
      </sheetData>
      <sheetData sheetId="4087" refreshError="1"/>
      <sheetData sheetId="4088" refreshError="1"/>
      <sheetData sheetId="4089" refreshError="1"/>
      <sheetData sheetId="4090" refreshError="1"/>
      <sheetData sheetId="4091" refreshError="1"/>
      <sheetData sheetId="4092">
        <row r="1">
          <cell r="J1">
            <v>1.7453292519943295E-2</v>
          </cell>
        </row>
      </sheetData>
      <sheetData sheetId="4093">
        <row r="1">
          <cell r="J1">
            <v>1.7453292519943295E-2</v>
          </cell>
        </row>
      </sheetData>
      <sheetData sheetId="4094" refreshError="1"/>
      <sheetData sheetId="4095" refreshError="1"/>
      <sheetData sheetId="4096" refreshError="1"/>
      <sheetData sheetId="4097" refreshError="1"/>
      <sheetData sheetId="4098" refreshError="1"/>
      <sheetData sheetId="4099">
        <row r="1">
          <cell r="J1">
            <v>1.7453292519943295E-2</v>
          </cell>
        </row>
      </sheetData>
      <sheetData sheetId="4100">
        <row r="1">
          <cell r="J1">
            <v>1.7453292519943295E-2</v>
          </cell>
        </row>
      </sheetData>
      <sheetData sheetId="4101" refreshError="1"/>
      <sheetData sheetId="4102" refreshError="1"/>
      <sheetData sheetId="4103" refreshError="1"/>
      <sheetData sheetId="4104" refreshError="1"/>
      <sheetData sheetId="4105" refreshError="1"/>
      <sheetData sheetId="4106" refreshError="1"/>
      <sheetData sheetId="4107" refreshError="1"/>
      <sheetData sheetId="4108">
        <row r="1">
          <cell r="J1">
            <v>1.7453292519943295E-2</v>
          </cell>
        </row>
      </sheetData>
      <sheetData sheetId="4109">
        <row r="1">
          <cell r="J1">
            <v>1.7453292519943295E-2</v>
          </cell>
        </row>
      </sheetData>
      <sheetData sheetId="4110" refreshError="1"/>
      <sheetData sheetId="4111" refreshError="1"/>
      <sheetData sheetId="4112" refreshError="1"/>
      <sheetData sheetId="4113">
        <row r="1">
          <cell r="J1">
            <v>1.7453292519943295E-2</v>
          </cell>
        </row>
      </sheetData>
      <sheetData sheetId="4114">
        <row r="1">
          <cell r="J1">
            <v>1.7453292519943295E-2</v>
          </cell>
        </row>
      </sheetData>
      <sheetData sheetId="4115" refreshError="1"/>
      <sheetData sheetId="4116" refreshError="1"/>
      <sheetData sheetId="4117" refreshError="1"/>
      <sheetData sheetId="4118">
        <row r="1">
          <cell r="J1">
            <v>1.7453292519943295E-2</v>
          </cell>
        </row>
      </sheetData>
      <sheetData sheetId="4119">
        <row r="1">
          <cell r="J1">
            <v>1.7453292519943295E-2</v>
          </cell>
        </row>
      </sheetData>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ow r="1">
          <cell r="J1">
            <v>1.7453292519943295E-2</v>
          </cell>
        </row>
      </sheetData>
      <sheetData sheetId="4135">
        <row r="1">
          <cell r="J1">
            <v>1.7453292519943295E-2</v>
          </cell>
        </row>
      </sheetData>
      <sheetData sheetId="4136">
        <row r="1">
          <cell r="J1">
            <v>1.7453292519943295E-2</v>
          </cell>
        </row>
      </sheetData>
      <sheetData sheetId="4137">
        <row r="1">
          <cell r="J1">
            <v>1.7453292519943295E-2</v>
          </cell>
        </row>
      </sheetData>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ow r="1">
          <cell r="J1">
            <v>1.7453292519943295E-2</v>
          </cell>
        </row>
      </sheetData>
      <sheetData sheetId="4147" refreshError="1"/>
      <sheetData sheetId="4148">
        <row r="1">
          <cell r="J1">
            <v>1.7453292519943295E-2</v>
          </cell>
        </row>
      </sheetData>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ow r="1">
          <cell r="J1">
            <v>1.7453292519943295E-2</v>
          </cell>
        </row>
      </sheetData>
      <sheetData sheetId="4159">
        <row r="1">
          <cell r="J1">
            <v>1.7453292519943295E-2</v>
          </cell>
        </row>
      </sheetData>
      <sheetData sheetId="4160">
        <row r="1">
          <cell r="J1">
            <v>1.7453292519943295E-2</v>
          </cell>
        </row>
      </sheetData>
      <sheetData sheetId="4161">
        <row r="1">
          <cell r="J1">
            <v>1.7453292519943295E-2</v>
          </cell>
        </row>
      </sheetData>
      <sheetData sheetId="4162">
        <row r="1">
          <cell r="J1">
            <v>1.7453292519943295E-2</v>
          </cell>
        </row>
      </sheetData>
      <sheetData sheetId="4163">
        <row r="1">
          <cell r="J1">
            <v>1.7453292519943295E-2</v>
          </cell>
        </row>
      </sheetData>
      <sheetData sheetId="4164">
        <row r="1">
          <cell r="J1">
            <v>1.7453292519943295E-2</v>
          </cell>
        </row>
      </sheetData>
      <sheetData sheetId="4165">
        <row r="1">
          <cell r="J1">
            <v>1.7453292519943295E-2</v>
          </cell>
        </row>
      </sheetData>
      <sheetData sheetId="4166">
        <row r="1">
          <cell r="J1">
            <v>1.7453292519943295E-2</v>
          </cell>
        </row>
      </sheetData>
      <sheetData sheetId="4167">
        <row r="1">
          <cell r="J1">
            <v>1.7453292519943295E-2</v>
          </cell>
        </row>
      </sheetData>
      <sheetData sheetId="4168">
        <row r="1">
          <cell r="J1">
            <v>1.7453292519943295E-2</v>
          </cell>
        </row>
      </sheetData>
      <sheetData sheetId="4169">
        <row r="1">
          <cell r="J1">
            <v>1.7453292519943295E-2</v>
          </cell>
        </row>
      </sheetData>
      <sheetData sheetId="4170">
        <row r="1">
          <cell r="J1">
            <v>1.7453292519943295E-2</v>
          </cell>
        </row>
      </sheetData>
      <sheetData sheetId="4171">
        <row r="1">
          <cell r="J1">
            <v>1.7453292519943295E-2</v>
          </cell>
        </row>
      </sheetData>
      <sheetData sheetId="4172">
        <row r="1">
          <cell r="J1">
            <v>1.7453292519943295E-2</v>
          </cell>
        </row>
      </sheetData>
      <sheetData sheetId="4173">
        <row r="1">
          <cell r="J1">
            <v>1.7453292519943295E-2</v>
          </cell>
        </row>
      </sheetData>
      <sheetData sheetId="4174">
        <row r="1">
          <cell r="J1">
            <v>1.7453292519943295E-2</v>
          </cell>
        </row>
      </sheetData>
      <sheetData sheetId="4175">
        <row r="1">
          <cell r="J1">
            <v>1.7453292519943295E-2</v>
          </cell>
        </row>
      </sheetData>
      <sheetData sheetId="4176">
        <row r="1">
          <cell r="J1">
            <v>1.7453292519943295E-2</v>
          </cell>
        </row>
      </sheetData>
      <sheetData sheetId="4177">
        <row r="1">
          <cell r="J1">
            <v>1.7453292519943295E-2</v>
          </cell>
        </row>
      </sheetData>
      <sheetData sheetId="4178">
        <row r="1">
          <cell r="J1">
            <v>1.7453292519943295E-2</v>
          </cell>
        </row>
      </sheetData>
      <sheetData sheetId="4179">
        <row r="1">
          <cell r="J1">
            <v>1.7453292519943295E-2</v>
          </cell>
        </row>
      </sheetData>
      <sheetData sheetId="4180">
        <row r="1">
          <cell r="J1">
            <v>1.7453292519943295E-2</v>
          </cell>
        </row>
      </sheetData>
      <sheetData sheetId="4181">
        <row r="1">
          <cell r="J1">
            <v>1.7453292519943295E-2</v>
          </cell>
        </row>
      </sheetData>
      <sheetData sheetId="4182">
        <row r="1">
          <cell r="J1">
            <v>1.7453292519943295E-2</v>
          </cell>
        </row>
      </sheetData>
      <sheetData sheetId="4183">
        <row r="1">
          <cell r="J1">
            <v>1.7453292519943295E-2</v>
          </cell>
        </row>
      </sheetData>
      <sheetData sheetId="4184">
        <row r="1">
          <cell r="J1">
            <v>1.7453292519943295E-2</v>
          </cell>
        </row>
      </sheetData>
      <sheetData sheetId="4185">
        <row r="1">
          <cell r="J1">
            <v>1.7453292519943295E-2</v>
          </cell>
        </row>
      </sheetData>
      <sheetData sheetId="4186">
        <row r="1">
          <cell r="J1">
            <v>1.7453292519943295E-2</v>
          </cell>
        </row>
      </sheetData>
      <sheetData sheetId="4187">
        <row r="1">
          <cell r="J1">
            <v>1.7453292519943295E-2</v>
          </cell>
        </row>
      </sheetData>
      <sheetData sheetId="4188">
        <row r="1">
          <cell r="J1">
            <v>1.7453292519943295E-2</v>
          </cell>
        </row>
      </sheetData>
      <sheetData sheetId="4189">
        <row r="1">
          <cell r="J1">
            <v>1.7453292519943295E-2</v>
          </cell>
        </row>
      </sheetData>
      <sheetData sheetId="4190">
        <row r="1">
          <cell r="J1">
            <v>1.7453292519943295E-2</v>
          </cell>
        </row>
      </sheetData>
      <sheetData sheetId="4191">
        <row r="1">
          <cell r="J1">
            <v>1.7453292519943295E-2</v>
          </cell>
        </row>
      </sheetData>
      <sheetData sheetId="4192">
        <row r="1">
          <cell r="J1">
            <v>1.7453292519943295E-2</v>
          </cell>
        </row>
      </sheetData>
      <sheetData sheetId="4193">
        <row r="1">
          <cell r="J1">
            <v>1.7453292519943295E-2</v>
          </cell>
        </row>
      </sheetData>
      <sheetData sheetId="4194">
        <row r="1">
          <cell r="J1">
            <v>1.7453292519943295E-2</v>
          </cell>
        </row>
      </sheetData>
      <sheetData sheetId="4195">
        <row r="1">
          <cell r="J1">
            <v>1.7453292519943295E-2</v>
          </cell>
        </row>
      </sheetData>
      <sheetData sheetId="4196">
        <row r="1">
          <cell r="J1">
            <v>1.7453292519943295E-2</v>
          </cell>
        </row>
      </sheetData>
      <sheetData sheetId="4197">
        <row r="1">
          <cell r="J1">
            <v>1.7453292519943295E-2</v>
          </cell>
        </row>
      </sheetData>
      <sheetData sheetId="4198">
        <row r="1">
          <cell r="J1">
            <v>1.7453292519943295E-2</v>
          </cell>
        </row>
      </sheetData>
      <sheetData sheetId="4199">
        <row r="1">
          <cell r="J1">
            <v>1.7453292519943295E-2</v>
          </cell>
        </row>
      </sheetData>
      <sheetData sheetId="4200">
        <row r="1">
          <cell r="J1">
            <v>1.7453292519943295E-2</v>
          </cell>
        </row>
      </sheetData>
      <sheetData sheetId="4201">
        <row r="1">
          <cell r="J1">
            <v>1.7453292519943295E-2</v>
          </cell>
        </row>
      </sheetData>
      <sheetData sheetId="4202">
        <row r="1">
          <cell r="J1">
            <v>1.7453292519943295E-2</v>
          </cell>
        </row>
      </sheetData>
      <sheetData sheetId="4203">
        <row r="1">
          <cell r="J1">
            <v>1.7453292519943295E-2</v>
          </cell>
        </row>
      </sheetData>
      <sheetData sheetId="4204">
        <row r="1">
          <cell r="J1">
            <v>1.7453292519943295E-2</v>
          </cell>
        </row>
      </sheetData>
      <sheetData sheetId="4205">
        <row r="1">
          <cell r="J1">
            <v>1.7453292519943295E-2</v>
          </cell>
        </row>
      </sheetData>
      <sheetData sheetId="4206">
        <row r="1">
          <cell r="J1">
            <v>1.7453292519943295E-2</v>
          </cell>
        </row>
      </sheetData>
      <sheetData sheetId="4207">
        <row r="1">
          <cell r="J1">
            <v>1.7453292519943295E-2</v>
          </cell>
        </row>
      </sheetData>
      <sheetData sheetId="4208">
        <row r="1">
          <cell r="J1">
            <v>1.7453292519943295E-2</v>
          </cell>
        </row>
      </sheetData>
      <sheetData sheetId="4209">
        <row r="1">
          <cell r="J1">
            <v>1.7453292519943295E-2</v>
          </cell>
        </row>
      </sheetData>
      <sheetData sheetId="4210">
        <row r="1">
          <cell r="J1">
            <v>1.7453292519943295E-2</v>
          </cell>
        </row>
      </sheetData>
      <sheetData sheetId="4211">
        <row r="1">
          <cell r="J1">
            <v>1.7453292519943295E-2</v>
          </cell>
        </row>
      </sheetData>
      <sheetData sheetId="4212">
        <row r="1">
          <cell r="J1">
            <v>1.7453292519943295E-2</v>
          </cell>
        </row>
      </sheetData>
      <sheetData sheetId="4213">
        <row r="1">
          <cell r="J1">
            <v>1.7453292519943295E-2</v>
          </cell>
        </row>
      </sheetData>
      <sheetData sheetId="4214">
        <row r="1">
          <cell r="J1">
            <v>1.7453292519943295E-2</v>
          </cell>
        </row>
      </sheetData>
      <sheetData sheetId="4215">
        <row r="1">
          <cell r="J1">
            <v>1.7453292519943295E-2</v>
          </cell>
        </row>
      </sheetData>
      <sheetData sheetId="4216">
        <row r="1">
          <cell r="J1">
            <v>1.7453292519943295E-2</v>
          </cell>
        </row>
      </sheetData>
      <sheetData sheetId="4217">
        <row r="1">
          <cell r="J1">
            <v>1.7453292519943295E-2</v>
          </cell>
        </row>
      </sheetData>
      <sheetData sheetId="4218">
        <row r="1">
          <cell r="J1">
            <v>1.7453292519943295E-2</v>
          </cell>
        </row>
      </sheetData>
      <sheetData sheetId="4219">
        <row r="1">
          <cell r="J1">
            <v>1.7453292519943295E-2</v>
          </cell>
        </row>
      </sheetData>
      <sheetData sheetId="4220">
        <row r="1">
          <cell r="J1">
            <v>1.7453292519943295E-2</v>
          </cell>
        </row>
      </sheetData>
      <sheetData sheetId="4221">
        <row r="1">
          <cell r="J1">
            <v>1.7453292519943295E-2</v>
          </cell>
        </row>
      </sheetData>
      <sheetData sheetId="4222">
        <row r="1">
          <cell r="J1">
            <v>1.7453292519943295E-2</v>
          </cell>
        </row>
      </sheetData>
      <sheetData sheetId="4223">
        <row r="1">
          <cell r="J1">
            <v>1.7453292519943295E-2</v>
          </cell>
        </row>
      </sheetData>
      <sheetData sheetId="4224">
        <row r="1">
          <cell r="J1">
            <v>1.7453292519943295E-2</v>
          </cell>
        </row>
      </sheetData>
      <sheetData sheetId="4225">
        <row r="1">
          <cell r="J1">
            <v>1.7453292519943295E-2</v>
          </cell>
        </row>
      </sheetData>
      <sheetData sheetId="4226">
        <row r="1">
          <cell r="J1">
            <v>1.7453292519943295E-2</v>
          </cell>
        </row>
      </sheetData>
      <sheetData sheetId="4227">
        <row r="1">
          <cell r="J1">
            <v>1.7453292519943295E-2</v>
          </cell>
        </row>
      </sheetData>
      <sheetData sheetId="4228">
        <row r="1">
          <cell r="J1">
            <v>1.7453292519943295E-2</v>
          </cell>
        </row>
      </sheetData>
      <sheetData sheetId="4229">
        <row r="1">
          <cell r="J1">
            <v>1.7453292519943295E-2</v>
          </cell>
        </row>
      </sheetData>
      <sheetData sheetId="4230">
        <row r="1">
          <cell r="J1">
            <v>1.7453292519943295E-2</v>
          </cell>
        </row>
      </sheetData>
      <sheetData sheetId="4231">
        <row r="1">
          <cell r="J1">
            <v>1.7453292519943295E-2</v>
          </cell>
        </row>
      </sheetData>
      <sheetData sheetId="4232">
        <row r="1">
          <cell r="J1">
            <v>1.7453292519943295E-2</v>
          </cell>
        </row>
      </sheetData>
      <sheetData sheetId="4233">
        <row r="1">
          <cell r="J1">
            <v>1.7453292519943295E-2</v>
          </cell>
        </row>
      </sheetData>
      <sheetData sheetId="4234">
        <row r="1">
          <cell r="J1">
            <v>1.7453292519943295E-2</v>
          </cell>
        </row>
      </sheetData>
      <sheetData sheetId="4235">
        <row r="1">
          <cell r="J1">
            <v>1.7453292519943295E-2</v>
          </cell>
        </row>
      </sheetData>
      <sheetData sheetId="4236">
        <row r="1">
          <cell r="J1">
            <v>1.7453292519943295E-2</v>
          </cell>
        </row>
      </sheetData>
      <sheetData sheetId="4237">
        <row r="1">
          <cell r="J1">
            <v>1.7453292519943295E-2</v>
          </cell>
        </row>
      </sheetData>
      <sheetData sheetId="4238">
        <row r="1">
          <cell r="J1">
            <v>1.7453292519943295E-2</v>
          </cell>
        </row>
      </sheetData>
      <sheetData sheetId="4239">
        <row r="1">
          <cell r="J1">
            <v>1.7453292519943295E-2</v>
          </cell>
        </row>
      </sheetData>
      <sheetData sheetId="4240">
        <row r="1">
          <cell r="J1">
            <v>1.7453292519943295E-2</v>
          </cell>
        </row>
      </sheetData>
      <sheetData sheetId="4241">
        <row r="1">
          <cell r="J1">
            <v>1.7453292519943295E-2</v>
          </cell>
        </row>
      </sheetData>
      <sheetData sheetId="4242">
        <row r="1">
          <cell r="J1">
            <v>1.7453292519943295E-2</v>
          </cell>
        </row>
      </sheetData>
      <sheetData sheetId="4243">
        <row r="1">
          <cell r="J1">
            <v>1.7453292519943295E-2</v>
          </cell>
        </row>
      </sheetData>
      <sheetData sheetId="4244">
        <row r="1">
          <cell r="J1">
            <v>1.7453292519943295E-2</v>
          </cell>
        </row>
      </sheetData>
      <sheetData sheetId="4245">
        <row r="1">
          <cell r="J1">
            <v>1.7453292519943295E-2</v>
          </cell>
        </row>
      </sheetData>
      <sheetData sheetId="4246">
        <row r="1">
          <cell r="J1">
            <v>1.7453292519943295E-2</v>
          </cell>
        </row>
      </sheetData>
      <sheetData sheetId="4247">
        <row r="1">
          <cell r="J1">
            <v>1.7453292519943295E-2</v>
          </cell>
        </row>
      </sheetData>
      <sheetData sheetId="4248">
        <row r="1">
          <cell r="J1">
            <v>1.7453292519943295E-2</v>
          </cell>
        </row>
      </sheetData>
      <sheetData sheetId="4249">
        <row r="1">
          <cell r="J1">
            <v>1.7453292519943295E-2</v>
          </cell>
        </row>
      </sheetData>
      <sheetData sheetId="4250">
        <row r="1">
          <cell r="J1">
            <v>1.7453292519943295E-2</v>
          </cell>
        </row>
      </sheetData>
      <sheetData sheetId="4251">
        <row r="1">
          <cell r="J1">
            <v>1.7453292519943295E-2</v>
          </cell>
        </row>
      </sheetData>
      <sheetData sheetId="4252">
        <row r="1">
          <cell r="J1">
            <v>1.7453292519943295E-2</v>
          </cell>
        </row>
      </sheetData>
      <sheetData sheetId="4253">
        <row r="1">
          <cell r="J1">
            <v>1.7453292519943295E-2</v>
          </cell>
        </row>
      </sheetData>
      <sheetData sheetId="4254">
        <row r="1">
          <cell r="J1">
            <v>1.7453292519943295E-2</v>
          </cell>
        </row>
      </sheetData>
      <sheetData sheetId="4255">
        <row r="1">
          <cell r="J1">
            <v>1.7453292519943295E-2</v>
          </cell>
        </row>
      </sheetData>
      <sheetData sheetId="4256">
        <row r="1">
          <cell r="J1">
            <v>1.7453292519943295E-2</v>
          </cell>
        </row>
      </sheetData>
      <sheetData sheetId="4257">
        <row r="1">
          <cell r="J1">
            <v>1.7453292519943295E-2</v>
          </cell>
        </row>
      </sheetData>
      <sheetData sheetId="4258">
        <row r="1">
          <cell r="J1">
            <v>1.7453292519943295E-2</v>
          </cell>
        </row>
      </sheetData>
      <sheetData sheetId="4259">
        <row r="1">
          <cell r="J1">
            <v>1.7453292519943295E-2</v>
          </cell>
        </row>
      </sheetData>
      <sheetData sheetId="4260">
        <row r="1">
          <cell r="J1">
            <v>1.7453292519943295E-2</v>
          </cell>
        </row>
      </sheetData>
      <sheetData sheetId="4261">
        <row r="1">
          <cell r="J1">
            <v>1.7453292519943295E-2</v>
          </cell>
        </row>
      </sheetData>
      <sheetData sheetId="4262">
        <row r="1">
          <cell r="J1">
            <v>1.7453292519943295E-2</v>
          </cell>
        </row>
      </sheetData>
      <sheetData sheetId="4263">
        <row r="1">
          <cell r="J1">
            <v>1.7453292519943295E-2</v>
          </cell>
        </row>
      </sheetData>
      <sheetData sheetId="4264">
        <row r="1">
          <cell r="J1">
            <v>1.7453292519943295E-2</v>
          </cell>
        </row>
      </sheetData>
      <sheetData sheetId="4265">
        <row r="1">
          <cell r="J1">
            <v>1.7453292519943295E-2</v>
          </cell>
        </row>
      </sheetData>
      <sheetData sheetId="4266">
        <row r="1">
          <cell r="J1">
            <v>1.7453292519943295E-2</v>
          </cell>
        </row>
      </sheetData>
      <sheetData sheetId="4267">
        <row r="1">
          <cell r="J1">
            <v>1.7453292519943295E-2</v>
          </cell>
        </row>
      </sheetData>
      <sheetData sheetId="4268">
        <row r="1">
          <cell r="J1">
            <v>1.7453292519943295E-2</v>
          </cell>
        </row>
      </sheetData>
      <sheetData sheetId="4269">
        <row r="1">
          <cell r="J1">
            <v>1.7453292519943295E-2</v>
          </cell>
        </row>
      </sheetData>
      <sheetData sheetId="4270">
        <row r="1">
          <cell r="J1">
            <v>1.7453292519943295E-2</v>
          </cell>
        </row>
      </sheetData>
      <sheetData sheetId="4271">
        <row r="1">
          <cell r="J1">
            <v>1.7453292519943295E-2</v>
          </cell>
        </row>
      </sheetData>
      <sheetData sheetId="4272">
        <row r="1">
          <cell r="J1">
            <v>1.7453292519943295E-2</v>
          </cell>
        </row>
      </sheetData>
      <sheetData sheetId="4273">
        <row r="1">
          <cell r="J1">
            <v>1.7453292519943295E-2</v>
          </cell>
        </row>
      </sheetData>
      <sheetData sheetId="4274">
        <row r="1">
          <cell r="J1">
            <v>1.7453292519943295E-2</v>
          </cell>
        </row>
      </sheetData>
      <sheetData sheetId="4275">
        <row r="1">
          <cell r="J1">
            <v>1.7453292519943295E-2</v>
          </cell>
        </row>
      </sheetData>
      <sheetData sheetId="4276">
        <row r="1">
          <cell r="J1">
            <v>1.7453292519943295E-2</v>
          </cell>
        </row>
      </sheetData>
      <sheetData sheetId="4277">
        <row r="1">
          <cell r="J1">
            <v>1.7453292519943295E-2</v>
          </cell>
        </row>
      </sheetData>
      <sheetData sheetId="4278">
        <row r="1">
          <cell r="J1">
            <v>1.7453292519943295E-2</v>
          </cell>
        </row>
      </sheetData>
      <sheetData sheetId="4279">
        <row r="1">
          <cell r="J1">
            <v>1.7453292519943295E-2</v>
          </cell>
        </row>
      </sheetData>
      <sheetData sheetId="4280">
        <row r="1">
          <cell r="J1">
            <v>1.7453292519943295E-2</v>
          </cell>
        </row>
      </sheetData>
      <sheetData sheetId="4281">
        <row r="1">
          <cell r="J1">
            <v>1.7453292519943295E-2</v>
          </cell>
        </row>
      </sheetData>
      <sheetData sheetId="4282">
        <row r="1">
          <cell r="J1">
            <v>1.7453292519943295E-2</v>
          </cell>
        </row>
      </sheetData>
      <sheetData sheetId="4283">
        <row r="1">
          <cell r="J1">
            <v>1.7453292519943295E-2</v>
          </cell>
        </row>
      </sheetData>
      <sheetData sheetId="4284">
        <row r="1">
          <cell r="J1">
            <v>1.7453292519943295E-2</v>
          </cell>
        </row>
      </sheetData>
      <sheetData sheetId="4285">
        <row r="1">
          <cell r="J1">
            <v>1.7453292519943295E-2</v>
          </cell>
        </row>
      </sheetData>
      <sheetData sheetId="4286">
        <row r="1">
          <cell r="J1">
            <v>1.7453292519943295E-2</v>
          </cell>
        </row>
      </sheetData>
      <sheetData sheetId="4287">
        <row r="1">
          <cell r="J1">
            <v>1.7453292519943295E-2</v>
          </cell>
        </row>
      </sheetData>
      <sheetData sheetId="4288">
        <row r="1">
          <cell r="J1">
            <v>1.7453292519943295E-2</v>
          </cell>
        </row>
      </sheetData>
      <sheetData sheetId="4289">
        <row r="1">
          <cell r="J1">
            <v>1.7453292519943295E-2</v>
          </cell>
        </row>
      </sheetData>
      <sheetData sheetId="4290">
        <row r="1">
          <cell r="J1">
            <v>1.7453292519943295E-2</v>
          </cell>
        </row>
      </sheetData>
      <sheetData sheetId="4291">
        <row r="1">
          <cell r="J1">
            <v>1.7453292519943295E-2</v>
          </cell>
        </row>
      </sheetData>
      <sheetData sheetId="4292">
        <row r="1">
          <cell r="J1">
            <v>1.7453292519943295E-2</v>
          </cell>
        </row>
      </sheetData>
      <sheetData sheetId="4293">
        <row r="1">
          <cell r="J1">
            <v>1.7453292519943295E-2</v>
          </cell>
        </row>
      </sheetData>
      <sheetData sheetId="4294">
        <row r="1">
          <cell r="J1">
            <v>1.7453292519943295E-2</v>
          </cell>
        </row>
      </sheetData>
      <sheetData sheetId="4295">
        <row r="1">
          <cell r="J1">
            <v>1.7453292519943295E-2</v>
          </cell>
        </row>
      </sheetData>
      <sheetData sheetId="4296">
        <row r="1">
          <cell r="J1">
            <v>1.7453292519943295E-2</v>
          </cell>
        </row>
      </sheetData>
      <sheetData sheetId="4297">
        <row r="1">
          <cell r="J1">
            <v>1.7453292519943295E-2</v>
          </cell>
        </row>
      </sheetData>
      <sheetData sheetId="4298">
        <row r="1">
          <cell r="J1">
            <v>1.7453292519943295E-2</v>
          </cell>
        </row>
      </sheetData>
      <sheetData sheetId="4299">
        <row r="1">
          <cell r="J1">
            <v>1.7453292519943295E-2</v>
          </cell>
        </row>
      </sheetData>
      <sheetData sheetId="4300">
        <row r="1">
          <cell r="J1">
            <v>1.7453292519943295E-2</v>
          </cell>
        </row>
      </sheetData>
      <sheetData sheetId="4301">
        <row r="1">
          <cell r="J1">
            <v>1.7453292519943295E-2</v>
          </cell>
        </row>
      </sheetData>
      <sheetData sheetId="4302">
        <row r="1">
          <cell r="J1">
            <v>1.7453292519943295E-2</v>
          </cell>
        </row>
      </sheetData>
      <sheetData sheetId="4303">
        <row r="1">
          <cell r="J1">
            <v>1.7453292519943295E-2</v>
          </cell>
        </row>
      </sheetData>
      <sheetData sheetId="4304">
        <row r="1">
          <cell r="J1">
            <v>1.7453292519943295E-2</v>
          </cell>
        </row>
      </sheetData>
      <sheetData sheetId="4305">
        <row r="1">
          <cell r="J1">
            <v>1.7453292519943295E-2</v>
          </cell>
        </row>
      </sheetData>
      <sheetData sheetId="4306">
        <row r="1">
          <cell r="J1">
            <v>1.7453292519943295E-2</v>
          </cell>
        </row>
      </sheetData>
      <sheetData sheetId="4307">
        <row r="1">
          <cell r="J1">
            <v>1.7453292519943295E-2</v>
          </cell>
        </row>
      </sheetData>
      <sheetData sheetId="4308">
        <row r="1">
          <cell r="J1">
            <v>1.7453292519943295E-2</v>
          </cell>
        </row>
      </sheetData>
      <sheetData sheetId="4309">
        <row r="1">
          <cell r="J1">
            <v>1.7453292519943295E-2</v>
          </cell>
        </row>
      </sheetData>
      <sheetData sheetId="4310">
        <row r="1">
          <cell r="J1">
            <v>1.7453292519943295E-2</v>
          </cell>
        </row>
      </sheetData>
      <sheetData sheetId="4311">
        <row r="1">
          <cell r="J1">
            <v>1.7453292519943295E-2</v>
          </cell>
        </row>
      </sheetData>
      <sheetData sheetId="4312">
        <row r="1">
          <cell r="J1">
            <v>1.7453292519943295E-2</v>
          </cell>
        </row>
      </sheetData>
      <sheetData sheetId="4313">
        <row r="1">
          <cell r="J1">
            <v>1.7453292519943295E-2</v>
          </cell>
        </row>
      </sheetData>
      <sheetData sheetId="4314">
        <row r="1">
          <cell r="J1">
            <v>1.7453292519943295E-2</v>
          </cell>
        </row>
      </sheetData>
      <sheetData sheetId="4315">
        <row r="1">
          <cell r="J1">
            <v>1.7453292519943295E-2</v>
          </cell>
        </row>
      </sheetData>
      <sheetData sheetId="4316">
        <row r="1">
          <cell r="J1">
            <v>1.7453292519943295E-2</v>
          </cell>
        </row>
      </sheetData>
      <sheetData sheetId="4317">
        <row r="1">
          <cell r="J1">
            <v>1.7453292519943295E-2</v>
          </cell>
        </row>
      </sheetData>
      <sheetData sheetId="4318">
        <row r="1">
          <cell r="J1">
            <v>1.7453292519943295E-2</v>
          </cell>
        </row>
      </sheetData>
      <sheetData sheetId="4319">
        <row r="1">
          <cell r="J1">
            <v>1.7453292519943295E-2</v>
          </cell>
        </row>
      </sheetData>
      <sheetData sheetId="4320">
        <row r="1">
          <cell r="J1">
            <v>1.7453292519943295E-2</v>
          </cell>
        </row>
      </sheetData>
      <sheetData sheetId="4321">
        <row r="1">
          <cell r="J1">
            <v>1.7453292519943295E-2</v>
          </cell>
        </row>
      </sheetData>
      <sheetData sheetId="4322">
        <row r="1">
          <cell r="J1">
            <v>1.7453292519943295E-2</v>
          </cell>
        </row>
      </sheetData>
      <sheetData sheetId="4323">
        <row r="1">
          <cell r="J1">
            <v>1.7453292519943295E-2</v>
          </cell>
        </row>
      </sheetData>
      <sheetData sheetId="4324">
        <row r="1">
          <cell r="J1">
            <v>1.7453292519943295E-2</v>
          </cell>
        </row>
      </sheetData>
      <sheetData sheetId="4325">
        <row r="1">
          <cell r="J1">
            <v>1.7453292519943295E-2</v>
          </cell>
        </row>
      </sheetData>
      <sheetData sheetId="4326">
        <row r="1">
          <cell r="J1">
            <v>1.7453292519943295E-2</v>
          </cell>
        </row>
      </sheetData>
      <sheetData sheetId="4327">
        <row r="1">
          <cell r="J1">
            <v>1.7453292519943295E-2</v>
          </cell>
        </row>
      </sheetData>
      <sheetData sheetId="4328">
        <row r="1">
          <cell r="J1">
            <v>1.7453292519943295E-2</v>
          </cell>
        </row>
      </sheetData>
      <sheetData sheetId="4329">
        <row r="1">
          <cell r="J1">
            <v>1.7453292519943295E-2</v>
          </cell>
        </row>
      </sheetData>
      <sheetData sheetId="4330">
        <row r="1">
          <cell r="J1">
            <v>1.7453292519943295E-2</v>
          </cell>
        </row>
      </sheetData>
      <sheetData sheetId="4331">
        <row r="1">
          <cell r="J1">
            <v>1.7453292519943295E-2</v>
          </cell>
        </row>
      </sheetData>
      <sheetData sheetId="4332">
        <row r="1">
          <cell r="J1">
            <v>1.7453292519943295E-2</v>
          </cell>
        </row>
      </sheetData>
      <sheetData sheetId="4333">
        <row r="1">
          <cell r="J1">
            <v>1.7453292519943295E-2</v>
          </cell>
        </row>
      </sheetData>
      <sheetData sheetId="4334">
        <row r="1">
          <cell r="J1">
            <v>1.7453292519943295E-2</v>
          </cell>
        </row>
      </sheetData>
      <sheetData sheetId="4335">
        <row r="1">
          <cell r="J1">
            <v>1.7453292519943295E-2</v>
          </cell>
        </row>
      </sheetData>
      <sheetData sheetId="4336">
        <row r="1">
          <cell r="J1">
            <v>1.7453292519943295E-2</v>
          </cell>
        </row>
      </sheetData>
      <sheetData sheetId="4337">
        <row r="1">
          <cell r="J1">
            <v>1.7453292519943295E-2</v>
          </cell>
        </row>
      </sheetData>
      <sheetData sheetId="4338">
        <row r="1">
          <cell r="J1">
            <v>1.7453292519943295E-2</v>
          </cell>
        </row>
      </sheetData>
      <sheetData sheetId="4339">
        <row r="1">
          <cell r="J1">
            <v>1.7453292519943295E-2</v>
          </cell>
        </row>
      </sheetData>
      <sheetData sheetId="4340">
        <row r="1">
          <cell r="J1">
            <v>1.7453292519943295E-2</v>
          </cell>
        </row>
      </sheetData>
      <sheetData sheetId="4341">
        <row r="1">
          <cell r="J1">
            <v>1.7453292519943295E-2</v>
          </cell>
        </row>
      </sheetData>
      <sheetData sheetId="4342">
        <row r="1">
          <cell r="J1">
            <v>1.7453292519943295E-2</v>
          </cell>
        </row>
      </sheetData>
      <sheetData sheetId="4343">
        <row r="1">
          <cell r="J1">
            <v>1.7453292519943295E-2</v>
          </cell>
        </row>
      </sheetData>
      <sheetData sheetId="4344">
        <row r="1">
          <cell r="J1">
            <v>1.7453292519943295E-2</v>
          </cell>
        </row>
      </sheetData>
      <sheetData sheetId="4345">
        <row r="1">
          <cell r="J1">
            <v>1.7453292519943295E-2</v>
          </cell>
        </row>
      </sheetData>
      <sheetData sheetId="4346">
        <row r="1">
          <cell r="J1">
            <v>1.7453292519943295E-2</v>
          </cell>
        </row>
      </sheetData>
      <sheetData sheetId="4347">
        <row r="1">
          <cell r="J1">
            <v>1.7453292519943295E-2</v>
          </cell>
        </row>
      </sheetData>
      <sheetData sheetId="4348">
        <row r="1">
          <cell r="J1">
            <v>1.7453292519943295E-2</v>
          </cell>
        </row>
      </sheetData>
      <sheetData sheetId="4349">
        <row r="1">
          <cell r="J1">
            <v>1.7453292519943295E-2</v>
          </cell>
        </row>
      </sheetData>
      <sheetData sheetId="4350">
        <row r="1">
          <cell r="J1">
            <v>1.7453292519943295E-2</v>
          </cell>
        </row>
      </sheetData>
      <sheetData sheetId="4351">
        <row r="1">
          <cell r="J1">
            <v>1.7453292519943295E-2</v>
          </cell>
        </row>
      </sheetData>
      <sheetData sheetId="4352">
        <row r="1">
          <cell r="J1">
            <v>1.7453292519943295E-2</v>
          </cell>
        </row>
      </sheetData>
      <sheetData sheetId="4353">
        <row r="1">
          <cell r="J1">
            <v>1.7453292519943295E-2</v>
          </cell>
        </row>
      </sheetData>
      <sheetData sheetId="4354">
        <row r="1">
          <cell r="J1">
            <v>1.7453292519943295E-2</v>
          </cell>
        </row>
      </sheetData>
      <sheetData sheetId="4355">
        <row r="1">
          <cell r="J1">
            <v>1.7453292519943295E-2</v>
          </cell>
        </row>
      </sheetData>
      <sheetData sheetId="4356">
        <row r="1">
          <cell r="J1">
            <v>1.7453292519943295E-2</v>
          </cell>
        </row>
      </sheetData>
      <sheetData sheetId="4357">
        <row r="1">
          <cell r="J1">
            <v>1.7453292519943295E-2</v>
          </cell>
        </row>
      </sheetData>
      <sheetData sheetId="4358">
        <row r="1">
          <cell r="J1">
            <v>1.7453292519943295E-2</v>
          </cell>
        </row>
      </sheetData>
      <sheetData sheetId="4359">
        <row r="1">
          <cell r="J1">
            <v>1.7453292519943295E-2</v>
          </cell>
        </row>
      </sheetData>
      <sheetData sheetId="4360">
        <row r="1">
          <cell r="J1">
            <v>1.7453292519943295E-2</v>
          </cell>
        </row>
      </sheetData>
      <sheetData sheetId="4361">
        <row r="1">
          <cell r="J1">
            <v>1.7453292519943295E-2</v>
          </cell>
        </row>
      </sheetData>
      <sheetData sheetId="4362">
        <row r="1">
          <cell r="J1">
            <v>1.7453292519943295E-2</v>
          </cell>
        </row>
      </sheetData>
      <sheetData sheetId="4363">
        <row r="1">
          <cell r="J1">
            <v>1.7453292519943295E-2</v>
          </cell>
        </row>
      </sheetData>
      <sheetData sheetId="4364">
        <row r="1">
          <cell r="J1">
            <v>1.7453292519943295E-2</v>
          </cell>
        </row>
      </sheetData>
      <sheetData sheetId="4365">
        <row r="1">
          <cell r="J1">
            <v>1.7453292519943295E-2</v>
          </cell>
        </row>
      </sheetData>
      <sheetData sheetId="4366">
        <row r="1">
          <cell r="J1">
            <v>1.7453292519943295E-2</v>
          </cell>
        </row>
      </sheetData>
      <sheetData sheetId="4367">
        <row r="1">
          <cell r="J1">
            <v>1.7453292519943295E-2</v>
          </cell>
        </row>
      </sheetData>
      <sheetData sheetId="4368">
        <row r="1">
          <cell r="J1">
            <v>1.7453292519943295E-2</v>
          </cell>
        </row>
      </sheetData>
      <sheetData sheetId="4369">
        <row r="1">
          <cell r="J1">
            <v>1.7453292519943295E-2</v>
          </cell>
        </row>
      </sheetData>
      <sheetData sheetId="4370">
        <row r="1">
          <cell r="J1">
            <v>1.7453292519943295E-2</v>
          </cell>
        </row>
      </sheetData>
      <sheetData sheetId="4371">
        <row r="1">
          <cell r="J1">
            <v>1.7453292519943295E-2</v>
          </cell>
        </row>
      </sheetData>
      <sheetData sheetId="4372">
        <row r="1">
          <cell r="J1">
            <v>1.7453292519943295E-2</v>
          </cell>
        </row>
      </sheetData>
      <sheetData sheetId="4373">
        <row r="1">
          <cell r="J1">
            <v>1.7453292519943295E-2</v>
          </cell>
        </row>
      </sheetData>
      <sheetData sheetId="4374">
        <row r="1">
          <cell r="J1">
            <v>1.7453292519943295E-2</v>
          </cell>
        </row>
      </sheetData>
      <sheetData sheetId="4375">
        <row r="1">
          <cell r="J1">
            <v>1.7453292519943295E-2</v>
          </cell>
        </row>
      </sheetData>
      <sheetData sheetId="4376">
        <row r="1">
          <cell r="J1">
            <v>1.7453292519943295E-2</v>
          </cell>
        </row>
      </sheetData>
      <sheetData sheetId="4377">
        <row r="1">
          <cell r="J1">
            <v>1.7453292519943295E-2</v>
          </cell>
        </row>
      </sheetData>
      <sheetData sheetId="4378">
        <row r="1">
          <cell r="J1">
            <v>1.7453292519943295E-2</v>
          </cell>
        </row>
      </sheetData>
      <sheetData sheetId="4379">
        <row r="1">
          <cell r="J1">
            <v>1.7453292519943295E-2</v>
          </cell>
        </row>
      </sheetData>
      <sheetData sheetId="4380">
        <row r="1">
          <cell r="J1">
            <v>1.7453292519943295E-2</v>
          </cell>
        </row>
      </sheetData>
      <sheetData sheetId="4381">
        <row r="1">
          <cell r="J1">
            <v>1.7453292519943295E-2</v>
          </cell>
        </row>
      </sheetData>
      <sheetData sheetId="4382">
        <row r="1">
          <cell r="J1">
            <v>1.7453292519943295E-2</v>
          </cell>
        </row>
      </sheetData>
      <sheetData sheetId="4383">
        <row r="1">
          <cell r="J1">
            <v>1.7453292519943295E-2</v>
          </cell>
        </row>
      </sheetData>
      <sheetData sheetId="4384">
        <row r="1">
          <cell r="J1">
            <v>1.7453292519943295E-2</v>
          </cell>
        </row>
      </sheetData>
      <sheetData sheetId="4385">
        <row r="1">
          <cell r="J1">
            <v>1.7453292519943295E-2</v>
          </cell>
        </row>
      </sheetData>
      <sheetData sheetId="4386">
        <row r="1">
          <cell r="J1">
            <v>1.7453292519943295E-2</v>
          </cell>
        </row>
      </sheetData>
      <sheetData sheetId="4387">
        <row r="1">
          <cell r="J1">
            <v>1.7453292519943295E-2</v>
          </cell>
        </row>
      </sheetData>
      <sheetData sheetId="4388">
        <row r="1">
          <cell r="J1">
            <v>1.7453292519943295E-2</v>
          </cell>
        </row>
      </sheetData>
      <sheetData sheetId="4389">
        <row r="1">
          <cell r="J1">
            <v>1.7453292519943295E-2</v>
          </cell>
        </row>
      </sheetData>
      <sheetData sheetId="4390">
        <row r="1">
          <cell r="J1">
            <v>1.7453292519943295E-2</v>
          </cell>
        </row>
      </sheetData>
      <sheetData sheetId="4391">
        <row r="1">
          <cell r="J1">
            <v>1.7453292519943295E-2</v>
          </cell>
        </row>
      </sheetData>
      <sheetData sheetId="4392">
        <row r="1">
          <cell r="J1">
            <v>1.7453292519943295E-2</v>
          </cell>
        </row>
      </sheetData>
      <sheetData sheetId="4393">
        <row r="1">
          <cell r="J1">
            <v>1.7453292519943295E-2</v>
          </cell>
        </row>
      </sheetData>
      <sheetData sheetId="4394">
        <row r="1">
          <cell r="J1">
            <v>1.7453292519943295E-2</v>
          </cell>
        </row>
      </sheetData>
      <sheetData sheetId="4395">
        <row r="1">
          <cell r="J1">
            <v>1.7453292519943295E-2</v>
          </cell>
        </row>
      </sheetData>
      <sheetData sheetId="4396">
        <row r="1">
          <cell r="J1">
            <v>1.7453292519943295E-2</v>
          </cell>
        </row>
      </sheetData>
      <sheetData sheetId="4397">
        <row r="1">
          <cell r="J1">
            <v>1.7453292519943295E-2</v>
          </cell>
        </row>
      </sheetData>
      <sheetData sheetId="4398">
        <row r="1">
          <cell r="J1">
            <v>1.7453292519943295E-2</v>
          </cell>
        </row>
      </sheetData>
      <sheetData sheetId="4399">
        <row r="1">
          <cell r="J1">
            <v>1.7453292519943295E-2</v>
          </cell>
        </row>
      </sheetData>
      <sheetData sheetId="4400">
        <row r="1">
          <cell r="J1">
            <v>1.7453292519943295E-2</v>
          </cell>
        </row>
      </sheetData>
      <sheetData sheetId="4401">
        <row r="1">
          <cell r="J1">
            <v>1.7453292519943295E-2</v>
          </cell>
        </row>
      </sheetData>
      <sheetData sheetId="4402">
        <row r="1">
          <cell r="J1">
            <v>1.7453292519943295E-2</v>
          </cell>
        </row>
      </sheetData>
      <sheetData sheetId="4403">
        <row r="1">
          <cell r="J1">
            <v>1.7453292519943295E-2</v>
          </cell>
        </row>
      </sheetData>
      <sheetData sheetId="4404">
        <row r="1">
          <cell r="J1">
            <v>1.7453292519943295E-2</v>
          </cell>
        </row>
      </sheetData>
      <sheetData sheetId="4405">
        <row r="1">
          <cell r="J1">
            <v>1.7453292519943295E-2</v>
          </cell>
        </row>
      </sheetData>
      <sheetData sheetId="4406">
        <row r="1">
          <cell r="J1">
            <v>1.7453292519943295E-2</v>
          </cell>
        </row>
      </sheetData>
      <sheetData sheetId="4407">
        <row r="1">
          <cell r="J1">
            <v>1.7453292519943295E-2</v>
          </cell>
        </row>
      </sheetData>
      <sheetData sheetId="4408">
        <row r="1">
          <cell r="J1">
            <v>1.7453292519943295E-2</v>
          </cell>
        </row>
      </sheetData>
      <sheetData sheetId="4409">
        <row r="1">
          <cell r="J1">
            <v>1.7453292519943295E-2</v>
          </cell>
        </row>
      </sheetData>
      <sheetData sheetId="4410">
        <row r="1">
          <cell r="J1">
            <v>1.7453292519943295E-2</v>
          </cell>
        </row>
      </sheetData>
      <sheetData sheetId="4411">
        <row r="1">
          <cell r="J1">
            <v>1.7453292519943295E-2</v>
          </cell>
        </row>
      </sheetData>
      <sheetData sheetId="4412">
        <row r="1">
          <cell r="J1">
            <v>1.7453292519943295E-2</v>
          </cell>
        </row>
      </sheetData>
      <sheetData sheetId="4413">
        <row r="1">
          <cell r="J1">
            <v>1.7453292519943295E-2</v>
          </cell>
        </row>
      </sheetData>
      <sheetData sheetId="4414">
        <row r="1">
          <cell r="J1">
            <v>1.7453292519943295E-2</v>
          </cell>
        </row>
      </sheetData>
      <sheetData sheetId="4415">
        <row r="1">
          <cell r="J1">
            <v>1.7453292519943295E-2</v>
          </cell>
        </row>
      </sheetData>
      <sheetData sheetId="4416">
        <row r="1">
          <cell r="J1">
            <v>1.7453292519943295E-2</v>
          </cell>
        </row>
      </sheetData>
      <sheetData sheetId="4417">
        <row r="1">
          <cell r="J1">
            <v>1.7453292519943295E-2</v>
          </cell>
        </row>
      </sheetData>
      <sheetData sheetId="4418">
        <row r="1">
          <cell r="J1">
            <v>1.7453292519943295E-2</v>
          </cell>
        </row>
      </sheetData>
      <sheetData sheetId="4419">
        <row r="1">
          <cell r="J1">
            <v>1.7453292519943295E-2</v>
          </cell>
        </row>
      </sheetData>
      <sheetData sheetId="4420">
        <row r="1">
          <cell r="J1">
            <v>1.7453292519943295E-2</v>
          </cell>
        </row>
      </sheetData>
      <sheetData sheetId="4421">
        <row r="1">
          <cell r="J1">
            <v>1.7453292519943295E-2</v>
          </cell>
        </row>
      </sheetData>
      <sheetData sheetId="4422">
        <row r="1">
          <cell r="J1">
            <v>1.7453292519943295E-2</v>
          </cell>
        </row>
      </sheetData>
      <sheetData sheetId="4423">
        <row r="1">
          <cell r="J1">
            <v>1.7453292519943295E-2</v>
          </cell>
        </row>
      </sheetData>
      <sheetData sheetId="4424">
        <row r="1">
          <cell r="J1">
            <v>1.7453292519943295E-2</v>
          </cell>
        </row>
      </sheetData>
      <sheetData sheetId="4425">
        <row r="1">
          <cell r="J1">
            <v>1.7453292519943295E-2</v>
          </cell>
        </row>
      </sheetData>
      <sheetData sheetId="4426">
        <row r="1">
          <cell r="J1">
            <v>1.7453292519943295E-2</v>
          </cell>
        </row>
      </sheetData>
      <sheetData sheetId="4427">
        <row r="1">
          <cell r="J1">
            <v>1.7453292519943295E-2</v>
          </cell>
        </row>
      </sheetData>
      <sheetData sheetId="4428">
        <row r="1">
          <cell r="J1">
            <v>1.7453292519943295E-2</v>
          </cell>
        </row>
      </sheetData>
      <sheetData sheetId="4429">
        <row r="1">
          <cell r="J1">
            <v>1.7453292519943295E-2</v>
          </cell>
        </row>
      </sheetData>
      <sheetData sheetId="4430">
        <row r="1">
          <cell r="J1">
            <v>1.7453292519943295E-2</v>
          </cell>
        </row>
      </sheetData>
      <sheetData sheetId="4431">
        <row r="1">
          <cell r="J1">
            <v>1.7453292519943295E-2</v>
          </cell>
        </row>
      </sheetData>
      <sheetData sheetId="4432">
        <row r="1">
          <cell r="J1">
            <v>1.7453292519943295E-2</v>
          </cell>
        </row>
      </sheetData>
      <sheetData sheetId="4433">
        <row r="1">
          <cell r="J1">
            <v>1.7453292519943295E-2</v>
          </cell>
        </row>
      </sheetData>
      <sheetData sheetId="4434">
        <row r="1">
          <cell r="J1">
            <v>1.7453292519943295E-2</v>
          </cell>
        </row>
      </sheetData>
      <sheetData sheetId="4435">
        <row r="1">
          <cell r="J1">
            <v>1.7453292519943295E-2</v>
          </cell>
        </row>
      </sheetData>
      <sheetData sheetId="4436">
        <row r="1">
          <cell r="J1">
            <v>1.7453292519943295E-2</v>
          </cell>
        </row>
      </sheetData>
      <sheetData sheetId="4437">
        <row r="1">
          <cell r="J1">
            <v>1.7453292519943295E-2</v>
          </cell>
        </row>
      </sheetData>
      <sheetData sheetId="4438">
        <row r="1">
          <cell r="J1">
            <v>1.7453292519943295E-2</v>
          </cell>
        </row>
      </sheetData>
      <sheetData sheetId="4439">
        <row r="1">
          <cell r="J1">
            <v>1.7453292519943295E-2</v>
          </cell>
        </row>
      </sheetData>
      <sheetData sheetId="4440">
        <row r="1">
          <cell r="J1">
            <v>1.7453292519943295E-2</v>
          </cell>
        </row>
      </sheetData>
      <sheetData sheetId="4441">
        <row r="1">
          <cell r="J1">
            <v>1.7453292519943295E-2</v>
          </cell>
        </row>
      </sheetData>
      <sheetData sheetId="4442">
        <row r="1">
          <cell r="J1">
            <v>1.7453292519943295E-2</v>
          </cell>
        </row>
      </sheetData>
      <sheetData sheetId="4443">
        <row r="1">
          <cell r="J1">
            <v>1.7453292519943295E-2</v>
          </cell>
        </row>
      </sheetData>
      <sheetData sheetId="4444">
        <row r="1">
          <cell r="J1">
            <v>1.7453292519943295E-2</v>
          </cell>
        </row>
      </sheetData>
      <sheetData sheetId="4445">
        <row r="1">
          <cell r="J1">
            <v>1.7453292519943295E-2</v>
          </cell>
        </row>
      </sheetData>
      <sheetData sheetId="4446">
        <row r="1">
          <cell r="J1">
            <v>1.7453292519943295E-2</v>
          </cell>
        </row>
      </sheetData>
      <sheetData sheetId="4447">
        <row r="1">
          <cell r="J1">
            <v>1.7453292519943295E-2</v>
          </cell>
        </row>
      </sheetData>
      <sheetData sheetId="4448">
        <row r="1">
          <cell r="J1">
            <v>1.7453292519943295E-2</v>
          </cell>
        </row>
      </sheetData>
      <sheetData sheetId="4449">
        <row r="1">
          <cell r="J1">
            <v>1.7453292519943295E-2</v>
          </cell>
        </row>
      </sheetData>
      <sheetData sheetId="4450">
        <row r="1">
          <cell r="J1">
            <v>1.7453292519943295E-2</v>
          </cell>
        </row>
      </sheetData>
      <sheetData sheetId="4451">
        <row r="1">
          <cell r="J1">
            <v>1.7453292519943295E-2</v>
          </cell>
        </row>
      </sheetData>
      <sheetData sheetId="4452">
        <row r="1">
          <cell r="J1">
            <v>1.7453292519943295E-2</v>
          </cell>
        </row>
      </sheetData>
      <sheetData sheetId="4453">
        <row r="1">
          <cell r="J1">
            <v>1.7453292519943295E-2</v>
          </cell>
        </row>
      </sheetData>
      <sheetData sheetId="4454">
        <row r="1">
          <cell r="J1">
            <v>1.7453292519943295E-2</v>
          </cell>
        </row>
      </sheetData>
      <sheetData sheetId="4455">
        <row r="1">
          <cell r="J1">
            <v>1.7453292519943295E-2</v>
          </cell>
        </row>
      </sheetData>
      <sheetData sheetId="4456">
        <row r="1">
          <cell r="J1">
            <v>1.7453292519943295E-2</v>
          </cell>
        </row>
      </sheetData>
      <sheetData sheetId="4457">
        <row r="1">
          <cell r="J1">
            <v>1.7453292519943295E-2</v>
          </cell>
        </row>
      </sheetData>
      <sheetData sheetId="4458">
        <row r="1">
          <cell r="J1">
            <v>1.7453292519943295E-2</v>
          </cell>
        </row>
      </sheetData>
      <sheetData sheetId="4459">
        <row r="1">
          <cell r="J1">
            <v>1.7453292519943295E-2</v>
          </cell>
        </row>
      </sheetData>
      <sheetData sheetId="4460">
        <row r="1">
          <cell r="J1">
            <v>1.7453292519943295E-2</v>
          </cell>
        </row>
      </sheetData>
      <sheetData sheetId="4461">
        <row r="1">
          <cell r="J1">
            <v>1.7453292519943295E-2</v>
          </cell>
        </row>
      </sheetData>
      <sheetData sheetId="4462">
        <row r="1">
          <cell r="J1">
            <v>1.7453292519943295E-2</v>
          </cell>
        </row>
      </sheetData>
      <sheetData sheetId="4463">
        <row r="1">
          <cell r="J1">
            <v>1.7453292519943295E-2</v>
          </cell>
        </row>
      </sheetData>
      <sheetData sheetId="4464">
        <row r="1">
          <cell r="J1">
            <v>1.7453292519943295E-2</v>
          </cell>
        </row>
      </sheetData>
      <sheetData sheetId="4465">
        <row r="1">
          <cell r="J1">
            <v>1.7453292519943295E-2</v>
          </cell>
        </row>
      </sheetData>
      <sheetData sheetId="4466">
        <row r="1">
          <cell r="J1">
            <v>1.7453292519943295E-2</v>
          </cell>
        </row>
      </sheetData>
      <sheetData sheetId="4467">
        <row r="1">
          <cell r="J1">
            <v>1.7453292519943295E-2</v>
          </cell>
        </row>
      </sheetData>
      <sheetData sheetId="4468">
        <row r="1">
          <cell r="J1">
            <v>1.7453292519943295E-2</v>
          </cell>
        </row>
      </sheetData>
      <sheetData sheetId="4469">
        <row r="1">
          <cell r="J1">
            <v>1.7453292519943295E-2</v>
          </cell>
        </row>
      </sheetData>
      <sheetData sheetId="4470">
        <row r="1">
          <cell r="J1">
            <v>1.7453292519943295E-2</v>
          </cell>
        </row>
      </sheetData>
      <sheetData sheetId="4471">
        <row r="1">
          <cell r="J1">
            <v>1.7453292519943295E-2</v>
          </cell>
        </row>
      </sheetData>
      <sheetData sheetId="4472">
        <row r="1">
          <cell r="J1">
            <v>1.7453292519943295E-2</v>
          </cell>
        </row>
      </sheetData>
      <sheetData sheetId="4473">
        <row r="1">
          <cell r="J1">
            <v>1.7453292519943295E-2</v>
          </cell>
        </row>
      </sheetData>
      <sheetData sheetId="4474">
        <row r="1">
          <cell r="J1">
            <v>1.7453292519943295E-2</v>
          </cell>
        </row>
      </sheetData>
      <sheetData sheetId="4475">
        <row r="1">
          <cell r="J1">
            <v>1.7453292519943295E-2</v>
          </cell>
        </row>
      </sheetData>
      <sheetData sheetId="4476">
        <row r="1">
          <cell r="J1">
            <v>1.7453292519943295E-2</v>
          </cell>
        </row>
      </sheetData>
      <sheetData sheetId="4477">
        <row r="1">
          <cell r="J1">
            <v>1.7453292519943295E-2</v>
          </cell>
        </row>
      </sheetData>
      <sheetData sheetId="4478">
        <row r="1">
          <cell r="J1">
            <v>1.7453292519943295E-2</v>
          </cell>
        </row>
      </sheetData>
      <sheetData sheetId="4479">
        <row r="1">
          <cell r="J1">
            <v>1.7453292519943295E-2</v>
          </cell>
        </row>
      </sheetData>
      <sheetData sheetId="4480">
        <row r="1">
          <cell r="J1">
            <v>1.7453292519943295E-2</v>
          </cell>
        </row>
      </sheetData>
      <sheetData sheetId="4481">
        <row r="1">
          <cell r="J1">
            <v>1.7453292519943295E-2</v>
          </cell>
        </row>
      </sheetData>
      <sheetData sheetId="4482">
        <row r="1">
          <cell r="J1">
            <v>1.7453292519943295E-2</v>
          </cell>
        </row>
      </sheetData>
      <sheetData sheetId="4483">
        <row r="1">
          <cell r="J1">
            <v>1.7453292519943295E-2</v>
          </cell>
        </row>
      </sheetData>
      <sheetData sheetId="4484">
        <row r="1">
          <cell r="J1">
            <v>1.7453292519943295E-2</v>
          </cell>
        </row>
      </sheetData>
      <sheetData sheetId="4485">
        <row r="1">
          <cell r="J1">
            <v>1.7453292519943295E-2</v>
          </cell>
        </row>
      </sheetData>
      <sheetData sheetId="4486">
        <row r="1">
          <cell r="J1">
            <v>1.7453292519943295E-2</v>
          </cell>
        </row>
      </sheetData>
      <sheetData sheetId="4487">
        <row r="1">
          <cell r="J1">
            <v>1.7453292519943295E-2</v>
          </cell>
        </row>
      </sheetData>
      <sheetData sheetId="4488">
        <row r="1">
          <cell r="J1">
            <v>1.7453292519943295E-2</v>
          </cell>
        </row>
      </sheetData>
      <sheetData sheetId="4489">
        <row r="1">
          <cell r="J1">
            <v>1.7453292519943295E-2</v>
          </cell>
        </row>
      </sheetData>
      <sheetData sheetId="4490">
        <row r="1">
          <cell r="J1">
            <v>1.7453292519943295E-2</v>
          </cell>
        </row>
      </sheetData>
      <sheetData sheetId="4491">
        <row r="1">
          <cell r="J1">
            <v>1.7453292519943295E-2</v>
          </cell>
        </row>
      </sheetData>
      <sheetData sheetId="4492">
        <row r="1">
          <cell r="J1">
            <v>1.7453292519943295E-2</v>
          </cell>
        </row>
      </sheetData>
      <sheetData sheetId="4493">
        <row r="1">
          <cell r="J1">
            <v>1.7453292519943295E-2</v>
          </cell>
        </row>
      </sheetData>
      <sheetData sheetId="4494">
        <row r="1">
          <cell r="J1">
            <v>1.7453292519943295E-2</v>
          </cell>
        </row>
      </sheetData>
      <sheetData sheetId="4495">
        <row r="1">
          <cell r="J1">
            <v>1.7453292519943295E-2</v>
          </cell>
        </row>
      </sheetData>
      <sheetData sheetId="4496">
        <row r="1">
          <cell r="J1">
            <v>1.7453292519943295E-2</v>
          </cell>
        </row>
      </sheetData>
      <sheetData sheetId="4497">
        <row r="1">
          <cell r="J1">
            <v>1.7453292519943295E-2</v>
          </cell>
        </row>
      </sheetData>
      <sheetData sheetId="4498">
        <row r="1">
          <cell r="J1">
            <v>1.7453292519943295E-2</v>
          </cell>
        </row>
      </sheetData>
      <sheetData sheetId="4499">
        <row r="1">
          <cell r="J1">
            <v>1.7453292519943295E-2</v>
          </cell>
        </row>
      </sheetData>
      <sheetData sheetId="4500">
        <row r="1">
          <cell r="J1">
            <v>1.7453292519943295E-2</v>
          </cell>
        </row>
      </sheetData>
      <sheetData sheetId="4501">
        <row r="1">
          <cell r="J1">
            <v>1.7453292519943295E-2</v>
          </cell>
        </row>
      </sheetData>
      <sheetData sheetId="4502">
        <row r="1">
          <cell r="J1">
            <v>1.7453292519943295E-2</v>
          </cell>
        </row>
      </sheetData>
      <sheetData sheetId="4503">
        <row r="1">
          <cell r="J1">
            <v>1.7453292519943295E-2</v>
          </cell>
        </row>
      </sheetData>
      <sheetData sheetId="4504">
        <row r="1">
          <cell r="J1">
            <v>1.7453292519943295E-2</v>
          </cell>
        </row>
      </sheetData>
      <sheetData sheetId="4505">
        <row r="1">
          <cell r="J1">
            <v>1.7453292519943295E-2</v>
          </cell>
        </row>
      </sheetData>
      <sheetData sheetId="4506">
        <row r="1">
          <cell r="J1">
            <v>1.7453292519943295E-2</v>
          </cell>
        </row>
      </sheetData>
      <sheetData sheetId="4507">
        <row r="1">
          <cell r="J1">
            <v>1.7453292519943295E-2</v>
          </cell>
        </row>
      </sheetData>
      <sheetData sheetId="4508">
        <row r="1">
          <cell r="J1">
            <v>1.7453292519943295E-2</v>
          </cell>
        </row>
      </sheetData>
      <sheetData sheetId="4509">
        <row r="1">
          <cell r="J1">
            <v>1.7453292519943295E-2</v>
          </cell>
        </row>
      </sheetData>
      <sheetData sheetId="4510">
        <row r="1">
          <cell r="J1">
            <v>1.7453292519943295E-2</v>
          </cell>
        </row>
      </sheetData>
      <sheetData sheetId="4511">
        <row r="1">
          <cell r="J1">
            <v>1.7453292519943295E-2</v>
          </cell>
        </row>
      </sheetData>
      <sheetData sheetId="4512">
        <row r="1">
          <cell r="J1">
            <v>1.7453292519943295E-2</v>
          </cell>
        </row>
      </sheetData>
      <sheetData sheetId="4513">
        <row r="1">
          <cell r="J1">
            <v>1.7453292519943295E-2</v>
          </cell>
        </row>
      </sheetData>
      <sheetData sheetId="4514">
        <row r="1">
          <cell r="J1">
            <v>1.7453292519943295E-2</v>
          </cell>
        </row>
      </sheetData>
      <sheetData sheetId="4515">
        <row r="1">
          <cell r="J1">
            <v>1.7453292519943295E-2</v>
          </cell>
        </row>
      </sheetData>
      <sheetData sheetId="4516">
        <row r="1">
          <cell r="J1">
            <v>1.7453292519943295E-2</v>
          </cell>
        </row>
      </sheetData>
      <sheetData sheetId="4517">
        <row r="1">
          <cell r="J1">
            <v>1.7453292519943295E-2</v>
          </cell>
        </row>
      </sheetData>
      <sheetData sheetId="4518">
        <row r="1">
          <cell r="J1">
            <v>1.7453292519943295E-2</v>
          </cell>
        </row>
      </sheetData>
      <sheetData sheetId="4519">
        <row r="1">
          <cell r="J1">
            <v>1.7453292519943295E-2</v>
          </cell>
        </row>
      </sheetData>
      <sheetData sheetId="4520">
        <row r="1">
          <cell r="J1">
            <v>1.7453292519943295E-2</v>
          </cell>
        </row>
      </sheetData>
      <sheetData sheetId="4521">
        <row r="1">
          <cell r="J1">
            <v>1.7453292519943295E-2</v>
          </cell>
        </row>
      </sheetData>
      <sheetData sheetId="4522">
        <row r="1">
          <cell r="J1">
            <v>1.7453292519943295E-2</v>
          </cell>
        </row>
      </sheetData>
      <sheetData sheetId="4523">
        <row r="1">
          <cell r="J1">
            <v>1.7453292519943295E-2</v>
          </cell>
        </row>
      </sheetData>
      <sheetData sheetId="4524">
        <row r="1">
          <cell r="J1">
            <v>1.7453292519943295E-2</v>
          </cell>
        </row>
      </sheetData>
      <sheetData sheetId="4525">
        <row r="1">
          <cell r="J1">
            <v>1.7453292519943295E-2</v>
          </cell>
        </row>
      </sheetData>
      <sheetData sheetId="4526">
        <row r="1">
          <cell r="J1">
            <v>1.7453292519943295E-2</v>
          </cell>
        </row>
      </sheetData>
      <sheetData sheetId="4527">
        <row r="1">
          <cell r="J1">
            <v>1.7453292519943295E-2</v>
          </cell>
        </row>
      </sheetData>
      <sheetData sheetId="4528">
        <row r="1">
          <cell r="J1">
            <v>1.7453292519943295E-2</v>
          </cell>
        </row>
      </sheetData>
      <sheetData sheetId="4529">
        <row r="1">
          <cell r="J1">
            <v>1.7453292519943295E-2</v>
          </cell>
        </row>
      </sheetData>
      <sheetData sheetId="4530">
        <row r="1">
          <cell r="J1">
            <v>1.7453292519943295E-2</v>
          </cell>
        </row>
      </sheetData>
      <sheetData sheetId="4531">
        <row r="1">
          <cell r="J1">
            <v>1.7453292519943295E-2</v>
          </cell>
        </row>
      </sheetData>
      <sheetData sheetId="4532">
        <row r="1">
          <cell r="J1">
            <v>1.7453292519943295E-2</v>
          </cell>
        </row>
      </sheetData>
      <sheetData sheetId="4533">
        <row r="1">
          <cell r="J1">
            <v>1.7453292519943295E-2</v>
          </cell>
        </row>
      </sheetData>
      <sheetData sheetId="4534">
        <row r="1">
          <cell r="J1">
            <v>1.7453292519943295E-2</v>
          </cell>
        </row>
      </sheetData>
      <sheetData sheetId="4535">
        <row r="1">
          <cell r="J1">
            <v>1.7453292519943295E-2</v>
          </cell>
        </row>
      </sheetData>
      <sheetData sheetId="4536">
        <row r="1">
          <cell r="J1">
            <v>1.7453292519943295E-2</v>
          </cell>
        </row>
      </sheetData>
      <sheetData sheetId="4537">
        <row r="1">
          <cell r="J1">
            <v>1.7453292519943295E-2</v>
          </cell>
        </row>
      </sheetData>
      <sheetData sheetId="4538">
        <row r="1">
          <cell r="J1">
            <v>1.7453292519943295E-2</v>
          </cell>
        </row>
      </sheetData>
      <sheetData sheetId="4539">
        <row r="1">
          <cell r="J1">
            <v>1.7453292519943295E-2</v>
          </cell>
        </row>
      </sheetData>
      <sheetData sheetId="4540">
        <row r="1">
          <cell r="J1">
            <v>1.7453292519943295E-2</v>
          </cell>
        </row>
      </sheetData>
      <sheetData sheetId="4541">
        <row r="1">
          <cell r="J1">
            <v>1.7453292519943295E-2</v>
          </cell>
        </row>
      </sheetData>
      <sheetData sheetId="4542">
        <row r="1">
          <cell r="J1">
            <v>1.7453292519943295E-2</v>
          </cell>
        </row>
      </sheetData>
      <sheetData sheetId="4543">
        <row r="1">
          <cell r="J1">
            <v>1.7453292519943295E-2</v>
          </cell>
        </row>
      </sheetData>
      <sheetData sheetId="4544">
        <row r="1">
          <cell r="J1">
            <v>1.7453292519943295E-2</v>
          </cell>
        </row>
      </sheetData>
      <sheetData sheetId="4545">
        <row r="1">
          <cell r="J1">
            <v>1.7453292519943295E-2</v>
          </cell>
        </row>
      </sheetData>
      <sheetData sheetId="4546">
        <row r="1">
          <cell r="J1">
            <v>1.7453292519943295E-2</v>
          </cell>
        </row>
      </sheetData>
      <sheetData sheetId="4547">
        <row r="1">
          <cell r="J1">
            <v>1.7453292519943295E-2</v>
          </cell>
        </row>
      </sheetData>
      <sheetData sheetId="4548">
        <row r="1">
          <cell r="J1">
            <v>1.7453292519943295E-2</v>
          </cell>
        </row>
      </sheetData>
      <sheetData sheetId="4549">
        <row r="1">
          <cell r="J1">
            <v>1.7453292519943295E-2</v>
          </cell>
        </row>
      </sheetData>
      <sheetData sheetId="4550">
        <row r="1">
          <cell r="J1">
            <v>1.7453292519943295E-2</v>
          </cell>
        </row>
      </sheetData>
      <sheetData sheetId="4551">
        <row r="1">
          <cell r="J1">
            <v>1.7453292519943295E-2</v>
          </cell>
        </row>
      </sheetData>
      <sheetData sheetId="4552">
        <row r="1">
          <cell r="J1">
            <v>1.7453292519943295E-2</v>
          </cell>
        </row>
      </sheetData>
      <sheetData sheetId="4553">
        <row r="1">
          <cell r="J1">
            <v>1.7453292519943295E-2</v>
          </cell>
        </row>
      </sheetData>
      <sheetData sheetId="4554">
        <row r="1">
          <cell r="J1">
            <v>1.7453292519943295E-2</v>
          </cell>
        </row>
      </sheetData>
      <sheetData sheetId="4555">
        <row r="1">
          <cell r="J1">
            <v>1.7453292519943295E-2</v>
          </cell>
        </row>
      </sheetData>
      <sheetData sheetId="4556">
        <row r="1">
          <cell r="J1">
            <v>1.7453292519943295E-2</v>
          </cell>
        </row>
      </sheetData>
      <sheetData sheetId="4557">
        <row r="1">
          <cell r="J1">
            <v>1.7453292519943295E-2</v>
          </cell>
        </row>
      </sheetData>
      <sheetData sheetId="4558">
        <row r="1">
          <cell r="J1">
            <v>1.7453292519943295E-2</v>
          </cell>
        </row>
      </sheetData>
      <sheetData sheetId="4559">
        <row r="1">
          <cell r="J1">
            <v>1.7453292519943295E-2</v>
          </cell>
        </row>
      </sheetData>
      <sheetData sheetId="4560">
        <row r="1">
          <cell r="J1">
            <v>1.7453292519943295E-2</v>
          </cell>
        </row>
      </sheetData>
      <sheetData sheetId="4561">
        <row r="1">
          <cell r="J1">
            <v>1.7453292519943295E-2</v>
          </cell>
        </row>
      </sheetData>
      <sheetData sheetId="4562">
        <row r="1">
          <cell r="J1">
            <v>1.7453292519943295E-2</v>
          </cell>
        </row>
      </sheetData>
      <sheetData sheetId="4563">
        <row r="1">
          <cell r="J1">
            <v>1.7453292519943295E-2</v>
          </cell>
        </row>
      </sheetData>
      <sheetData sheetId="4564">
        <row r="1">
          <cell r="J1">
            <v>1.7453292519943295E-2</v>
          </cell>
        </row>
      </sheetData>
      <sheetData sheetId="4565">
        <row r="1">
          <cell r="J1">
            <v>1.7453292519943295E-2</v>
          </cell>
        </row>
      </sheetData>
      <sheetData sheetId="4566">
        <row r="1">
          <cell r="J1">
            <v>1.7453292519943295E-2</v>
          </cell>
        </row>
      </sheetData>
      <sheetData sheetId="4567">
        <row r="1">
          <cell r="J1">
            <v>1.7453292519943295E-2</v>
          </cell>
        </row>
      </sheetData>
      <sheetData sheetId="4568">
        <row r="1">
          <cell r="J1">
            <v>1.7453292519943295E-2</v>
          </cell>
        </row>
      </sheetData>
      <sheetData sheetId="4569">
        <row r="1">
          <cell r="J1">
            <v>1.7453292519943295E-2</v>
          </cell>
        </row>
      </sheetData>
      <sheetData sheetId="4570">
        <row r="1">
          <cell r="J1">
            <v>1.7453292519943295E-2</v>
          </cell>
        </row>
      </sheetData>
      <sheetData sheetId="4571">
        <row r="1">
          <cell r="J1">
            <v>1.7453292519943295E-2</v>
          </cell>
        </row>
      </sheetData>
      <sheetData sheetId="4572">
        <row r="1">
          <cell r="J1">
            <v>1.7453292519943295E-2</v>
          </cell>
        </row>
      </sheetData>
      <sheetData sheetId="4573">
        <row r="1">
          <cell r="J1">
            <v>1.7453292519943295E-2</v>
          </cell>
        </row>
      </sheetData>
      <sheetData sheetId="4574">
        <row r="1">
          <cell r="J1">
            <v>1.7453292519943295E-2</v>
          </cell>
        </row>
      </sheetData>
      <sheetData sheetId="4575">
        <row r="1">
          <cell r="J1">
            <v>1.7453292519943295E-2</v>
          </cell>
        </row>
      </sheetData>
      <sheetData sheetId="4576">
        <row r="1">
          <cell r="J1">
            <v>1.7453292519943295E-2</v>
          </cell>
        </row>
      </sheetData>
      <sheetData sheetId="4577">
        <row r="1">
          <cell r="J1">
            <v>1.7453292519943295E-2</v>
          </cell>
        </row>
      </sheetData>
      <sheetData sheetId="4578">
        <row r="1">
          <cell r="J1">
            <v>1.7453292519943295E-2</v>
          </cell>
        </row>
      </sheetData>
      <sheetData sheetId="4579">
        <row r="1">
          <cell r="J1">
            <v>1.7453292519943295E-2</v>
          </cell>
        </row>
      </sheetData>
      <sheetData sheetId="4580">
        <row r="1">
          <cell r="J1">
            <v>1.7453292519943295E-2</v>
          </cell>
        </row>
      </sheetData>
      <sheetData sheetId="4581">
        <row r="1">
          <cell r="J1">
            <v>1.7453292519943295E-2</v>
          </cell>
        </row>
      </sheetData>
      <sheetData sheetId="4582">
        <row r="1">
          <cell r="J1">
            <v>1.7453292519943295E-2</v>
          </cell>
        </row>
      </sheetData>
      <sheetData sheetId="4583">
        <row r="1">
          <cell r="J1">
            <v>1.7453292519943295E-2</v>
          </cell>
        </row>
      </sheetData>
      <sheetData sheetId="4584">
        <row r="1">
          <cell r="J1">
            <v>1.7453292519943295E-2</v>
          </cell>
        </row>
      </sheetData>
      <sheetData sheetId="4585">
        <row r="1">
          <cell r="J1">
            <v>1.7453292519943295E-2</v>
          </cell>
        </row>
      </sheetData>
      <sheetData sheetId="4586">
        <row r="1">
          <cell r="J1">
            <v>1.7453292519943295E-2</v>
          </cell>
        </row>
      </sheetData>
      <sheetData sheetId="4587">
        <row r="1">
          <cell r="J1">
            <v>1.7453292519943295E-2</v>
          </cell>
        </row>
      </sheetData>
      <sheetData sheetId="4588">
        <row r="1">
          <cell r="J1">
            <v>1.7453292519943295E-2</v>
          </cell>
        </row>
      </sheetData>
      <sheetData sheetId="4589">
        <row r="1">
          <cell r="J1">
            <v>1.7453292519943295E-2</v>
          </cell>
        </row>
      </sheetData>
      <sheetData sheetId="4590">
        <row r="1">
          <cell r="J1">
            <v>1.7453292519943295E-2</v>
          </cell>
        </row>
      </sheetData>
      <sheetData sheetId="4591">
        <row r="1">
          <cell r="J1">
            <v>1.7453292519943295E-2</v>
          </cell>
        </row>
      </sheetData>
      <sheetData sheetId="4592">
        <row r="1">
          <cell r="J1">
            <v>1.7453292519943295E-2</v>
          </cell>
        </row>
      </sheetData>
      <sheetData sheetId="4593">
        <row r="1">
          <cell r="J1">
            <v>1.7453292519943295E-2</v>
          </cell>
        </row>
      </sheetData>
      <sheetData sheetId="4594">
        <row r="1">
          <cell r="J1">
            <v>1.7453292519943295E-2</v>
          </cell>
        </row>
      </sheetData>
      <sheetData sheetId="4595">
        <row r="1">
          <cell r="J1">
            <v>1.7453292519943295E-2</v>
          </cell>
        </row>
      </sheetData>
      <sheetData sheetId="4596">
        <row r="1">
          <cell r="J1">
            <v>1.7453292519943295E-2</v>
          </cell>
        </row>
      </sheetData>
      <sheetData sheetId="4597">
        <row r="1">
          <cell r="J1">
            <v>1.7453292519943295E-2</v>
          </cell>
        </row>
      </sheetData>
      <sheetData sheetId="4598">
        <row r="1">
          <cell r="J1">
            <v>1.7453292519943295E-2</v>
          </cell>
        </row>
      </sheetData>
      <sheetData sheetId="4599">
        <row r="1">
          <cell r="J1">
            <v>1.7453292519943295E-2</v>
          </cell>
        </row>
      </sheetData>
      <sheetData sheetId="4600">
        <row r="1">
          <cell r="J1">
            <v>1.7453292519943295E-2</v>
          </cell>
        </row>
      </sheetData>
      <sheetData sheetId="4601">
        <row r="1">
          <cell r="J1">
            <v>1.7453292519943295E-2</v>
          </cell>
        </row>
      </sheetData>
      <sheetData sheetId="4602">
        <row r="1">
          <cell r="J1">
            <v>1.7453292519943295E-2</v>
          </cell>
        </row>
      </sheetData>
      <sheetData sheetId="4603">
        <row r="1">
          <cell r="J1">
            <v>1.7453292519943295E-2</v>
          </cell>
        </row>
      </sheetData>
      <sheetData sheetId="4604">
        <row r="1">
          <cell r="J1">
            <v>1.7453292519943295E-2</v>
          </cell>
        </row>
      </sheetData>
      <sheetData sheetId="4605">
        <row r="1">
          <cell r="J1">
            <v>1.7453292519943295E-2</v>
          </cell>
        </row>
      </sheetData>
      <sheetData sheetId="4606">
        <row r="1">
          <cell r="J1">
            <v>1.7453292519943295E-2</v>
          </cell>
        </row>
      </sheetData>
      <sheetData sheetId="4607">
        <row r="1">
          <cell r="J1">
            <v>1.7453292519943295E-2</v>
          </cell>
        </row>
      </sheetData>
      <sheetData sheetId="4608">
        <row r="1">
          <cell r="J1">
            <v>1.7453292519943295E-2</v>
          </cell>
        </row>
      </sheetData>
      <sheetData sheetId="4609">
        <row r="1">
          <cell r="J1">
            <v>1.7453292519943295E-2</v>
          </cell>
        </row>
      </sheetData>
      <sheetData sheetId="4610">
        <row r="1">
          <cell r="J1">
            <v>1.7453292519943295E-2</v>
          </cell>
        </row>
      </sheetData>
      <sheetData sheetId="4611">
        <row r="1">
          <cell r="J1">
            <v>1.7453292519943295E-2</v>
          </cell>
        </row>
      </sheetData>
      <sheetData sheetId="4612">
        <row r="1">
          <cell r="J1">
            <v>1.7453292519943295E-2</v>
          </cell>
        </row>
      </sheetData>
      <sheetData sheetId="4613">
        <row r="1">
          <cell r="J1">
            <v>1.7453292519943295E-2</v>
          </cell>
        </row>
      </sheetData>
      <sheetData sheetId="4614">
        <row r="1">
          <cell r="J1">
            <v>1.7453292519943295E-2</v>
          </cell>
        </row>
      </sheetData>
      <sheetData sheetId="4615">
        <row r="1">
          <cell r="J1">
            <v>1.7453292519943295E-2</v>
          </cell>
        </row>
      </sheetData>
      <sheetData sheetId="4616">
        <row r="1">
          <cell r="J1">
            <v>1.7453292519943295E-2</v>
          </cell>
        </row>
      </sheetData>
      <sheetData sheetId="4617">
        <row r="1">
          <cell r="J1">
            <v>1.7453292519943295E-2</v>
          </cell>
        </row>
      </sheetData>
      <sheetData sheetId="4618">
        <row r="1">
          <cell r="J1">
            <v>1.7453292519943295E-2</v>
          </cell>
        </row>
      </sheetData>
      <sheetData sheetId="4619">
        <row r="1">
          <cell r="J1">
            <v>1.7453292519943295E-2</v>
          </cell>
        </row>
      </sheetData>
      <sheetData sheetId="4620">
        <row r="1">
          <cell r="J1">
            <v>1.7453292519943295E-2</v>
          </cell>
        </row>
      </sheetData>
      <sheetData sheetId="4621">
        <row r="1">
          <cell r="J1">
            <v>1.7453292519943295E-2</v>
          </cell>
        </row>
      </sheetData>
      <sheetData sheetId="4622">
        <row r="1">
          <cell r="J1">
            <v>1.7453292519943295E-2</v>
          </cell>
        </row>
      </sheetData>
      <sheetData sheetId="4623">
        <row r="1">
          <cell r="J1">
            <v>1.7453292519943295E-2</v>
          </cell>
        </row>
      </sheetData>
      <sheetData sheetId="4624">
        <row r="1">
          <cell r="J1">
            <v>1.7453292519943295E-2</v>
          </cell>
        </row>
      </sheetData>
      <sheetData sheetId="4625">
        <row r="1">
          <cell r="J1">
            <v>1.7453292519943295E-2</v>
          </cell>
        </row>
      </sheetData>
      <sheetData sheetId="4626">
        <row r="1">
          <cell r="J1">
            <v>1.7453292519943295E-2</v>
          </cell>
        </row>
      </sheetData>
      <sheetData sheetId="4627">
        <row r="1">
          <cell r="J1">
            <v>1.7453292519943295E-2</v>
          </cell>
        </row>
      </sheetData>
      <sheetData sheetId="4628">
        <row r="1">
          <cell r="J1">
            <v>1.7453292519943295E-2</v>
          </cell>
        </row>
      </sheetData>
      <sheetData sheetId="4629">
        <row r="1">
          <cell r="J1">
            <v>1.7453292519943295E-2</v>
          </cell>
        </row>
      </sheetData>
      <sheetData sheetId="4630">
        <row r="1">
          <cell r="J1">
            <v>1.7453292519943295E-2</v>
          </cell>
        </row>
      </sheetData>
      <sheetData sheetId="4631">
        <row r="1">
          <cell r="J1">
            <v>1.7453292519943295E-2</v>
          </cell>
        </row>
      </sheetData>
      <sheetData sheetId="4632">
        <row r="1">
          <cell r="J1">
            <v>1.7453292519943295E-2</v>
          </cell>
        </row>
      </sheetData>
      <sheetData sheetId="4633">
        <row r="1">
          <cell r="J1">
            <v>1.7453292519943295E-2</v>
          </cell>
        </row>
      </sheetData>
      <sheetData sheetId="4634">
        <row r="1">
          <cell r="J1">
            <v>1.7453292519943295E-2</v>
          </cell>
        </row>
      </sheetData>
      <sheetData sheetId="4635">
        <row r="1">
          <cell r="J1">
            <v>1.7453292519943295E-2</v>
          </cell>
        </row>
      </sheetData>
      <sheetData sheetId="4636">
        <row r="1">
          <cell r="J1">
            <v>1.7453292519943295E-2</v>
          </cell>
        </row>
      </sheetData>
      <sheetData sheetId="4637">
        <row r="1">
          <cell r="J1">
            <v>1.7453292519943295E-2</v>
          </cell>
        </row>
      </sheetData>
      <sheetData sheetId="4638">
        <row r="1">
          <cell r="J1">
            <v>1.7453292519943295E-2</v>
          </cell>
        </row>
      </sheetData>
      <sheetData sheetId="4639">
        <row r="1">
          <cell r="J1">
            <v>1.7453292519943295E-2</v>
          </cell>
        </row>
      </sheetData>
      <sheetData sheetId="4640">
        <row r="1">
          <cell r="J1">
            <v>1.7453292519943295E-2</v>
          </cell>
        </row>
      </sheetData>
      <sheetData sheetId="4641">
        <row r="1">
          <cell r="J1">
            <v>1.7453292519943295E-2</v>
          </cell>
        </row>
      </sheetData>
      <sheetData sheetId="4642">
        <row r="1">
          <cell r="J1">
            <v>1.7453292519943295E-2</v>
          </cell>
        </row>
      </sheetData>
      <sheetData sheetId="4643">
        <row r="1">
          <cell r="J1">
            <v>1.7453292519943295E-2</v>
          </cell>
        </row>
      </sheetData>
      <sheetData sheetId="4644">
        <row r="1">
          <cell r="J1">
            <v>1.7453292519943295E-2</v>
          </cell>
        </row>
      </sheetData>
      <sheetData sheetId="4645">
        <row r="1">
          <cell r="J1">
            <v>1.7453292519943295E-2</v>
          </cell>
        </row>
      </sheetData>
      <sheetData sheetId="4646">
        <row r="1">
          <cell r="J1">
            <v>1.7453292519943295E-2</v>
          </cell>
        </row>
      </sheetData>
      <sheetData sheetId="4647">
        <row r="1">
          <cell r="J1">
            <v>1.7453292519943295E-2</v>
          </cell>
        </row>
      </sheetData>
      <sheetData sheetId="4648">
        <row r="1">
          <cell r="J1">
            <v>1.7453292519943295E-2</v>
          </cell>
        </row>
      </sheetData>
      <sheetData sheetId="4649">
        <row r="1">
          <cell r="J1">
            <v>1.7453292519943295E-2</v>
          </cell>
        </row>
      </sheetData>
      <sheetData sheetId="4650">
        <row r="1">
          <cell r="J1">
            <v>1.7453292519943295E-2</v>
          </cell>
        </row>
      </sheetData>
      <sheetData sheetId="4651">
        <row r="1">
          <cell r="J1">
            <v>1.7453292519943295E-2</v>
          </cell>
        </row>
      </sheetData>
      <sheetData sheetId="4652">
        <row r="1">
          <cell r="J1">
            <v>1.7453292519943295E-2</v>
          </cell>
        </row>
      </sheetData>
      <sheetData sheetId="4653">
        <row r="1">
          <cell r="J1">
            <v>1.7453292519943295E-2</v>
          </cell>
        </row>
      </sheetData>
      <sheetData sheetId="4654">
        <row r="1">
          <cell r="J1">
            <v>1.7453292519943295E-2</v>
          </cell>
        </row>
      </sheetData>
      <sheetData sheetId="4655">
        <row r="1">
          <cell r="J1">
            <v>1.7453292519943295E-2</v>
          </cell>
        </row>
      </sheetData>
      <sheetData sheetId="4656">
        <row r="1">
          <cell r="J1">
            <v>1.7453292519943295E-2</v>
          </cell>
        </row>
      </sheetData>
      <sheetData sheetId="4657">
        <row r="1">
          <cell r="J1">
            <v>1.7453292519943295E-2</v>
          </cell>
        </row>
      </sheetData>
      <sheetData sheetId="4658">
        <row r="1">
          <cell r="J1">
            <v>1.7453292519943295E-2</v>
          </cell>
        </row>
      </sheetData>
      <sheetData sheetId="4659">
        <row r="1">
          <cell r="J1">
            <v>1.7453292519943295E-2</v>
          </cell>
        </row>
      </sheetData>
      <sheetData sheetId="4660">
        <row r="1">
          <cell r="J1">
            <v>1.7453292519943295E-2</v>
          </cell>
        </row>
      </sheetData>
      <sheetData sheetId="4661">
        <row r="1">
          <cell r="J1">
            <v>1.7453292519943295E-2</v>
          </cell>
        </row>
      </sheetData>
      <sheetData sheetId="4662">
        <row r="1">
          <cell r="J1">
            <v>1.7453292519943295E-2</v>
          </cell>
        </row>
      </sheetData>
      <sheetData sheetId="4663">
        <row r="1">
          <cell r="J1">
            <v>1.7453292519943295E-2</v>
          </cell>
        </row>
      </sheetData>
      <sheetData sheetId="4664">
        <row r="1">
          <cell r="J1">
            <v>1.7453292519943295E-2</v>
          </cell>
        </row>
      </sheetData>
      <sheetData sheetId="4665">
        <row r="1">
          <cell r="J1">
            <v>1.7453292519943295E-2</v>
          </cell>
        </row>
      </sheetData>
      <sheetData sheetId="4666">
        <row r="1">
          <cell r="J1">
            <v>1.7453292519943295E-2</v>
          </cell>
        </row>
      </sheetData>
      <sheetData sheetId="4667">
        <row r="2">
          <cell r="B2">
            <v>1</v>
          </cell>
        </row>
      </sheetData>
      <sheetData sheetId="4668">
        <row r="2">
          <cell r="B2">
            <v>1</v>
          </cell>
        </row>
      </sheetData>
      <sheetData sheetId="4669">
        <row r="1">
          <cell r="J1">
            <v>1.7453292519943295E-2</v>
          </cell>
        </row>
      </sheetData>
      <sheetData sheetId="4670">
        <row r="2">
          <cell r="B2">
            <v>1</v>
          </cell>
        </row>
      </sheetData>
      <sheetData sheetId="4671">
        <row r="2">
          <cell r="B2">
            <v>1</v>
          </cell>
        </row>
      </sheetData>
      <sheetData sheetId="4672">
        <row r="2">
          <cell r="B2">
            <v>1</v>
          </cell>
        </row>
      </sheetData>
      <sheetData sheetId="4673">
        <row r="2">
          <cell r="B2">
            <v>1</v>
          </cell>
        </row>
      </sheetData>
      <sheetData sheetId="4674">
        <row r="2">
          <cell r="B2">
            <v>1</v>
          </cell>
        </row>
      </sheetData>
      <sheetData sheetId="4675">
        <row r="2">
          <cell r="B2">
            <v>1</v>
          </cell>
        </row>
      </sheetData>
      <sheetData sheetId="4676">
        <row r="1">
          <cell r="J1">
            <v>1.7453292519943295E-2</v>
          </cell>
        </row>
      </sheetData>
      <sheetData sheetId="4677">
        <row r="1">
          <cell r="J1">
            <v>1.7453292519943295E-2</v>
          </cell>
        </row>
      </sheetData>
      <sheetData sheetId="4678">
        <row r="2">
          <cell r="B2">
            <v>1</v>
          </cell>
        </row>
      </sheetData>
      <sheetData sheetId="4679">
        <row r="2">
          <cell r="B2">
            <v>1</v>
          </cell>
        </row>
      </sheetData>
      <sheetData sheetId="4680">
        <row r="2">
          <cell r="B2">
            <v>1</v>
          </cell>
        </row>
      </sheetData>
      <sheetData sheetId="4681">
        <row r="2">
          <cell r="B2">
            <v>1</v>
          </cell>
        </row>
      </sheetData>
      <sheetData sheetId="4682">
        <row r="2">
          <cell r="B2">
            <v>1</v>
          </cell>
        </row>
      </sheetData>
      <sheetData sheetId="4683">
        <row r="2">
          <cell r="B2">
            <v>1</v>
          </cell>
        </row>
      </sheetData>
      <sheetData sheetId="4684">
        <row r="1">
          <cell r="J1">
            <v>1.7453292519943295E-2</v>
          </cell>
        </row>
      </sheetData>
      <sheetData sheetId="4685">
        <row r="1">
          <cell r="J1">
            <v>1.7453292519943295E-2</v>
          </cell>
        </row>
      </sheetData>
      <sheetData sheetId="4686">
        <row r="2">
          <cell r="B2">
            <v>1</v>
          </cell>
        </row>
      </sheetData>
      <sheetData sheetId="4687">
        <row r="2">
          <cell r="B2">
            <v>1</v>
          </cell>
        </row>
      </sheetData>
      <sheetData sheetId="4688">
        <row r="2">
          <cell r="B2">
            <v>1</v>
          </cell>
        </row>
      </sheetData>
      <sheetData sheetId="4689">
        <row r="2">
          <cell r="B2">
            <v>1</v>
          </cell>
        </row>
      </sheetData>
      <sheetData sheetId="4690">
        <row r="2">
          <cell r="B2">
            <v>1</v>
          </cell>
        </row>
      </sheetData>
      <sheetData sheetId="4691">
        <row r="2">
          <cell r="B2">
            <v>1</v>
          </cell>
        </row>
      </sheetData>
      <sheetData sheetId="4692">
        <row r="1">
          <cell r="J1">
            <v>1.7453292519943295E-2</v>
          </cell>
        </row>
      </sheetData>
      <sheetData sheetId="4693">
        <row r="2">
          <cell r="B2">
            <v>1</v>
          </cell>
        </row>
      </sheetData>
      <sheetData sheetId="4694">
        <row r="2">
          <cell r="B2">
            <v>1</v>
          </cell>
        </row>
      </sheetData>
      <sheetData sheetId="4695">
        <row r="2">
          <cell r="B2">
            <v>1</v>
          </cell>
        </row>
      </sheetData>
      <sheetData sheetId="4696">
        <row r="2">
          <cell r="B2">
            <v>1</v>
          </cell>
        </row>
      </sheetData>
      <sheetData sheetId="4697">
        <row r="2">
          <cell r="B2">
            <v>1</v>
          </cell>
        </row>
      </sheetData>
      <sheetData sheetId="4698">
        <row r="2">
          <cell r="B2">
            <v>1</v>
          </cell>
        </row>
      </sheetData>
      <sheetData sheetId="4699">
        <row r="2">
          <cell r="B2">
            <v>1</v>
          </cell>
        </row>
      </sheetData>
      <sheetData sheetId="4700">
        <row r="1">
          <cell r="J1">
            <v>1.7453292519943295E-2</v>
          </cell>
        </row>
      </sheetData>
      <sheetData sheetId="4701">
        <row r="1">
          <cell r="J1">
            <v>1.7453292519943295E-2</v>
          </cell>
        </row>
      </sheetData>
      <sheetData sheetId="4702">
        <row r="1">
          <cell r="J1">
            <v>1.7453292519943295E-2</v>
          </cell>
        </row>
      </sheetData>
      <sheetData sheetId="4703">
        <row r="1">
          <cell r="J1">
            <v>1.7453292519943295E-2</v>
          </cell>
        </row>
      </sheetData>
      <sheetData sheetId="4704">
        <row r="1">
          <cell r="J1">
            <v>1.7453292519943295E-2</v>
          </cell>
        </row>
      </sheetData>
      <sheetData sheetId="4705">
        <row r="1">
          <cell r="J1">
            <v>1.7453292519943295E-2</v>
          </cell>
        </row>
      </sheetData>
      <sheetData sheetId="4706">
        <row r="1">
          <cell r="J1">
            <v>1.7453292519943295E-2</v>
          </cell>
        </row>
      </sheetData>
      <sheetData sheetId="4707">
        <row r="1">
          <cell r="J1">
            <v>1.7453292519943295E-2</v>
          </cell>
        </row>
      </sheetData>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ow r="1">
          <cell r="J1">
            <v>1.7453292519943295E-2</v>
          </cell>
        </row>
      </sheetData>
      <sheetData sheetId="4742">
        <row r="1">
          <cell r="J1">
            <v>1.7453292519943295E-2</v>
          </cell>
        </row>
      </sheetData>
      <sheetData sheetId="4743">
        <row r="1">
          <cell r="J1">
            <v>1.7453292519943295E-2</v>
          </cell>
        </row>
      </sheetData>
      <sheetData sheetId="4744">
        <row r="1">
          <cell r="J1">
            <v>1.7453292519943295E-2</v>
          </cell>
        </row>
      </sheetData>
      <sheetData sheetId="4745">
        <row r="1">
          <cell r="J1">
            <v>1.7453292519943295E-2</v>
          </cell>
        </row>
      </sheetData>
      <sheetData sheetId="4746">
        <row r="1">
          <cell r="J1">
            <v>1.7453292519943295E-2</v>
          </cell>
        </row>
      </sheetData>
      <sheetData sheetId="4747">
        <row r="1">
          <cell r="J1">
            <v>1.7453292519943295E-2</v>
          </cell>
        </row>
      </sheetData>
      <sheetData sheetId="4748">
        <row r="1">
          <cell r="J1">
            <v>1.7453292519943295E-2</v>
          </cell>
        </row>
      </sheetData>
      <sheetData sheetId="4749">
        <row r="1">
          <cell r="J1">
            <v>1.7453292519943295E-2</v>
          </cell>
        </row>
      </sheetData>
      <sheetData sheetId="4750">
        <row r="1">
          <cell r="J1">
            <v>1.7453292519943295E-2</v>
          </cell>
        </row>
      </sheetData>
      <sheetData sheetId="4751">
        <row r="1">
          <cell r="J1">
            <v>1.7453292519943295E-2</v>
          </cell>
        </row>
      </sheetData>
      <sheetData sheetId="4752">
        <row r="1">
          <cell r="J1">
            <v>1.7453292519943295E-2</v>
          </cell>
        </row>
      </sheetData>
      <sheetData sheetId="4753">
        <row r="1">
          <cell r="J1">
            <v>1.7453292519943295E-2</v>
          </cell>
        </row>
      </sheetData>
      <sheetData sheetId="4754">
        <row r="1">
          <cell r="J1">
            <v>1.7453292519943295E-2</v>
          </cell>
        </row>
      </sheetData>
      <sheetData sheetId="4755">
        <row r="1">
          <cell r="J1">
            <v>1.7453292519943295E-2</v>
          </cell>
        </row>
      </sheetData>
      <sheetData sheetId="4756">
        <row r="1">
          <cell r="J1">
            <v>1.7453292519943295E-2</v>
          </cell>
        </row>
      </sheetData>
      <sheetData sheetId="4757">
        <row r="1">
          <cell r="J1">
            <v>1.7453292519943295E-2</v>
          </cell>
        </row>
      </sheetData>
      <sheetData sheetId="4758">
        <row r="1">
          <cell r="J1">
            <v>1.7453292519943295E-2</v>
          </cell>
        </row>
      </sheetData>
      <sheetData sheetId="4759">
        <row r="1">
          <cell r="J1">
            <v>1.7453292519943295E-2</v>
          </cell>
        </row>
      </sheetData>
      <sheetData sheetId="4760">
        <row r="1">
          <cell r="J1">
            <v>1.7453292519943295E-2</v>
          </cell>
        </row>
      </sheetData>
      <sheetData sheetId="4761">
        <row r="1">
          <cell r="J1">
            <v>1.7453292519943295E-2</v>
          </cell>
        </row>
      </sheetData>
      <sheetData sheetId="4762">
        <row r="1">
          <cell r="J1">
            <v>1.7453292519943295E-2</v>
          </cell>
        </row>
      </sheetData>
      <sheetData sheetId="4763">
        <row r="1">
          <cell r="J1">
            <v>1.7453292519943295E-2</v>
          </cell>
        </row>
      </sheetData>
      <sheetData sheetId="4764">
        <row r="1">
          <cell r="J1">
            <v>1.7453292519943295E-2</v>
          </cell>
        </row>
      </sheetData>
      <sheetData sheetId="4765">
        <row r="1">
          <cell r="J1">
            <v>1.7453292519943295E-2</v>
          </cell>
        </row>
      </sheetData>
      <sheetData sheetId="4766">
        <row r="1">
          <cell r="J1">
            <v>1.7453292519943295E-2</v>
          </cell>
        </row>
      </sheetData>
      <sheetData sheetId="4767">
        <row r="1">
          <cell r="J1">
            <v>1.7453292519943295E-2</v>
          </cell>
        </row>
      </sheetData>
      <sheetData sheetId="4768">
        <row r="1">
          <cell r="J1">
            <v>1.7453292519943295E-2</v>
          </cell>
        </row>
      </sheetData>
      <sheetData sheetId="4769">
        <row r="1">
          <cell r="J1">
            <v>1.7453292519943295E-2</v>
          </cell>
        </row>
      </sheetData>
      <sheetData sheetId="4770">
        <row r="1">
          <cell r="J1">
            <v>1.7453292519943295E-2</v>
          </cell>
        </row>
      </sheetData>
      <sheetData sheetId="4771">
        <row r="1">
          <cell r="J1">
            <v>1.7453292519943295E-2</v>
          </cell>
        </row>
      </sheetData>
      <sheetData sheetId="4772">
        <row r="1">
          <cell r="J1">
            <v>1.7453292519943295E-2</v>
          </cell>
        </row>
      </sheetData>
      <sheetData sheetId="4773">
        <row r="1">
          <cell r="J1">
            <v>1.7453292519943295E-2</v>
          </cell>
        </row>
      </sheetData>
      <sheetData sheetId="4774">
        <row r="1">
          <cell r="J1">
            <v>1.7453292519943295E-2</v>
          </cell>
        </row>
      </sheetData>
      <sheetData sheetId="4775">
        <row r="1">
          <cell r="J1">
            <v>1.7453292519943295E-2</v>
          </cell>
        </row>
      </sheetData>
      <sheetData sheetId="4776">
        <row r="1">
          <cell r="J1">
            <v>1.7453292519943295E-2</v>
          </cell>
        </row>
      </sheetData>
      <sheetData sheetId="4777">
        <row r="1">
          <cell r="J1">
            <v>1.7453292519943295E-2</v>
          </cell>
        </row>
      </sheetData>
      <sheetData sheetId="4778">
        <row r="1">
          <cell r="J1">
            <v>1.7453292519943295E-2</v>
          </cell>
        </row>
      </sheetData>
      <sheetData sheetId="4779">
        <row r="1">
          <cell r="J1">
            <v>1.7453292519943295E-2</v>
          </cell>
        </row>
      </sheetData>
      <sheetData sheetId="4780">
        <row r="1">
          <cell r="J1">
            <v>1.7453292519943295E-2</v>
          </cell>
        </row>
      </sheetData>
      <sheetData sheetId="4781">
        <row r="1">
          <cell r="J1">
            <v>1.7453292519943295E-2</v>
          </cell>
        </row>
      </sheetData>
      <sheetData sheetId="4782">
        <row r="1">
          <cell r="J1">
            <v>1.7453292519943295E-2</v>
          </cell>
        </row>
      </sheetData>
      <sheetData sheetId="4783">
        <row r="1">
          <cell r="J1">
            <v>1.7453292519943295E-2</v>
          </cell>
        </row>
      </sheetData>
      <sheetData sheetId="4784">
        <row r="1">
          <cell r="J1">
            <v>1.7453292519943295E-2</v>
          </cell>
        </row>
      </sheetData>
      <sheetData sheetId="4785">
        <row r="1">
          <cell r="J1">
            <v>1.7453292519943295E-2</v>
          </cell>
        </row>
      </sheetData>
      <sheetData sheetId="4786">
        <row r="1">
          <cell r="J1">
            <v>1.7453292519943295E-2</v>
          </cell>
        </row>
      </sheetData>
      <sheetData sheetId="4787">
        <row r="1">
          <cell r="J1">
            <v>1.7453292519943295E-2</v>
          </cell>
        </row>
      </sheetData>
      <sheetData sheetId="4788">
        <row r="1">
          <cell r="J1">
            <v>1.7453292519943295E-2</v>
          </cell>
        </row>
      </sheetData>
      <sheetData sheetId="4789">
        <row r="1">
          <cell r="J1">
            <v>1.7453292519943295E-2</v>
          </cell>
        </row>
      </sheetData>
      <sheetData sheetId="4790">
        <row r="1">
          <cell r="J1">
            <v>1.7453292519943295E-2</v>
          </cell>
        </row>
      </sheetData>
      <sheetData sheetId="4791">
        <row r="1">
          <cell r="J1">
            <v>1.7453292519943295E-2</v>
          </cell>
        </row>
      </sheetData>
      <sheetData sheetId="4792">
        <row r="1">
          <cell r="J1">
            <v>1.7453292519943295E-2</v>
          </cell>
        </row>
      </sheetData>
      <sheetData sheetId="4793">
        <row r="1">
          <cell r="J1">
            <v>1.7453292519943295E-2</v>
          </cell>
        </row>
      </sheetData>
      <sheetData sheetId="4794">
        <row r="1">
          <cell r="J1">
            <v>1.7453292519943295E-2</v>
          </cell>
        </row>
      </sheetData>
      <sheetData sheetId="4795">
        <row r="1">
          <cell r="J1">
            <v>1.7453292519943295E-2</v>
          </cell>
        </row>
      </sheetData>
      <sheetData sheetId="4796">
        <row r="1">
          <cell r="J1">
            <v>1.7453292519943295E-2</v>
          </cell>
        </row>
      </sheetData>
      <sheetData sheetId="4797">
        <row r="1">
          <cell r="J1">
            <v>1.7453292519943295E-2</v>
          </cell>
        </row>
      </sheetData>
      <sheetData sheetId="4798">
        <row r="1">
          <cell r="J1">
            <v>1.7453292519943295E-2</v>
          </cell>
        </row>
      </sheetData>
      <sheetData sheetId="4799">
        <row r="1">
          <cell r="J1">
            <v>1.7453292519943295E-2</v>
          </cell>
        </row>
      </sheetData>
      <sheetData sheetId="4800">
        <row r="1">
          <cell r="J1">
            <v>1.7453292519943295E-2</v>
          </cell>
        </row>
      </sheetData>
      <sheetData sheetId="4801">
        <row r="1">
          <cell r="J1">
            <v>1.7453292519943295E-2</v>
          </cell>
        </row>
      </sheetData>
      <sheetData sheetId="4802">
        <row r="1">
          <cell r="J1">
            <v>1.7453292519943295E-2</v>
          </cell>
        </row>
      </sheetData>
      <sheetData sheetId="4803">
        <row r="1">
          <cell r="J1">
            <v>1.7453292519943295E-2</v>
          </cell>
        </row>
      </sheetData>
      <sheetData sheetId="4804">
        <row r="1">
          <cell r="J1">
            <v>1.7453292519943295E-2</v>
          </cell>
        </row>
      </sheetData>
      <sheetData sheetId="4805">
        <row r="1">
          <cell r="J1">
            <v>1.7453292519943295E-2</v>
          </cell>
        </row>
      </sheetData>
      <sheetData sheetId="4806">
        <row r="1">
          <cell r="J1">
            <v>1.7453292519943295E-2</v>
          </cell>
        </row>
      </sheetData>
      <sheetData sheetId="4807">
        <row r="1">
          <cell r="J1">
            <v>1.7453292519943295E-2</v>
          </cell>
        </row>
      </sheetData>
      <sheetData sheetId="4808">
        <row r="1">
          <cell r="J1">
            <v>1.7453292519943295E-2</v>
          </cell>
        </row>
      </sheetData>
      <sheetData sheetId="4809">
        <row r="1">
          <cell r="J1">
            <v>1.7453292519943295E-2</v>
          </cell>
        </row>
      </sheetData>
      <sheetData sheetId="4810">
        <row r="1">
          <cell r="J1">
            <v>1.7453292519943295E-2</v>
          </cell>
        </row>
      </sheetData>
      <sheetData sheetId="4811">
        <row r="1">
          <cell r="J1">
            <v>1.7453292519943295E-2</v>
          </cell>
        </row>
      </sheetData>
      <sheetData sheetId="4812">
        <row r="1">
          <cell r="J1">
            <v>1.7453292519943295E-2</v>
          </cell>
        </row>
      </sheetData>
      <sheetData sheetId="4813">
        <row r="1">
          <cell r="J1">
            <v>1.7453292519943295E-2</v>
          </cell>
        </row>
      </sheetData>
      <sheetData sheetId="4814">
        <row r="1">
          <cell r="J1">
            <v>1.7453292519943295E-2</v>
          </cell>
        </row>
      </sheetData>
      <sheetData sheetId="4815">
        <row r="1">
          <cell r="J1">
            <v>1.7453292519943295E-2</v>
          </cell>
        </row>
      </sheetData>
      <sheetData sheetId="4816">
        <row r="1">
          <cell r="J1">
            <v>1.7453292519943295E-2</v>
          </cell>
        </row>
      </sheetData>
      <sheetData sheetId="4817">
        <row r="1">
          <cell r="J1">
            <v>1.7453292519943295E-2</v>
          </cell>
        </row>
      </sheetData>
      <sheetData sheetId="4818">
        <row r="1">
          <cell r="J1">
            <v>1.7453292519943295E-2</v>
          </cell>
        </row>
      </sheetData>
      <sheetData sheetId="4819">
        <row r="1">
          <cell r="J1">
            <v>1.7453292519943295E-2</v>
          </cell>
        </row>
      </sheetData>
      <sheetData sheetId="4820">
        <row r="1">
          <cell r="J1">
            <v>1.7453292519943295E-2</v>
          </cell>
        </row>
      </sheetData>
      <sheetData sheetId="4821">
        <row r="1">
          <cell r="J1">
            <v>1.7453292519943295E-2</v>
          </cell>
        </row>
      </sheetData>
      <sheetData sheetId="4822">
        <row r="1">
          <cell r="J1">
            <v>1.7453292519943295E-2</v>
          </cell>
        </row>
      </sheetData>
      <sheetData sheetId="4823">
        <row r="1">
          <cell r="J1">
            <v>1.7453292519943295E-2</v>
          </cell>
        </row>
      </sheetData>
      <sheetData sheetId="4824">
        <row r="1">
          <cell r="J1">
            <v>1.7453292519943295E-2</v>
          </cell>
        </row>
      </sheetData>
      <sheetData sheetId="4825">
        <row r="1">
          <cell r="J1">
            <v>1.7453292519943295E-2</v>
          </cell>
        </row>
      </sheetData>
      <sheetData sheetId="4826">
        <row r="1">
          <cell r="J1">
            <v>1.7453292519943295E-2</v>
          </cell>
        </row>
      </sheetData>
      <sheetData sheetId="4827">
        <row r="1">
          <cell r="J1">
            <v>1.7453292519943295E-2</v>
          </cell>
        </row>
      </sheetData>
      <sheetData sheetId="4828">
        <row r="1">
          <cell r="J1">
            <v>1.7453292519943295E-2</v>
          </cell>
        </row>
      </sheetData>
      <sheetData sheetId="4829">
        <row r="1">
          <cell r="J1">
            <v>1.7453292519943295E-2</v>
          </cell>
        </row>
      </sheetData>
      <sheetData sheetId="4830">
        <row r="1">
          <cell r="J1">
            <v>1.7453292519943295E-2</v>
          </cell>
        </row>
      </sheetData>
      <sheetData sheetId="4831">
        <row r="1">
          <cell r="J1">
            <v>1.7453292519943295E-2</v>
          </cell>
        </row>
      </sheetData>
      <sheetData sheetId="4832">
        <row r="1">
          <cell r="J1">
            <v>1.7453292519943295E-2</v>
          </cell>
        </row>
      </sheetData>
      <sheetData sheetId="4833">
        <row r="1">
          <cell r="J1">
            <v>1.7453292519943295E-2</v>
          </cell>
        </row>
      </sheetData>
      <sheetData sheetId="4834">
        <row r="1">
          <cell r="J1">
            <v>1.7453292519943295E-2</v>
          </cell>
        </row>
      </sheetData>
      <sheetData sheetId="4835">
        <row r="1">
          <cell r="J1">
            <v>1.7453292519943295E-2</v>
          </cell>
        </row>
      </sheetData>
      <sheetData sheetId="4836">
        <row r="1">
          <cell r="J1">
            <v>1.7453292519943295E-2</v>
          </cell>
        </row>
      </sheetData>
      <sheetData sheetId="4837">
        <row r="1">
          <cell r="J1">
            <v>1.7453292519943295E-2</v>
          </cell>
        </row>
      </sheetData>
      <sheetData sheetId="4838">
        <row r="1">
          <cell r="J1">
            <v>1.7453292519943295E-2</v>
          </cell>
        </row>
      </sheetData>
      <sheetData sheetId="4839">
        <row r="1">
          <cell r="J1">
            <v>1.7453292519943295E-2</v>
          </cell>
        </row>
      </sheetData>
      <sheetData sheetId="4840">
        <row r="1">
          <cell r="J1">
            <v>1.7453292519943295E-2</v>
          </cell>
        </row>
      </sheetData>
      <sheetData sheetId="4841">
        <row r="1">
          <cell r="J1">
            <v>1.7453292519943295E-2</v>
          </cell>
        </row>
      </sheetData>
      <sheetData sheetId="4842">
        <row r="1">
          <cell r="J1">
            <v>1.7453292519943295E-2</v>
          </cell>
        </row>
      </sheetData>
      <sheetData sheetId="4843">
        <row r="1">
          <cell r="J1">
            <v>1.7453292519943295E-2</v>
          </cell>
        </row>
      </sheetData>
      <sheetData sheetId="4844">
        <row r="1">
          <cell r="J1">
            <v>1.7453292519943295E-2</v>
          </cell>
        </row>
      </sheetData>
      <sheetData sheetId="4845">
        <row r="1">
          <cell r="J1">
            <v>1.7453292519943295E-2</v>
          </cell>
        </row>
      </sheetData>
      <sheetData sheetId="4846">
        <row r="1">
          <cell r="J1">
            <v>1.7453292519943295E-2</v>
          </cell>
        </row>
      </sheetData>
      <sheetData sheetId="4847">
        <row r="1">
          <cell r="J1">
            <v>1.7453292519943295E-2</v>
          </cell>
        </row>
      </sheetData>
      <sheetData sheetId="4848">
        <row r="1">
          <cell r="J1">
            <v>1.7453292519943295E-2</v>
          </cell>
        </row>
      </sheetData>
      <sheetData sheetId="4849">
        <row r="1">
          <cell r="J1">
            <v>1.7453292519943295E-2</v>
          </cell>
        </row>
      </sheetData>
      <sheetData sheetId="4850">
        <row r="1">
          <cell r="J1">
            <v>1.7453292519943295E-2</v>
          </cell>
        </row>
      </sheetData>
      <sheetData sheetId="4851">
        <row r="1">
          <cell r="J1">
            <v>1.7453292519943295E-2</v>
          </cell>
        </row>
      </sheetData>
      <sheetData sheetId="4852">
        <row r="1">
          <cell r="J1">
            <v>1.7453292519943295E-2</v>
          </cell>
        </row>
      </sheetData>
      <sheetData sheetId="4853">
        <row r="1">
          <cell r="J1">
            <v>1.7453292519943295E-2</v>
          </cell>
        </row>
      </sheetData>
      <sheetData sheetId="4854">
        <row r="1">
          <cell r="J1">
            <v>1.7453292519943295E-2</v>
          </cell>
        </row>
      </sheetData>
      <sheetData sheetId="4855">
        <row r="1">
          <cell r="J1">
            <v>1.7453292519943295E-2</v>
          </cell>
        </row>
      </sheetData>
      <sheetData sheetId="4856">
        <row r="1">
          <cell r="J1">
            <v>1.7453292519943295E-2</v>
          </cell>
        </row>
      </sheetData>
      <sheetData sheetId="4857">
        <row r="1">
          <cell r="J1">
            <v>1.7453292519943295E-2</v>
          </cell>
        </row>
      </sheetData>
      <sheetData sheetId="4858">
        <row r="1">
          <cell r="J1">
            <v>1.7453292519943295E-2</v>
          </cell>
        </row>
      </sheetData>
      <sheetData sheetId="4859">
        <row r="1">
          <cell r="J1">
            <v>1.7453292519943295E-2</v>
          </cell>
        </row>
      </sheetData>
      <sheetData sheetId="4860">
        <row r="1">
          <cell r="J1">
            <v>1.7453292519943295E-2</v>
          </cell>
        </row>
      </sheetData>
      <sheetData sheetId="4861">
        <row r="1">
          <cell r="J1">
            <v>1.7453292519943295E-2</v>
          </cell>
        </row>
      </sheetData>
      <sheetData sheetId="4862">
        <row r="1">
          <cell r="J1">
            <v>1.7453292519943295E-2</v>
          </cell>
        </row>
      </sheetData>
      <sheetData sheetId="4863">
        <row r="1">
          <cell r="J1">
            <v>1.7453292519943295E-2</v>
          </cell>
        </row>
      </sheetData>
      <sheetData sheetId="4864">
        <row r="1">
          <cell r="J1">
            <v>1.7453292519943295E-2</v>
          </cell>
        </row>
      </sheetData>
      <sheetData sheetId="4865">
        <row r="1">
          <cell r="J1">
            <v>1.7453292519943295E-2</v>
          </cell>
        </row>
      </sheetData>
      <sheetData sheetId="4866">
        <row r="1">
          <cell r="J1">
            <v>1.7453292519943295E-2</v>
          </cell>
        </row>
      </sheetData>
      <sheetData sheetId="4867">
        <row r="1">
          <cell r="J1">
            <v>1.7453292519943295E-2</v>
          </cell>
        </row>
      </sheetData>
      <sheetData sheetId="4868">
        <row r="1">
          <cell r="J1">
            <v>1.7453292519943295E-2</v>
          </cell>
        </row>
      </sheetData>
      <sheetData sheetId="4869">
        <row r="1">
          <cell r="J1">
            <v>1.7453292519943295E-2</v>
          </cell>
        </row>
      </sheetData>
      <sheetData sheetId="4870">
        <row r="1">
          <cell r="J1">
            <v>1.7453292519943295E-2</v>
          </cell>
        </row>
      </sheetData>
      <sheetData sheetId="4871">
        <row r="1">
          <cell r="J1">
            <v>1.7453292519943295E-2</v>
          </cell>
        </row>
      </sheetData>
      <sheetData sheetId="4872">
        <row r="1">
          <cell r="J1">
            <v>1.7453292519943295E-2</v>
          </cell>
        </row>
      </sheetData>
      <sheetData sheetId="4873">
        <row r="1">
          <cell r="J1">
            <v>1.7453292519943295E-2</v>
          </cell>
        </row>
      </sheetData>
      <sheetData sheetId="4874">
        <row r="1">
          <cell r="J1">
            <v>1.7453292519943295E-2</v>
          </cell>
        </row>
      </sheetData>
      <sheetData sheetId="4875">
        <row r="1">
          <cell r="J1">
            <v>1.7453292519943295E-2</v>
          </cell>
        </row>
      </sheetData>
      <sheetData sheetId="4876">
        <row r="1">
          <cell r="J1">
            <v>1.7453292519943295E-2</v>
          </cell>
        </row>
      </sheetData>
      <sheetData sheetId="4877">
        <row r="1">
          <cell r="J1">
            <v>1.7453292519943295E-2</v>
          </cell>
        </row>
      </sheetData>
      <sheetData sheetId="4878">
        <row r="1">
          <cell r="J1">
            <v>1.7453292519943295E-2</v>
          </cell>
        </row>
      </sheetData>
      <sheetData sheetId="4879">
        <row r="1">
          <cell r="J1">
            <v>1.7453292519943295E-2</v>
          </cell>
        </row>
      </sheetData>
      <sheetData sheetId="4880">
        <row r="1">
          <cell r="J1">
            <v>1.7453292519943295E-2</v>
          </cell>
        </row>
      </sheetData>
      <sheetData sheetId="4881">
        <row r="1">
          <cell r="J1">
            <v>1.7453292519943295E-2</v>
          </cell>
        </row>
      </sheetData>
      <sheetData sheetId="4882">
        <row r="1">
          <cell r="J1">
            <v>1.7453292519943295E-2</v>
          </cell>
        </row>
      </sheetData>
      <sheetData sheetId="4883">
        <row r="1">
          <cell r="J1">
            <v>1.7453292519943295E-2</v>
          </cell>
        </row>
      </sheetData>
      <sheetData sheetId="4884">
        <row r="1">
          <cell r="J1">
            <v>1.7453292519943295E-2</v>
          </cell>
        </row>
      </sheetData>
      <sheetData sheetId="4885">
        <row r="1">
          <cell r="J1">
            <v>1.7453292519943295E-2</v>
          </cell>
        </row>
      </sheetData>
      <sheetData sheetId="4886">
        <row r="1">
          <cell r="J1">
            <v>1.7453292519943295E-2</v>
          </cell>
        </row>
      </sheetData>
      <sheetData sheetId="4887">
        <row r="1">
          <cell r="J1">
            <v>1.7453292519943295E-2</v>
          </cell>
        </row>
      </sheetData>
      <sheetData sheetId="4888">
        <row r="1">
          <cell r="J1">
            <v>1.7453292519943295E-2</v>
          </cell>
        </row>
      </sheetData>
      <sheetData sheetId="4889">
        <row r="1">
          <cell r="J1">
            <v>1.7453292519943295E-2</v>
          </cell>
        </row>
      </sheetData>
      <sheetData sheetId="4890">
        <row r="1">
          <cell r="J1">
            <v>1.7453292519943295E-2</v>
          </cell>
        </row>
      </sheetData>
      <sheetData sheetId="4891">
        <row r="1">
          <cell r="J1">
            <v>1.7453292519943295E-2</v>
          </cell>
        </row>
      </sheetData>
      <sheetData sheetId="4892">
        <row r="1">
          <cell r="J1">
            <v>1.7453292519943295E-2</v>
          </cell>
        </row>
      </sheetData>
      <sheetData sheetId="4893">
        <row r="1">
          <cell r="J1">
            <v>1.7453292519943295E-2</v>
          </cell>
        </row>
      </sheetData>
      <sheetData sheetId="4894">
        <row r="1">
          <cell r="J1">
            <v>1.7453292519943295E-2</v>
          </cell>
        </row>
      </sheetData>
      <sheetData sheetId="4895">
        <row r="1">
          <cell r="J1">
            <v>1.7453292519943295E-2</v>
          </cell>
        </row>
      </sheetData>
      <sheetData sheetId="4896">
        <row r="1">
          <cell r="J1">
            <v>1.7453292519943295E-2</v>
          </cell>
        </row>
      </sheetData>
      <sheetData sheetId="4897">
        <row r="1">
          <cell r="J1">
            <v>1.7453292519943295E-2</v>
          </cell>
        </row>
      </sheetData>
      <sheetData sheetId="4898">
        <row r="1">
          <cell r="J1">
            <v>1.7453292519943295E-2</v>
          </cell>
        </row>
      </sheetData>
      <sheetData sheetId="4899">
        <row r="1">
          <cell r="J1">
            <v>1.7453292519943295E-2</v>
          </cell>
        </row>
      </sheetData>
      <sheetData sheetId="4900">
        <row r="1">
          <cell r="J1">
            <v>1.7453292519943295E-2</v>
          </cell>
        </row>
      </sheetData>
      <sheetData sheetId="4901">
        <row r="1">
          <cell r="J1">
            <v>1.7453292519943295E-2</v>
          </cell>
        </row>
      </sheetData>
      <sheetData sheetId="4902">
        <row r="1">
          <cell r="J1">
            <v>1.7453292519943295E-2</v>
          </cell>
        </row>
      </sheetData>
      <sheetData sheetId="4903">
        <row r="1">
          <cell r="J1">
            <v>1.7453292519943295E-2</v>
          </cell>
        </row>
      </sheetData>
      <sheetData sheetId="4904">
        <row r="1">
          <cell r="J1">
            <v>1.7453292519943295E-2</v>
          </cell>
        </row>
      </sheetData>
      <sheetData sheetId="4905">
        <row r="1">
          <cell r="J1">
            <v>1.7453292519943295E-2</v>
          </cell>
        </row>
      </sheetData>
      <sheetData sheetId="4906">
        <row r="1">
          <cell r="J1">
            <v>1.7453292519943295E-2</v>
          </cell>
        </row>
      </sheetData>
      <sheetData sheetId="4907">
        <row r="1">
          <cell r="J1">
            <v>1.7453292519943295E-2</v>
          </cell>
        </row>
      </sheetData>
      <sheetData sheetId="4908">
        <row r="1">
          <cell r="J1">
            <v>1.7453292519943295E-2</v>
          </cell>
        </row>
      </sheetData>
      <sheetData sheetId="4909">
        <row r="1">
          <cell r="J1">
            <v>1.7453292519943295E-2</v>
          </cell>
        </row>
      </sheetData>
      <sheetData sheetId="4910">
        <row r="1">
          <cell r="J1">
            <v>1.7453292519943295E-2</v>
          </cell>
        </row>
      </sheetData>
      <sheetData sheetId="4911">
        <row r="1">
          <cell r="J1">
            <v>1.7453292519943295E-2</v>
          </cell>
        </row>
      </sheetData>
      <sheetData sheetId="4912">
        <row r="1">
          <cell r="J1">
            <v>1.7453292519943295E-2</v>
          </cell>
        </row>
      </sheetData>
      <sheetData sheetId="4913">
        <row r="1">
          <cell r="J1">
            <v>1.7453292519943295E-2</v>
          </cell>
        </row>
      </sheetData>
      <sheetData sheetId="4914">
        <row r="1">
          <cell r="J1">
            <v>1.7453292519943295E-2</v>
          </cell>
        </row>
      </sheetData>
      <sheetData sheetId="4915">
        <row r="1">
          <cell r="J1">
            <v>1.7453292519943295E-2</v>
          </cell>
        </row>
      </sheetData>
      <sheetData sheetId="4916">
        <row r="1">
          <cell r="J1">
            <v>1.7453292519943295E-2</v>
          </cell>
        </row>
      </sheetData>
      <sheetData sheetId="4917">
        <row r="1">
          <cell r="J1">
            <v>1.7453292519943295E-2</v>
          </cell>
        </row>
      </sheetData>
      <sheetData sheetId="4918">
        <row r="1">
          <cell r="J1">
            <v>1.7453292519943295E-2</v>
          </cell>
        </row>
      </sheetData>
      <sheetData sheetId="4919">
        <row r="1">
          <cell r="J1">
            <v>1.7453292519943295E-2</v>
          </cell>
        </row>
      </sheetData>
      <sheetData sheetId="4920">
        <row r="1">
          <cell r="J1">
            <v>1.7453292519943295E-2</v>
          </cell>
        </row>
      </sheetData>
      <sheetData sheetId="4921">
        <row r="1">
          <cell r="J1">
            <v>1.7453292519943295E-2</v>
          </cell>
        </row>
      </sheetData>
      <sheetData sheetId="4922">
        <row r="1">
          <cell r="J1">
            <v>1.7453292519943295E-2</v>
          </cell>
        </row>
      </sheetData>
      <sheetData sheetId="4923">
        <row r="1">
          <cell r="J1">
            <v>1.7453292519943295E-2</v>
          </cell>
        </row>
      </sheetData>
      <sheetData sheetId="4924">
        <row r="1">
          <cell r="J1">
            <v>1.7453292519943295E-2</v>
          </cell>
        </row>
      </sheetData>
      <sheetData sheetId="4925">
        <row r="1">
          <cell r="J1">
            <v>1.7453292519943295E-2</v>
          </cell>
        </row>
      </sheetData>
      <sheetData sheetId="4926">
        <row r="1">
          <cell r="J1">
            <v>1.7453292519943295E-2</v>
          </cell>
        </row>
      </sheetData>
      <sheetData sheetId="4927">
        <row r="1">
          <cell r="J1">
            <v>1.7453292519943295E-2</v>
          </cell>
        </row>
      </sheetData>
      <sheetData sheetId="4928">
        <row r="1">
          <cell r="J1">
            <v>1.7453292519943295E-2</v>
          </cell>
        </row>
      </sheetData>
      <sheetData sheetId="4929">
        <row r="1">
          <cell r="J1">
            <v>1.7453292519943295E-2</v>
          </cell>
        </row>
      </sheetData>
      <sheetData sheetId="4930">
        <row r="1">
          <cell r="J1">
            <v>1.7453292519943295E-2</v>
          </cell>
        </row>
      </sheetData>
      <sheetData sheetId="4931">
        <row r="1">
          <cell r="J1">
            <v>1.7453292519943295E-2</v>
          </cell>
        </row>
      </sheetData>
      <sheetData sheetId="4932">
        <row r="1">
          <cell r="J1">
            <v>1.7453292519943295E-2</v>
          </cell>
        </row>
      </sheetData>
      <sheetData sheetId="4933">
        <row r="1">
          <cell r="J1">
            <v>1.7453292519943295E-2</v>
          </cell>
        </row>
      </sheetData>
      <sheetData sheetId="4934">
        <row r="1">
          <cell r="J1">
            <v>1.7453292519943295E-2</v>
          </cell>
        </row>
      </sheetData>
      <sheetData sheetId="4935">
        <row r="1">
          <cell r="J1">
            <v>1.7453292519943295E-2</v>
          </cell>
        </row>
      </sheetData>
      <sheetData sheetId="4936">
        <row r="1">
          <cell r="J1">
            <v>1.7453292519943295E-2</v>
          </cell>
        </row>
      </sheetData>
      <sheetData sheetId="4937">
        <row r="1">
          <cell r="J1">
            <v>1.7453292519943295E-2</v>
          </cell>
        </row>
      </sheetData>
      <sheetData sheetId="4938">
        <row r="1">
          <cell r="J1">
            <v>1.7453292519943295E-2</v>
          </cell>
        </row>
      </sheetData>
      <sheetData sheetId="4939">
        <row r="1">
          <cell r="J1">
            <v>1.7453292519943295E-2</v>
          </cell>
        </row>
      </sheetData>
      <sheetData sheetId="4940">
        <row r="1">
          <cell r="J1">
            <v>1.7453292519943295E-2</v>
          </cell>
        </row>
      </sheetData>
      <sheetData sheetId="4941">
        <row r="1">
          <cell r="J1">
            <v>1.7453292519943295E-2</v>
          </cell>
        </row>
      </sheetData>
      <sheetData sheetId="4942">
        <row r="1">
          <cell r="J1">
            <v>1.7453292519943295E-2</v>
          </cell>
        </row>
      </sheetData>
      <sheetData sheetId="4943">
        <row r="1">
          <cell r="J1">
            <v>1.7453292519943295E-2</v>
          </cell>
        </row>
      </sheetData>
      <sheetData sheetId="4944">
        <row r="1">
          <cell r="J1">
            <v>1.7453292519943295E-2</v>
          </cell>
        </row>
      </sheetData>
      <sheetData sheetId="4945">
        <row r="1">
          <cell r="J1">
            <v>1.7453292519943295E-2</v>
          </cell>
        </row>
      </sheetData>
      <sheetData sheetId="4946">
        <row r="1">
          <cell r="J1">
            <v>1.7453292519943295E-2</v>
          </cell>
        </row>
      </sheetData>
      <sheetData sheetId="4947">
        <row r="1">
          <cell r="J1">
            <v>1.7453292519943295E-2</v>
          </cell>
        </row>
      </sheetData>
      <sheetData sheetId="4948">
        <row r="1">
          <cell r="J1">
            <v>1.7453292519943295E-2</v>
          </cell>
        </row>
      </sheetData>
      <sheetData sheetId="4949">
        <row r="1">
          <cell r="J1">
            <v>1.7453292519943295E-2</v>
          </cell>
        </row>
      </sheetData>
      <sheetData sheetId="4950">
        <row r="1">
          <cell r="J1">
            <v>1.7453292519943295E-2</v>
          </cell>
        </row>
      </sheetData>
      <sheetData sheetId="4951">
        <row r="1">
          <cell r="J1">
            <v>1.7453292519943295E-2</v>
          </cell>
        </row>
      </sheetData>
      <sheetData sheetId="4952">
        <row r="1">
          <cell r="J1">
            <v>1.7453292519943295E-2</v>
          </cell>
        </row>
      </sheetData>
      <sheetData sheetId="4953">
        <row r="1">
          <cell r="J1">
            <v>1.7453292519943295E-2</v>
          </cell>
        </row>
      </sheetData>
      <sheetData sheetId="4954">
        <row r="1">
          <cell r="J1">
            <v>1.7453292519943295E-2</v>
          </cell>
        </row>
      </sheetData>
      <sheetData sheetId="4955">
        <row r="1">
          <cell r="J1">
            <v>1.7453292519943295E-2</v>
          </cell>
        </row>
      </sheetData>
      <sheetData sheetId="4956">
        <row r="1">
          <cell r="J1">
            <v>1.7453292519943295E-2</v>
          </cell>
        </row>
      </sheetData>
      <sheetData sheetId="4957">
        <row r="1">
          <cell r="J1">
            <v>1.7453292519943295E-2</v>
          </cell>
        </row>
      </sheetData>
      <sheetData sheetId="4958">
        <row r="1">
          <cell r="J1">
            <v>1.7453292519943295E-2</v>
          </cell>
        </row>
      </sheetData>
      <sheetData sheetId="4959">
        <row r="1">
          <cell r="J1">
            <v>1.7453292519943295E-2</v>
          </cell>
        </row>
      </sheetData>
      <sheetData sheetId="4960">
        <row r="1">
          <cell r="J1">
            <v>1.7453292519943295E-2</v>
          </cell>
        </row>
      </sheetData>
      <sheetData sheetId="4961">
        <row r="1">
          <cell r="J1">
            <v>1.7453292519943295E-2</v>
          </cell>
        </row>
      </sheetData>
      <sheetData sheetId="4962">
        <row r="1">
          <cell r="J1">
            <v>1.7453292519943295E-2</v>
          </cell>
        </row>
      </sheetData>
      <sheetData sheetId="4963">
        <row r="1">
          <cell r="J1">
            <v>1.7453292519943295E-2</v>
          </cell>
        </row>
      </sheetData>
      <sheetData sheetId="4964">
        <row r="1">
          <cell r="J1">
            <v>1.7453292519943295E-2</v>
          </cell>
        </row>
      </sheetData>
      <sheetData sheetId="4965">
        <row r="1">
          <cell r="J1">
            <v>1.7453292519943295E-2</v>
          </cell>
        </row>
      </sheetData>
      <sheetData sheetId="4966">
        <row r="1">
          <cell r="J1">
            <v>1.7453292519943295E-2</v>
          </cell>
        </row>
      </sheetData>
      <sheetData sheetId="4967">
        <row r="1">
          <cell r="J1">
            <v>1.7453292519943295E-2</v>
          </cell>
        </row>
      </sheetData>
      <sheetData sheetId="4968">
        <row r="1">
          <cell r="J1">
            <v>1.7453292519943295E-2</v>
          </cell>
        </row>
      </sheetData>
      <sheetData sheetId="4969">
        <row r="1">
          <cell r="J1">
            <v>1.7453292519943295E-2</v>
          </cell>
        </row>
      </sheetData>
      <sheetData sheetId="4970">
        <row r="1">
          <cell r="J1">
            <v>1.7453292519943295E-2</v>
          </cell>
        </row>
      </sheetData>
      <sheetData sheetId="4971">
        <row r="1">
          <cell r="J1">
            <v>1.7453292519943295E-2</v>
          </cell>
        </row>
      </sheetData>
      <sheetData sheetId="4972">
        <row r="1">
          <cell r="J1">
            <v>1.7453292519943295E-2</v>
          </cell>
        </row>
      </sheetData>
      <sheetData sheetId="4973">
        <row r="1">
          <cell r="J1">
            <v>1.7453292519943295E-2</v>
          </cell>
        </row>
      </sheetData>
      <sheetData sheetId="4974">
        <row r="1">
          <cell r="J1">
            <v>1.7453292519943295E-2</v>
          </cell>
        </row>
      </sheetData>
      <sheetData sheetId="4975">
        <row r="1">
          <cell r="J1">
            <v>1.7453292519943295E-2</v>
          </cell>
        </row>
      </sheetData>
      <sheetData sheetId="4976">
        <row r="1">
          <cell r="J1">
            <v>1.7453292519943295E-2</v>
          </cell>
        </row>
      </sheetData>
      <sheetData sheetId="4977">
        <row r="1">
          <cell r="J1">
            <v>1.7453292519943295E-2</v>
          </cell>
        </row>
      </sheetData>
      <sheetData sheetId="4978">
        <row r="1">
          <cell r="J1">
            <v>1.7453292519943295E-2</v>
          </cell>
        </row>
      </sheetData>
      <sheetData sheetId="4979">
        <row r="1">
          <cell r="J1">
            <v>1.7453292519943295E-2</v>
          </cell>
        </row>
      </sheetData>
      <sheetData sheetId="4980">
        <row r="1">
          <cell r="J1">
            <v>1.7453292519943295E-2</v>
          </cell>
        </row>
      </sheetData>
      <sheetData sheetId="4981">
        <row r="1">
          <cell r="J1">
            <v>1.7453292519943295E-2</v>
          </cell>
        </row>
      </sheetData>
      <sheetData sheetId="4982">
        <row r="1">
          <cell r="J1">
            <v>1.7453292519943295E-2</v>
          </cell>
        </row>
      </sheetData>
      <sheetData sheetId="4983">
        <row r="1">
          <cell r="J1">
            <v>1.7453292519943295E-2</v>
          </cell>
        </row>
      </sheetData>
      <sheetData sheetId="4984">
        <row r="1">
          <cell r="J1">
            <v>1.7453292519943295E-2</v>
          </cell>
        </row>
      </sheetData>
      <sheetData sheetId="4985">
        <row r="1">
          <cell r="J1">
            <v>1.7453292519943295E-2</v>
          </cell>
        </row>
      </sheetData>
      <sheetData sheetId="4986">
        <row r="1">
          <cell r="J1">
            <v>1.7453292519943295E-2</v>
          </cell>
        </row>
      </sheetData>
      <sheetData sheetId="4987">
        <row r="1">
          <cell r="J1">
            <v>1.7453292519943295E-2</v>
          </cell>
        </row>
      </sheetData>
      <sheetData sheetId="4988">
        <row r="1">
          <cell r="J1">
            <v>1.7453292519943295E-2</v>
          </cell>
        </row>
      </sheetData>
      <sheetData sheetId="4989">
        <row r="1">
          <cell r="J1">
            <v>1.7453292519943295E-2</v>
          </cell>
        </row>
      </sheetData>
      <sheetData sheetId="4990">
        <row r="1">
          <cell r="J1">
            <v>1.7453292519943295E-2</v>
          </cell>
        </row>
      </sheetData>
      <sheetData sheetId="4991">
        <row r="1">
          <cell r="J1">
            <v>1.7453292519943295E-2</v>
          </cell>
        </row>
      </sheetData>
      <sheetData sheetId="4992">
        <row r="1">
          <cell r="J1">
            <v>1.7453292519943295E-2</v>
          </cell>
        </row>
      </sheetData>
      <sheetData sheetId="4993">
        <row r="1">
          <cell r="J1">
            <v>1.7453292519943295E-2</v>
          </cell>
        </row>
      </sheetData>
      <sheetData sheetId="4994">
        <row r="1">
          <cell r="J1">
            <v>1.7453292519943295E-2</v>
          </cell>
        </row>
      </sheetData>
      <sheetData sheetId="4995">
        <row r="1">
          <cell r="J1">
            <v>1.7453292519943295E-2</v>
          </cell>
        </row>
      </sheetData>
      <sheetData sheetId="4996">
        <row r="1">
          <cell r="J1">
            <v>1.7453292519943295E-2</v>
          </cell>
        </row>
      </sheetData>
      <sheetData sheetId="4997">
        <row r="1">
          <cell r="J1">
            <v>1.7453292519943295E-2</v>
          </cell>
        </row>
      </sheetData>
      <sheetData sheetId="4998">
        <row r="1">
          <cell r="J1">
            <v>1.7453292519943295E-2</v>
          </cell>
        </row>
      </sheetData>
      <sheetData sheetId="4999">
        <row r="1">
          <cell r="J1">
            <v>1.7453292519943295E-2</v>
          </cell>
        </row>
      </sheetData>
      <sheetData sheetId="5000">
        <row r="1">
          <cell r="J1">
            <v>1.7453292519943295E-2</v>
          </cell>
        </row>
      </sheetData>
      <sheetData sheetId="5001">
        <row r="2">
          <cell r="B2">
            <v>1</v>
          </cell>
        </row>
      </sheetData>
      <sheetData sheetId="5002">
        <row r="2">
          <cell r="B2">
            <v>1</v>
          </cell>
        </row>
      </sheetData>
      <sheetData sheetId="5003">
        <row r="2">
          <cell r="B2">
            <v>1</v>
          </cell>
        </row>
      </sheetData>
      <sheetData sheetId="5004">
        <row r="2">
          <cell r="B2">
            <v>1</v>
          </cell>
        </row>
      </sheetData>
      <sheetData sheetId="5005">
        <row r="2">
          <cell r="B2">
            <v>1</v>
          </cell>
        </row>
      </sheetData>
      <sheetData sheetId="5006">
        <row r="2">
          <cell r="B2">
            <v>1</v>
          </cell>
        </row>
      </sheetData>
      <sheetData sheetId="5007">
        <row r="2">
          <cell r="B2">
            <v>1</v>
          </cell>
        </row>
      </sheetData>
      <sheetData sheetId="5008">
        <row r="2">
          <cell r="B2">
            <v>1</v>
          </cell>
        </row>
      </sheetData>
      <sheetData sheetId="5009">
        <row r="2">
          <cell r="B2">
            <v>1</v>
          </cell>
        </row>
      </sheetData>
      <sheetData sheetId="5010">
        <row r="2">
          <cell r="B2">
            <v>1</v>
          </cell>
        </row>
      </sheetData>
      <sheetData sheetId="5011">
        <row r="2">
          <cell r="B2">
            <v>1</v>
          </cell>
        </row>
      </sheetData>
      <sheetData sheetId="5012">
        <row r="2">
          <cell r="B2">
            <v>1</v>
          </cell>
        </row>
      </sheetData>
      <sheetData sheetId="5013">
        <row r="2">
          <cell r="B2">
            <v>1</v>
          </cell>
        </row>
      </sheetData>
      <sheetData sheetId="5014">
        <row r="2">
          <cell r="B2">
            <v>1</v>
          </cell>
        </row>
      </sheetData>
      <sheetData sheetId="5015">
        <row r="2">
          <cell r="B2">
            <v>1</v>
          </cell>
        </row>
      </sheetData>
      <sheetData sheetId="5016">
        <row r="2">
          <cell r="B2">
            <v>1</v>
          </cell>
        </row>
      </sheetData>
      <sheetData sheetId="5017">
        <row r="2">
          <cell r="B2">
            <v>1</v>
          </cell>
        </row>
      </sheetData>
      <sheetData sheetId="5018">
        <row r="2">
          <cell r="B2">
            <v>1</v>
          </cell>
        </row>
      </sheetData>
      <sheetData sheetId="5019">
        <row r="2">
          <cell r="B2">
            <v>1</v>
          </cell>
        </row>
      </sheetData>
      <sheetData sheetId="5020">
        <row r="2">
          <cell r="B2">
            <v>1</v>
          </cell>
        </row>
      </sheetData>
      <sheetData sheetId="5021">
        <row r="2">
          <cell r="B2">
            <v>1</v>
          </cell>
        </row>
      </sheetData>
      <sheetData sheetId="5022">
        <row r="2">
          <cell r="B2">
            <v>1</v>
          </cell>
        </row>
      </sheetData>
      <sheetData sheetId="5023">
        <row r="2">
          <cell r="B2">
            <v>1</v>
          </cell>
        </row>
      </sheetData>
      <sheetData sheetId="5024">
        <row r="2">
          <cell r="B2">
            <v>1</v>
          </cell>
        </row>
      </sheetData>
      <sheetData sheetId="5025">
        <row r="2">
          <cell r="B2">
            <v>1</v>
          </cell>
        </row>
      </sheetData>
      <sheetData sheetId="5026">
        <row r="2">
          <cell r="B2">
            <v>1</v>
          </cell>
        </row>
      </sheetData>
      <sheetData sheetId="5027">
        <row r="2">
          <cell r="B2">
            <v>1</v>
          </cell>
        </row>
      </sheetData>
      <sheetData sheetId="5028">
        <row r="2">
          <cell r="B2">
            <v>1</v>
          </cell>
        </row>
      </sheetData>
      <sheetData sheetId="5029">
        <row r="2">
          <cell r="B2">
            <v>1</v>
          </cell>
        </row>
      </sheetData>
      <sheetData sheetId="5030">
        <row r="2">
          <cell r="B2">
            <v>1</v>
          </cell>
        </row>
      </sheetData>
      <sheetData sheetId="5031">
        <row r="2">
          <cell r="B2">
            <v>1</v>
          </cell>
        </row>
      </sheetData>
      <sheetData sheetId="5032">
        <row r="2">
          <cell r="B2">
            <v>1</v>
          </cell>
        </row>
      </sheetData>
      <sheetData sheetId="5033">
        <row r="2">
          <cell r="B2">
            <v>1</v>
          </cell>
        </row>
      </sheetData>
      <sheetData sheetId="5034">
        <row r="2">
          <cell r="B2">
            <v>1</v>
          </cell>
        </row>
      </sheetData>
      <sheetData sheetId="5035">
        <row r="2">
          <cell r="B2">
            <v>1</v>
          </cell>
        </row>
      </sheetData>
      <sheetData sheetId="5036">
        <row r="2">
          <cell r="B2">
            <v>1</v>
          </cell>
        </row>
      </sheetData>
      <sheetData sheetId="5037">
        <row r="2">
          <cell r="B2">
            <v>1</v>
          </cell>
        </row>
      </sheetData>
      <sheetData sheetId="5038">
        <row r="2">
          <cell r="B2">
            <v>1</v>
          </cell>
        </row>
      </sheetData>
      <sheetData sheetId="5039">
        <row r="2">
          <cell r="B2">
            <v>1</v>
          </cell>
        </row>
      </sheetData>
      <sheetData sheetId="5040">
        <row r="2">
          <cell r="B2">
            <v>1</v>
          </cell>
        </row>
      </sheetData>
      <sheetData sheetId="5041">
        <row r="2">
          <cell r="B2">
            <v>1</v>
          </cell>
        </row>
      </sheetData>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ow r="1">
          <cell r="J1">
            <v>1.7453292519943295E-2</v>
          </cell>
        </row>
      </sheetData>
      <sheetData sheetId="5118">
        <row r="1">
          <cell r="J1">
            <v>1.7453292519943295E-2</v>
          </cell>
        </row>
      </sheetData>
      <sheetData sheetId="5119">
        <row r="1">
          <cell r="J1">
            <v>1.7453292519943295E-2</v>
          </cell>
        </row>
      </sheetData>
      <sheetData sheetId="5120">
        <row r="1">
          <cell r="J1">
            <v>1.7453292519943295E-2</v>
          </cell>
        </row>
      </sheetData>
      <sheetData sheetId="5121">
        <row r="1">
          <cell r="J1">
            <v>1.7453292519943295E-2</v>
          </cell>
        </row>
      </sheetData>
      <sheetData sheetId="5122">
        <row r="1">
          <cell r="J1">
            <v>1.7453292519943295E-2</v>
          </cell>
        </row>
      </sheetData>
      <sheetData sheetId="5123">
        <row r="1">
          <cell r="J1">
            <v>1.7453292519943295E-2</v>
          </cell>
        </row>
      </sheetData>
      <sheetData sheetId="5124">
        <row r="1">
          <cell r="J1">
            <v>1.7453292519943295E-2</v>
          </cell>
        </row>
      </sheetData>
      <sheetData sheetId="5125">
        <row r="1">
          <cell r="J1">
            <v>1.7453292519943295E-2</v>
          </cell>
        </row>
      </sheetData>
      <sheetData sheetId="5126">
        <row r="1">
          <cell r="J1">
            <v>1.7453292519943295E-2</v>
          </cell>
        </row>
      </sheetData>
      <sheetData sheetId="5127">
        <row r="1">
          <cell r="J1">
            <v>1.7453292519943295E-2</v>
          </cell>
        </row>
      </sheetData>
      <sheetData sheetId="5128">
        <row r="1">
          <cell r="J1">
            <v>1.7453292519943295E-2</v>
          </cell>
        </row>
      </sheetData>
      <sheetData sheetId="5129">
        <row r="1">
          <cell r="J1">
            <v>1.7453292519943295E-2</v>
          </cell>
        </row>
      </sheetData>
      <sheetData sheetId="5130">
        <row r="1">
          <cell r="J1">
            <v>1.7453292519943295E-2</v>
          </cell>
        </row>
      </sheetData>
      <sheetData sheetId="5131">
        <row r="1">
          <cell r="J1">
            <v>1.7453292519943295E-2</v>
          </cell>
        </row>
      </sheetData>
      <sheetData sheetId="5132">
        <row r="1">
          <cell r="J1">
            <v>1.7453292519943295E-2</v>
          </cell>
        </row>
      </sheetData>
      <sheetData sheetId="5133">
        <row r="1">
          <cell r="J1">
            <v>1.7453292519943295E-2</v>
          </cell>
        </row>
      </sheetData>
      <sheetData sheetId="5134">
        <row r="1">
          <cell r="J1">
            <v>1.7453292519943295E-2</v>
          </cell>
        </row>
      </sheetData>
      <sheetData sheetId="5135">
        <row r="1">
          <cell r="J1">
            <v>1.7453292519943295E-2</v>
          </cell>
        </row>
      </sheetData>
      <sheetData sheetId="5136">
        <row r="1">
          <cell r="J1">
            <v>1.7453292519943295E-2</v>
          </cell>
        </row>
      </sheetData>
      <sheetData sheetId="5137">
        <row r="1">
          <cell r="J1">
            <v>1.7453292519943295E-2</v>
          </cell>
        </row>
      </sheetData>
      <sheetData sheetId="5138">
        <row r="1">
          <cell r="J1">
            <v>1.7453292519943295E-2</v>
          </cell>
        </row>
      </sheetData>
      <sheetData sheetId="5139">
        <row r="1">
          <cell r="J1">
            <v>1.7453292519943295E-2</v>
          </cell>
        </row>
      </sheetData>
      <sheetData sheetId="5140">
        <row r="1">
          <cell r="J1">
            <v>1.7453292519943295E-2</v>
          </cell>
        </row>
      </sheetData>
      <sheetData sheetId="5141">
        <row r="1">
          <cell r="J1">
            <v>1.7453292519943295E-2</v>
          </cell>
        </row>
      </sheetData>
      <sheetData sheetId="5142">
        <row r="1">
          <cell r="J1">
            <v>1.7453292519943295E-2</v>
          </cell>
        </row>
      </sheetData>
      <sheetData sheetId="5143">
        <row r="1">
          <cell r="J1">
            <v>1.7453292519943295E-2</v>
          </cell>
        </row>
      </sheetData>
      <sheetData sheetId="5144">
        <row r="1">
          <cell r="J1">
            <v>1.7453292519943295E-2</v>
          </cell>
        </row>
      </sheetData>
      <sheetData sheetId="5145">
        <row r="1">
          <cell r="J1">
            <v>1.7453292519943295E-2</v>
          </cell>
        </row>
      </sheetData>
      <sheetData sheetId="5146">
        <row r="1">
          <cell r="J1">
            <v>1.7453292519943295E-2</v>
          </cell>
        </row>
      </sheetData>
      <sheetData sheetId="5147">
        <row r="1">
          <cell r="J1">
            <v>1.7453292519943295E-2</v>
          </cell>
        </row>
      </sheetData>
      <sheetData sheetId="5148">
        <row r="1">
          <cell r="J1">
            <v>1.7453292519943295E-2</v>
          </cell>
        </row>
      </sheetData>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row r="1">
          <cell r="J1">
            <v>1.7453292519943295E-2</v>
          </cell>
        </row>
      </sheetData>
      <sheetData sheetId="5170">
        <row r="1">
          <cell r="J1">
            <v>1.7453292519943295E-2</v>
          </cell>
        </row>
      </sheetData>
      <sheetData sheetId="5171">
        <row r="1">
          <cell r="J1">
            <v>1.7453292519943295E-2</v>
          </cell>
        </row>
      </sheetData>
      <sheetData sheetId="5172">
        <row r="1">
          <cell r="J1">
            <v>1.7453292519943295E-2</v>
          </cell>
        </row>
      </sheetData>
      <sheetData sheetId="5173" refreshError="1"/>
      <sheetData sheetId="5174" refreshError="1"/>
      <sheetData sheetId="5175" refreshError="1"/>
      <sheetData sheetId="5176">
        <row r="1">
          <cell r="J1">
            <v>1.7453292519943295E-2</v>
          </cell>
        </row>
      </sheetData>
      <sheetData sheetId="5177">
        <row r="1">
          <cell r="J1">
            <v>1.7453292519943295E-2</v>
          </cell>
        </row>
      </sheetData>
      <sheetData sheetId="5178">
        <row r="1">
          <cell r="J1">
            <v>1.7453292519943295E-2</v>
          </cell>
        </row>
      </sheetData>
      <sheetData sheetId="5179" refreshError="1"/>
      <sheetData sheetId="5180" refreshError="1"/>
      <sheetData sheetId="5181" refreshError="1"/>
      <sheetData sheetId="5182">
        <row r="1">
          <cell r="J1">
            <v>1.7453292519943295E-2</v>
          </cell>
        </row>
      </sheetData>
      <sheetData sheetId="5183" refreshError="1"/>
      <sheetData sheetId="5184">
        <row r="1">
          <cell r="J1">
            <v>1.7453292519943295E-2</v>
          </cell>
        </row>
      </sheetData>
      <sheetData sheetId="5185" refreshError="1"/>
      <sheetData sheetId="5186">
        <row r="1">
          <cell r="J1">
            <v>1.7453292519943295E-2</v>
          </cell>
        </row>
      </sheetData>
      <sheetData sheetId="5187">
        <row r="1">
          <cell r="J1">
            <v>1.7453292519943295E-2</v>
          </cell>
        </row>
      </sheetData>
      <sheetData sheetId="5188" refreshError="1"/>
      <sheetData sheetId="5189" refreshError="1"/>
      <sheetData sheetId="5190" refreshError="1"/>
      <sheetData sheetId="5191" refreshError="1"/>
      <sheetData sheetId="5192" refreshError="1"/>
      <sheetData sheetId="5193">
        <row r="1">
          <cell r="J1">
            <v>1.7453292519943295E-2</v>
          </cell>
        </row>
      </sheetData>
      <sheetData sheetId="5194" refreshError="1"/>
      <sheetData sheetId="5195" refreshError="1"/>
      <sheetData sheetId="5196" refreshError="1"/>
      <sheetData sheetId="5197">
        <row r="1">
          <cell r="J1">
            <v>1.7453292519943295E-2</v>
          </cell>
        </row>
      </sheetData>
      <sheetData sheetId="5198" refreshError="1"/>
      <sheetData sheetId="5199" refreshError="1"/>
      <sheetData sheetId="5200" refreshError="1"/>
      <sheetData sheetId="5201" refreshError="1"/>
      <sheetData sheetId="5202" refreshError="1"/>
      <sheetData sheetId="5203" refreshError="1"/>
      <sheetData sheetId="5204">
        <row r="1">
          <cell r="J1">
            <v>1.7453292519943295E-2</v>
          </cell>
        </row>
      </sheetData>
      <sheetData sheetId="5205">
        <row r="1">
          <cell r="J1">
            <v>1.7453292519943295E-2</v>
          </cell>
        </row>
      </sheetData>
      <sheetData sheetId="5206">
        <row r="1">
          <cell r="J1">
            <v>1.7453292519943295E-2</v>
          </cell>
        </row>
      </sheetData>
      <sheetData sheetId="5207">
        <row r="1">
          <cell r="J1">
            <v>1.7453292519943295E-2</v>
          </cell>
        </row>
      </sheetData>
      <sheetData sheetId="5208">
        <row r="1">
          <cell r="J1">
            <v>1.7453292519943295E-2</v>
          </cell>
        </row>
      </sheetData>
      <sheetData sheetId="5209">
        <row r="1">
          <cell r="J1">
            <v>1.7453292519943295E-2</v>
          </cell>
        </row>
      </sheetData>
      <sheetData sheetId="5210">
        <row r="1">
          <cell r="J1">
            <v>1.7453292519943295E-2</v>
          </cell>
        </row>
      </sheetData>
      <sheetData sheetId="5211">
        <row r="1">
          <cell r="J1">
            <v>1.7453292519943295E-2</v>
          </cell>
        </row>
      </sheetData>
      <sheetData sheetId="5212">
        <row r="1">
          <cell r="J1">
            <v>1.7453292519943295E-2</v>
          </cell>
        </row>
      </sheetData>
      <sheetData sheetId="5213">
        <row r="1">
          <cell r="J1">
            <v>1.7453292519943295E-2</v>
          </cell>
        </row>
      </sheetData>
      <sheetData sheetId="5214">
        <row r="1">
          <cell r="J1">
            <v>1.7453292519943295E-2</v>
          </cell>
        </row>
      </sheetData>
      <sheetData sheetId="5215">
        <row r="1">
          <cell r="J1">
            <v>1.7453292519943295E-2</v>
          </cell>
        </row>
      </sheetData>
      <sheetData sheetId="5216">
        <row r="1">
          <cell r="J1">
            <v>1.7453292519943295E-2</v>
          </cell>
        </row>
      </sheetData>
      <sheetData sheetId="5217">
        <row r="1">
          <cell r="J1">
            <v>1.7453292519943295E-2</v>
          </cell>
        </row>
      </sheetData>
      <sheetData sheetId="5218">
        <row r="1">
          <cell r="J1">
            <v>1.7453292519943295E-2</v>
          </cell>
        </row>
      </sheetData>
      <sheetData sheetId="5219">
        <row r="1">
          <cell r="J1">
            <v>1.7453292519943295E-2</v>
          </cell>
        </row>
      </sheetData>
      <sheetData sheetId="5220">
        <row r="1">
          <cell r="J1">
            <v>1.7453292519943295E-2</v>
          </cell>
        </row>
      </sheetData>
      <sheetData sheetId="5221">
        <row r="1">
          <cell r="J1">
            <v>1.7453292519943295E-2</v>
          </cell>
        </row>
      </sheetData>
      <sheetData sheetId="5222">
        <row r="1">
          <cell r="J1">
            <v>1.7453292519943295E-2</v>
          </cell>
        </row>
      </sheetData>
      <sheetData sheetId="5223" refreshError="1"/>
      <sheetData sheetId="5224" refreshError="1"/>
      <sheetData sheetId="5225" refreshError="1"/>
      <sheetData sheetId="5226">
        <row r="1">
          <cell r="J1">
            <v>1.7453292519943295E-2</v>
          </cell>
        </row>
      </sheetData>
      <sheetData sheetId="5227">
        <row r="1">
          <cell r="J1">
            <v>1.7453292519943295E-2</v>
          </cell>
        </row>
      </sheetData>
      <sheetData sheetId="5228">
        <row r="1">
          <cell r="J1">
            <v>1.7453292519943295E-2</v>
          </cell>
        </row>
      </sheetData>
      <sheetData sheetId="5229">
        <row r="1">
          <cell r="J1">
            <v>1.7453292519943295E-2</v>
          </cell>
        </row>
      </sheetData>
      <sheetData sheetId="5230" refreshError="1"/>
      <sheetData sheetId="5231" refreshError="1"/>
      <sheetData sheetId="5232" refreshError="1"/>
      <sheetData sheetId="5233" refreshError="1"/>
      <sheetData sheetId="5234" refreshError="1"/>
      <sheetData sheetId="5235">
        <row r="1">
          <cell r="J1">
            <v>1.7453292519943295E-2</v>
          </cell>
        </row>
      </sheetData>
      <sheetData sheetId="5236">
        <row r="1">
          <cell r="J1">
            <v>1.7453292519943295E-2</v>
          </cell>
        </row>
      </sheetData>
      <sheetData sheetId="5237">
        <row r="1">
          <cell r="J1">
            <v>1.7453292519943295E-2</v>
          </cell>
        </row>
      </sheetData>
      <sheetData sheetId="5238">
        <row r="1">
          <cell r="J1">
            <v>1.7453292519943295E-2</v>
          </cell>
        </row>
      </sheetData>
      <sheetData sheetId="5239">
        <row r="1">
          <cell r="J1">
            <v>1.7453292519943295E-2</v>
          </cell>
        </row>
      </sheetData>
      <sheetData sheetId="5240">
        <row r="1">
          <cell r="J1">
            <v>1.7453292519943295E-2</v>
          </cell>
        </row>
      </sheetData>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ow r="1">
          <cell r="J1">
            <v>1.7453292519943295E-2</v>
          </cell>
        </row>
      </sheetData>
      <sheetData sheetId="5286" refreshError="1"/>
      <sheetData sheetId="5287" refreshError="1"/>
      <sheetData sheetId="5288" refreshError="1"/>
      <sheetData sheetId="5289">
        <row r="1">
          <cell r="J1">
            <v>1.7453292519943295E-2</v>
          </cell>
        </row>
      </sheetData>
      <sheetData sheetId="5290">
        <row r="1">
          <cell r="J1">
            <v>1.7453292519943295E-2</v>
          </cell>
        </row>
      </sheetData>
      <sheetData sheetId="5291" refreshError="1"/>
      <sheetData sheetId="5292" refreshError="1"/>
      <sheetData sheetId="5293" refreshError="1"/>
      <sheetData sheetId="5294" refreshError="1"/>
      <sheetData sheetId="5295" refreshError="1"/>
      <sheetData sheetId="5296">
        <row r="1">
          <cell r="J1">
            <v>1.7453292519943295E-2</v>
          </cell>
        </row>
      </sheetData>
      <sheetData sheetId="5297">
        <row r="1">
          <cell r="J1">
            <v>1.7453292519943295E-2</v>
          </cell>
        </row>
      </sheetData>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ow r="1">
          <cell r="J1">
            <v>1.7453292519943295E-2</v>
          </cell>
        </row>
      </sheetData>
      <sheetData sheetId="5310" refreshError="1"/>
      <sheetData sheetId="5311" refreshError="1"/>
      <sheetData sheetId="5312" refreshError="1"/>
      <sheetData sheetId="5313" refreshError="1"/>
      <sheetData sheetId="5314">
        <row r="1">
          <cell r="J1">
            <v>1.7453292519943295E-2</v>
          </cell>
        </row>
      </sheetData>
      <sheetData sheetId="5315" refreshError="1"/>
      <sheetData sheetId="5316" refreshError="1"/>
      <sheetData sheetId="5317" refreshError="1"/>
      <sheetData sheetId="5318" refreshError="1"/>
      <sheetData sheetId="5319">
        <row r="1">
          <cell r="J1">
            <v>1.7453292519943295E-2</v>
          </cell>
        </row>
      </sheetData>
      <sheetData sheetId="5320" refreshError="1"/>
      <sheetData sheetId="5321" refreshError="1"/>
      <sheetData sheetId="5322" refreshError="1"/>
      <sheetData sheetId="5323">
        <row r="1">
          <cell r="J1">
            <v>1.7453292519943295E-2</v>
          </cell>
        </row>
      </sheetData>
      <sheetData sheetId="5324" refreshError="1"/>
      <sheetData sheetId="5325" refreshError="1"/>
      <sheetData sheetId="5326" refreshError="1"/>
      <sheetData sheetId="5327" refreshError="1"/>
      <sheetData sheetId="5328" refreshError="1"/>
      <sheetData sheetId="5329" refreshError="1"/>
      <sheetData sheetId="5330">
        <row r="2">
          <cell r="B2">
            <v>1</v>
          </cell>
        </row>
      </sheetData>
      <sheetData sheetId="5331" refreshError="1"/>
      <sheetData sheetId="5332" refreshError="1"/>
      <sheetData sheetId="5333" refreshError="1"/>
      <sheetData sheetId="5334" refreshError="1"/>
      <sheetData sheetId="5335">
        <row r="2">
          <cell r="B2">
            <v>1</v>
          </cell>
        </row>
      </sheetData>
      <sheetData sheetId="5336" refreshError="1"/>
      <sheetData sheetId="5337" refreshError="1"/>
      <sheetData sheetId="5338" refreshError="1"/>
      <sheetData sheetId="5339" refreshError="1"/>
      <sheetData sheetId="5340">
        <row r="1">
          <cell r="J1">
            <v>1.7453292519943295E-2</v>
          </cell>
        </row>
      </sheetData>
      <sheetData sheetId="5341" refreshError="1"/>
      <sheetData sheetId="5342" refreshError="1"/>
      <sheetData sheetId="5343" refreshError="1"/>
      <sheetData sheetId="5344" refreshError="1"/>
      <sheetData sheetId="5345">
        <row r="1">
          <cell r="J1">
            <v>1.7453292519943295E-2</v>
          </cell>
        </row>
      </sheetData>
      <sheetData sheetId="5346" refreshError="1"/>
      <sheetData sheetId="5347" refreshError="1"/>
      <sheetData sheetId="5348" refreshError="1"/>
      <sheetData sheetId="5349">
        <row r="1">
          <cell r="J1">
            <v>1.7453292519943295E-2</v>
          </cell>
        </row>
      </sheetData>
      <sheetData sheetId="5350"/>
      <sheetData sheetId="5351" refreshError="1"/>
      <sheetData sheetId="5352" refreshError="1"/>
      <sheetData sheetId="5353" refreshError="1"/>
      <sheetData sheetId="5354" refreshError="1"/>
      <sheetData sheetId="5355">
        <row r="1">
          <cell r="J1">
            <v>1.7453292519943295E-2</v>
          </cell>
        </row>
      </sheetData>
      <sheetData sheetId="5356" refreshError="1"/>
      <sheetData sheetId="5357" refreshError="1"/>
      <sheetData sheetId="5358" refreshError="1"/>
      <sheetData sheetId="5359" refreshError="1"/>
      <sheetData sheetId="5360" refreshError="1"/>
      <sheetData sheetId="5361">
        <row r="1">
          <cell r="J1">
            <v>1.7453292519943295E-2</v>
          </cell>
        </row>
      </sheetData>
      <sheetData sheetId="5362">
        <row r="1">
          <cell r="J1">
            <v>1.7453292519943295E-2</v>
          </cell>
        </row>
      </sheetData>
      <sheetData sheetId="5363" refreshError="1"/>
      <sheetData sheetId="5364">
        <row r="1">
          <cell r="J1">
            <v>1.7453292519943295E-2</v>
          </cell>
        </row>
      </sheetData>
      <sheetData sheetId="5365">
        <row r="1">
          <cell r="J1">
            <v>1.7453292519943295E-2</v>
          </cell>
        </row>
      </sheetData>
      <sheetData sheetId="5366" refreshError="1"/>
      <sheetData sheetId="5367" refreshError="1"/>
      <sheetData sheetId="5368" refreshError="1"/>
      <sheetData sheetId="5369">
        <row r="1">
          <cell r="J1">
            <v>1.7453292519943295E-2</v>
          </cell>
        </row>
      </sheetData>
      <sheetData sheetId="5370">
        <row r="1">
          <cell r="J1">
            <v>1.7453292519943295E-2</v>
          </cell>
        </row>
      </sheetData>
      <sheetData sheetId="5371">
        <row r="1">
          <cell r="J1">
            <v>1.7453292519943295E-2</v>
          </cell>
        </row>
      </sheetData>
      <sheetData sheetId="5372">
        <row r="1">
          <cell r="J1">
            <v>1.7453292519943295E-2</v>
          </cell>
        </row>
      </sheetData>
      <sheetData sheetId="5373">
        <row r="1">
          <cell r="J1">
            <v>1.7453292519943295E-2</v>
          </cell>
        </row>
      </sheetData>
      <sheetData sheetId="5374">
        <row r="1">
          <cell r="J1">
            <v>1.7453292519943295E-2</v>
          </cell>
        </row>
      </sheetData>
      <sheetData sheetId="5375" refreshError="1"/>
      <sheetData sheetId="5376">
        <row r="1">
          <cell r="J1">
            <v>1.7453292519943295E-2</v>
          </cell>
        </row>
      </sheetData>
      <sheetData sheetId="5377">
        <row r="1">
          <cell r="J1">
            <v>1.7453292519943295E-2</v>
          </cell>
        </row>
      </sheetData>
      <sheetData sheetId="5378" refreshError="1"/>
      <sheetData sheetId="5379" refreshError="1"/>
      <sheetData sheetId="5380" refreshError="1"/>
      <sheetData sheetId="5381" refreshError="1"/>
      <sheetData sheetId="5382" refreshError="1"/>
      <sheetData sheetId="5383" refreshError="1"/>
      <sheetData sheetId="5384" refreshError="1"/>
      <sheetData sheetId="5385"/>
      <sheetData sheetId="5386" refreshError="1"/>
      <sheetData sheetId="5387" refreshError="1"/>
      <sheetData sheetId="5388" refreshError="1"/>
      <sheetData sheetId="5389" refreshError="1"/>
      <sheetData sheetId="5390">
        <row r="1">
          <cell r="J1">
            <v>1.7453292519943295E-2</v>
          </cell>
        </row>
      </sheetData>
      <sheetData sheetId="5391" refreshError="1"/>
      <sheetData sheetId="5392" refreshError="1"/>
      <sheetData sheetId="5393" refreshError="1"/>
      <sheetData sheetId="5394" refreshError="1"/>
      <sheetData sheetId="5395"/>
      <sheetData sheetId="5396"/>
      <sheetData sheetId="5397"/>
      <sheetData sheetId="5398"/>
      <sheetData sheetId="5399">
        <row r="1">
          <cell r="J1">
            <v>1.7453292519943295E-2</v>
          </cell>
        </row>
      </sheetData>
      <sheetData sheetId="5400">
        <row r="1">
          <cell r="J1">
            <v>1.7453292519943295E-2</v>
          </cell>
        </row>
      </sheetData>
      <sheetData sheetId="5401" refreshError="1"/>
      <sheetData sheetId="5402" refreshError="1"/>
      <sheetData sheetId="5403" refreshError="1"/>
      <sheetData sheetId="5404" refreshError="1"/>
      <sheetData sheetId="5405">
        <row r="1">
          <cell r="J1">
            <v>1.7453292519943295E-2</v>
          </cell>
        </row>
      </sheetData>
      <sheetData sheetId="5406" refreshError="1"/>
      <sheetData sheetId="5407" refreshError="1"/>
      <sheetData sheetId="5408" refreshError="1"/>
      <sheetData sheetId="5409" refreshError="1"/>
      <sheetData sheetId="5410"/>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ow r="1">
          <cell r="J1">
            <v>1.7453292519943295E-2</v>
          </cell>
        </row>
      </sheetData>
      <sheetData sheetId="5430">
        <row r="1">
          <cell r="J1">
            <v>1.7453292519943295E-2</v>
          </cell>
        </row>
      </sheetData>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ow r="1">
          <cell r="J1">
            <v>1.7453292519943295E-2</v>
          </cell>
        </row>
      </sheetData>
      <sheetData sheetId="5499" refreshError="1"/>
      <sheetData sheetId="5500" refreshError="1"/>
      <sheetData sheetId="5501" refreshError="1"/>
      <sheetData sheetId="5502" refreshError="1"/>
      <sheetData sheetId="5503">
        <row r="1">
          <cell r="J1">
            <v>1.7453292519943295E-2</v>
          </cell>
        </row>
      </sheetData>
      <sheetData sheetId="5504" refreshError="1"/>
      <sheetData sheetId="5505" refreshError="1"/>
      <sheetData sheetId="5506" refreshError="1"/>
      <sheetData sheetId="5507">
        <row r="1">
          <cell r="J1">
            <v>1.7453292519943295E-2</v>
          </cell>
        </row>
      </sheetData>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ow r="1">
          <cell r="J1">
            <v>1.7453292519943295E-2</v>
          </cell>
        </row>
      </sheetData>
      <sheetData sheetId="5524">
        <row r="1">
          <cell r="J1">
            <v>1.7453292519943295E-2</v>
          </cell>
        </row>
      </sheetData>
      <sheetData sheetId="5525">
        <row r="1">
          <cell r="J1">
            <v>1.7453292519943295E-2</v>
          </cell>
        </row>
      </sheetData>
      <sheetData sheetId="5526">
        <row r="1">
          <cell r="J1">
            <v>1.7453292519943295E-2</v>
          </cell>
        </row>
      </sheetData>
      <sheetData sheetId="5527" refreshError="1"/>
      <sheetData sheetId="5528">
        <row r="1">
          <cell r="J1">
            <v>1.7453292519943295E-2</v>
          </cell>
        </row>
      </sheetData>
      <sheetData sheetId="5529" refreshError="1"/>
      <sheetData sheetId="5530" refreshError="1"/>
      <sheetData sheetId="5531" refreshError="1"/>
      <sheetData sheetId="5532">
        <row r="1">
          <cell r="J1">
            <v>1.7453292519943295E-2</v>
          </cell>
        </row>
      </sheetData>
      <sheetData sheetId="5533">
        <row r="1">
          <cell r="J1">
            <v>1.7453292519943295E-2</v>
          </cell>
        </row>
      </sheetData>
      <sheetData sheetId="5534" refreshError="1"/>
      <sheetData sheetId="5535" refreshError="1"/>
      <sheetData sheetId="5536" refreshError="1"/>
      <sheetData sheetId="5537" refreshError="1"/>
      <sheetData sheetId="5538" refreshError="1"/>
      <sheetData sheetId="5539">
        <row r="1">
          <cell r="J1">
            <v>1.7453292519943295E-2</v>
          </cell>
        </row>
      </sheetData>
      <sheetData sheetId="5540" refreshError="1"/>
      <sheetData sheetId="5541" refreshError="1"/>
      <sheetData sheetId="5542" refreshError="1"/>
      <sheetData sheetId="5543" refreshError="1"/>
      <sheetData sheetId="5544" refreshError="1"/>
      <sheetData sheetId="5545">
        <row r="1">
          <cell r="J1">
            <v>1.7453292519943295E-2</v>
          </cell>
        </row>
      </sheetData>
      <sheetData sheetId="5546" refreshError="1"/>
      <sheetData sheetId="5547" refreshError="1"/>
      <sheetData sheetId="5548" refreshError="1"/>
      <sheetData sheetId="5549" refreshError="1"/>
      <sheetData sheetId="5550" refreshError="1"/>
      <sheetData sheetId="5551">
        <row r="1">
          <cell r="J1">
            <v>1.7453292519943295E-2</v>
          </cell>
        </row>
      </sheetData>
      <sheetData sheetId="5552">
        <row r="1">
          <cell r="J1">
            <v>1.7453292519943295E-2</v>
          </cell>
        </row>
      </sheetData>
      <sheetData sheetId="5553" refreshError="1"/>
      <sheetData sheetId="5554" refreshError="1"/>
      <sheetData sheetId="5555">
        <row r="1">
          <cell r="J1">
            <v>1.7453292519943295E-2</v>
          </cell>
        </row>
      </sheetData>
      <sheetData sheetId="5556" refreshError="1"/>
      <sheetData sheetId="5557" refreshError="1"/>
      <sheetData sheetId="5558" refreshError="1"/>
      <sheetData sheetId="5559">
        <row r="1">
          <cell r="J1">
            <v>1.7453292519943295E-2</v>
          </cell>
        </row>
      </sheetData>
      <sheetData sheetId="5560">
        <row r="1">
          <cell r="J1">
            <v>1.7453292519943295E-2</v>
          </cell>
        </row>
      </sheetData>
      <sheetData sheetId="5561" refreshError="1"/>
      <sheetData sheetId="5562" refreshError="1"/>
      <sheetData sheetId="5563">
        <row r="1">
          <cell r="J1">
            <v>1.7453292519943295E-2</v>
          </cell>
        </row>
      </sheetData>
      <sheetData sheetId="5564" refreshError="1"/>
      <sheetData sheetId="5565" refreshError="1"/>
      <sheetData sheetId="5566" refreshError="1"/>
      <sheetData sheetId="5567">
        <row r="1">
          <cell r="J1">
            <v>1.7453292519943295E-2</v>
          </cell>
        </row>
      </sheetData>
      <sheetData sheetId="5568" refreshError="1"/>
      <sheetData sheetId="5569" refreshError="1"/>
      <sheetData sheetId="5570">
        <row r="1">
          <cell r="J1">
            <v>1.7453292519943295E-2</v>
          </cell>
        </row>
      </sheetData>
      <sheetData sheetId="5571">
        <row r="1">
          <cell r="J1">
            <v>1.7453292519943295E-2</v>
          </cell>
        </row>
      </sheetData>
      <sheetData sheetId="5572" refreshError="1"/>
      <sheetData sheetId="5573" refreshError="1"/>
      <sheetData sheetId="5574" refreshError="1"/>
      <sheetData sheetId="5575">
        <row r="1">
          <cell r="J1">
            <v>1.7453292519943295E-2</v>
          </cell>
        </row>
      </sheetData>
      <sheetData sheetId="5576">
        <row r="1">
          <cell r="J1">
            <v>1.7453292519943295E-2</v>
          </cell>
        </row>
      </sheetData>
      <sheetData sheetId="5577" refreshError="1"/>
      <sheetData sheetId="5578" refreshError="1"/>
      <sheetData sheetId="5579">
        <row r="1">
          <cell r="J1">
            <v>1.7453292519943295E-2</v>
          </cell>
        </row>
      </sheetData>
      <sheetData sheetId="5580" refreshError="1"/>
      <sheetData sheetId="5581" refreshError="1"/>
      <sheetData sheetId="5582" refreshError="1"/>
      <sheetData sheetId="5583">
        <row r="1">
          <cell r="J1">
            <v>1.7453292519943295E-2</v>
          </cell>
        </row>
      </sheetData>
      <sheetData sheetId="5584" refreshError="1"/>
      <sheetData sheetId="5585" refreshError="1"/>
      <sheetData sheetId="5586">
        <row r="1">
          <cell r="J1">
            <v>1.7453292519943295E-2</v>
          </cell>
        </row>
      </sheetData>
      <sheetData sheetId="5587" refreshError="1"/>
      <sheetData sheetId="5588" refreshError="1"/>
      <sheetData sheetId="5589" refreshError="1"/>
      <sheetData sheetId="5590">
        <row r="1">
          <cell r="J1">
            <v>1.7453292519943295E-2</v>
          </cell>
        </row>
      </sheetData>
      <sheetData sheetId="5591">
        <row r="1">
          <cell r="J1">
            <v>1.7453292519943295E-2</v>
          </cell>
        </row>
      </sheetData>
      <sheetData sheetId="5592" refreshError="1"/>
      <sheetData sheetId="5593" refreshError="1"/>
      <sheetData sheetId="5594">
        <row r="1">
          <cell r="J1">
            <v>1.7453292519943295E-2</v>
          </cell>
        </row>
      </sheetData>
      <sheetData sheetId="5595">
        <row r="1">
          <cell r="J1">
            <v>1.7453292519943295E-2</v>
          </cell>
        </row>
      </sheetData>
      <sheetData sheetId="5596">
        <row r="1">
          <cell r="J1">
            <v>1.7453292519943295E-2</v>
          </cell>
        </row>
      </sheetData>
      <sheetData sheetId="5597" refreshError="1"/>
      <sheetData sheetId="5598" refreshError="1"/>
      <sheetData sheetId="5599" refreshError="1"/>
      <sheetData sheetId="5600">
        <row r="1">
          <cell r="J1">
            <v>1.7453292519943295E-2</v>
          </cell>
        </row>
      </sheetData>
      <sheetData sheetId="5601" refreshError="1"/>
      <sheetData sheetId="5602" refreshError="1"/>
      <sheetData sheetId="5603" refreshError="1"/>
      <sheetData sheetId="5604" refreshError="1"/>
      <sheetData sheetId="5605" refreshError="1"/>
      <sheetData sheetId="5606">
        <row r="1">
          <cell r="J1">
            <v>1.7453292519943295E-2</v>
          </cell>
        </row>
      </sheetData>
      <sheetData sheetId="5607">
        <row r="1">
          <cell r="J1">
            <v>1.7453292519943295E-2</v>
          </cell>
        </row>
      </sheetData>
      <sheetData sheetId="5608" refreshError="1"/>
      <sheetData sheetId="5609" refreshError="1"/>
      <sheetData sheetId="5610">
        <row r="1">
          <cell r="J1">
            <v>1.7453292519943295E-2</v>
          </cell>
        </row>
      </sheetData>
      <sheetData sheetId="5611" refreshError="1"/>
      <sheetData sheetId="5612" refreshError="1"/>
      <sheetData sheetId="5613" refreshError="1"/>
      <sheetData sheetId="5614">
        <row r="1">
          <cell r="J1">
            <v>1.7453292519943295E-2</v>
          </cell>
        </row>
      </sheetData>
      <sheetData sheetId="5615" refreshError="1"/>
      <sheetData sheetId="5616" refreshError="1"/>
      <sheetData sheetId="5617">
        <row r="1">
          <cell r="J1">
            <v>1.7453292519943295E-2</v>
          </cell>
        </row>
      </sheetData>
      <sheetData sheetId="5618" refreshError="1"/>
      <sheetData sheetId="5619" refreshError="1"/>
      <sheetData sheetId="5620" refreshError="1"/>
      <sheetData sheetId="5621">
        <row r="1">
          <cell r="J1">
            <v>1.7453292519943295E-2</v>
          </cell>
        </row>
      </sheetData>
      <sheetData sheetId="5622">
        <row r="1">
          <cell r="J1">
            <v>1.7453292519943295E-2</v>
          </cell>
        </row>
      </sheetData>
      <sheetData sheetId="5623" refreshError="1"/>
      <sheetData sheetId="5624" refreshError="1"/>
      <sheetData sheetId="5625">
        <row r="1">
          <cell r="J1">
            <v>1.7453292519943295E-2</v>
          </cell>
        </row>
      </sheetData>
      <sheetData sheetId="5626" refreshError="1"/>
      <sheetData sheetId="5627" refreshError="1"/>
      <sheetData sheetId="5628" refreshError="1"/>
      <sheetData sheetId="5629">
        <row r="1">
          <cell r="J1">
            <v>1.7453292519943295E-2</v>
          </cell>
        </row>
      </sheetData>
      <sheetData sheetId="5630" refreshError="1"/>
      <sheetData sheetId="5631" refreshError="1"/>
      <sheetData sheetId="5632">
        <row r="1">
          <cell r="J1">
            <v>1.7453292519943295E-2</v>
          </cell>
        </row>
      </sheetData>
      <sheetData sheetId="5633">
        <row r="1">
          <cell r="J1">
            <v>1.7453292519943295E-2</v>
          </cell>
        </row>
      </sheetData>
      <sheetData sheetId="5634">
        <row r="1">
          <cell r="J1">
            <v>1.7453292519943295E-2</v>
          </cell>
        </row>
      </sheetData>
      <sheetData sheetId="5635" refreshError="1"/>
      <sheetData sheetId="5636" refreshError="1"/>
      <sheetData sheetId="5637" refreshError="1"/>
      <sheetData sheetId="5638">
        <row r="1">
          <cell r="J1">
            <v>1.7453292519943295E-2</v>
          </cell>
        </row>
      </sheetData>
      <sheetData sheetId="5639">
        <row r="1">
          <cell r="J1">
            <v>1.7453292519943295E-2</v>
          </cell>
        </row>
      </sheetData>
      <sheetData sheetId="5640" refreshError="1"/>
      <sheetData sheetId="5641" refreshError="1"/>
      <sheetData sheetId="5642" refreshError="1"/>
      <sheetData sheetId="5643" refreshError="1"/>
      <sheetData sheetId="5644" refreshError="1"/>
      <sheetData sheetId="5645">
        <row r="1">
          <cell r="J1">
            <v>1.7453292519943295E-2</v>
          </cell>
        </row>
      </sheetData>
      <sheetData sheetId="5646" refreshError="1"/>
      <sheetData sheetId="5647" refreshError="1"/>
      <sheetData sheetId="5648" refreshError="1"/>
      <sheetData sheetId="5649" refreshError="1"/>
      <sheetData sheetId="5650" refreshError="1"/>
      <sheetData sheetId="5651">
        <row r="1">
          <cell r="J1">
            <v>1.7453292519943295E-2</v>
          </cell>
        </row>
      </sheetData>
      <sheetData sheetId="5652" refreshError="1"/>
      <sheetData sheetId="5653" refreshError="1"/>
      <sheetData sheetId="5654">
        <row r="1">
          <cell r="J1">
            <v>1.7453292519943295E-2</v>
          </cell>
        </row>
      </sheetData>
      <sheetData sheetId="5655" refreshError="1"/>
      <sheetData sheetId="5656" refreshError="1"/>
      <sheetData sheetId="5657" refreshError="1"/>
      <sheetData sheetId="5658">
        <row r="1">
          <cell r="J1">
            <v>1.7453292519943295E-2</v>
          </cell>
        </row>
      </sheetData>
      <sheetData sheetId="5659" refreshError="1"/>
      <sheetData sheetId="5660" refreshError="1"/>
      <sheetData sheetId="5661">
        <row r="1">
          <cell r="J1">
            <v>1.7453292519943295E-2</v>
          </cell>
        </row>
      </sheetData>
      <sheetData sheetId="5662" refreshError="1"/>
      <sheetData sheetId="5663" refreshError="1"/>
      <sheetData sheetId="5664" refreshError="1"/>
      <sheetData sheetId="5665">
        <row r="1">
          <cell r="J1">
            <v>1.7453292519943295E-2</v>
          </cell>
        </row>
      </sheetData>
      <sheetData sheetId="5666" refreshError="1"/>
      <sheetData sheetId="5667" refreshError="1"/>
      <sheetData sheetId="5668">
        <row r="1">
          <cell r="J1">
            <v>1.7453292519943295E-2</v>
          </cell>
        </row>
      </sheetData>
      <sheetData sheetId="5669">
        <row r="1">
          <cell r="J1">
            <v>1.7453292519943295E-2</v>
          </cell>
        </row>
      </sheetData>
      <sheetData sheetId="5670" refreshError="1"/>
      <sheetData sheetId="5671" refreshError="1"/>
      <sheetData sheetId="5672" refreshError="1"/>
      <sheetData sheetId="5673">
        <row r="1">
          <cell r="J1">
            <v>1.7453292519943295E-2</v>
          </cell>
        </row>
      </sheetData>
      <sheetData sheetId="5674">
        <row r="1">
          <cell r="J1">
            <v>1.7453292519943295E-2</v>
          </cell>
        </row>
      </sheetData>
      <sheetData sheetId="5675" refreshError="1"/>
      <sheetData sheetId="5676" refreshError="1"/>
      <sheetData sheetId="5677">
        <row r="1">
          <cell r="J1">
            <v>1.7453292519943295E-2</v>
          </cell>
        </row>
      </sheetData>
      <sheetData sheetId="5678" refreshError="1"/>
      <sheetData sheetId="5679" refreshError="1"/>
      <sheetData sheetId="5680" refreshError="1"/>
      <sheetData sheetId="5681">
        <row r="1">
          <cell r="J1">
            <v>1.7453292519943295E-2</v>
          </cell>
        </row>
      </sheetData>
      <sheetData sheetId="5682" refreshError="1"/>
      <sheetData sheetId="5683" refreshError="1"/>
      <sheetData sheetId="5684">
        <row r="1">
          <cell r="J1">
            <v>1.7453292519943295E-2</v>
          </cell>
        </row>
      </sheetData>
      <sheetData sheetId="5685">
        <row r="1">
          <cell r="J1">
            <v>1.7453292519943295E-2</v>
          </cell>
        </row>
      </sheetData>
      <sheetData sheetId="5686" refreshError="1"/>
      <sheetData sheetId="5687" refreshError="1"/>
      <sheetData sheetId="5688" refreshError="1"/>
      <sheetData sheetId="5689">
        <row r="1">
          <cell r="J1">
            <v>1.7453292519943295E-2</v>
          </cell>
        </row>
      </sheetData>
      <sheetData sheetId="5690">
        <row r="1">
          <cell r="J1">
            <v>1.7453292519943295E-2</v>
          </cell>
        </row>
      </sheetData>
      <sheetData sheetId="5691" refreshError="1"/>
      <sheetData sheetId="5692" refreshError="1"/>
      <sheetData sheetId="5693">
        <row r="1">
          <cell r="J1">
            <v>1.7453292519943295E-2</v>
          </cell>
        </row>
      </sheetData>
      <sheetData sheetId="5694">
        <row r="1">
          <cell r="J1">
            <v>1.7453292519943295E-2</v>
          </cell>
        </row>
      </sheetData>
      <sheetData sheetId="5695" refreshError="1"/>
      <sheetData sheetId="5696" refreshError="1"/>
      <sheetData sheetId="5697" refreshError="1"/>
      <sheetData sheetId="5698">
        <row r="1">
          <cell r="J1">
            <v>1.7453292519943295E-2</v>
          </cell>
        </row>
      </sheetData>
      <sheetData sheetId="5699" refreshError="1"/>
      <sheetData sheetId="5700" refreshError="1"/>
      <sheetData sheetId="5701">
        <row r="1">
          <cell r="J1">
            <v>1.7453292519943295E-2</v>
          </cell>
        </row>
      </sheetData>
      <sheetData sheetId="5702" refreshError="1"/>
      <sheetData sheetId="5703" refreshError="1"/>
      <sheetData sheetId="5704" refreshError="1"/>
      <sheetData sheetId="5705">
        <row r="1">
          <cell r="J1">
            <v>1.7453292519943295E-2</v>
          </cell>
        </row>
      </sheetData>
      <sheetData sheetId="5706">
        <row r="1">
          <cell r="J1">
            <v>1.7453292519943295E-2</v>
          </cell>
        </row>
      </sheetData>
      <sheetData sheetId="5707" refreshError="1"/>
      <sheetData sheetId="5708" refreshError="1"/>
      <sheetData sheetId="5709">
        <row r="1">
          <cell r="J1">
            <v>1.7453292519943295E-2</v>
          </cell>
        </row>
      </sheetData>
      <sheetData sheetId="5710" refreshError="1"/>
      <sheetData sheetId="5711" refreshError="1"/>
      <sheetData sheetId="5712" refreshError="1"/>
      <sheetData sheetId="5713">
        <row r="1">
          <cell r="J1">
            <v>1.7453292519943295E-2</v>
          </cell>
        </row>
      </sheetData>
      <sheetData sheetId="5714" refreshError="1"/>
      <sheetData sheetId="5715" refreshError="1"/>
      <sheetData sheetId="5716">
        <row r="1">
          <cell r="J1">
            <v>1.7453292519943295E-2</v>
          </cell>
        </row>
      </sheetData>
      <sheetData sheetId="5717" refreshError="1"/>
      <sheetData sheetId="5718" refreshError="1"/>
      <sheetData sheetId="5719" refreshError="1"/>
      <sheetData sheetId="5720">
        <row r="1">
          <cell r="J1">
            <v>1.7453292519943295E-2</v>
          </cell>
        </row>
      </sheetData>
      <sheetData sheetId="5721">
        <row r="1">
          <cell r="J1">
            <v>1.7453292519943295E-2</v>
          </cell>
        </row>
      </sheetData>
      <sheetData sheetId="5722" refreshError="1"/>
      <sheetData sheetId="5723" refreshError="1"/>
      <sheetData sheetId="5724">
        <row r="1">
          <cell r="J1">
            <v>1.7453292519943295E-2</v>
          </cell>
        </row>
      </sheetData>
      <sheetData sheetId="5725">
        <row r="1">
          <cell r="J1">
            <v>1.7453292519943295E-2</v>
          </cell>
        </row>
      </sheetData>
      <sheetData sheetId="5726">
        <row r="1">
          <cell r="J1">
            <v>1.7453292519943295E-2</v>
          </cell>
        </row>
      </sheetData>
      <sheetData sheetId="5727">
        <row r="1">
          <cell r="J1">
            <v>1.7453292519943295E-2</v>
          </cell>
        </row>
      </sheetData>
      <sheetData sheetId="5728">
        <row r="1">
          <cell r="J1">
            <v>1.7453292519943295E-2</v>
          </cell>
        </row>
      </sheetData>
      <sheetData sheetId="5729">
        <row r="1">
          <cell r="J1">
            <v>1.7453292519943295E-2</v>
          </cell>
        </row>
      </sheetData>
      <sheetData sheetId="5730" refreshError="1"/>
      <sheetData sheetId="5731" refreshError="1"/>
      <sheetData sheetId="5732">
        <row r="2">
          <cell r="B2">
            <v>1</v>
          </cell>
        </row>
      </sheetData>
      <sheetData sheetId="5733">
        <row r="1">
          <cell r="J1">
            <v>1.7453292519943295E-2</v>
          </cell>
        </row>
      </sheetData>
      <sheetData sheetId="5734" refreshError="1"/>
      <sheetData sheetId="5735" refreshError="1"/>
      <sheetData sheetId="5736" refreshError="1"/>
      <sheetData sheetId="5737" refreshError="1"/>
      <sheetData sheetId="5738" refreshError="1"/>
      <sheetData sheetId="5739" refreshError="1"/>
      <sheetData sheetId="5740" refreshError="1"/>
      <sheetData sheetId="5741">
        <row r="2">
          <cell r="B2">
            <v>1</v>
          </cell>
        </row>
      </sheetData>
      <sheetData sheetId="5742" refreshError="1"/>
      <sheetData sheetId="5743" refreshError="1"/>
      <sheetData sheetId="5744" refreshError="1"/>
      <sheetData sheetId="5745" refreshError="1"/>
      <sheetData sheetId="5746" refreshError="1"/>
      <sheetData sheetId="5747" refreshError="1"/>
      <sheetData sheetId="5748">
        <row r="2">
          <cell r="B2">
            <v>1</v>
          </cell>
        </row>
      </sheetData>
      <sheetData sheetId="5749" refreshError="1"/>
      <sheetData sheetId="5750" refreshError="1"/>
      <sheetData sheetId="5751" refreshError="1"/>
      <sheetData sheetId="5752" refreshError="1"/>
      <sheetData sheetId="5753" refreshError="1"/>
      <sheetData sheetId="5754" refreshError="1"/>
      <sheetData sheetId="5755">
        <row r="1">
          <cell r="J1">
            <v>1.7453292519943295E-2</v>
          </cell>
        </row>
      </sheetData>
      <sheetData sheetId="5756" refreshError="1"/>
      <sheetData sheetId="5757" refreshError="1"/>
      <sheetData sheetId="5758" refreshError="1"/>
      <sheetData sheetId="5759">
        <row r="2">
          <cell r="B2">
            <v>1</v>
          </cell>
        </row>
      </sheetData>
      <sheetData sheetId="5760" refreshError="1"/>
      <sheetData sheetId="5761" refreshError="1"/>
      <sheetData sheetId="5762">
        <row r="1">
          <cell r="J1">
            <v>1.7453292519943295E-2</v>
          </cell>
        </row>
      </sheetData>
      <sheetData sheetId="5763">
        <row r="1">
          <cell r="J1">
            <v>1.7453292519943295E-2</v>
          </cell>
        </row>
      </sheetData>
      <sheetData sheetId="5764">
        <row r="1">
          <cell r="J1">
            <v>1.7453292519943295E-2</v>
          </cell>
        </row>
      </sheetData>
      <sheetData sheetId="5765" refreshError="1"/>
      <sheetData sheetId="5766" refreshError="1"/>
      <sheetData sheetId="5767">
        <row r="2">
          <cell r="B2">
            <v>1</v>
          </cell>
        </row>
      </sheetData>
      <sheetData sheetId="5768" refreshError="1"/>
      <sheetData sheetId="5769" refreshError="1"/>
      <sheetData sheetId="5770" refreshError="1"/>
      <sheetData sheetId="5771" refreshError="1"/>
      <sheetData sheetId="5772" refreshError="1"/>
      <sheetData sheetId="5773"/>
      <sheetData sheetId="5774" refreshError="1"/>
      <sheetData sheetId="5775" refreshError="1"/>
      <sheetData sheetId="5776" refreshError="1"/>
      <sheetData sheetId="5777" refreshError="1"/>
      <sheetData sheetId="5778"/>
      <sheetData sheetId="5779" refreshError="1"/>
      <sheetData sheetId="5780" refreshError="1"/>
      <sheetData sheetId="5781" refreshError="1"/>
      <sheetData sheetId="5782" refreshError="1"/>
      <sheetData sheetId="5783"/>
      <sheetData sheetId="5784" refreshError="1"/>
      <sheetData sheetId="5785" refreshError="1"/>
      <sheetData sheetId="5786" refreshError="1"/>
      <sheetData sheetId="5787" refreshError="1"/>
      <sheetData sheetId="5788" refreshError="1"/>
      <sheetData sheetId="5789" refreshError="1"/>
      <sheetData sheetId="5790" refreshError="1"/>
      <sheetData sheetId="5791">
        <row r="1">
          <cell r="J1">
            <v>1.7453292519943295E-2</v>
          </cell>
        </row>
      </sheetData>
      <sheetData sheetId="5792">
        <row r="1">
          <cell r="J1">
            <v>1.7453292519943295E-2</v>
          </cell>
        </row>
      </sheetData>
      <sheetData sheetId="5793" refreshError="1"/>
      <sheetData sheetId="5794" refreshError="1"/>
      <sheetData sheetId="5795" refreshError="1"/>
      <sheetData sheetId="5796">
        <row r="1">
          <cell r="J1">
            <v>1.7453292519943295E-2</v>
          </cell>
        </row>
      </sheetData>
      <sheetData sheetId="5797">
        <row r="1">
          <cell r="J1">
            <v>1.7453292519943295E-2</v>
          </cell>
        </row>
      </sheetData>
      <sheetData sheetId="5798">
        <row r="1">
          <cell r="J1">
            <v>1.7453292519943295E-2</v>
          </cell>
        </row>
      </sheetData>
      <sheetData sheetId="5799"/>
      <sheetData sheetId="5800" refreshError="1"/>
      <sheetData sheetId="5801" refreshError="1"/>
      <sheetData sheetId="5802" refreshError="1"/>
      <sheetData sheetId="5803" refreshError="1"/>
      <sheetData sheetId="5804"/>
      <sheetData sheetId="5805" refreshError="1"/>
      <sheetData sheetId="5806" refreshError="1"/>
      <sheetData sheetId="5807" refreshError="1"/>
      <sheetData sheetId="5808" refreshError="1"/>
      <sheetData sheetId="5809"/>
      <sheetData sheetId="5810" refreshError="1"/>
      <sheetData sheetId="5811" refreshError="1"/>
      <sheetData sheetId="5812" refreshError="1"/>
      <sheetData sheetId="5813" refreshError="1"/>
      <sheetData sheetId="5814">
        <row r="1">
          <cell r="J1">
            <v>1.7453292519943295E-2</v>
          </cell>
        </row>
      </sheetData>
      <sheetData sheetId="5815" refreshError="1"/>
      <sheetData sheetId="5816" refreshError="1"/>
      <sheetData sheetId="5817">
        <row r="1">
          <cell r="J1">
            <v>1.7453292519943295E-2</v>
          </cell>
        </row>
      </sheetData>
      <sheetData sheetId="5818" refreshError="1"/>
      <sheetData sheetId="5819" refreshError="1"/>
      <sheetData sheetId="5820" refreshError="1"/>
      <sheetData sheetId="5821" refreshError="1"/>
      <sheetData sheetId="5822">
        <row r="1">
          <cell r="J1">
            <v>1.7453292519943295E-2</v>
          </cell>
        </row>
      </sheetData>
      <sheetData sheetId="5823" refreshError="1"/>
      <sheetData sheetId="5824" refreshError="1"/>
      <sheetData sheetId="5825" refreshError="1"/>
      <sheetData sheetId="5826" refreshError="1"/>
      <sheetData sheetId="5827"/>
      <sheetData sheetId="5828" refreshError="1"/>
      <sheetData sheetId="5829" refreshError="1"/>
      <sheetData sheetId="5830" refreshError="1"/>
      <sheetData sheetId="5831" refreshError="1"/>
      <sheetData sheetId="5832"/>
      <sheetData sheetId="5833" refreshError="1"/>
      <sheetData sheetId="5834" refreshError="1"/>
      <sheetData sheetId="5835" refreshError="1"/>
      <sheetData sheetId="5836" refreshError="1"/>
      <sheetData sheetId="5837"/>
      <sheetData sheetId="5838" refreshError="1"/>
      <sheetData sheetId="5839" refreshError="1"/>
      <sheetData sheetId="5840" refreshError="1"/>
      <sheetData sheetId="5841" refreshError="1"/>
      <sheetData sheetId="5842"/>
      <sheetData sheetId="5843" refreshError="1"/>
      <sheetData sheetId="5844" refreshError="1"/>
      <sheetData sheetId="5845" refreshError="1"/>
      <sheetData sheetId="5846" refreshError="1"/>
      <sheetData sheetId="5847"/>
      <sheetData sheetId="5848" refreshError="1"/>
      <sheetData sheetId="5849" refreshError="1"/>
      <sheetData sheetId="5850" refreshError="1"/>
      <sheetData sheetId="5851" refreshError="1"/>
      <sheetData sheetId="5852"/>
      <sheetData sheetId="5853" refreshError="1"/>
      <sheetData sheetId="5854" refreshError="1"/>
      <sheetData sheetId="5855" refreshError="1"/>
      <sheetData sheetId="5856" refreshError="1"/>
      <sheetData sheetId="5857"/>
      <sheetData sheetId="5858" refreshError="1"/>
      <sheetData sheetId="5859" refreshError="1"/>
      <sheetData sheetId="5860" refreshError="1"/>
      <sheetData sheetId="5861" refreshError="1"/>
      <sheetData sheetId="5862"/>
      <sheetData sheetId="5863" refreshError="1"/>
      <sheetData sheetId="5864" refreshError="1"/>
      <sheetData sheetId="5865" refreshError="1"/>
      <sheetData sheetId="5866" refreshError="1"/>
      <sheetData sheetId="5867"/>
      <sheetData sheetId="5868" refreshError="1"/>
      <sheetData sheetId="5869" refreshError="1"/>
      <sheetData sheetId="5870" refreshError="1"/>
      <sheetData sheetId="5871" refreshError="1"/>
      <sheetData sheetId="5872">
        <row r="1">
          <cell r="J1">
            <v>1.7453292519943295E-2</v>
          </cell>
        </row>
      </sheetData>
      <sheetData sheetId="5873"/>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ow r="1">
          <cell r="J1">
            <v>1.7453292519943295E-2</v>
          </cell>
        </row>
      </sheetData>
      <sheetData sheetId="5883">
        <row r="1">
          <cell r="J1">
            <v>1.7453292519943295E-2</v>
          </cell>
        </row>
      </sheetData>
      <sheetData sheetId="5884" refreshError="1"/>
      <sheetData sheetId="5885" refreshError="1"/>
      <sheetData sheetId="5886" refreshError="1"/>
      <sheetData sheetId="5887" refreshError="1"/>
      <sheetData sheetId="5888">
        <row r="1">
          <cell r="J1">
            <v>1.7453292519943295E-2</v>
          </cell>
        </row>
      </sheetData>
      <sheetData sheetId="5889" refreshError="1"/>
      <sheetData sheetId="5890"/>
      <sheetData sheetId="5891" refreshError="1"/>
      <sheetData sheetId="5892" refreshError="1"/>
      <sheetData sheetId="5893" refreshError="1"/>
      <sheetData sheetId="5894" refreshError="1"/>
      <sheetData sheetId="5895">
        <row r="1">
          <cell r="J1">
            <v>1.7453292519943295E-2</v>
          </cell>
        </row>
      </sheetData>
      <sheetData sheetId="5896" refreshError="1"/>
      <sheetData sheetId="5897" refreshError="1"/>
      <sheetData sheetId="5898" refreshError="1"/>
      <sheetData sheetId="5899">
        <row r="1">
          <cell r="J1">
            <v>1.7453292519943295E-2</v>
          </cell>
        </row>
      </sheetData>
      <sheetData sheetId="5900"/>
      <sheetData sheetId="5901" refreshError="1"/>
      <sheetData sheetId="5902" refreshError="1"/>
      <sheetData sheetId="5903" refreshError="1"/>
      <sheetData sheetId="5904" refreshError="1"/>
      <sheetData sheetId="5905">
        <row r="1">
          <cell r="J1">
            <v>1.7453292519943295E-2</v>
          </cell>
        </row>
      </sheetData>
      <sheetData sheetId="5906">
        <row r="1">
          <cell r="J1">
            <v>1.7453292519943295E-2</v>
          </cell>
        </row>
      </sheetData>
      <sheetData sheetId="5907" refreshError="1"/>
      <sheetData sheetId="5908" refreshError="1"/>
      <sheetData sheetId="5909"/>
      <sheetData sheetId="5910" refreshError="1"/>
      <sheetData sheetId="5911" refreshError="1"/>
      <sheetData sheetId="5912" refreshError="1"/>
      <sheetData sheetId="5913" refreshError="1"/>
      <sheetData sheetId="5914" refreshError="1"/>
      <sheetData sheetId="5915" refreshError="1"/>
      <sheetData sheetId="5916" refreshError="1"/>
      <sheetData sheetId="5917">
        <row r="1">
          <cell r="J1">
            <v>1.7453292519943295E-2</v>
          </cell>
        </row>
      </sheetData>
      <sheetData sheetId="5918"/>
      <sheetData sheetId="5919" refreshError="1"/>
      <sheetData sheetId="5920" refreshError="1"/>
      <sheetData sheetId="5921" refreshError="1"/>
      <sheetData sheetId="5922" refreshError="1"/>
      <sheetData sheetId="5923" refreshError="1"/>
      <sheetData sheetId="5924" refreshError="1"/>
      <sheetData sheetId="5925">
        <row r="1">
          <cell r="J1">
            <v>1.7453292519943295E-2</v>
          </cell>
        </row>
      </sheetData>
      <sheetData sheetId="5926" refreshError="1"/>
      <sheetData sheetId="5927">
        <row r="1">
          <cell r="J1">
            <v>1.7453292519943295E-2</v>
          </cell>
        </row>
      </sheetData>
      <sheetData sheetId="5928" refreshError="1"/>
      <sheetData sheetId="5929" refreshError="1"/>
      <sheetData sheetId="5930" refreshError="1"/>
      <sheetData sheetId="5931" refreshError="1"/>
      <sheetData sheetId="5932">
        <row r="1">
          <cell r="J1">
            <v>1.7453292519943295E-2</v>
          </cell>
        </row>
      </sheetData>
      <sheetData sheetId="5933">
        <row r="1">
          <cell r="J1">
            <v>1.7453292519943295E-2</v>
          </cell>
        </row>
      </sheetData>
      <sheetData sheetId="5934" refreshError="1"/>
      <sheetData sheetId="5935" refreshError="1"/>
      <sheetData sheetId="5936" refreshError="1"/>
      <sheetData sheetId="5937" refreshError="1"/>
      <sheetData sheetId="5938">
        <row r="1">
          <cell r="J1">
            <v>1.7453292519943295E-2</v>
          </cell>
        </row>
      </sheetData>
      <sheetData sheetId="5939" refreshError="1"/>
      <sheetData sheetId="5940" refreshError="1"/>
      <sheetData sheetId="5941"/>
      <sheetData sheetId="5942">
        <row r="1">
          <cell r="J1">
            <v>1.7453292519943295E-2</v>
          </cell>
        </row>
      </sheetData>
      <sheetData sheetId="5943" refreshError="1"/>
      <sheetData sheetId="5944"/>
      <sheetData sheetId="5945" refreshError="1"/>
      <sheetData sheetId="5946" refreshError="1"/>
      <sheetData sheetId="5947"/>
      <sheetData sheetId="5948"/>
      <sheetData sheetId="5949" refreshError="1"/>
      <sheetData sheetId="5950" refreshError="1"/>
      <sheetData sheetId="5951" refreshError="1"/>
      <sheetData sheetId="5952" refreshError="1"/>
      <sheetData sheetId="5953">
        <row r="1">
          <cell r="J1">
            <v>1.7453292519943295E-2</v>
          </cell>
        </row>
      </sheetData>
      <sheetData sheetId="5954"/>
      <sheetData sheetId="5955" refreshError="1"/>
      <sheetData sheetId="5956" refreshError="1"/>
      <sheetData sheetId="5957"/>
      <sheetData sheetId="5958" refreshError="1"/>
      <sheetData sheetId="5959" refreshError="1"/>
      <sheetData sheetId="5960" refreshError="1"/>
      <sheetData sheetId="5961" refreshError="1"/>
      <sheetData sheetId="5962"/>
      <sheetData sheetId="5963" refreshError="1"/>
      <sheetData sheetId="5964" refreshError="1"/>
      <sheetData sheetId="5965" refreshError="1"/>
      <sheetData sheetId="5966" refreshError="1"/>
      <sheetData sheetId="5967" refreshError="1"/>
      <sheetData sheetId="5968" refreshError="1"/>
      <sheetData sheetId="5969">
        <row r="1">
          <cell r="J1">
            <v>1.7453292519943295E-2</v>
          </cell>
        </row>
      </sheetData>
      <sheetData sheetId="5970" refreshError="1"/>
      <sheetData sheetId="5971" refreshError="1"/>
      <sheetData sheetId="5972" refreshError="1"/>
      <sheetData sheetId="5973">
        <row r="1">
          <cell r="J1">
            <v>1.7453292519943295E-2</v>
          </cell>
        </row>
      </sheetData>
      <sheetData sheetId="5974" refreshError="1"/>
      <sheetData sheetId="5975" refreshError="1"/>
      <sheetData sheetId="5976">
        <row r="1">
          <cell r="J1">
            <v>1.7453292519943295E-2</v>
          </cell>
        </row>
      </sheetData>
      <sheetData sheetId="5977" refreshError="1"/>
      <sheetData sheetId="5978" refreshError="1"/>
      <sheetData sheetId="5979">
        <row r="1">
          <cell r="J1">
            <v>1.7453292519943295E-2</v>
          </cell>
        </row>
      </sheetData>
      <sheetData sheetId="5980" refreshError="1"/>
      <sheetData sheetId="5981" refreshError="1"/>
      <sheetData sheetId="5982">
        <row r="1">
          <cell r="J1">
            <v>1.7453292519943295E-2</v>
          </cell>
        </row>
      </sheetData>
      <sheetData sheetId="5983" refreshError="1"/>
      <sheetData sheetId="5984" refreshError="1"/>
      <sheetData sheetId="5985" refreshError="1"/>
      <sheetData sheetId="5986">
        <row r="2">
          <cell r="B2">
            <v>1</v>
          </cell>
        </row>
      </sheetData>
      <sheetData sheetId="5987" refreshError="1"/>
      <sheetData sheetId="5988" refreshError="1"/>
      <sheetData sheetId="5989" refreshError="1"/>
      <sheetData sheetId="5990">
        <row r="1">
          <cell r="J1">
            <v>1.7453292519943295E-2</v>
          </cell>
        </row>
      </sheetData>
      <sheetData sheetId="5991" refreshError="1"/>
      <sheetData sheetId="5992" refreshError="1"/>
      <sheetData sheetId="5993" refreshError="1"/>
      <sheetData sheetId="5994">
        <row r="2">
          <cell r="B2">
            <v>1</v>
          </cell>
        </row>
      </sheetData>
      <sheetData sheetId="5995" refreshError="1"/>
      <sheetData sheetId="5996" refreshError="1"/>
      <sheetData sheetId="5997" refreshError="1"/>
      <sheetData sheetId="5998" refreshError="1"/>
      <sheetData sheetId="5999">
        <row r="1">
          <cell r="J1">
            <v>1.7453292519943295E-2</v>
          </cell>
        </row>
      </sheetData>
      <sheetData sheetId="6000">
        <row r="1">
          <cell r="J1">
            <v>1.7453292519943295E-2</v>
          </cell>
        </row>
      </sheetData>
      <sheetData sheetId="6001" refreshError="1"/>
      <sheetData sheetId="6002" refreshError="1"/>
      <sheetData sheetId="6003" refreshError="1"/>
      <sheetData sheetId="6004" refreshError="1"/>
      <sheetData sheetId="6005" refreshError="1"/>
      <sheetData sheetId="6006">
        <row r="1">
          <cell r="J1">
            <v>1.7453292519943295E-2</v>
          </cell>
        </row>
      </sheetData>
      <sheetData sheetId="6007" refreshError="1"/>
      <sheetData sheetId="6008" refreshError="1"/>
      <sheetData sheetId="6009" refreshError="1"/>
      <sheetData sheetId="6010">
        <row r="1">
          <cell r="J1">
            <v>1.7453292519943295E-2</v>
          </cell>
        </row>
      </sheetData>
      <sheetData sheetId="6011">
        <row r="1">
          <cell r="J1">
            <v>1.7453292519943295E-2</v>
          </cell>
        </row>
      </sheetData>
      <sheetData sheetId="6012" refreshError="1"/>
      <sheetData sheetId="6013" refreshError="1"/>
      <sheetData sheetId="6014">
        <row r="1">
          <cell r="J1">
            <v>1.7453292519943295E-2</v>
          </cell>
        </row>
      </sheetData>
      <sheetData sheetId="6015" refreshError="1"/>
      <sheetData sheetId="6016">
        <row r="1">
          <cell r="J1">
            <v>1.7453292519943295E-2</v>
          </cell>
        </row>
      </sheetData>
      <sheetData sheetId="6017" refreshError="1"/>
      <sheetData sheetId="6018" refreshError="1"/>
      <sheetData sheetId="6019" refreshError="1"/>
      <sheetData sheetId="6020" refreshError="1"/>
      <sheetData sheetId="6021" refreshError="1"/>
      <sheetData sheetId="6022">
        <row r="1">
          <cell r="J1">
            <v>1.7453292519943295E-2</v>
          </cell>
        </row>
      </sheetData>
      <sheetData sheetId="6023"/>
      <sheetData sheetId="6024" refreshError="1"/>
      <sheetData sheetId="6025" refreshError="1"/>
      <sheetData sheetId="6026" refreshError="1"/>
      <sheetData sheetId="6027" refreshError="1"/>
      <sheetData sheetId="6028" refreshError="1"/>
      <sheetData sheetId="6029" refreshError="1"/>
      <sheetData sheetId="6030">
        <row r="1">
          <cell r="J1">
            <v>1.7453292519943295E-2</v>
          </cell>
        </row>
      </sheetData>
      <sheetData sheetId="6031"/>
      <sheetData sheetId="6032" refreshError="1"/>
      <sheetData sheetId="6033" refreshError="1"/>
      <sheetData sheetId="6034" refreshError="1"/>
      <sheetData sheetId="6035" refreshError="1"/>
      <sheetData sheetId="6036" refreshError="1"/>
      <sheetData sheetId="6037" refreshError="1"/>
      <sheetData sheetId="6038">
        <row r="1">
          <cell r="J1">
            <v>1.7453292519943295E-2</v>
          </cell>
        </row>
      </sheetData>
      <sheetData sheetId="6039"/>
      <sheetData sheetId="6040" refreshError="1"/>
      <sheetData sheetId="6041" refreshError="1"/>
      <sheetData sheetId="6042">
        <row r="1">
          <cell r="J1">
            <v>1.7453292519943295E-2</v>
          </cell>
        </row>
      </sheetData>
      <sheetData sheetId="6043" refreshError="1"/>
      <sheetData sheetId="6044" refreshError="1"/>
      <sheetData sheetId="6045" refreshError="1"/>
      <sheetData sheetId="6046"/>
      <sheetData sheetId="6047" refreshError="1"/>
      <sheetData sheetId="6048" refreshError="1"/>
      <sheetData sheetId="6049" refreshError="1"/>
      <sheetData sheetId="6050" refreshError="1"/>
      <sheetData sheetId="6051" refreshError="1"/>
      <sheetData sheetId="6052" refreshError="1"/>
      <sheetData sheetId="6053">
        <row r="1">
          <cell r="J1">
            <v>1.7453292519943295E-2</v>
          </cell>
        </row>
      </sheetData>
      <sheetData sheetId="6054"/>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ow r="1">
          <cell r="J1">
            <v>1.7453292519943295E-2</v>
          </cell>
        </row>
      </sheetData>
      <sheetData sheetId="6065">
        <row r="1">
          <cell r="J1">
            <v>1.7453292519943295E-2</v>
          </cell>
        </row>
      </sheetData>
      <sheetData sheetId="6066" refreshError="1"/>
      <sheetData sheetId="6067" refreshError="1"/>
      <sheetData sheetId="6068">
        <row r="1">
          <cell r="J1">
            <v>1.7453292519943295E-2</v>
          </cell>
        </row>
      </sheetData>
      <sheetData sheetId="6069" refreshError="1"/>
      <sheetData sheetId="6070" refreshError="1"/>
      <sheetData sheetId="6071" refreshError="1"/>
      <sheetData sheetId="6072">
        <row r="1">
          <cell r="J1">
            <v>1.7453292519943295E-2</v>
          </cell>
        </row>
      </sheetData>
      <sheetData sheetId="6073">
        <row r="1">
          <cell r="J1">
            <v>1.7453292519943295E-2</v>
          </cell>
        </row>
      </sheetData>
      <sheetData sheetId="6074" refreshError="1"/>
      <sheetData sheetId="6075" refreshError="1"/>
      <sheetData sheetId="6076" refreshError="1"/>
      <sheetData sheetId="6077" refreshError="1"/>
      <sheetData sheetId="6078" refreshError="1"/>
      <sheetData sheetId="6079" refreshError="1"/>
      <sheetData sheetId="6080" refreshError="1"/>
      <sheetData sheetId="6081">
        <row r="1">
          <cell r="J1">
            <v>1.7453292519943295E-2</v>
          </cell>
        </row>
      </sheetData>
      <sheetData sheetId="6082" refreshError="1"/>
      <sheetData sheetId="6083">
        <row r="1">
          <cell r="J1">
            <v>1.7453292519943295E-2</v>
          </cell>
        </row>
      </sheetData>
      <sheetData sheetId="6084">
        <row r="1">
          <cell r="J1">
            <v>1.7453292519943295E-2</v>
          </cell>
        </row>
      </sheetData>
      <sheetData sheetId="6085" refreshError="1"/>
      <sheetData sheetId="6086" refreshError="1"/>
      <sheetData sheetId="6087" refreshError="1"/>
      <sheetData sheetId="6088" refreshError="1"/>
      <sheetData sheetId="6089" refreshError="1"/>
      <sheetData sheetId="6090">
        <row r="1">
          <cell r="J1">
            <v>1.7453292519943295E-2</v>
          </cell>
        </row>
      </sheetData>
      <sheetData sheetId="6091" refreshError="1"/>
      <sheetData sheetId="6092" refreshError="1"/>
      <sheetData sheetId="6093">
        <row r="1">
          <cell r="J1">
            <v>1.7453292519943295E-2</v>
          </cell>
        </row>
      </sheetData>
      <sheetData sheetId="6094" refreshError="1"/>
      <sheetData sheetId="6095" refreshError="1"/>
      <sheetData sheetId="6096" refreshError="1"/>
      <sheetData sheetId="6097" refreshError="1"/>
      <sheetData sheetId="6098" refreshError="1"/>
      <sheetData sheetId="6099"/>
      <sheetData sheetId="6100"/>
      <sheetData sheetId="6101" refreshError="1"/>
      <sheetData sheetId="6102" refreshError="1"/>
      <sheetData sheetId="6103" refreshError="1"/>
      <sheetData sheetId="6104">
        <row r="1">
          <cell r="J1">
            <v>1.7453292519943295E-2</v>
          </cell>
        </row>
      </sheetData>
      <sheetData sheetId="6105">
        <row r="1">
          <cell r="J1">
            <v>1.7453292519943295E-2</v>
          </cell>
        </row>
      </sheetData>
      <sheetData sheetId="6106">
        <row r="1">
          <cell r="J1">
            <v>1.7453292519943295E-2</v>
          </cell>
        </row>
      </sheetData>
      <sheetData sheetId="6107" refreshError="1"/>
      <sheetData sheetId="6108" refreshError="1"/>
      <sheetData sheetId="6109" refreshError="1"/>
      <sheetData sheetId="6110" refreshError="1"/>
      <sheetData sheetId="6111" refreshError="1"/>
      <sheetData sheetId="6112">
        <row r="1">
          <cell r="J1">
            <v>1.7453292519943295E-2</v>
          </cell>
        </row>
      </sheetData>
      <sheetData sheetId="6113">
        <row r="1">
          <cell r="J1">
            <v>1.7453292519943295E-2</v>
          </cell>
        </row>
      </sheetData>
      <sheetData sheetId="6114" refreshError="1"/>
      <sheetData sheetId="6115" refreshError="1"/>
      <sheetData sheetId="6116" refreshError="1"/>
      <sheetData sheetId="6117" refreshError="1"/>
      <sheetData sheetId="6118" refreshError="1"/>
      <sheetData sheetId="6119">
        <row r="1">
          <cell r="J1">
            <v>1.7453292519943295E-2</v>
          </cell>
        </row>
      </sheetData>
      <sheetData sheetId="6120">
        <row r="1">
          <cell r="J1">
            <v>1.7453292519943295E-2</v>
          </cell>
        </row>
      </sheetData>
      <sheetData sheetId="6121" refreshError="1"/>
      <sheetData sheetId="6122" refreshError="1"/>
      <sheetData sheetId="6123" refreshError="1"/>
      <sheetData sheetId="6124" refreshError="1"/>
      <sheetData sheetId="6125" refreshError="1"/>
      <sheetData sheetId="6126">
        <row r="1">
          <cell r="J1">
            <v>1.7453292519943295E-2</v>
          </cell>
        </row>
      </sheetData>
      <sheetData sheetId="6127"/>
      <sheetData sheetId="6128">
        <row r="1">
          <cell r="J1">
            <v>1.7453292519943295E-2</v>
          </cell>
        </row>
      </sheetData>
      <sheetData sheetId="6129" refreshError="1"/>
      <sheetData sheetId="6130" refreshError="1"/>
      <sheetData sheetId="6131" refreshError="1"/>
      <sheetData sheetId="6132">
        <row r="2">
          <cell r="B2">
            <v>1</v>
          </cell>
        </row>
      </sheetData>
      <sheetData sheetId="6133">
        <row r="1">
          <cell r="J1">
            <v>1.7453292519943295E-2</v>
          </cell>
        </row>
      </sheetData>
      <sheetData sheetId="6134" refreshError="1"/>
      <sheetData sheetId="6135" refreshError="1"/>
      <sheetData sheetId="6136" refreshError="1"/>
      <sheetData sheetId="6137">
        <row r="1">
          <cell r="J1">
            <v>1.7453292519943295E-2</v>
          </cell>
        </row>
      </sheetData>
      <sheetData sheetId="6138">
        <row r="1">
          <cell r="J1">
            <v>1.7453292519943295E-2</v>
          </cell>
        </row>
      </sheetData>
      <sheetData sheetId="6139">
        <row r="1">
          <cell r="J1">
            <v>1.7453292519943295E-2</v>
          </cell>
        </row>
      </sheetData>
      <sheetData sheetId="6140">
        <row r="1">
          <cell r="J1">
            <v>1.7453292519943295E-2</v>
          </cell>
        </row>
      </sheetData>
      <sheetData sheetId="6141">
        <row r="1">
          <cell r="J1">
            <v>1.7453292519943295E-2</v>
          </cell>
        </row>
      </sheetData>
      <sheetData sheetId="6142">
        <row r="1">
          <cell r="J1">
            <v>1.7453292519943295E-2</v>
          </cell>
        </row>
      </sheetData>
      <sheetData sheetId="6143">
        <row r="1">
          <cell r="J1">
            <v>1.7453292519943295E-2</v>
          </cell>
        </row>
      </sheetData>
      <sheetData sheetId="6144">
        <row r="1">
          <cell r="J1">
            <v>1.7453292519943295E-2</v>
          </cell>
        </row>
      </sheetData>
      <sheetData sheetId="6145" refreshError="1"/>
      <sheetData sheetId="6146" refreshError="1"/>
      <sheetData sheetId="6147" refreshError="1"/>
      <sheetData sheetId="6148" refreshError="1"/>
      <sheetData sheetId="6149" refreshError="1"/>
      <sheetData sheetId="6150">
        <row r="1">
          <cell r="J1">
            <v>1.7453292519943295E-2</v>
          </cell>
        </row>
      </sheetData>
      <sheetData sheetId="6151">
        <row r="1">
          <cell r="J1">
            <v>1.7453292519943295E-2</v>
          </cell>
        </row>
      </sheetData>
      <sheetData sheetId="6152" refreshError="1"/>
      <sheetData sheetId="6153" refreshError="1"/>
      <sheetData sheetId="6154">
        <row r="1">
          <cell r="J1">
            <v>1.7453292519943295E-2</v>
          </cell>
        </row>
      </sheetData>
      <sheetData sheetId="6155" refreshError="1"/>
      <sheetData sheetId="6156" refreshError="1"/>
      <sheetData sheetId="6157" refreshError="1"/>
      <sheetData sheetId="6158">
        <row r="1">
          <cell r="J1">
            <v>1.7453292519943295E-2</v>
          </cell>
        </row>
      </sheetData>
      <sheetData sheetId="6159">
        <row r="1">
          <cell r="J1">
            <v>1.7453292519943295E-2</v>
          </cell>
        </row>
      </sheetData>
      <sheetData sheetId="6160" refreshError="1"/>
      <sheetData sheetId="6161">
        <row r="1">
          <cell r="J1">
            <v>1.7453292519943295E-2</v>
          </cell>
        </row>
      </sheetData>
      <sheetData sheetId="6162">
        <row r="1">
          <cell r="J1">
            <v>1.7453292519943295E-2</v>
          </cell>
        </row>
      </sheetData>
      <sheetData sheetId="6163" refreshError="1"/>
      <sheetData sheetId="6164" refreshError="1"/>
      <sheetData sheetId="6165">
        <row r="1">
          <cell r="J1">
            <v>1.7453292519943295E-2</v>
          </cell>
        </row>
      </sheetData>
      <sheetData sheetId="6166" refreshError="1"/>
      <sheetData sheetId="6167" refreshError="1"/>
      <sheetData sheetId="6168" refreshError="1"/>
      <sheetData sheetId="6169">
        <row r="1">
          <cell r="J1">
            <v>1.7453292519943295E-2</v>
          </cell>
        </row>
      </sheetData>
      <sheetData sheetId="6170">
        <row r="1">
          <cell r="J1">
            <v>1.7453292519943295E-2</v>
          </cell>
        </row>
      </sheetData>
      <sheetData sheetId="6171" refreshError="1"/>
      <sheetData sheetId="6172" refreshError="1"/>
      <sheetData sheetId="6173" refreshError="1"/>
      <sheetData sheetId="6174">
        <row r="1">
          <cell r="J1">
            <v>1.7453292519943295E-2</v>
          </cell>
        </row>
      </sheetData>
      <sheetData sheetId="6175" refreshError="1"/>
      <sheetData sheetId="6176" refreshError="1"/>
      <sheetData sheetId="6177" refreshError="1"/>
      <sheetData sheetId="6178" refreshError="1"/>
      <sheetData sheetId="6179">
        <row r="1">
          <cell r="J1">
            <v>1.7453292519943295E-2</v>
          </cell>
        </row>
      </sheetData>
      <sheetData sheetId="6180" refreshError="1"/>
      <sheetData sheetId="6181">
        <row r="1">
          <cell r="J1">
            <v>1.7453292519943295E-2</v>
          </cell>
        </row>
      </sheetData>
      <sheetData sheetId="6182">
        <row r="1">
          <cell r="J1">
            <v>1.7453292519943295E-2</v>
          </cell>
        </row>
      </sheetData>
      <sheetData sheetId="6183">
        <row r="1">
          <cell r="J1">
            <v>1.7453292519943295E-2</v>
          </cell>
        </row>
      </sheetData>
      <sheetData sheetId="6184">
        <row r="1">
          <cell r="J1">
            <v>1.7453292519943295E-2</v>
          </cell>
        </row>
      </sheetData>
      <sheetData sheetId="6185">
        <row r="1">
          <cell r="J1">
            <v>1.7453292519943295E-2</v>
          </cell>
        </row>
      </sheetData>
      <sheetData sheetId="6186">
        <row r="1">
          <cell r="J1">
            <v>1.7453292519943295E-2</v>
          </cell>
        </row>
      </sheetData>
      <sheetData sheetId="6187">
        <row r="1">
          <cell r="J1">
            <v>1.7453292519943295E-2</v>
          </cell>
        </row>
      </sheetData>
      <sheetData sheetId="6188">
        <row r="1">
          <cell r="J1">
            <v>1.7453292519943295E-2</v>
          </cell>
        </row>
      </sheetData>
      <sheetData sheetId="6189">
        <row r="1">
          <cell r="J1">
            <v>1.7453292519943295E-2</v>
          </cell>
        </row>
      </sheetData>
      <sheetData sheetId="6190">
        <row r="1">
          <cell r="J1">
            <v>1.7453292519943295E-2</v>
          </cell>
        </row>
      </sheetData>
      <sheetData sheetId="6191">
        <row r="1">
          <cell r="J1">
            <v>1.7453292519943295E-2</v>
          </cell>
        </row>
      </sheetData>
      <sheetData sheetId="6192">
        <row r="1">
          <cell r="J1">
            <v>1.7453292519943295E-2</v>
          </cell>
        </row>
      </sheetData>
      <sheetData sheetId="6193">
        <row r="1">
          <cell r="J1">
            <v>1.7453292519943295E-2</v>
          </cell>
        </row>
      </sheetData>
      <sheetData sheetId="6194">
        <row r="1">
          <cell r="J1">
            <v>1.7453292519943295E-2</v>
          </cell>
        </row>
      </sheetData>
      <sheetData sheetId="6195">
        <row r="1">
          <cell r="J1">
            <v>1.7453292519943295E-2</v>
          </cell>
        </row>
      </sheetData>
      <sheetData sheetId="6196">
        <row r="1">
          <cell r="J1">
            <v>1.7453292519943295E-2</v>
          </cell>
        </row>
      </sheetData>
      <sheetData sheetId="6197">
        <row r="1">
          <cell r="J1">
            <v>1.7453292519943295E-2</v>
          </cell>
        </row>
      </sheetData>
      <sheetData sheetId="6198">
        <row r="1">
          <cell r="J1">
            <v>1.7453292519943295E-2</v>
          </cell>
        </row>
      </sheetData>
      <sheetData sheetId="6199">
        <row r="1">
          <cell r="J1">
            <v>1.7453292519943295E-2</v>
          </cell>
        </row>
      </sheetData>
      <sheetData sheetId="6200">
        <row r="1">
          <cell r="J1">
            <v>1.7453292519943295E-2</v>
          </cell>
        </row>
      </sheetData>
      <sheetData sheetId="6201">
        <row r="1">
          <cell r="J1">
            <v>1.7453292519943295E-2</v>
          </cell>
        </row>
      </sheetData>
      <sheetData sheetId="6202">
        <row r="1">
          <cell r="J1">
            <v>1.7453292519943295E-2</v>
          </cell>
        </row>
      </sheetData>
      <sheetData sheetId="6203">
        <row r="1">
          <cell r="J1">
            <v>1.7453292519943295E-2</v>
          </cell>
        </row>
      </sheetData>
      <sheetData sheetId="6204">
        <row r="1">
          <cell r="J1">
            <v>1.7453292519943295E-2</v>
          </cell>
        </row>
      </sheetData>
      <sheetData sheetId="6205">
        <row r="1">
          <cell r="J1">
            <v>1.7453292519943295E-2</v>
          </cell>
        </row>
      </sheetData>
      <sheetData sheetId="6206">
        <row r="1">
          <cell r="J1">
            <v>1.7453292519943295E-2</v>
          </cell>
        </row>
      </sheetData>
      <sheetData sheetId="6207">
        <row r="1">
          <cell r="J1">
            <v>1.7453292519943295E-2</v>
          </cell>
        </row>
      </sheetData>
      <sheetData sheetId="6208">
        <row r="1">
          <cell r="J1">
            <v>1.7453292519943295E-2</v>
          </cell>
        </row>
      </sheetData>
      <sheetData sheetId="6209">
        <row r="1">
          <cell r="J1">
            <v>1.7453292519943295E-2</v>
          </cell>
        </row>
      </sheetData>
      <sheetData sheetId="6210">
        <row r="1">
          <cell r="J1">
            <v>1.7453292519943295E-2</v>
          </cell>
        </row>
      </sheetData>
      <sheetData sheetId="6211">
        <row r="1">
          <cell r="J1">
            <v>1.7453292519943295E-2</v>
          </cell>
        </row>
      </sheetData>
      <sheetData sheetId="6212">
        <row r="1">
          <cell r="J1">
            <v>1.7453292519943295E-2</v>
          </cell>
        </row>
      </sheetData>
      <sheetData sheetId="6213">
        <row r="1">
          <cell r="J1">
            <v>1.7453292519943295E-2</v>
          </cell>
        </row>
      </sheetData>
      <sheetData sheetId="6214">
        <row r="1">
          <cell r="J1">
            <v>1.7453292519943295E-2</v>
          </cell>
        </row>
      </sheetData>
      <sheetData sheetId="6215">
        <row r="1">
          <cell r="J1">
            <v>1.7453292519943295E-2</v>
          </cell>
        </row>
      </sheetData>
      <sheetData sheetId="6216">
        <row r="1">
          <cell r="J1">
            <v>1.7453292519943295E-2</v>
          </cell>
        </row>
      </sheetData>
      <sheetData sheetId="6217">
        <row r="1">
          <cell r="J1">
            <v>1.7453292519943295E-2</v>
          </cell>
        </row>
      </sheetData>
      <sheetData sheetId="6218">
        <row r="1">
          <cell r="J1">
            <v>1.7453292519943295E-2</v>
          </cell>
        </row>
      </sheetData>
      <sheetData sheetId="6219">
        <row r="1">
          <cell r="J1">
            <v>1.7453292519943295E-2</v>
          </cell>
        </row>
      </sheetData>
      <sheetData sheetId="6220">
        <row r="1">
          <cell r="J1">
            <v>1.7453292519943295E-2</v>
          </cell>
        </row>
      </sheetData>
      <sheetData sheetId="6221">
        <row r="1">
          <cell r="J1">
            <v>1.7453292519943295E-2</v>
          </cell>
        </row>
      </sheetData>
      <sheetData sheetId="6222">
        <row r="1">
          <cell r="J1">
            <v>1.7453292519943295E-2</v>
          </cell>
        </row>
      </sheetData>
      <sheetData sheetId="6223">
        <row r="1">
          <cell r="J1">
            <v>1.7453292519943295E-2</v>
          </cell>
        </row>
      </sheetData>
      <sheetData sheetId="6224">
        <row r="1">
          <cell r="J1">
            <v>1.7453292519943295E-2</v>
          </cell>
        </row>
      </sheetData>
      <sheetData sheetId="6225">
        <row r="1">
          <cell r="J1">
            <v>1.7453292519943295E-2</v>
          </cell>
        </row>
      </sheetData>
      <sheetData sheetId="6226">
        <row r="1">
          <cell r="J1">
            <v>1.7453292519943295E-2</v>
          </cell>
        </row>
      </sheetData>
      <sheetData sheetId="6227">
        <row r="1">
          <cell r="J1">
            <v>1.7453292519943295E-2</v>
          </cell>
        </row>
      </sheetData>
      <sheetData sheetId="6228">
        <row r="1">
          <cell r="J1">
            <v>1.7453292519943295E-2</v>
          </cell>
        </row>
      </sheetData>
      <sheetData sheetId="6229">
        <row r="1">
          <cell r="J1">
            <v>1.7453292519943295E-2</v>
          </cell>
        </row>
      </sheetData>
      <sheetData sheetId="6230">
        <row r="1">
          <cell r="J1">
            <v>1.7453292519943295E-2</v>
          </cell>
        </row>
      </sheetData>
      <sheetData sheetId="6231">
        <row r="1">
          <cell r="J1">
            <v>1.7453292519943295E-2</v>
          </cell>
        </row>
      </sheetData>
      <sheetData sheetId="6232">
        <row r="1">
          <cell r="J1">
            <v>1.7453292519943295E-2</v>
          </cell>
        </row>
      </sheetData>
      <sheetData sheetId="6233">
        <row r="1">
          <cell r="J1">
            <v>1.7453292519943295E-2</v>
          </cell>
        </row>
      </sheetData>
      <sheetData sheetId="6234">
        <row r="1">
          <cell r="J1">
            <v>1.7453292519943295E-2</v>
          </cell>
        </row>
      </sheetData>
      <sheetData sheetId="6235">
        <row r="1">
          <cell r="J1">
            <v>1.7453292519943295E-2</v>
          </cell>
        </row>
      </sheetData>
      <sheetData sheetId="6236">
        <row r="1">
          <cell r="J1">
            <v>1.7453292519943295E-2</v>
          </cell>
        </row>
      </sheetData>
      <sheetData sheetId="6237">
        <row r="1">
          <cell r="J1">
            <v>1.7453292519943295E-2</v>
          </cell>
        </row>
      </sheetData>
      <sheetData sheetId="6238">
        <row r="1">
          <cell r="J1">
            <v>1.7453292519943295E-2</v>
          </cell>
        </row>
      </sheetData>
      <sheetData sheetId="6239">
        <row r="1">
          <cell r="J1">
            <v>1.7453292519943295E-2</v>
          </cell>
        </row>
      </sheetData>
      <sheetData sheetId="6240">
        <row r="1">
          <cell r="J1">
            <v>1.7453292519943295E-2</v>
          </cell>
        </row>
      </sheetData>
      <sheetData sheetId="6241">
        <row r="1">
          <cell r="J1">
            <v>1.7453292519943295E-2</v>
          </cell>
        </row>
      </sheetData>
      <sheetData sheetId="6242">
        <row r="1">
          <cell r="J1">
            <v>1.7453292519943295E-2</v>
          </cell>
        </row>
      </sheetData>
      <sheetData sheetId="6243">
        <row r="1">
          <cell r="J1">
            <v>1.7453292519943295E-2</v>
          </cell>
        </row>
      </sheetData>
      <sheetData sheetId="6244">
        <row r="1">
          <cell r="J1">
            <v>1.7453292519943295E-2</v>
          </cell>
        </row>
      </sheetData>
      <sheetData sheetId="6245">
        <row r="1">
          <cell r="J1">
            <v>1.7453292519943295E-2</v>
          </cell>
        </row>
      </sheetData>
      <sheetData sheetId="6246">
        <row r="1">
          <cell r="J1">
            <v>1.7453292519943295E-2</v>
          </cell>
        </row>
      </sheetData>
      <sheetData sheetId="6247">
        <row r="1">
          <cell r="J1">
            <v>1.7453292519943295E-2</v>
          </cell>
        </row>
      </sheetData>
      <sheetData sheetId="6248">
        <row r="1">
          <cell r="J1">
            <v>1.7453292519943295E-2</v>
          </cell>
        </row>
      </sheetData>
      <sheetData sheetId="6249">
        <row r="1">
          <cell r="J1">
            <v>1.7453292519943295E-2</v>
          </cell>
        </row>
      </sheetData>
      <sheetData sheetId="6250">
        <row r="1">
          <cell r="J1">
            <v>1.7453292519943295E-2</v>
          </cell>
        </row>
      </sheetData>
      <sheetData sheetId="6251">
        <row r="1">
          <cell r="J1">
            <v>1.7453292519943295E-2</v>
          </cell>
        </row>
      </sheetData>
      <sheetData sheetId="6252">
        <row r="1">
          <cell r="J1">
            <v>1.7453292519943295E-2</v>
          </cell>
        </row>
      </sheetData>
      <sheetData sheetId="6253">
        <row r="1">
          <cell r="J1">
            <v>1.7453292519943295E-2</v>
          </cell>
        </row>
      </sheetData>
      <sheetData sheetId="6254">
        <row r="1">
          <cell r="J1">
            <v>1.7453292519943295E-2</v>
          </cell>
        </row>
      </sheetData>
      <sheetData sheetId="6255">
        <row r="1">
          <cell r="J1">
            <v>1.7453292519943295E-2</v>
          </cell>
        </row>
      </sheetData>
      <sheetData sheetId="6256">
        <row r="1">
          <cell r="J1">
            <v>1.7453292519943295E-2</v>
          </cell>
        </row>
      </sheetData>
      <sheetData sheetId="6257">
        <row r="1">
          <cell r="J1">
            <v>1.7453292519943295E-2</v>
          </cell>
        </row>
      </sheetData>
      <sheetData sheetId="6258">
        <row r="1">
          <cell r="J1">
            <v>1.7453292519943295E-2</v>
          </cell>
        </row>
      </sheetData>
      <sheetData sheetId="6259">
        <row r="1">
          <cell r="J1">
            <v>1.7453292519943295E-2</v>
          </cell>
        </row>
      </sheetData>
      <sheetData sheetId="6260">
        <row r="1">
          <cell r="J1">
            <v>1.7453292519943295E-2</v>
          </cell>
        </row>
      </sheetData>
      <sheetData sheetId="6261">
        <row r="1">
          <cell r="J1">
            <v>1.7453292519943295E-2</v>
          </cell>
        </row>
      </sheetData>
      <sheetData sheetId="6262">
        <row r="1">
          <cell r="J1">
            <v>1.7453292519943295E-2</v>
          </cell>
        </row>
      </sheetData>
      <sheetData sheetId="6263">
        <row r="1">
          <cell r="J1">
            <v>1.7453292519943295E-2</v>
          </cell>
        </row>
      </sheetData>
      <sheetData sheetId="6264">
        <row r="1">
          <cell r="J1">
            <v>1.7453292519943295E-2</v>
          </cell>
        </row>
      </sheetData>
      <sheetData sheetId="6265">
        <row r="1">
          <cell r="J1">
            <v>1.7453292519943295E-2</v>
          </cell>
        </row>
      </sheetData>
      <sheetData sheetId="6266">
        <row r="1">
          <cell r="J1">
            <v>1.7453292519943295E-2</v>
          </cell>
        </row>
      </sheetData>
      <sheetData sheetId="6267">
        <row r="1">
          <cell r="J1">
            <v>1.7453292519943295E-2</v>
          </cell>
        </row>
      </sheetData>
      <sheetData sheetId="6268">
        <row r="1">
          <cell r="J1">
            <v>1.7453292519943295E-2</v>
          </cell>
        </row>
      </sheetData>
      <sheetData sheetId="6269">
        <row r="1">
          <cell r="J1">
            <v>1.7453292519943295E-2</v>
          </cell>
        </row>
      </sheetData>
      <sheetData sheetId="6270">
        <row r="1">
          <cell r="J1">
            <v>1.7453292519943295E-2</v>
          </cell>
        </row>
      </sheetData>
      <sheetData sheetId="6271">
        <row r="1">
          <cell r="J1">
            <v>1.7453292519943295E-2</v>
          </cell>
        </row>
      </sheetData>
      <sheetData sheetId="6272">
        <row r="1">
          <cell r="J1">
            <v>1.7453292519943295E-2</v>
          </cell>
        </row>
      </sheetData>
      <sheetData sheetId="6273">
        <row r="1">
          <cell r="J1">
            <v>1.7453292519943295E-2</v>
          </cell>
        </row>
      </sheetData>
      <sheetData sheetId="6274">
        <row r="1">
          <cell r="J1">
            <v>1.7453292519943295E-2</v>
          </cell>
        </row>
      </sheetData>
      <sheetData sheetId="6275">
        <row r="1">
          <cell r="J1">
            <v>1.7453292519943295E-2</v>
          </cell>
        </row>
      </sheetData>
      <sheetData sheetId="6276">
        <row r="1">
          <cell r="J1">
            <v>1.7453292519943295E-2</v>
          </cell>
        </row>
      </sheetData>
      <sheetData sheetId="6277">
        <row r="1">
          <cell r="J1">
            <v>1.7453292519943295E-2</v>
          </cell>
        </row>
      </sheetData>
      <sheetData sheetId="6278">
        <row r="1">
          <cell r="J1">
            <v>1.7453292519943295E-2</v>
          </cell>
        </row>
      </sheetData>
      <sheetData sheetId="6279">
        <row r="1">
          <cell r="J1">
            <v>1.7453292519943295E-2</v>
          </cell>
        </row>
      </sheetData>
      <sheetData sheetId="6280">
        <row r="1">
          <cell r="J1">
            <v>1.7453292519943295E-2</v>
          </cell>
        </row>
      </sheetData>
      <sheetData sheetId="6281">
        <row r="1">
          <cell r="J1">
            <v>1.7453292519943295E-2</v>
          </cell>
        </row>
      </sheetData>
      <sheetData sheetId="6282">
        <row r="1">
          <cell r="J1">
            <v>1.7453292519943295E-2</v>
          </cell>
        </row>
      </sheetData>
      <sheetData sheetId="6283">
        <row r="1">
          <cell r="J1">
            <v>1.7453292519943295E-2</v>
          </cell>
        </row>
      </sheetData>
      <sheetData sheetId="6284">
        <row r="1">
          <cell r="J1">
            <v>1.7453292519943295E-2</v>
          </cell>
        </row>
      </sheetData>
      <sheetData sheetId="6285">
        <row r="1">
          <cell r="J1">
            <v>1.7453292519943295E-2</v>
          </cell>
        </row>
      </sheetData>
      <sheetData sheetId="6286">
        <row r="1">
          <cell r="J1">
            <v>1.7453292519943295E-2</v>
          </cell>
        </row>
      </sheetData>
      <sheetData sheetId="6287">
        <row r="1">
          <cell r="J1">
            <v>1.7453292519943295E-2</v>
          </cell>
        </row>
      </sheetData>
      <sheetData sheetId="6288">
        <row r="1">
          <cell r="J1">
            <v>1.7453292519943295E-2</v>
          </cell>
        </row>
      </sheetData>
      <sheetData sheetId="6289">
        <row r="1">
          <cell r="J1">
            <v>1.7453292519943295E-2</v>
          </cell>
        </row>
      </sheetData>
      <sheetData sheetId="6290">
        <row r="1">
          <cell r="J1">
            <v>1.7453292519943295E-2</v>
          </cell>
        </row>
      </sheetData>
      <sheetData sheetId="6291">
        <row r="1">
          <cell r="J1">
            <v>1.7453292519943295E-2</v>
          </cell>
        </row>
      </sheetData>
      <sheetData sheetId="6292">
        <row r="1">
          <cell r="J1">
            <v>1.7453292519943295E-2</v>
          </cell>
        </row>
      </sheetData>
      <sheetData sheetId="6293">
        <row r="1">
          <cell r="J1">
            <v>1.7453292519943295E-2</v>
          </cell>
        </row>
      </sheetData>
      <sheetData sheetId="6294">
        <row r="1">
          <cell r="J1">
            <v>1.7453292519943295E-2</v>
          </cell>
        </row>
      </sheetData>
      <sheetData sheetId="6295">
        <row r="1">
          <cell r="J1">
            <v>1.7453292519943295E-2</v>
          </cell>
        </row>
      </sheetData>
      <sheetData sheetId="6296">
        <row r="1">
          <cell r="J1">
            <v>1.7453292519943295E-2</v>
          </cell>
        </row>
      </sheetData>
      <sheetData sheetId="6297">
        <row r="1">
          <cell r="J1">
            <v>1.7453292519943295E-2</v>
          </cell>
        </row>
      </sheetData>
      <sheetData sheetId="6298">
        <row r="1">
          <cell r="J1">
            <v>1.7453292519943295E-2</v>
          </cell>
        </row>
      </sheetData>
      <sheetData sheetId="6299">
        <row r="1">
          <cell r="J1">
            <v>1.7453292519943295E-2</v>
          </cell>
        </row>
      </sheetData>
      <sheetData sheetId="6300">
        <row r="1">
          <cell r="J1">
            <v>1.7453292519943295E-2</v>
          </cell>
        </row>
      </sheetData>
      <sheetData sheetId="6301">
        <row r="1">
          <cell r="J1">
            <v>1.7453292519943295E-2</v>
          </cell>
        </row>
      </sheetData>
      <sheetData sheetId="6302">
        <row r="1">
          <cell r="J1">
            <v>1.7453292519943295E-2</v>
          </cell>
        </row>
      </sheetData>
      <sheetData sheetId="6303">
        <row r="1">
          <cell r="J1">
            <v>1.7453292519943295E-2</v>
          </cell>
        </row>
      </sheetData>
      <sheetData sheetId="6304">
        <row r="1">
          <cell r="J1">
            <v>1.7453292519943295E-2</v>
          </cell>
        </row>
      </sheetData>
      <sheetData sheetId="6305">
        <row r="1">
          <cell r="J1">
            <v>1.7453292519943295E-2</v>
          </cell>
        </row>
      </sheetData>
      <sheetData sheetId="6306">
        <row r="1">
          <cell r="J1">
            <v>1.7453292519943295E-2</v>
          </cell>
        </row>
      </sheetData>
      <sheetData sheetId="6307">
        <row r="1">
          <cell r="J1">
            <v>1.7453292519943295E-2</v>
          </cell>
        </row>
      </sheetData>
      <sheetData sheetId="6308">
        <row r="1">
          <cell r="J1">
            <v>1.7453292519943295E-2</v>
          </cell>
        </row>
      </sheetData>
      <sheetData sheetId="6309">
        <row r="1">
          <cell r="J1">
            <v>1.7453292519943295E-2</v>
          </cell>
        </row>
      </sheetData>
      <sheetData sheetId="6310">
        <row r="1">
          <cell r="J1">
            <v>1.7453292519943295E-2</v>
          </cell>
        </row>
      </sheetData>
      <sheetData sheetId="6311">
        <row r="1">
          <cell r="J1">
            <v>1.7453292519943295E-2</v>
          </cell>
        </row>
      </sheetData>
      <sheetData sheetId="6312">
        <row r="1">
          <cell r="J1">
            <v>1.7453292519943295E-2</v>
          </cell>
        </row>
      </sheetData>
      <sheetData sheetId="6313">
        <row r="1">
          <cell r="J1">
            <v>1.7453292519943295E-2</v>
          </cell>
        </row>
      </sheetData>
      <sheetData sheetId="6314">
        <row r="1">
          <cell r="J1">
            <v>1.7453292519943295E-2</v>
          </cell>
        </row>
      </sheetData>
      <sheetData sheetId="6315">
        <row r="1">
          <cell r="J1">
            <v>1.7453292519943295E-2</v>
          </cell>
        </row>
      </sheetData>
      <sheetData sheetId="6316">
        <row r="1">
          <cell r="J1">
            <v>1.7453292519943295E-2</v>
          </cell>
        </row>
      </sheetData>
      <sheetData sheetId="6317">
        <row r="1">
          <cell r="J1">
            <v>1.7453292519943295E-2</v>
          </cell>
        </row>
      </sheetData>
      <sheetData sheetId="6318">
        <row r="1">
          <cell r="J1">
            <v>1.7453292519943295E-2</v>
          </cell>
        </row>
      </sheetData>
      <sheetData sheetId="6319">
        <row r="1">
          <cell r="J1">
            <v>1.7453292519943295E-2</v>
          </cell>
        </row>
      </sheetData>
      <sheetData sheetId="6320">
        <row r="1">
          <cell r="J1">
            <v>1.7453292519943295E-2</v>
          </cell>
        </row>
      </sheetData>
      <sheetData sheetId="6321">
        <row r="2">
          <cell r="B2">
            <v>1</v>
          </cell>
        </row>
      </sheetData>
      <sheetData sheetId="6322">
        <row r="2">
          <cell r="B2">
            <v>1</v>
          </cell>
        </row>
      </sheetData>
      <sheetData sheetId="6323">
        <row r="2">
          <cell r="B2">
            <v>1</v>
          </cell>
        </row>
      </sheetData>
      <sheetData sheetId="6324">
        <row r="2">
          <cell r="B2">
            <v>1</v>
          </cell>
        </row>
      </sheetData>
      <sheetData sheetId="6325">
        <row r="2">
          <cell r="B2">
            <v>1</v>
          </cell>
        </row>
      </sheetData>
      <sheetData sheetId="6326">
        <row r="2">
          <cell r="B2">
            <v>1</v>
          </cell>
        </row>
      </sheetData>
      <sheetData sheetId="6327">
        <row r="2">
          <cell r="B2">
            <v>1</v>
          </cell>
        </row>
      </sheetData>
      <sheetData sheetId="6328">
        <row r="2">
          <cell r="B2">
            <v>1</v>
          </cell>
        </row>
      </sheetData>
      <sheetData sheetId="6329">
        <row r="2">
          <cell r="B2">
            <v>1</v>
          </cell>
        </row>
      </sheetData>
      <sheetData sheetId="6330">
        <row r="2">
          <cell r="B2">
            <v>1</v>
          </cell>
        </row>
      </sheetData>
      <sheetData sheetId="6331">
        <row r="2">
          <cell r="B2">
            <v>1</v>
          </cell>
        </row>
      </sheetData>
      <sheetData sheetId="6332">
        <row r="2">
          <cell r="B2">
            <v>1</v>
          </cell>
        </row>
      </sheetData>
      <sheetData sheetId="6333">
        <row r="2">
          <cell r="B2">
            <v>1</v>
          </cell>
        </row>
      </sheetData>
      <sheetData sheetId="6334">
        <row r="2">
          <cell r="B2">
            <v>1</v>
          </cell>
        </row>
      </sheetData>
      <sheetData sheetId="6335">
        <row r="2">
          <cell r="B2">
            <v>1</v>
          </cell>
        </row>
      </sheetData>
      <sheetData sheetId="6336">
        <row r="2">
          <cell r="B2">
            <v>1</v>
          </cell>
        </row>
      </sheetData>
      <sheetData sheetId="6337">
        <row r="2">
          <cell r="B2">
            <v>1</v>
          </cell>
        </row>
      </sheetData>
      <sheetData sheetId="6338">
        <row r="2">
          <cell r="B2">
            <v>1</v>
          </cell>
        </row>
      </sheetData>
      <sheetData sheetId="6339">
        <row r="2">
          <cell r="B2">
            <v>1</v>
          </cell>
        </row>
      </sheetData>
      <sheetData sheetId="6340">
        <row r="2">
          <cell r="B2">
            <v>1</v>
          </cell>
        </row>
      </sheetData>
      <sheetData sheetId="6341">
        <row r="2">
          <cell r="B2">
            <v>1</v>
          </cell>
        </row>
      </sheetData>
      <sheetData sheetId="6342">
        <row r="2">
          <cell r="B2">
            <v>1</v>
          </cell>
        </row>
      </sheetData>
      <sheetData sheetId="6343">
        <row r="2">
          <cell r="B2">
            <v>1</v>
          </cell>
        </row>
      </sheetData>
      <sheetData sheetId="6344">
        <row r="2">
          <cell r="B2">
            <v>1</v>
          </cell>
        </row>
      </sheetData>
      <sheetData sheetId="6345">
        <row r="2">
          <cell r="B2">
            <v>1</v>
          </cell>
        </row>
      </sheetData>
      <sheetData sheetId="6346">
        <row r="2">
          <cell r="B2">
            <v>1</v>
          </cell>
        </row>
      </sheetData>
      <sheetData sheetId="6347">
        <row r="2">
          <cell r="B2">
            <v>1</v>
          </cell>
        </row>
      </sheetData>
      <sheetData sheetId="6348">
        <row r="2">
          <cell r="B2">
            <v>1</v>
          </cell>
        </row>
      </sheetData>
      <sheetData sheetId="6349">
        <row r="2">
          <cell r="B2">
            <v>1</v>
          </cell>
        </row>
      </sheetData>
      <sheetData sheetId="6350">
        <row r="2">
          <cell r="B2">
            <v>1</v>
          </cell>
        </row>
      </sheetData>
      <sheetData sheetId="6351">
        <row r="2">
          <cell r="B2">
            <v>1</v>
          </cell>
        </row>
      </sheetData>
      <sheetData sheetId="6352">
        <row r="2">
          <cell r="B2">
            <v>1</v>
          </cell>
        </row>
      </sheetData>
      <sheetData sheetId="6353">
        <row r="2">
          <cell r="B2">
            <v>1</v>
          </cell>
        </row>
      </sheetData>
      <sheetData sheetId="6354">
        <row r="2">
          <cell r="B2">
            <v>1</v>
          </cell>
        </row>
      </sheetData>
      <sheetData sheetId="6355">
        <row r="2">
          <cell r="B2">
            <v>1</v>
          </cell>
        </row>
      </sheetData>
      <sheetData sheetId="6356">
        <row r="2">
          <cell r="B2">
            <v>1</v>
          </cell>
        </row>
      </sheetData>
      <sheetData sheetId="6357">
        <row r="2">
          <cell r="B2">
            <v>1</v>
          </cell>
        </row>
      </sheetData>
      <sheetData sheetId="6358">
        <row r="2">
          <cell r="B2">
            <v>1</v>
          </cell>
        </row>
      </sheetData>
      <sheetData sheetId="6359">
        <row r="2">
          <cell r="B2">
            <v>1</v>
          </cell>
        </row>
      </sheetData>
      <sheetData sheetId="6360">
        <row r="2">
          <cell r="B2">
            <v>1</v>
          </cell>
        </row>
      </sheetData>
      <sheetData sheetId="6361">
        <row r="2">
          <cell r="B2">
            <v>1</v>
          </cell>
        </row>
      </sheetData>
      <sheetData sheetId="6362">
        <row r="2">
          <cell r="B2">
            <v>1</v>
          </cell>
        </row>
      </sheetData>
      <sheetData sheetId="6363">
        <row r="2">
          <cell r="B2">
            <v>1</v>
          </cell>
        </row>
      </sheetData>
      <sheetData sheetId="6364">
        <row r="2">
          <cell r="B2">
            <v>1</v>
          </cell>
        </row>
      </sheetData>
      <sheetData sheetId="6365">
        <row r="2">
          <cell r="B2">
            <v>1</v>
          </cell>
        </row>
      </sheetData>
      <sheetData sheetId="6366">
        <row r="2">
          <cell r="B2">
            <v>1</v>
          </cell>
        </row>
      </sheetData>
      <sheetData sheetId="6367">
        <row r="2">
          <cell r="B2">
            <v>1</v>
          </cell>
        </row>
      </sheetData>
      <sheetData sheetId="6368">
        <row r="2">
          <cell r="B2">
            <v>1</v>
          </cell>
        </row>
      </sheetData>
      <sheetData sheetId="6369">
        <row r="2">
          <cell r="B2">
            <v>1</v>
          </cell>
        </row>
      </sheetData>
      <sheetData sheetId="6370">
        <row r="2">
          <cell r="B2">
            <v>1</v>
          </cell>
        </row>
      </sheetData>
      <sheetData sheetId="6371">
        <row r="2">
          <cell r="B2">
            <v>1</v>
          </cell>
        </row>
      </sheetData>
      <sheetData sheetId="6372">
        <row r="2">
          <cell r="B2">
            <v>1</v>
          </cell>
        </row>
      </sheetData>
      <sheetData sheetId="6373">
        <row r="2">
          <cell r="B2">
            <v>1</v>
          </cell>
        </row>
      </sheetData>
      <sheetData sheetId="6374">
        <row r="2">
          <cell r="B2">
            <v>1</v>
          </cell>
        </row>
      </sheetData>
      <sheetData sheetId="6375">
        <row r="2">
          <cell r="B2">
            <v>1</v>
          </cell>
        </row>
      </sheetData>
      <sheetData sheetId="6376">
        <row r="2">
          <cell r="B2">
            <v>1</v>
          </cell>
        </row>
      </sheetData>
      <sheetData sheetId="6377">
        <row r="2">
          <cell r="B2">
            <v>1</v>
          </cell>
        </row>
      </sheetData>
      <sheetData sheetId="6378">
        <row r="2">
          <cell r="B2">
            <v>1</v>
          </cell>
        </row>
      </sheetData>
      <sheetData sheetId="6379">
        <row r="2">
          <cell r="B2">
            <v>1</v>
          </cell>
        </row>
      </sheetData>
      <sheetData sheetId="6380">
        <row r="2">
          <cell r="B2">
            <v>1</v>
          </cell>
        </row>
      </sheetData>
      <sheetData sheetId="6381">
        <row r="2">
          <cell r="B2">
            <v>1</v>
          </cell>
        </row>
      </sheetData>
      <sheetData sheetId="6382">
        <row r="2">
          <cell r="B2">
            <v>1</v>
          </cell>
        </row>
      </sheetData>
      <sheetData sheetId="6383">
        <row r="2">
          <cell r="B2">
            <v>1</v>
          </cell>
        </row>
      </sheetData>
      <sheetData sheetId="6384">
        <row r="2">
          <cell r="B2">
            <v>1</v>
          </cell>
        </row>
      </sheetData>
      <sheetData sheetId="6385">
        <row r="2">
          <cell r="B2">
            <v>1</v>
          </cell>
        </row>
      </sheetData>
      <sheetData sheetId="6386">
        <row r="2">
          <cell r="B2">
            <v>1</v>
          </cell>
        </row>
      </sheetData>
      <sheetData sheetId="6387">
        <row r="2">
          <cell r="B2">
            <v>1</v>
          </cell>
        </row>
      </sheetData>
      <sheetData sheetId="6388">
        <row r="2">
          <cell r="B2">
            <v>1</v>
          </cell>
        </row>
      </sheetData>
      <sheetData sheetId="6389">
        <row r="2">
          <cell r="B2">
            <v>1</v>
          </cell>
        </row>
      </sheetData>
      <sheetData sheetId="6390">
        <row r="2">
          <cell r="B2">
            <v>1</v>
          </cell>
        </row>
      </sheetData>
      <sheetData sheetId="6391">
        <row r="2">
          <cell r="B2">
            <v>1</v>
          </cell>
        </row>
      </sheetData>
      <sheetData sheetId="6392">
        <row r="2">
          <cell r="B2">
            <v>1</v>
          </cell>
        </row>
      </sheetData>
      <sheetData sheetId="6393">
        <row r="2">
          <cell r="B2">
            <v>1</v>
          </cell>
        </row>
      </sheetData>
      <sheetData sheetId="6394">
        <row r="2">
          <cell r="B2">
            <v>1</v>
          </cell>
        </row>
      </sheetData>
      <sheetData sheetId="6395">
        <row r="2">
          <cell r="B2">
            <v>1</v>
          </cell>
        </row>
      </sheetData>
      <sheetData sheetId="6396">
        <row r="2">
          <cell r="B2">
            <v>1</v>
          </cell>
        </row>
      </sheetData>
      <sheetData sheetId="6397">
        <row r="2">
          <cell r="B2">
            <v>1</v>
          </cell>
        </row>
      </sheetData>
      <sheetData sheetId="6398">
        <row r="2">
          <cell r="B2">
            <v>1</v>
          </cell>
        </row>
      </sheetData>
      <sheetData sheetId="6399">
        <row r="2">
          <cell r="B2">
            <v>1</v>
          </cell>
        </row>
      </sheetData>
      <sheetData sheetId="6400">
        <row r="2">
          <cell r="B2">
            <v>1</v>
          </cell>
        </row>
      </sheetData>
      <sheetData sheetId="6401">
        <row r="2">
          <cell r="B2">
            <v>1</v>
          </cell>
        </row>
      </sheetData>
      <sheetData sheetId="6402">
        <row r="2">
          <cell r="B2">
            <v>1</v>
          </cell>
        </row>
      </sheetData>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ow r="1">
          <cell r="J1">
            <v>1.7453292519943295E-2</v>
          </cell>
        </row>
      </sheetData>
      <sheetData sheetId="6879" refreshError="1"/>
      <sheetData sheetId="6880">
        <row r="1">
          <cell r="J1">
            <v>1.7453292519943295E-2</v>
          </cell>
        </row>
      </sheetData>
      <sheetData sheetId="6881" refreshError="1"/>
      <sheetData sheetId="6882" refreshError="1"/>
      <sheetData sheetId="6883" refreshError="1"/>
      <sheetData sheetId="6884" refreshError="1"/>
      <sheetData sheetId="6885" refreshError="1"/>
      <sheetData sheetId="6886" refreshError="1"/>
      <sheetData sheetId="6887" refreshError="1"/>
      <sheetData sheetId="6888">
        <row r="1">
          <cell r="J1">
            <v>1.7453292519943295E-2</v>
          </cell>
        </row>
      </sheetData>
      <sheetData sheetId="6889" refreshError="1"/>
      <sheetData sheetId="6890" refreshError="1"/>
      <sheetData sheetId="6891" refreshError="1"/>
      <sheetData sheetId="6892" refreshError="1"/>
      <sheetData sheetId="6893" refreshError="1"/>
      <sheetData sheetId="6894">
        <row r="1">
          <cell r="J1">
            <v>1.7453292519943295E-2</v>
          </cell>
        </row>
      </sheetData>
      <sheetData sheetId="6895" refreshError="1"/>
      <sheetData sheetId="6896">
        <row r="1">
          <cell r="J1">
            <v>1.7453292519943295E-2</v>
          </cell>
        </row>
      </sheetData>
      <sheetData sheetId="6897" refreshError="1"/>
      <sheetData sheetId="6898">
        <row r="1">
          <cell r="J1">
            <v>1.7453292519943295E-2</v>
          </cell>
        </row>
      </sheetData>
      <sheetData sheetId="6899">
        <row r="1">
          <cell r="J1">
            <v>1.7453292519943295E-2</v>
          </cell>
        </row>
      </sheetData>
      <sheetData sheetId="6900" refreshError="1"/>
      <sheetData sheetId="6901">
        <row r="1">
          <cell r="J1">
            <v>1.7453292519943295E-2</v>
          </cell>
        </row>
      </sheetData>
      <sheetData sheetId="6902" refreshError="1"/>
      <sheetData sheetId="6903">
        <row r="1">
          <cell r="J1">
            <v>1.7453292519943295E-2</v>
          </cell>
        </row>
      </sheetData>
      <sheetData sheetId="6904">
        <row r="2">
          <cell r="B2">
            <v>1</v>
          </cell>
        </row>
      </sheetData>
      <sheetData sheetId="6905">
        <row r="1">
          <cell r="J1">
            <v>1.7453292519943295E-2</v>
          </cell>
        </row>
      </sheetData>
      <sheetData sheetId="6906" refreshError="1"/>
      <sheetData sheetId="6907">
        <row r="1">
          <cell r="J1">
            <v>1.7453292519943295E-2</v>
          </cell>
        </row>
      </sheetData>
      <sheetData sheetId="6908" refreshError="1"/>
      <sheetData sheetId="6909">
        <row r="1">
          <cell r="J1">
            <v>1.7453292519943295E-2</v>
          </cell>
        </row>
      </sheetData>
      <sheetData sheetId="6910">
        <row r="1">
          <cell r="J1">
            <v>1.7453292519943295E-2</v>
          </cell>
        </row>
      </sheetData>
      <sheetData sheetId="6911">
        <row r="1">
          <cell r="J1">
            <v>1.7453292519943295E-2</v>
          </cell>
        </row>
      </sheetData>
      <sheetData sheetId="6912" refreshError="1"/>
      <sheetData sheetId="6913" refreshError="1"/>
      <sheetData sheetId="6914" refreshError="1"/>
      <sheetData sheetId="6915" refreshError="1"/>
      <sheetData sheetId="6916">
        <row r="1">
          <cell r="J1">
            <v>1.7453292519943295E-2</v>
          </cell>
        </row>
      </sheetData>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ow r="1">
          <cell r="J1">
            <v>1.7453292519943295E-2</v>
          </cell>
        </row>
      </sheetData>
      <sheetData sheetId="6926">
        <row r="1">
          <cell r="J1">
            <v>1.7453292519943295E-2</v>
          </cell>
        </row>
      </sheetData>
      <sheetData sheetId="6927" refreshError="1"/>
      <sheetData sheetId="6928">
        <row r="1">
          <cell r="J1">
            <v>1.7453292519943295E-2</v>
          </cell>
        </row>
      </sheetData>
      <sheetData sheetId="6929" refreshError="1"/>
      <sheetData sheetId="6930">
        <row r="1">
          <cell r="J1">
            <v>1.7453292519943295E-2</v>
          </cell>
        </row>
      </sheetData>
      <sheetData sheetId="6931">
        <row r="1">
          <cell r="J1">
            <v>1.7453292519943295E-2</v>
          </cell>
        </row>
      </sheetData>
      <sheetData sheetId="6932" refreshError="1"/>
      <sheetData sheetId="6933" refreshError="1"/>
      <sheetData sheetId="6934">
        <row r="1">
          <cell r="J1">
            <v>1.7453292519943295E-2</v>
          </cell>
        </row>
      </sheetData>
      <sheetData sheetId="6935" refreshError="1"/>
      <sheetData sheetId="6936" refreshError="1"/>
      <sheetData sheetId="6937" refreshError="1"/>
      <sheetData sheetId="6938" refreshError="1"/>
      <sheetData sheetId="6939">
        <row r="1">
          <cell r="J1">
            <v>1.7453292519943295E-2</v>
          </cell>
        </row>
      </sheetData>
      <sheetData sheetId="6940" refreshError="1"/>
      <sheetData sheetId="6941" refreshError="1"/>
      <sheetData sheetId="6942" refreshError="1"/>
      <sheetData sheetId="6943" refreshError="1"/>
      <sheetData sheetId="6944" refreshError="1"/>
      <sheetData sheetId="6945">
        <row r="1">
          <cell r="J1">
            <v>1.7453292519943295E-2</v>
          </cell>
        </row>
      </sheetData>
      <sheetData sheetId="6946" refreshError="1"/>
      <sheetData sheetId="6947" refreshError="1"/>
      <sheetData sheetId="6948" refreshError="1"/>
      <sheetData sheetId="6949">
        <row r="1">
          <cell r="J1">
            <v>1.7453292519943295E-2</v>
          </cell>
        </row>
      </sheetData>
      <sheetData sheetId="6950">
        <row r="1">
          <cell r="J1">
            <v>1.7453292519943295E-2</v>
          </cell>
        </row>
      </sheetData>
      <sheetData sheetId="6951">
        <row r="1">
          <cell r="J1">
            <v>1.7453292519943295E-2</v>
          </cell>
        </row>
      </sheetData>
      <sheetData sheetId="6952">
        <row r="1">
          <cell r="J1">
            <v>1.7453292519943295E-2</v>
          </cell>
        </row>
      </sheetData>
      <sheetData sheetId="6953">
        <row r="1">
          <cell r="J1">
            <v>1.7453292519943295E-2</v>
          </cell>
        </row>
      </sheetData>
      <sheetData sheetId="6954">
        <row r="1">
          <cell r="J1">
            <v>1.7453292519943295E-2</v>
          </cell>
        </row>
      </sheetData>
      <sheetData sheetId="6955">
        <row r="1">
          <cell r="J1">
            <v>1.7453292519943295E-2</v>
          </cell>
        </row>
      </sheetData>
      <sheetData sheetId="6956" refreshError="1"/>
      <sheetData sheetId="6957" refreshError="1"/>
      <sheetData sheetId="6958" refreshError="1"/>
      <sheetData sheetId="6959">
        <row r="1">
          <cell r="J1">
            <v>1.7453292519943295E-2</v>
          </cell>
        </row>
      </sheetData>
      <sheetData sheetId="6960" refreshError="1"/>
      <sheetData sheetId="6961">
        <row r="1">
          <cell r="J1">
            <v>1.7453292519943295E-2</v>
          </cell>
        </row>
      </sheetData>
      <sheetData sheetId="6962" refreshError="1"/>
      <sheetData sheetId="6963">
        <row r="1">
          <cell r="J1">
            <v>1.7453292519943295E-2</v>
          </cell>
        </row>
      </sheetData>
      <sheetData sheetId="6964">
        <row r="1">
          <cell r="J1">
            <v>1.7453292519943295E-2</v>
          </cell>
        </row>
      </sheetData>
      <sheetData sheetId="6965">
        <row r="1">
          <cell r="J1">
            <v>1.7453292519943295E-2</v>
          </cell>
        </row>
      </sheetData>
      <sheetData sheetId="6966" refreshError="1"/>
      <sheetData sheetId="6967">
        <row r="1">
          <cell r="J1">
            <v>1.7453292519943295E-2</v>
          </cell>
        </row>
      </sheetData>
      <sheetData sheetId="6968" refreshError="1"/>
      <sheetData sheetId="6969" refreshError="1"/>
      <sheetData sheetId="6970" refreshError="1"/>
      <sheetData sheetId="6971" refreshError="1"/>
      <sheetData sheetId="6972">
        <row r="1">
          <cell r="J1">
            <v>1.7453292519943295E-2</v>
          </cell>
        </row>
      </sheetData>
      <sheetData sheetId="6973">
        <row r="1">
          <cell r="J1">
            <v>1.7453292519943295E-2</v>
          </cell>
        </row>
      </sheetData>
      <sheetData sheetId="6974">
        <row r="1">
          <cell r="J1">
            <v>1.7453292519943295E-2</v>
          </cell>
        </row>
      </sheetData>
      <sheetData sheetId="6975">
        <row r="1">
          <cell r="J1">
            <v>1.7453292519943295E-2</v>
          </cell>
        </row>
      </sheetData>
      <sheetData sheetId="6976">
        <row r="1">
          <cell r="J1">
            <v>1.7453292519943295E-2</v>
          </cell>
        </row>
      </sheetData>
      <sheetData sheetId="6977">
        <row r="1">
          <cell r="J1">
            <v>1.7453292519943295E-2</v>
          </cell>
        </row>
      </sheetData>
      <sheetData sheetId="6978">
        <row r="1">
          <cell r="J1">
            <v>1.7453292519943295E-2</v>
          </cell>
        </row>
      </sheetData>
      <sheetData sheetId="6979">
        <row r="1">
          <cell r="J1">
            <v>1.7453292519943295E-2</v>
          </cell>
        </row>
      </sheetData>
      <sheetData sheetId="6980">
        <row r="1">
          <cell r="J1">
            <v>1.7453292519943295E-2</v>
          </cell>
        </row>
      </sheetData>
      <sheetData sheetId="6981">
        <row r="1">
          <cell r="J1">
            <v>1.7453292519943295E-2</v>
          </cell>
        </row>
      </sheetData>
      <sheetData sheetId="6982">
        <row r="1">
          <cell r="J1">
            <v>1.7453292519943295E-2</v>
          </cell>
        </row>
      </sheetData>
      <sheetData sheetId="6983">
        <row r="1">
          <cell r="J1">
            <v>1.7453292519943295E-2</v>
          </cell>
        </row>
      </sheetData>
      <sheetData sheetId="6984">
        <row r="1">
          <cell r="J1">
            <v>1.7453292519943295E-2</v>
          </cell>
        </row>
      </sheetData>
      <sheetData sheetId="6985">
        <row r="1">
          <cell r="J1">
            <v>1.7453292519943295E-2</v>
          </cell>
        </row>
      </sheetData>
      <sheetData sheetId="6986">
        <row r="1">
          <cell r="J1">
            <v>1.7453292519943295E-2</v>
          </cell>
        </row>
      </sheetData>
      <sheetData sheetId="6987">
        <row r="1">
          <cell r="J1">
            <v>1.7453292519943295E-2</v>
          </cell>
        </row>
      </sheetData>
      <sheetData sheetId="6988">
        <row r="1">
          <cell r="J1">
            <v>1.7453292519943295E-2</v>
          </cell>
        </row>
      </sheetData>
      <sheetData sheetId="6989">
        <row r="1">
          <cell r="J1">
            <v>1.7453292519943295E-2</v>
          </cell>
        </row>
      </sheetData>
      <sheetData sheetId="6990">
        <row r="1">
          <cell r="J1">
            <v>1.7453292519943295E-2</v>
          </cell>
        </row>
      </sheetData>
      <sheetData sheetId="6991">
        <row r="1">
          <cell r="J1">
            <v>1.7453292519943295E-2</v>
          </cell>
        </row>
      </sheetData>
      <sheetData sheetId="6992">
        <row r="1">
          <cell r="J1">
            <v>1.7453292519943295E-2</v>
          </cell>
        </row>
      </sheetData>
      <sheetData sheetId="6993">
        <row r="1">
          <cell r="J1">
            <v>1.7453292519943295E-2</v>
          </cell>
        </row>
      </sheetData>
      <sheetData sheetId="6994" refreshError="1"/>
      <sheetData sheetId="6995" refreshError="1"/>
      <sheetData sheetId="6996" refreshError="1"/>
      <sheetData sheetId="6997">
        <row r="1">
          <cell r="J1">
            <v>1.7453292519943295E-2</v>
          </cell>
        </row>
      </sheetData>
      <sheetData sheetId="6998">
        <row r="1">
          <cell r="J1">
            <v>1.7453292519943295E-2</v>
          </cell>
        </row>
      </sheetData>
      <sheetData sheetId="6999">
        <row r="1">
          <cell r="J1">
            <v>1.7453292519943295E-2</v>
          </cell>
        </row>
      </sheetData>
      <sheetData sheetId="7000" refreshError="1"/>
      <sheetData sheetId="7001">
        <row r="1">
          <cell r="J1">
            <v>1.7453292519943295E-2</v>
          </cell>
        </row>
      </sheetData>
      <sheetData sheetId="7002" refreshError="1"/>
      <sheetData sheetId="7003" refreshError="1"/>
      <sheetData sheetId="7004" refreshError="1"/>
      <sheetData sheetId="7005" refreshError="1"/>
      <sheetData sheetId="7006" refreshError="1"/>
      <sheetData sheetId="7007" refreshError="1"/>
      <sheetData sheetId="7008">
        <row r="1">
          <cell r="J1">
            <v>1.7453292519943295E-2</v>
          </cell>
        </row>
      </sheetData>
      <sheetData sheetId="7009">
        <row r="1">
          <cell r="J1">
            <v>1.7453292519943295E-2</v>
          </cell>
        </row>
      </sheetData>
      <sheetData sheetId="7010" refreshError="1"/>
      <sheetData sheetId="7011">
        <row r="1">
          <cell r="J1">
            <v>1.7453292519943295E-2</v>
          </cell>
        </row>
      </sheetData>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ow r="1">
          <cell r="J1">
            <v>1.7453292519943295E-2</v>
          </cell>
        </row>
      </sheetData>
      <sheetData sheetId="7039" refreshError="1"/>
      <sheetData sheetId="7040" refreshError="1"/>
      <sheetData sheetId="7041" refreshError="1"/>
      <sheetData sheetId="7042">
        <row r="1">
          <cell r="J1">
            <v>1.7453292519943295E-2</v>
          </cell>
        </row>
      </sheetData>
      <sheetData sheetId="7043" refreshError="1"/>
      <sheetData sheetId="7044">
        <row r="1">
          <cell r="J1">
            <v>1.7453292519943295E-2</v>
          </cell>
        </row>
      </sheetData>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ow r="1">
          <cell r="J1">
            <v>1.7453292519943295E-2</v>
          </cell>
        </row>
      </sheetData>
      <sheetData sheetId="7060">
        <row r="1">
          <cell r="J1">
            <v>1.7453292519943295E-2</v>
          </cell>
        </row>
      </sheetData>
      <sheetData sheetId="7061" refreshError="1"/>
      <sheetData sheetId="7062" refreshError="1"/>
      <sheetData sheetId="7063" refreshError="1"/>
      <sheetData sheetId="7064" refreshError="1"/>
      <sheetData sheetId="7065">
        <row r="1">
          <cell r="J1">
            <v>1.7453292519943295E-2</v>
          </cell>
        </row>
      </sheetData>
      <sheetData sheetId="7066" refreshError="1"/>
      <sheetData sheetId="7067">
        <row r="1">
          <cell r="J1">
            <v>1.7453292519943295E-2</v>
          </cell>
        </row>
      </sheetData>
      <sheetData sheetId="7068" refreshError="1"/>
      <sheetData sheetId="7069" refreshError="1"/>
      <sheetData sheetId="7070">
        <row r="1">
          <cell r="J1">
            <v>1.7453292519943295E-2</v>
          </cell>
        </row>
      </sheetData>
      <sheetData sheetId="7071" refreshError="1"/>
      <sheetData sheetId="7072" refreshError="1"/>
      <sheetData sheetId="7073">
        <row r="1">
          <cell r="J1">
            <v>1.7453292519943295E-2</v>
          </cell>
        </row>
      </sheetData>
      <sheetData sheetId="7074" refreshError="1"/>
      <sheetData sheetId="7075" refreshError="1"/>
      <sheetData sheetId="7076" refreshError="1"/>
      <sheetData sheetId="7077" refreshError="1"/>
      <sheetData sheetId="7078">
        <row r="1">
          <cell r="J1">
            <v>1.7453292519943295E-2</v>
          </cell>
        </row>
      </sheetData>
      <sheetData sheetId="7079" refreshError="1"/>
      <sheetData sheetId="7080" refreshError="1"/>
      <sheetData sheetId="7081" refreshError="1"/>
      <sheetData sheetId="7082">
        <row r="1">
          <cell r="J1">
            <v>1.7453292519943295E-2</v>
          </cell>
        </row>
      </sheetData>
      <sheetData sheetId="7083" refreshError="1"/>
      <sheetData sheetId="7084" refreshError="1"/>
      <sheetData sheetId="7085">
        <row r="1">
          <cell r="J1">
            <v>1.7453292519943295E-2</v>
          </cell>
        </row>
      </sheetData>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ow r="1">
          <cell r="J1">
            <v>1.7453292519943295E-2</v>
          </cell>
        </row>
      </sheetData>
      <sheetData sheetId="7097" refreshError="1"/>
      <sheetData sheetId="7098" refreshError="1"/>
      <sheetData sheetId="7099">
        <row r="1">
          <cell r="J1">
            <v>1.7453292519943295E-2</v>
          </cell>
        </row>
      </sheetData>
      <sheetData sheetId="7100" refreshError="1"/>
      <sheetData sheetId="7101" refreshError="1"/>
      <sheetData sheetId="7102" refreshError="1"/>
      <sheetData sheetId="7103">
        <row r="1">
          <cell r="J1">
            <v>1.7453292519943295E-2</v>
          </cell>
        </row>
      </sheetData>
      <sheetData sheetId="7104" refreshError="1"/>
      <sheetData sheetId="7105" refreshError="1"/>
      <sheetData sheetId="7106" refreshError="1"/>
      <sheetData sheetId="7107" refreshError="1"/>
      <sheetData sheetId="7108">
        <row r="1">
          <cell r="J1">
            <v>1.7453292519943295E-2</v>
          </cell>
        </row>
      </sheetData>
      <sheetData sheetId="7109">
        <row r="1">
          <cell r="J1">
            <v>1.7453292519943295E-2</v>
          </cell>
        </row>
      </sheetData>
      <sheetData sheetId="7110">
        <row r="1">
          <cell r="J1">
            <v>1.7453292519943295E-2</v>
          </cell>
        </row>
      </sheetData>
      <sheetData sheetId="7111">
        <row r="1">
          <cell r="J1">
            <v>1.7453292519943295E-2</v>
          </cell>
        </row>
      </sheetData>
      <sheetData sheetId="7112">
        <row r="1">
          <cell r="J1">
            <v>1.7453292519943295E-2</v>
          </cell>
        </row>
      </sheetData>
      <sheetData sheetId="7113">
        <row r="1">
          <cell r="J1">
            <v>1.7453292519943295E-2</v>
          </cell>
        </row>
      </sheetData>
      <sheetData sheetId="7114">
        <row r="1">
          <cell r="J1">
            <v>1.7453292519943295E-2</v>
          </cell>
        </row>
      </sheetData>
      <sheetData sheetId="7115" refreshError="1"/>
      <sheetData sheetId="7116" refreshError="1"/>
      <sheetData sheetId="7117" refreshError="1"/>
      <sheetData sheetId="7118" refreshError="1"/>
      <sheetData sheetId="7119" refreshError="1"/>
      <sheetData sheetId="7120">
        <row r="1">
          <cell r="J1">
            <v>1.7453292519943295E-2</v>
          </cell>
        </row>
      </sheetData>
      <sheetData sheetId="7121" refreshError="1"/>
      <sheetData sheetId="7122" refreshError="1"/>
      <sheetData sheetId="7123">
        <row r="1">
          <cell r="J1">
            <v>1.7453292519943295E-2</v>
          </cell>
        </row>
      </sheetData>
      <sheetData sheetId="7124" refreshError="1"/>
      <sheetData sheetId="7125" refreshError="1"/>
      <sheetData sheetId="7126" refreshError="1"/>
      <sheetData sheetId="7127">
        <row r="1">
          <cell r="J1">
            <v>1.7453292519943295E-2</v>
          </cell>
        </row>
      </sheetData>
      <sheetData sheetId="7128">
        <row r="1">
          <cell r="J1">
            <v>1.7453292519943295E-2</v>
          </cell>
        </row>
      </sheetData>
      <sheetData sheetId="7129">
        <row r="1">
          <cell r="J1">
            <v>1.7453292519943295E-2</v>
          </cell>
        </row>
      </sheetData>
      <sheetData sheetId="7130" refreshError="1"/>
      <sheetData sheetId="7131" refreshError="1"/>
      <sheetData sheetId="7132" refreshError="1"/>
      <sheetData sheetId="7133">
        <row r="1">
          <cell r="J1">
            <v>1.7453292519943295E-2</v>
          </cell>
        </row>
      </sheetData>
      <sheetData sheetId="7134">
        <row r="1">
          <cell r="J1">
            <v>1.7453292519943295E-2</v>
          </cell>
        </row>
      </sheetData>
      <sheetData sheetId="7135" refreshError="1"/>
      <sheetData sheetId="7136" refreshError="1"/>
      <sheetData sheetId="7137">
        <row r="1">
          <cell r="J1">
            <v>1.7453292519943295E-2</v>
          </cell>
        </row>
      </sheetData>
      <sheetData sheetId="7138" refreshError="1"/>
      <sheetData sheetId="7139" refreshError="1"/>
      <sheetData sheetId="7140" refreshError="1"/>
      <sheetData sheetId="7141" refreshError="1"/>
      <sheetData sheetId="7142">
        <row r="1">
          <cell r="J1">
            <v>1.7453292519943295E-2</v>
          </cell>
        </row>
      </sheetData>
      <sheetData sheetId="7143" refreshError="1"/>
      <sheetData sheetId="7144" refreshError="1"/>
      <sheetData sheetId="7145" refreshError="1"/>
      <sheetData sheetId="7146">
        <row r="1">
          <cell r="J1">
            <v>1.7453292519943295E-2</v>
          </cell>
        </row>
      </sheetData>
      <sheetData sheetId="7147" refreshError="1"/>
      <sheetData sheetId="7148" refreshError="1"/>
      <sheetData sheetId="7149" refreshError="1"/>
      <sheetData sheetId="7150">
        <row r="1">
          <cell r="J1">
            <v>1.7453292519943295E-2</v>
          </cell>
        </row>
      </sheetData>
      <sheetData sheetId="7151" refreshError="1"/>
      <sheetData sheetId="7152" refreshError="1"/>
      <sheetData sheetId="7153" refreshError="1"/>
      <sheetData sheetId="7154">
        <row r="1">
          <cell r="J1">
            <v>1.7453292519943295E-2</v>
          </cell>
        </row>
      </sheetData>
      <sheetData sheetId="7155" refreshError="1"/>
      <sheetData sheetId="7156">
        <row r="1">
          <cell r="J1">
            <v>1.7453292519943295E-2</v>
          </cell>
        </row>
      </sheetData>
      <sheetData sheetId="7157" refreshError="1"/>
      <sheetData sheetId="7158" refreshError="1"/>
      <sheetData sheetId="7159" refreshError="1"/>
      <sheetData sheetId="7160" refreshError="1"/>
      <sheetData sheetId="7161" refreshError="1"/>
      <sheetData sheetId="7162">
        <row r="1">
          <cell r="J1">
            <v>1.7453292519943295E-2</v>
          </cell>
        </row>
      </sheetData>
      <sheetData sheetId="7163" refreshError="1"/>
      <sheetData sheetId="7164">
        <row r="1">
          <cell r="J1">
            <v>1.7453292519943295E-2</v>
          </cell>
        </row>
      </sheetData>
      <sheetData sheetId="7165">
        <row r="1">
          <cell r="J1">
            <v>1.7453292519943295E-2</v>
          </cell>
        </row>
      </sheetData>
      <sheetData sheetId="7166" refreshError="1"/>
      <sheetData sheetId="7167" refreshError="1"/>
      <sheetData sheetId="7168" refreshError="1"/>
      <sheetData sheetId="7169" refreshError="1"/>
      <sheetData sheetId="7170" refreshError="1"/>
      <sheetData sheetId="7171">
        <row r="1">
          <cell r="J1">
            <v>1.7453292519943295E-2</v>
          </cell>
        </row>
      </sheetData>
      <sheetData sheetId="7172">
        <row r="1">
          <cell r="J1">
            <v>1.7453292519943295E-2</v>
          </cell>
        </row>
      </sheetData>
      <sheetData sheetId="7173" refreshError="1"/>
      <sheetData sheetId="7174" refreshError="1"/>
      <sheetData sheetId="7175" refreshError="1"/>
      <sheetData sheetId="7176" refreshError="1"/>
      <sheetData sheetId="7177" refreshError="1"/>
      <sheetData sheetId="7178" refreshError="1"/>
      <sheetData sheetId="7179">
        <row r="1">
          <cell r="J1">
            <v>1.7453292519943295E-2</v>
          </cell>
        </row>
      </sheetData>
      <sheetData sheetId="7180">
        <row r="1">
          <cell r="J1">
            <v>1.7453292519943295E-2</v>
          </cell>
        </row>
      </sheetData>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ow r="1">
          <cell r="J1">
            <v>1.7453292519943295E-2</v>
          </cell>
        </row>
      </sheetData>
      <sheetData sheetId="7193">
        <row r="1">
          <cell r="J1">
            <v>1.7453292519943295E-2</v>
          </cell>
        </row>
      </sheetData>
      <sheetData sheetId="7194" refreshError="1"/>
      <sheetData sheetId="7195">
        <row r="1">
          <cell r="J1">
            <v>1.7453292519943295E-2</v>
          </cell>
        </row>
      </sheetData>
      <sheetData sheetId="7196">
        <row r="1">
          <cell r="J1">
            <v>1.7453292519943295E-2</v>
          </cell>
        </row>
      </sheetData>
      <sheetData sheetId="7197" refreshError="1"/>
      <sheetData sheetId="7198" refreshError="1"/>
      <sheetData sheetId="7199" refreshError="1"/>
      <sheetData sheetId="7200" refreshError="1"/>
      <sheetData sheetId="7201">
        <row r="1">
          <cell r="J1">
            <v>1.7453292519943295E-2</v>
          </cell>
        </row>
      </sheetData>
      <sheetData sheetId="7202">
        <row r="1">
          <cell r="J1">
            <v>1.7453292519943295E-2</v>
          </cell>
        </row>
      </sheetData>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ow r="1">
          <cell r="J1">
            <v>1.7453292519943295E-2</v>
          </cell>
        </row>
      </sheetData>
      <sheetData sheetId="7213">
        <row r="1">
          <cell r="J1">
            <v>1.7453292519943295E-2</v>
          </cell>
        </row>
      </sheetData>
      <sheetData sheetId="7214" refreshError="1"/>
      <sheetData sheetId="7215" refreshError="1"/>
      <sheetData sheetId="7216" refreshError="1"/>
      <sheetData sheetId="7217" refreshError="1"/>
      <sheetData sheetId="7218" refreshError="1"/>
      <sheetData sheetId="7219" refreshError="1"/>
      <sheetData sheetId="7220">
        <row r="1">
          <cell r="J1">
            <v>1.7453292519943295E-2</v>
          </cell>
        </row>
      </sheetData>
      <sheetData sheetId="7221">
        <row r="1">
          <cell r="J1">
            <v>1.7453292519943295E-2</v>
          </cell>
        </row>
      </sheetData>
      <sheetData sheetId="7222" refreshError="1"/>
      <sheetData sheetId="7223" refreshError="1"/>
      <sheetData sheetId="7224" refreshError="1"/>
      <sheetData sheetId="7225">
        <row r="1">
          <cell r="J1">
            <v>1.7453292519943295E-2</v>
          </cell>
        </row>
      </sheetData>
      <sheetData sheetId="7226">
        <row r="1">
          <cell r="J1">
            <v>1.7453292519943295E-2</v>
          </cell>
        </row>
      </sheetData>
      <sheetData sheetId="7227" refreshError="1"/>
      <sheetData sheetId="7228" refreshError="1"/>
      <sheetData sheetId="7229" refreshError="1"/>
      <sheetData sheetId="7230" refreshError="1"/>
      <sheetData sheetId="7231">
        <row r="1">
          <cell r="J1">
            <v>1.7453292519943295E-2</v>
          </cell>
        </row>
      </sheetData>
      <sheetData sheetId="7232">
        <row r="1">
          <cell r="J1">
            <v>1.7453292519943295E-2</v>
          </cell>
        </row>
      </sheetData>
      <sheetData sheetId="7233">
        <row r="1">
          <cell r="J1">
            <v>1.7453292519943295E-2</v>
          </cell>
        </row>
      </sheetData>
      <sheetData sheetId="7234">
        <row r="2">
          <cell r="B2">
            <v>1</v>
          </cell>
        </row>
      </sheetData>
      <sheetData sheetId="7235"/>
      <sheetData sheetId="7236">
        <row r="1">
          <cell r="J1">
            <v>1.7453292519943295E-2</v>
          </cell>
        </row>
      </sheetData>
      <sheetData sheetId="7237">
        <row r="1">
          <cell r="J1">
            <v>1.7453292519943295E-2</v>
          </cell>
        </row>
      </sheetData>
      <sheetData sheetId="7238">
        <row r="1">
          <cell r="J1">
            <v>1.7453292519943295E-2</v>
          </cell>
        </row>
      </sheetData>
      <sheetData sheetId="7239">
        <row r="2">
          <cell r="B2">
            <v>1</v>
          </cell>
        </row>
      </sheetData>
      <sheetData sheetId="7240">
        <row r="2">
          <cell r="B2">
            <v>1</v>
          </cell>
        </row>
      </sheetData>
      <sheetData sheetId="7241">
        <row r="2">
          <cell r="B2">
            <v>1</v>
          </cell>
        </row>
      </sheetData>
      <sheetData sheetId="7242">
        <row r="2">
          <cell r="B2">
            <v>1</v>
          </cell>
        </row>
      </sheetData>
      <sheetData sheetId="7243">
        <row r="2">
          <cell r="B2">
            <v>1</v>
          </cell>
        </row>
      </sheetData>
      <sheetData sheetId="7244">
        <row r="2">
          <cell r="B2">
            <v>1</v>
          </cell>
        </row>
      </sheetData>
      <sheetData sheetId="7245">
        <row r="2">
          <cell r="B2">
            <v>1</v>
          </cell>
        </row>
      </sheetData>
      <sheetData sheetId="7246">
        <row r="2">
          <cell r="B2">
            <v>1</v>
          </cell>
        </row>
      </sheetData>
      <sheetData sheetId="7247">
        <row r="2">
          <cell r="B2">
            <v>1</v>
          </cell>
        </row>
      </sheetData>
      <sheetData sheetId="7248">
        <row r="2">
          <cell r="B2">
            <v>1</v>
          </cell>
        </row>
      </sheetData>
      <sheetData sheetId="7249">
        <row r="2">
          <cell r="B2">
            <v>1</v>
          </cell>
        </row>
      </sheetData>
      <sheetData sheetId="7250">
        <row r="2">
          <cell r="B2">
            <v>1</v>
          </cell>
        </row>
      </sheetData>
      <sheetData sheetId="7251">
        <row r="2">
          <cell r="B2">
            <v>1</v>
          </cell>
        </row>
      </sheetData>
      <sheetData sheetId="7252">
        <row r="2">
          <cell r="B2">
            <v>1</v>
          </cell>
        </row>
      </sheetData>
      <sheetData sheetId="7253">
        <row r="2">
          <cell r="B2">
            <v>1</v>
          </cell>
        </row>
      </sheetData>
      <sheetData sheetId="7254">
        <row r="2">
          <cell r="B2">
            <v>1</v>
          </cell>
        </row>
      </sheetData>
      <sheetData sheetId="7255">
        <row r="2">
          <cell r="B2">
            <v>1</v>
          </cell>
        </row>
      </sheetData>
      <sheetData sheetId="7256">
        <row r="2">
          <cell r="B2">
            <v>1</v>
          </cell>
        </row>
      </sheetData>
      <sheetData sheetId="7257">
        <row r="1">
          <cell r="J1">
            <v>1.7453292519943295E-2</v>
          </cell>
        </row>
      </sheetData>
      <sheetData sheetId="7258">
        <row r="1">
          <cell r="J1">
            <v>1.7453292519943295E-2</v>
          </cell>
        </row>
      </sheetData>
      <sheetData sheetId="7259">
        <row r="1">
          <cell r="J1">
            <v>1.7453292519943295E-2</v>
          </cell>
        </row>
      </sheetData>
      <sheetData sheetId="7260">
        <row r="1">
          <cell r="J1">
            <v>1.7453292519943295E-2</v>
          </cell>
        </row>
      </sheetData>
      <sheetData sheetId="7261">
        <row r="1">
          <cell r="J1">
            <v>1.7453292519943295E-2</v>
          </cell>
        </row>
      </sheetData>
      <sheetData sheetId="7262">
        <row r="1">
          <cell r="J1">
            <v>1.7453292519943295E-2</v>
          </cell>
        </row>
      </sheetData>
      <sheetData sheetId="7263">
        <row r="1">
          <cell r="J1">
            <v>1.7453292519943295E-2</v>
          </cell>
        </row>
      </sheetData>
      <sheetData sheetId="7264">
        <row r="1">
          <cell r="J1">
            <v>1.7453292519943295E-2</v>
          </cell>
        </row>
      </sheetData>
      <sheetData sheetId="7265">
        <row r="1">
          <cell r="J1">
            <v>1.7453292519943295E-2</v>
          </cell>
        </row>
      </sheetData>
      <sheetData sheetId="7266">
        <row r="1">
          <cell r="J1">
            <v>1.7453292519943295E-2</v>
          </cell>
        </row>
      </sheetData>
      <sheetData sheetId="7267">
        <row r="1">
          <cell r="J1">
            <v>1.7453292519943295E-2</v>
          </cell>
        </row>
      </sheetData>
      <sheetData sheetId="7268">
        <row r="1">
          <cell r="J1">
            <v>1.7453292519943295E-2</v>
          </cell>
        </row>
      </sheetData>
      <sheetData sheetId="7269">
        <row r="1">
          <cell r="J1">
            <v>1.7453292519943295E-2</v>
          </cell>
        </row>
      </sheetData>
      <sheetData sheetId="7270">
        <row r="1">
          <cell r="J1">
            <v>1.7453292519943295E-2</v>
          </cell>
        </row>
      </sheetData>
      <sheetData sheetId="7271">
        <row r="1">
          <cell r="J1">
            <v>1.7453292519943295E-2</v>
          </cell>
        </row>
      </sheetData>
      <sheetData sheetId="7272">
        <row r="1">
          <cell r="J1">
            <v>1.7453292519943295E-2</v>
          </cell>
        </row>
      </sheetData>
      <sheetData sheetId="7273">
        <row r="1">
          <cell r="J1">
            <v>1.7453292519943295E-2</v>
          </cell>
        </row>
      </sheetData>
      <sheetData sheetId="7274">
        <row r="1">
          <cell r="J1">
            <v>1.7453292519943295E-2</v>
          </cell>
        </row>
      </sheetData>
      <sheetData sheetId="7275">
        <row r="1">
          <cell r="J1">
            <v>1.7453292519943295E-2</v>
          </cell>
        </row>
      </sheetData>
      <sheetData sheetId="7276">
        <row r="1">
          <cell r="J1">
            <v>1.7453292519943295E-2</v>
          </cell>
        </row>
      </sheetData>
      <sheetData sheetId="7277">
        <row r="1">
          <cell r="J1">
            <v>1.7453292519943295E-2</v>
          </cell>
        </row>
      </sheetData>
      <sheetData sheetId="7278">
        <row r="1">
          <cell r="J1">
            <v>1.7453292519943295E-2</v>
          </cell>
        </row>
      </sheetData>
      <sheetData sheetId="7279">
        <row r="1">
          <cell r="J1">
            <v>1.7453292519943295E-2</v>
          </cell>
        </row>
      </sheetData>
      <sheetData sheetId="7280">
        <row r="1">
          <cell r="J1">
            <v>1.7453292519943295E-2</v>
          </cell>
        </row>
      </sheetData>
      <sheetData sheetId="7281">
        <row r="2">
          <cell r="B2">
            <v>1</v>
          </cell>
        </row>
      </sheetData>
      <sheetData sheetId="7282">
        <row r="2">
          <cell r="B2">
            <v>1</v>
          </cell>
        </row>
      </sheetData>
      <sheetData sheetId="7283">
        <row r="2">
          <cell r="B2">
            <v>1</v>
          </cell>
        </row>
      </sheetData>
      <sheetData sheetId="7284">
        <row r="1">
          <cell r="J1">
            <v>1.7453292519943295E-2</v>
          </cell>
        </row>
      </sheetData>
      <sheetData sheetId="7285">
        <row r="1">
          <cell r="J1">
            <v>1.7453292519943295E-2</v>
          </cell>
        </row>
      </sheetData>
      <sheetData sheetId="7286">
        <row r="1">
          <cell r="J1">
            <v>1.7453292519943295E-2</v>
          </cell>
        </row>
      </sheetData>
      <sheetData sheetId="7287">
        <row r="1">
          <cell r="J1">
            <v>1.7453292519943295E-2</v>
          </cell>
        </row>
      </sheetData>
      <sheetData sheetId="7288">
        <row r="1">
          <cell r="J1">
            <v>1.7453292519943295E-2</v>
          </cell>
        </row>
      </sheetData>
      <sheetData sheetId="7289">
        <row r="1">
          <cell r="J1">
            <v>1.7453292519943295E-2</v>
          </cell>
        </row>
      </sheetData>
      <sheetData sheetId="7290">
        <row r="2">
          <cell r="B2">
            <v>1</v>
          </cell>
        </row>
      </sheetData>
      <sheetData sheetId="7291">
        <row r="1">
          <cell r="J1">
            <v>1.7453292519943295E-2</v>
          </cell>
        </row>
      </sheetData>
      <sheetData sheetId="7292">
        <row r="1">
          <cell r="J1">
            <v>1.7453292519943295E-2</v>
          </cell>
        </row>
      </sheetData>
      <sheetData sheetId="7293">
        <row r="1">
          <cell r="J1">
            <v>1.7453292519943295E-2</v>
          </cell>
        </row>
      </sheetData>
      <sheetData sheetId="7294">
        <row r="1">
          <cell r="J1">
            <v>1.7453292519943295E-2</v>
          </cell>
        </row>
      </sheetData>
      <sheetData sheetId="7295">
        <row r="1">
          <cell r="J1">
            <v>1.7453292519943295E-2</v>
          </cell>
        </row>
      </sheetData>
      <sheetData sheetId="7296">
        <row r="1">
          <cell r="J1">
            <v>1.7453292519943295E-2</v>
          </cell>
        </row>
      </sheetData>
      <sheetData sheetId="7297">
        <row r="1">
          <cell r="J1">
            <v>1.7453292519943295E-2</v>
          </cell>
        </row>
      </sheetData>
      <sheetData sheetId="7298">
        <row r="1">
          <cell r="J1">
            <v>1.7453292519943295E-2</v>
          </cell>
        </row>
      </sheetData>
      <sheetData sheetId="7299">
        <row r="1">
          <cell r="J1">
            <v>1.7453292519943295E-2</v>
          </cell>
        </row>
      </sheetData>
      <sheetData sheetId="7300">
        <row r="1">
          <cell r="J1">
            <v>1.7453292519943295E-2</v>
          </cell>
        </row>
      </sheetData>
      <sheetData sheetId="7301">
        <row r="1">
          <cell r="J1">
            <v>1.7453292519943295E-2</v>
          </cell>
        </row>
      </sheetData>
      <sheetData sheetId="7302">
        <row r="1">
          <cell r="J1">
            <v>1.7453292519943295E-2</v>
          </cell>
        </row>
      </sheetData>
      <sheetData sheetId="7303">
        <row r="1">
          <cell r="J1">
            <v>1.7453292519943295E-2</v>
          </cell>
        </row>
      </sheetData>
      <sheetData sheetId="7304">
        <row r="1">
          <cell r="J1">
            <v>1.7453292519943295E-2</v>
          </cell>
        </row>
      </sheetData>
      <sheetData sheetId="7305">
        <row r="1">
          <cell r="J1">
            <v>1.7453292519943295E-2</v>
          </cell>
        </row>
      </sheetData>
      <sheetData sheetId="7306">
        <row r="1">
          <cell r="J1">
            <v>1.7453292519943295E-2</v>
          </cell>
        </row>
      </sheetData>
      <sheetData sheetId="7307">
        <row r="1">
          <cell r="J1">
            <v>1.7453292519943295E-2</v>
          </cell>
        </row>
      </sheetData>
      <sheetData sheetId="7308">
        <row r="1">
          <cell r="J1">
            <v>1.7453292519943295E-2</v>
          </cell>
        </row>
      </sheetData>
      <sheetData sheetId="7309">
        <row r="1">
          <cell r="J1">
            <v>1.7453292519943295E-2</v>
          </cell>
        </row>
      </sheetData>
      <sheetData sheetId="7310">
        <row r="1">
          <cell r="J1">
            <v>1.7453292519943295E-2</v>
          </cell>
        </row>
      </sheetData>
      <sheetData sheetId="7311"/>
      <sheetData sheetId="7312"/>
      <sheetData sheetId="7313"/>
      <sheetData sheetId="7314"/>
      <sheetData sheetId="7315"/>
      <sheetData sheetId="7316"/>
      <sheetData sheetId="7317"/>
      <sheetData sheetId="7318"/>
      <sheetData sheetId="7319"/>
      <sheetData sheetId="7320"/>
      <sheetData sheetId="7321">
        <row r="2">
          <cell r="B2">
            <v>1</v>
          </cell>
        </row>
      </sheetData>
      <sheetData sheetId="7322">
        <row r="2">
          <cell r="B2">
            <v>1</v>
          </cell>
        </row>
      </sheetData>
      <sheetData sheetId="7323">
        <row r="2">
          <cell r="B2">
            <v>1</v>
          </cell>
        </row>
      </sheetData>
      <sheetData sheetId="7324">
        <row r="2">
          <cell r="B2">
            <v>1</v>
          </cell>
        </row>
      </sheetData>
      <sheetData sheetId="7325">
        <row r="1">
          <cell r="J1">
            <v>1.7453292519943295E-2</v>
          </cell>
        </row>
      </sheetData>
      <sheetData sheetId="7326">
        <row r="2">
          <cell r="B2">
            <v>1</v>
          </cell>
        </row>
      </sheetData>
      <sheetData sheetId="7327">
        <row r="2">
          <cell r="B2">
            <v>1</v>
          </cell>
        </row>
      </sheetData>
      <sheetData sheetId="7328">
        <row r="2">
          <cell r="B2">
            <v>1</v>
          </cell>
        </row>
      </sheetData>
      <sheetData sheetId="7329">
        <row r="2">
          <cell r="B2">
            <v>1</v>
          </cell>
        </row>
      </sheetData>
      <sheetData sheetId="7330">
        <row r="2">
          <cell r="B2">
            <v>1</v>
          </cell>
        </row>
      </sheetData>
      <sheetData sheetId="7331">
        <row r="2">
          <cell r="B2">
            <v>1</v>
          </cell>
        </row>
      </sheetData>
      <sheetData sheetId="7332">
        <row r="2">
          <cell r="B2">
            <v>1</v>
          </cell>
        </row>
      </sheetData>
      <sheetData sheetId="7333">
        <row r="2">
          <cell r="B2">
            <v>1</v>
          </cell>
        </row>
      </sheetData>
      <sheetData sheetId="7334">
        <row r="2">
          <cell r="B2">
            <v>1</v>
          </cell>
        </row>
      </sheetData>
      <sheetData sheetId="7335">
        <row r="2">
          <cell r="B2">
            <v>1</v>
          </cell>
        </row>
      </sheetData>
      <sheetData sheetId="7336">
        <row r="2">
          <cell r="B2">
            <v>1</v>
          </cell>
        </row>
      </sheetData>
      <sheetData sheetId="7337">
        <row r="2">
          <cell r="B2">
            <v>1</v>
          </cell>
        </row>
      </sheetData>
      <sheetData sheetId="7338">
        <row r="2">
          <cell r="B2">
            <v>1</v>
          </cell>
        </row>
      </sheetData>
      <sheetData sheetId="7339">
        <row r="2">
          <cell r="B2">
            <v>1</v>
          </cell>
        </row>
      </sheetData>
      <sheetData sheetId="7340">
        <row r="2">
          <cell r="B2">
            <v>0</v>
          </cell>
        </row>
      </sheetData>
      <sheetData sheetId="7341">
        <row r="2">
          <cell r="B2">
            <v>1</v>
          </cell>
        </row>
      </sheetData>
      <sheetData sheetId="7342">
        <row r="2">
          <cell r="B2">
            <v>1</v>
          </cell>
        </row>
      </sheetData>
      <sheetData sheetId="7343">
        <row r="2">
          <cell r="B2">
            <v>1</v>
          </cell>
        </row>
      </sheetData>
      <sheetData sheetId="7344">
        <row r="2">
          <cell r="B2">
            <v>1</v>
          </cell>
        </row>
      </sheetData>
      <sheetData sheetId="7345">
        <row r="2">
          <cell r="B2">
            <v>1</v>
          </cell>
        </row>
      </sheetData>
      <sheetData sheetId="7346">
        <row r="2">
          <cell r="B2">
            <v>1</v>
          </cell>
        </row>
      </sheetData>
      <sheetData sheetId="7347">
        <row r="2">
          <cell r="B2">
            <v>1</v>
          </cell>
        </row>
      </sheetData>
      <sheetData sheetId="7348">
        <row r="2">
          <cell r="B2">
            <v>1</v>
          </cell>
        </row>
      </sheetData>
      <sheetData sheetId="7349">
        <row r="2">
          <cell r="B2">
            <v>1</v>
          </cell>
        </row>
      </sheetData>
      <sheetData sheetId="7350">
        <row r="2">
          <cell r="B2">
            <v>1</v>
          </cell>
        </row>
      </sheetData>
      <sheetData sheetId="7351">
        <row r="2">
          <cell r="B2">
            <v>1</v>
          </cell>
        </row>
      </sheetData>
      <sheetData sheetId="7352">
        <row r="2">
          <cell r="B2">
            <v>1</v>
          </cell>
        </row>
      </sheetData>
      <sheetData sheetId="7353">
        <row r="2">
          <cell r="B2">
            <v>1</v>
          </cell>
        </row>
      </sheetData>
      <sheetData sheetId="7354">
        <row r="2">
          <cell r="B2">
            <v>1</v>
          </cell>
        </row>
      </sheetData>
      <sheetData sheetId="7355">
        <row r="2">
          <cell r="B2">
            <v>1</v>
          </cell>
        </row>
      </sheetData>
      <sheetData sheetId="7356">
        <row r="2">
          <cell r="B2">
            <v>1</v>
          </cell>
        </row>
      </sheetData>
      <sheetData sheetId="7357">
        <row r="2">
          <cell r="B2">
            <v>1</v>
          </cell>
        </row>
      </sheetData>
      <sheetData sheetId="7358">
        <row r="2">
          <cell r="B2">
            <v>1</v>
          </cell>
        </row>
      </sheetData>
      <sheetData sheetId="7359">
        <row r="2">
          <cell r="B2">
            <v>1</v>
          </cell>
        </row>
      </sheetData>
      <sheetData sheetId="7360">
        <row r="2">
          <cell r="B2">
            <v>1</v>
          </cell>
        </row>
      </sheetData>
      <sheetData sheetId="7361">
        <row r="2">
          <cell r="B2">
            <v>1</v>
          </cell>
        </row>
      </sheetData>
      <sheetData sheetId="7362">
        <row r="2">
          <cell r="B2">
            <v>1</v>
          </cell>
        </row>
      </sheetData>
      <sheetData sheetId="7363">
        <row r="2">
          <cell r="B2">
            <v>1</v>
          </cell>
        </row>
      </sheetData>
      <sheetData sheetId="7364">
        <row r="2">
          <cell r="B2">
            <v>1</v>
          </cell>
        </row>
      </sheetData>
      <sheetData sheetId="7365">
        <row r="2">
          <cell r="B2">
            <v>1</v>
          </cell>
        </row>
      </sheetData>
      <sheetData sheetId="7366">
        <row r="2">
          <cell r="B2">
            <v>1</v>
          </cell>
        </row>
      </sheetData>
      <sheetData sheetId="7367">
        <row r="2">
          <cell r="B2">
            <v>1</v>
          </cell>
        </row>
      </sheetData>
      <sheetData sheetId="7368">
        <row r="2">
          <cell r="B2">
            <v>1</v>
          </cell>
        </row>
      </sheetData>
      <sheetData sheetId="7369">
        <row r="2">
          <cell r="B2">
            <v>1</v>
          </cell>
        </row>
      </sheetData>
      <sheetData sheetId="7370">
        <row r="2">
          <cell r="B2">
            <v>1</v>
          </cell>
        </row>
      </sheetData>
      <sheetData sheetId="7371">
        <row r="2">
          <cell r="B2">
            <v>1</v>
          </cell>
        </row>
      </sheetData>
      <sheetData sheetId="7372">
        <row r="2">
          <cell r="B2">
            <v>1</v>
          </cell>
        </row>
      </sheetData>
      <sheetData sheetId="7373">
        <row r="2">
          <cell r="B2">
            <v>1</v>
          </cell>
        </row>
      </sheetData>
      <sheetData sheetId="7374">
        <row r="2">
          <cell r="B2">
            <v>1</v>
          </cell>
        </row>
      </sheetData>
      <sheetData sheetId="7375">
        <row r="2">
          <cell r="B2">
            <v>1</v>
          </cell>
        </row>
      </sheetData>
      <sheetData sheetId="7376">
        <row r="2">
          <cell r="B2">
            <v>1</v>
          </cell>
        </row>
      </sheetData>
      <sheetData sheetId="7377">
        <row r="2">
          <cell r="B2">
            <v>1</v>
          </cell>
        </row>
      </sheetData>
      <sheetData sheetId="7378">
        <row r="2">
          <cell r="B2">
            <v>1</v>
          </cell>
        </row>
      </sheetData>
      <sheetData sheetId="7379">
        <row r="2">
          <cell r="B2">
            <v>1</v>
          </cell>
        </row>
      </sheetData>
      <sheetData sheetId="7380">
        <row r="2">
          <cell r="B2">
            <v>1</v>
          </cell>
        </row>
      </sheetData>
      <sheetData sheetId="7381">
        <row r="2">
          <cell r="B2">
            <v>1</v>
          </cell>
        </row>
      </sheetData>
      <sheetData sheetId="7382">
        <row r="2">
          <cell r="B2">
            <v>1</v>
          </cell>
        </row>
      </sheetData>
      <sheetData sheetId="7383">
        <row r="2">
          <cell r="B2">
            <v>1</v>
          </cell>
        </row>
      </sheetData>
      <sheetData sheetId="7384">
        <row r="2">
          <cell r="B2">
            <v>1</v>
          </cell>
        </row>
      </sheetData>
      <sheetData sheetId="7385">
        <row r="2">
          <cell r="B2">
            <v>1</v>
          </cell>
        </row>
      </sheetData>
      <sheetData sheetId="7386">
        <row r="2">
          <cell r="B2">
            <v>1</v>
          </cell>
        </row>
      </sheetData>
      <sheetData sheetId="7387">
        <row r="2">
          <cell r="B2">
            <v>1</v>
          </cell>
        </row>
      </sheetData>
      <sheetData sheetId="7388">
        <row r="2">
          <cell r="B2">
            <v>1</v>
          </cell>
        </row>
      </sheetData>
      <sheetData sheetId="7389">
        <row r="2">
          <cell r="B2">
            <v>1</v>
          </cell>
        </row>
      </sheetData>
      <sheetData sheetId="7390">
        <row r="2">
          <cell r="B2">
            <v>1</v>
          </cell>
        </row>
      </sheetData>
      <sheetData sheetId="7391">
        <row r="2">
          <cell r="B2">
            <v>1</v>
          </cell>
        </row>
      </sheetData>
      <sheetData sheetId="7392">
        <row r="2">
          <cell r="B2">
            <v>1</v>
          </cell>
        </row>
      </sheetData>
      <sheetData sheetId="7393">
        <row r="2">
          <cell r="B2">
            <v>1</v>
          </cell>
        </row>
      </sheetData>
      <sheetData sheetId="7394">
        <row r="2">
          <cell r="B2">
            <v>1</v>
          </cell>
        </row>
      </sheetData>
      <sheetData sheetId="7395">
        <row r="2">
          <cell r="B2">
            <v>1</v>
          </cell>
        </row>
      </sheetData>
      <sheetData sheetId="7396">
        <row r="2">
          <cell r="B2">
            <v>1</v>
          </cell>
        </row>
      </sheetData>
      <sheetData sheetId="7397">
        <row r="2">
          <cell r="B2">
            <v>1</v>
          </cell>
        </row>
      </sheetData>
      <sheetData sheetId="7398">
        <row r="2">
          <cell r="B2">
            <v>1</v>
          </cell>
        </row>
      </sheetData>
      <sheetData sheetId="7399">
        <row r="2">
          <cell r="B2">
            <v>1</v>
          </cell>
        </row>
      </sheetData>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row r="2">
          <cell r="B2">
            <v>1</v>
          </cell>
        </row>
      </sheetData>
      <sheetData sheetId="7416">
        <row r="2">
          <cell r="B2">
            <v>1</v>
          </cell>
        </row>
      </sheetData>
      <sheetData sheetId="7417">
        <row r="2">
          <cell r="B2">
            <v>1</v>
          </cell>
        </row>
      </sheetData>
      <sheetData sheetId="7418">
        <row r="2">
          <cell r="B2">
            <v>1</v>
          </cell>
        </row>
      </sheetData>
      <sheetData sheetId="7419">
        <row r="2">
          <cell r="B2">
            <v>1</v>
          </cell>
        </row>
      </sheetData>
      <sheetData sheetId="7420">
        <row r="2">
          <cell r="B2">
            <v>1</v>
          </cell>
        </row>
      </sheetData>
      <sheetData sheetId="7421">
        <row r="1">
          <cell r="J1">
            <v>1.7453292519943295E-2</v>
          </cell>
        </row>
      </sheetData>
      <sheetData sheetId="7422">
        <row r="2">
          <cell r="B2">
            <v>1</v>
          </cell>
        </row>
      </sheetData>
      <sheetData sheetId="7423">
        <row r="2">
          <cell r="B2">
            <v>1</v>
          </cell>
        </row>
      </sheetData>
      <sheetData sheetId="7424">
        <row r="2">
          <cell r="B2">
            <v>1</v>
          </cell>
        </row>
      </sheetData>
      <sheetData sheetId="7425">
        <row r="2">
          <cell r="B2">
            <v>1</v>
          </cell>
        </row>
      </sheetData>
      <sheetData sheetId="7426"/>
      <sheetData sheetId="7427"/>
      <sheetData sheetId="7428"/>
      <sheetData sheetId="7429">
        <row r="2">
          <cell r="B2">
            <v>1</v>
          </cell>
        </row>
      </sheetData>
      <sheetData sheetId="7430">
        <row r="2">
          <cell r="B2">
            <v>1</v>
          </cell>
        </row>
      </sheetData>
      <sheetData sheetId="7431">
        <row r="2">
          <cell r="B2">
            <v>1</v>
          </cell>
        </row>
      </sheetData>
      <sheetData sheetId="7432">
        <row r="2">
          <cell r="B2">
            <v>1</v>
          </cell>
        </row>
      </sheetData>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row r="2">
          <cell r="B2">
            <v>1</v>
          </cell>
        </row>
      </sheetData>
      <sheetData sheetId="7524">
        <row r="2">
          <cell r="B2">
            <v>1</v>
          </cell>
        </row>
      </sheetData>
      <sheetData sheetId="7525">
        <row r="2">
          <cell r="B2">
            <v>1</v>
          </cell>
        </row>
      </sheetData>
      <sheetData sheetId="7526">
        <row r="2">
          <cell r="B2">
            <v>1</v>
          </cell>
        </row>
      </sheetData>
      <sheetData sheetId="7527">
        <row r="2">
          <cell r="B2">
            <v>1</v>
          </cell>
        </row>
      </sheetData>
      <sheetData sheetId="7528">
        <row r="2">
          <cell r="B2">
            <v>1</v>
          </cell>
        </row>
      </sheetData>
      <sheetData sheetId="7529">
        <row r="2">
          <cell r="B2">
            <v>1</v>
          </cell>
        </row>
      </sheetData>
      <sheetData sheetId="7530">
        <row r="2">
          <cell r="B2">
            <v>1</v>
          </cell>
        </row>
      </sheetData>
      <sheetData sheetId="7531">
        <row r="2">
          <cell r="B2">
            <v>1</v>
          </cell>
        </row>
      </sheetData>
      <sheetData sheetId="7532">
        <row r="2">
          <cell r="B2">
            <v>1</v>
          </cell>
        </row>
      </sheetData>
      <sheetData sheetId="7533">
        <row r="2">
          <cell r="B2">
            <v>1</v>
          </cell>
        </row>
      </sheetData>
      <sheetData sheetId="7534">
        <row r="2">
          <cell r="B2">
            <v>1</v>
          </cell>
        </row>
      </sheetData>
      <sheetData sheetId="7535">
        <row r="2">
          <cell r="B2">
            <v>1</v>
          </cell>
        </row>
      </sheetData>
      <sheetData sheetId="7536">
        <row r="2">
          <cell r="B2">
            <v>1</v>
          </cell>
        </row>
      </sheetData>
      <sheetData sheetId="7537">
        <row r="2">
          <cell r="B2">
            <v>1</v>
          </cell>
        </row>
      </sheetData>
      <sheetData sheetId="7538">
        <row r="2">
          <cell r="B2">
            <v>1</v>
          </cell>
        </row>
      </sheetData>
      <sheetData sheetId="7539">
        <row r="2">
          <cell r="B2">
            <v>1</v>
          </cell>
        </row>
      </sheetData>
      <sheetData sheetId="7540">
        <row r="2">
          <cell r="B2">
            <v>1</v>
          </cell>
        </row>
      </sheetData>
      <sheetData sheetId="7541">
        <row r="2">
          <cell r="B2">
            <v>1</v>
          </cell>
        </row>
      </sheetData>
      <sheetData sheetId="7542">
        <row r="2">
          <cell r="B2">
            <v>1</v>
          </cell>
        </row>
      </sheetData>
      <sheetData sheetId="7543">
        <row r="2">
          <cell r="B2">
            <v>1</v>
          </cell>
        </row>
      </sheetData>
      <sheetData sheetId="7544">
        <row r="2">
          <cell r="B2">
            <v>1</v>
          </cell>
        </row>
      </sheetData>
      <sheetData sheetId="7545">
        <row r="2">
          <cell r="B2">
            <v>1</v>
          </cell>
        </row>
      </sheetData>
      <sheetData sheetId="7546">
        <row r="2">
          <cell r="B2">
            <v>1</v>
          </cell>
        </row>
      </sheetData>
      <sheetData sheetId="7547">
        <row r="1">
          <cell r="J1">
            <v>1.7453292519943295E-2</v>
          </cell>
        </row>
      </sheetData>
      <sheetData sheetId="7548">
        <row r="2">
          <cell r="B2">
            <v>1</v>
          </cell>
        </row>
      </sheetData>
      <sheetData sheetId="7549">
        <row r="2">
          <cell r="B2">
            <v>1</v>
          </cell>
        </row>
      </sheetData>
      <sheetData sheetId="7550">
        <row r="2">
          <cell r="B2">
            <v>1</v>
          </cell>
        </row>
      </sheetData>
      <sheetData sheetId="7551">
        <row r="2">
          <cell r="B2">
            <v>1</v>
          </cell>
        </row>
      </sheetData>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refreshError="1"/>
      <sheetData sheetId="7601" refreshError="1"/>
      <sheetData sheetId="7602">
        <row r="1">
          <cell r="J1">
            <v>1.7453292519943295E-2</v>
          </cell>
        </row>
      </sheetData>
      <sheetData sheetId="7603" refreshError="1"/>
      <sheetData sheetId="7604">
        <row r="1">
          <cell r="J1">
            <v>1.7453292519943295E-2</v>
          </cell>
        </row>
      </sheetData>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ow r="1">
          <cell r="J1">
            <v>1.7453292519943295E-2</v>
          </cell>
        </row>
      </sheetData>
      <sheetData sheetId="7617" refreshError="1"/>
      <sheetData sheetId="7618">
        <row r="1">
          <cell r="J1">
            <v>1.7453292519943295E-2</v>
          </cell>
        </row>
      </sheetData>
      <sheetData sheetId="7619" refreshError="1"/>
      <sheetData sheetId="7620">
        <row r="1">
          <cell r="J1">
            <v>1.7453292519943295E-2</v>
          </cell>
        </row>
      </sheetData>
      <sheetData sheetId="7621" refreshError="1"/>
      <sheetData sheetId="7622" refreshError="1"/>
      <sheetData sheetId="7623">
        <row r="1">
          <cell r="J1">
            <v>1.7453292519943295E-2</v>
          </cell>
        </row>
      </sheetData>
      <sheetData sheetId="7624" refreshError="1"/>
      <sheetData sheetId="7625" refreshError="1"/>
      <sheetData sheetId="7626" refreshError="1"/>
      <sheetData sheetId="7627">
        <row r="1">
          <cell r="J1">
            <v>1.7453292519943295E-2</v>
          </cell>
        </row>
      </sheetData>
      <sheetData sheetId="7628" refreshError="1"/>
      <sheetData sheetId="7629">
        <row r="1">
          <cell r="J1">
            <v>1.7453292519943295E-2</v>
          </cell>
        </row>
      </sheetData>
      <sheetData sheetId="7630" refreshError="1"/>
      <sheetData sheetId="7631" refreshError="1"/>
      <sheetData sheetId="7632" refreshError="1"/>
      <sheetData sheetId="7633" refreshError="1"/>
      <sheetData sheetId="7634">
        <row r="1">
          <cell r="J1">
            <v>1.7453292519943295E-2</v>
          </cell>
        </row>
      </sheetData>
      <sheetData sheetId="7635">
        <row r="1">
          <cell r="J1">
            <v>1.7453292519943295E-2</v>
          </cell>
        </row>
      </sheetData>
      <sheetData sheetId="7636" refreshError="1"/>
      <sheetData sheetId="7637">
        <row r="1">
          <cell r="J1">
            <v>1.7453292519943295E-2</v>
          </cell>
        </row>
      </sheetData>
      <sheetData sheetId="7638" refreshError="1"/>
      <sheetData sheetId="7639" refreshError="1"/>
      <sheetData sheetId="7640">
        <row r="1">
          <cell r="J1">
            <v>1.7453292519943295E-2</v>
          </cell>
        </row>
      </sheetData>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ow r="1">
          <cell r="J1">
            <v>1.7453292519943295E-2</v>
          </cell>
        </row>
      </sheetData>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ow r="1">
          <cell r="J1">
            <v>1.7453292519943295E-2</v>
          </cell>
        </row>
      </sheetData>
      <sheetData sheetId="7663" refreshError="1"/>
      <sheetData sheetId="7664">
        <row r="1">
          <cell r="J1">
            <v>1.7453292519943295E-2</v>
          </cell>
        </row>
      </sheetData>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ow r="1">
          <cell r="J1">
            <v>1.7453292519943295E-2</v>
          </cell>
        </row>
      </sheetData>
      <sheetData sheetId="7689" refreshError="1"/>
      <sheetData sheetId="7690" refreshError="1"/>
      <sheetData sheetId="7691">
        <row r="1">
          <cell r="J1">
            <v>1.7453292519943295E-2</v>
          </cell>
        </row>
      </sheetData>
      <sheetData sheetId="7692" refreshError="1"/>
      <sheetData sheetId="7693" refreshError="1"/>
      <sheetData sheetId="7694" refreshError="1"/>
      <sheetData sheetId="7695" refreshError="1"/>
      <sheetData sheetId="7696">
        <row r="1">
          <cell r="J1">
            <v>1.7453292519943295E-2</v>
          </cell>
        </row>
      </sheetData>
      <sheetData sheetId="7697">
        <row r="1">
          <cell r="J1">
            <v>1.7453292519943295E-2</v>
          </cell>
        </row>
      </sheetData>
      <sheetData sheetId="7698">
        <row r="1">
          <cell r="J1">
            <v>1.7453292519943295E-2</v>
          </cell>
        </row>
      </sheetData>
      <sheetData sheetId="7699">
        <row r="1">
          <cell r="J1">
            <v>1.7453292519943295E-2</v>
          </cell>
        </row>
      </sheetData>
      <sheetData sheetId="7700">
        <row r="1">
          <cell r="J1">
            <v>1.7453292519943295E-2</v>
          </cell>
        </row>
      </sheetData>
      <sheetData sheetId="7701">
        <row r="1">
          <cell r="J1">
            <v>1.7453292519943295E-2</v>
          </cell>
        </row>
      </sheetData>
      <sheetData sheetId="7702">
        <row r="1">
          <cell r="J1">
            <v>1.7453292519943295E-2</v>
          </cell>
        </row>
      </sheetData>
      <sheetData sheetId="7703">
        <row r="1">
          <cell r="J1">
            <v>1.7453292519943295E-2</v>
          </cell>
        </row>
      </sheetData>
      <sheetData sheetId="7704" refreshError="1"/>
      <sheetData sheetId="7705" refreshError="1"/>
      <sheetData sheetId="7706" refreshError="1"/>
      <sheetData sheetId="7707" refreshError="1"/>
      <sheetData sheetId="7708" refreshError="1"/>
      <sheetData sheetId="7709">
        <row r="1">
          <cell r="J1">
            <v>1.7453292519943295E-2</v>
          </cell>
        </row>
      </sheetData>
      <sheetData sheetId="7710" refreshError="1"/>
      <sheetData sheetId="7711" refreshError="1"/>
      <sheetData sheetId="7712">
        <row r="1">
          <cell r="J1">
            <v>1.7453292519943295E-2</v>
          </cell>
        </row>
      </sheetData>
      <sheetData sheetId="7713">
        <row r="1">
          <cell r="J1">
            <v>1.7453292519943295E-2</v>
          </cell>
        </row>
      </sheetData>
      <sheetData sheetId="7714" refreshError="1"/>
      <sheetData sheetId="7715" refreshError="1"/>
      <sheetData sheetId="7716" refreshError="1"/>
      <sheetData sheetId="7717" refreshError="1"/>
      <sheetData sheetId="7718" refreshError="1"/>
      <sheetData sheetId="7719" refreshError="1"/>
      <sheetData sheetId="7720" refreshError="1"/>
      <sheetData sheetId="7721">
        <row r="1">
          <cell r="J1">
            <v>1.7453292519943295E-2</v>
          </cell>
        </row>
      </sheetData>
      <sheetData sheetId="7722" refreshError="1"/>
      <sheetData sheetId="7723" refreshError="1"/>
      <sheetData sheetId="7724">
        <row r="1">
          <cell r="J1">
            <v>1.7453292519943295E-2</v>
          </cell>
        </row>
      </sheetData>
      <sheetData sheetId="7725" refreshError="1"/>
      <sheetData sheetId="7726" refreshError="1"/>
      <sheetData sheetId="7727" refreshError="1"/>
      <sheetData sheetId="7728" refreshError="1"/>
      <sheetData sheetId="7729" refreshError="1"/>
      <sheetData sheetId="7730">
        <row r="1">
          <cell r="J1">
            <v>1.7453292519943295E-2</v>
          </cell>
        </row>
      </sheetData>
      <sheetData sheetId="7731" refreshError="1"/>
      <sheetData sheetId="7732">
        <row r="1">
          <cell r="J1">
            <v>1.7453292519943295E-2</v>
          </cell>
        </row>
      </sheetData>
      <sheetData sheetId="7733" refreshError="1"/>
      <sheetData sheetId="7734" refreshError="1"/>
      <sheetData sheetId="7735" refreshError="1"/>
      <sheetData sheetId="7736" refreshError="1"/>
      <sheetData sheetId="7737" refreshError="1"/>
      <sheetData sheetId="7738" refreshError="1"/>
      <sheetData sheetId="7739" refreshError="1"/>
      <sheetData sheetId="7740">
        <row r="1">
          <cell r="J1">
            <v>1.7453292519943295E-2</v>
          </cell>
        </row>
      </sheetData>
      <sheetData sheetId="7741" refreshError="1"/>
      <sheetData sheetId="7742">
        <row r="1">
          <cell r="J1">
            <v>1.7453292519943295E-2</v>
          </cell>
        </row>
      </sheetData>
      <sheetData sheetId="7743">
        <row r="1">
          <cell r="J1">
            <v>1.7453292519943295E-2</v>
          </cell>
        </row>
      </sheetData>
      <sheetData sheetId="7744" refreshError="1"/>
      <sheetData sheetId="7745" refreshError="1"/>
      <sheetData sheetId="7746" refreshError="1"/>
      <sheetData sheetId="7747" refreshError="1"/>
      <sheetData sheetId="7748" refreshError="1"/>
      <sheetData sheetId="7749" refreshError="1"/>
      <sheetData sheetId="7750" refreshError="1"/>
      <sheetData sheetId="7751">
        <row r="1">
          <cell r="J1">
            <v>1.7453292519943295E-2</v>
          </cell>
        </row>
      </sheetData>
      <sheetData sheetId="7752" refreshError="1"/>
      <sheetData sheetId="7753">
        <row r="1">
          <cell r="J1">
            <v>1.7453292519943295E-2</v>
          </cell>
        </row>
      </sheetData>
      <sheetData sheetId="7754">
        <row r="1">
          <cell r="J1">
            <v>1.7453292519943295E-2</v>
          </cell>
        </row>
      </sheetData>
      <sheetData sheetId="7755" refreshError="1"/>
      <sheetData sheetId="7756" refreshError="1"/>
      <sheetData sheetId="7757" refreshError="1"/>
      <sheetData sheetId="7758" refreshError="1"/>
      <sheetData sheetId="7759" refreshError="1"/>
      <sheetData sheetId="7760" refreshError="1"/>
      <sheetData sheetId="7761">
        <row r="1">
          <cell r="J1">
            <v>1.7453292519943295E-2</v>
          </cell>
        </row>
      </sheetData>
      <sheetData sheetId="7762" refreshError="1"/>
      <sheetData sheetId="7763" refreshError="1"/>
      <sheetData sheetId="7764" refreshError="1"/>
      <sheetData sheetId="7765">
        <row r="1">
          <cell r="J1">
            <v>1.7453292519943295E-2</v>
          </cell>
        </row>
      </sheetData>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ow r="1">
          <cell r="J1">
            <v>1.7453292519943295E-2</v>
          </cell>
        </row>
      </sheetData>
      <sheetData sheetId="7776" refreshError="1"/>
      <sheetData sheetId="7777" refreshError="1"/>
      <sheetData sheetId="7778" refreshError="1"/>
      <sheetData sheetId="7779">
        <row r="1">
          <cell r="J1">
            <v>1.7453292519943295E-2</v>
          </cell>
        </row>
      </sheetData>
      <sheetData sheetId="7780" refreshError="1"/>
      <sheetData sheetId="7781" refreshError="1"/>
      <sheetData sheetId="7782">
        <row r="1">
          <cell r="J1">
            <v>1.7453292519943295E-2</v>
          </cell>
        </row>
      </sheetData>
      <sheetData sheetId="7783" refreshError="1"/>
      <sheetData sheetId="7784">
        <row r="1">
          <cell r="J1">
            <v>1.7453292519943295E-2</v>
          </cell>
        </row>
      </sheetData>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ow r="1">
          <cell r="J1">
            <v>1.7453292519943295E-2</v>
          </cell>
        </row>
      </sheetData>
      <sheetData sheetId="7800" refreshError="1"/>
      <sheetData sheetId="7801" refreshError="1"/>
      <sheetData sheetId="7802" refreshError="1"/>
      <sheetData sheetId="7803">
        <row r="1">
          <cell r="J1">
            <v>1.7453292519943295E-2</v>
          </cell>
        </row>
      </sheetData>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ow r="1">
          <cell r="J1">
            <v>1.7453292519943295E-2</v>
          </cell>
        </row>
      </sheetData>
      <sheetData sheetId="7817" refreshError="1"/>
      <sheetData sheetId="7818" refreshError="1"/>
      <sheetData sheetId="7819" refreshError="1"/>
      <sheetData sheetId="7820">
        <row r="1">
          <cell r="J1">
            <v>1.7453292519943295E-2</v>
          </cell>
        </row>
      </sheetData>
      <sheetData sheetId="7821" refreshError="1"/>
      <sheetData sheetId="7822">
        <row r="1">
          <cell r="J1">
            <v>1.7453292519943295E-2</v>
          </cell>
        </row>
      </sheetData>
      <sheetData sheetId="7823" refreshError="1"/>
      <sheetData sheetId="7824" refreshError="1"/>
      <sheetData sheetId="7825"/>
      <sheetData sheetId="7826">
        <row r="1">
          <cell r="J1">
            <v>1.7453292519943295E-2</v>
          </cell>
        </row>
      </sheetData>
      <sheetData sheetId="7827">
        <row r="1">
          <cell r="J1">
            <v>1.7453292519943295E-2</v>
          </cell>
        </row>
      </sheetData>
      <sheetData sheetId="7828">
        <row r="1">
          <cell r="J1">
            <v>1.7453292519943295E-2</v>
          </cell>
        </row>
      </sheetData>
      <sheetData sheetId="7829">
        <row r="1">
          <cell r="J1">
            <v>1.7453292519943295E-2</v>
          </cell>
        </row>
      </sheetData>
      <sheetData sheetId="7830">
        <row r="1">
          <cell r="J1">
            <v>1.7453292519943295E-2</v>
          </cell>
        </row>
      </sheetData>
      <sheetData sheetId="7831">
        <row r="1">
          <cell r="J1">
            <v>1.7453292519943295E-2</v>
          </cell>
        </row>
      </sheetData>
      <sheetData sheetId="7832">
        <row r="1">
          <cell r="J1">
            <v>1.7453292519943295E-2</v>
          </cell>
        </row>
      </sheetData>
      <sheetData sheetId="7833" refreshError="1"/>
      <sheetData sheetId="7834" refreshError="1"/>
      <sheetData sheetId="7835" refreshError="1"/>
      <sheetData sheetId="7836">
        <row r="1">
          <cell r="J1">
            <v>1.7453292519943295E-2</v>
          </cell>
        </row>
      </sheetData>
      <sheetData sheetId="7837">
        <row r="1">
          <cell r="J1">
            <v>1.7453292519943295E-2</v>
          </cell>
        </row>
      </sheetData>
      <sheetData sheetId="7838">
        <row r="1">
          <cell r="J1">
            <v>1.7453292519943295E-2</v>
          </cell>
        </row>
      </sheetData>
      <sheetData sheetId="7839">
        <row r="1">
          <cell r="J1">
            <v>1.7453292519943295E-2</v>
          </cell>
        </row>
      </sheetData>
      <sheetData sheetId="7840" refreshError="1"/>
      <sheetData sheetId="7841" refreshError="1"/>
      <sheetData sheetId="7842" refreshError="1"/>
      <sheetData sheetId="7843">
        <row r="1">
          <cell r="J1">
            <v>1.7453292519943295E-2</v>
          </cell>
        </row>
      </sheetData>
      <sheetData sheetId="7844">
        <row r="1">
          <cell r="J1">
            <v>1.7453292519943295E-2</v>
          </cell>
        </row>
      </sheetData>
      <sheetData sheetId="7845" refreshError="1"/>
      <sheetData sheetId="7846" refreshError="1"/>
      <sheetData sheetId="7847" refreshError="1"/>
      <sheetData sheetId="7848" refreshError="1"/>
      <sheetData sheetId="7849">
        <row r="1">
          <cell r="J1">
            <v>1.7453292519943295E-2</v>
          </cell>
        </row>
      </sheetData>
      <sheetData sheetId="7850" refreshError="1"/>
      <sheetData sheetId="7851" refreshError="1"/>
      <sheetData sheetId="7852" refreshError="1"/>
      <sheetData sheetId="7853">
        <row r="1">
          <cell r="J1">
            <v>1.7453292519943295E-2</v>
          </cell>
        </row>
      </sheetData>
      <sheetData sheetId="7854">
        <row r="1">
          <cell r="J1">
            <v>1.7453292519943295E-2</v>
          </cell>
        </row>
      </sheetData>
      <sheetData sheetId="7855">
        <row r="1">
          <cell r="J1">
            <v>1.7453292519943295E-2</v>
          </cell>
        </row>
      </sheetData>
      <sheetData sheetId="7856" refreshError="1"/>
      <sheetData sheetId="7857" refreshError="1"/>
      <sheetData sheetId="7858" refreshError="1"/>
      <sheetData sheetId="7859" refreshError="1"/>
      <sheetData sheetId="7860" refreshError="1"/>
      <sheetData sheetId="7861" refreshError="1"/>
      <sheetData sheetId="7862" refreshError="1"/>
      <sheetData sheetId="7863">
        <row r="1">
          <cell r="J1">
            <v>1.7453292519943295E-2</v>
          </cell>
        </row>
      </sheetData>
      <sheetData sheetId="7864">
        <row r="1">
          <cell r="J1">
            <v>1.7453292519943295E-2</v>
          </cell>
        </row>
      </sheetData>
      <sheetData sheetId="7865" refreshError="1"/>
      <sheetData sheetId="7866">
        <row r="1">
          <cell r="J1">
            <v>1.7453292519943295E-2</v>
          </cell>
        </row>
      </sheetData>
      <sheetData sheetId="7867">
        <row r="1">
          <cell r="J1">
            <v>1.7453292519943295E-2</v>
          </cell>
        </row>
      </sheetData>
      <sheetData sheetId="7868" refreshError="1"/>
      <sheetData sheetId="7869" refreshError="1"/>
      <sheetData sheetId="7870" refreshError="1"/>
      <sheetData sheetId="7871" refreshError="1"/>
      <sheetData sheetId="7872">
        <row r="1">
          <cell r="J1">
            <v>1.7453292519943295E-2</v>
          </cell>
        </row>
      </sheetData>
      <sheetData sheetId="7873" refreshError="1"/>
      <sheetData sheetId="7874" refreshError="1"/>
      <sheetData sheetId="7875" refreshError="1"/>
      <sheetData sheetId="7876">
        <row r="1">
          <cell r="J1">
            <v>1.7453292519943295E-2</v>
          </cell>
        </row>
      </sheetData>
      <sheetData sheetId="7877">
        <row r="1">
          <cell r="J1">
            <v>1.7453292519943295E-2</v>
          </cell>
        </row>
      </sheetData>
      <sheetData sheetId="7878" refreshError="1"/>
      <sheetData sheetId="7879">
        <row r="1">
          <cell r="J1">
            <v>1.7453292519943295E-2</v>
          </cell>
        </row>
      </sheetData>
      <sheetData sheetId="7880" refreshError="1"/>
      <sheetData sheetId="7881" refreshError="1"/>
      <sheetData sheetId="7882" refreshError="1"/>
      <sheetData sheetId="7883">
        <row r="1">
          <cell r="J1">
            <v>1.7453292519943295E-2</v>
          </cell>
        </row>
      </sheetData>
      <sheetData sheetId="7884" refreshError="1"/>
      <sheetData sheetId="7885">
        <row r="1">
          <cell r="J1">
            <v>1.7453292519943295E-2</v>
          </cell>
        </row>
      </sheetData>
      <sheetData sheetId="7886">
        <row r="1">
          <cell r="J1">
            <v>1.7453292519943295E-2</v>
          </cell>
        </row>
      </sheetData>
      <sheetData sheetId="7887" refreshError="1"/>
      <sheetData sheetId="7888" refreshError="1"/>
      <sheetData sheetId="7889" refreshError="1"/>
      <sheetData sheetId="7890">
        <row r="1">
          <cell r="J1">
            <v>1.7453292519943295E-2</v>
          </cell>
        </row>
      </sheetData>
      <sheetData sheetId="7891" refreshError="1"/>
      <sheetData sheetId="7892" refreshError="1"/>
      <sheetData sheetId="7893" refreshError="1"/>
      <sheetData sheetId="7894">
        <row r="1">
          <cell r="J1">
            <v>1.7453292519943295E-2</v>
          </cell>
        </row>
      </sheetData>
      <sheetData sheetId="7895" refreshError="1"/>
      <sheetData sheetId="7896">
        <row r="1">
          <cell r="J1">
            <v>1.7453292519943295E-2</v>
          </cell>
        </row>
      </sheetData>
      <sheetData sheetId="7897">
        <row r="1">
          <cell r="J1">
            <v>1.7453292519943295E-2</v>
          </cell>
        </row>
      </sheetData>
      <sheetData sheetId="7898" refreshError="1"/>
      <sheetData sheetId="7899" refreshError="1"/>
      <sheetData sheetId="7900" refreshError="1"/>
      <sheetData sheetId="7901">
        <row r="1">
          <cell r="J1">
            <v>1.7453292519943295E-2</v>
          </cell>
        </row>
      </sheetData>
      <sheetData sheetId="7902" refreshError="1"/>
      <sheetData sheetId="7903" refreshError="1"/>
      <sheetData sheetId="7904" refreshError="1"/>
      <sheetData sheetId="7905">
        <row r="1">
          <cell r="J1">
            <v>1.7453292519943295E-2</v>
          </cell>
        </row>
      </sheetData>
      <sheetData sheetId="7906">
        <row r="1">
          <cell r="J1">
            <v>1.7453292519943295E-2</v>
          </cell>
        </row>
      </sheetData>
      <sheetData sheetId="7907" refreshError="1"/>
      <sheetData sheetId="7908">
        <row r="1">
          <cell r="J1">
            <v>1.7453292519943295E-2</v>
          </cell>
        </row>
      </sheetData>
      <sheetData sheetId="7909" refreshError="1"/>
      <sheetData sheetId="7910" refreshError="1"/>
      <sheetData sheetId="7911" refreshError="1"/>
      <sheetData sheetId="7912" refreshError="1"/>
      <sheetData sheetId="7913">
        <row r="1">
          <cell r="J1">
            <v>1.7453292519943295E-2</v>
          </cell>
        </row>
      </sheetData>
      <sheetData sheetId="7914" refreshError="1"/>
      <sheetData sheetId="7915" refreshError="1"/>
      <sheetData sheetId="7916" refreshError="1"/>
      <sheetData sheetId="7917">
        <row r="1">
          <cell r="J1">
            <v>1.7453292519943295E-2</v>
          </cell>
        </row>
      </sheetData>
      <sheetData sheetId="7918">
        <row r="1">
          <cell r="J1">
            <v>1.7453292519943295E-2</v>
          </cell>
        </row>
      </sheetData>
      <sheetData sheetId="7919">
        <row r="1">
          <cell r="J1">
            <v>1.7453292519943295E-2</v>
          </cell>
        </row>
      </sheetData>
      <sheetData sheetId="7920">
        <row r="1">
          <cell r="J1">
            <v>1.7453292519943295E-2</v>
          </cell>
        </row>
      </sheetData>
      <sheetData sheetId="7921">
        <row r="1">
          <cell r="J1">
            <v>1.7453292519943295E-2</v>
          </cell>
        </row>
      </sheetData>
      <sheetData sheetId="7922">
        <row r="1">
          <cell r="J1">
            <v>1.7453292519943295E-2</v>
          </cell>
        </row>
      </sheetData>
      <sheetData sheetId="7923">
        <row r="1">
          <cell r="J1">
            <v>1.7453292519943295E-2</v>
          </cell>
        </row>
      </sheetData>
      <sheetData sheetId="7924">
        <row r="1">
          <cell r="J1">
            <v>1.7453292519943295E-2</v>
          </cell>
        </row>
      </sheetData>
      <sheetData sheetId="7925">
        <row r="1">
          <cell r="J1">
            <v>1.7453292519943295E-2</v>
          </cell>
        </row>
      </sheetData>
      <sheetData sheetId="7926" refreshError="1"/>
      <sheetData sheetId="7927" refreshError="1"/>
      <sheetData sheetId="7928">
        <row r="1">
          <cell r="J1">
            <v>1.7453292519943295E-2</v>
          </cell>
        </row>
      </sheetData>
      <sheetData sheetId="7929" refreshError="1"/>
      <sheetData sheetId="7930" refreshError="1"/>
      <sheetData sheetId="7931" refreshError="1"/>
      <sheetData sheetId="7932">
        <row r="1">
          <cell r="J1">
            <v>1.7453292519943295E-2</v>
          </cell>
        </row>
      </sheetData>
      <sheetData sheetId="7933" refreshError="1"/>
      <sheetData sheetId="7934">
        <row r="1">
          <cell r="J1">
            <v>1.7453292519943295E-2</v>
          </cell>
        </row>
      </sheetData>
      <sheetData sheetId="7935" refreshError="1"/>
      <sheetData sheetId="7936">
        <row r="1">
          <cell r="J1">
            <v>1.7453292519943295E-2</v>
          </cell>
        </row>
      </sheetData>
      <sheetData sheetId="7937" refreshError="1"/>
      <sheetData sheetId="7938" refreshError="1"/>
      <sheetData sheetId="7939" refreshError="1"/>
      <sheetData sheetId="7940">
        <row r="1">
          <cell r="J1">
            <v>1.7453292519943295E-2</v>
          </cell>
        </row>
      </sheetData>
      <sheetData sheetId="7941" refreshError="1"/>
      <sheetData sheetId="7942">
        <row r="1">
          <cell r="J1">
            <v>1.7453292519943295E-2</v>
          </cell>
        </row>
      </sheetData>
      <sheetData sheetId="7943" refreshError="1"/>
      <sheetData sheetId="7944" refreshError="1"/>
      <sheetData sheetId="7945" refreshError="1"/>
      <sheetData sheetId="7946" refreshError="1"/>
      <sheetData sheetId="7947">
        <row r="1">
          <cell r="J1">
            <v>1.7453292519943295E-2</v>
          </cell>
        </row>
      </sheetData>
      <sheetData sheetId="7948" refreshError="1"/>
      <sheetData sheetId="7949" refreshError="1"/>
      <sheetData sheetId="7950" refreshError="1"/>
      <sheetData sheetId="7951">
        <row r="1">
          <cell r="J1">
            <v>1.7453292519943295E-2</v>
          </cell>
        </row>
      </sheetData>
      <sheetData sheetId="7952" refreshError="1"/>
      <sheetData sheetId="7953" refreshError="1"/>
      <sheetData sheetId="7954" refreshError="1"/>
      <sheetData sheetId="7955" refreshError="1"/>
      <sheetData sheetId="7956" refreshError="1"/>
      <sheetData sheetId="7957">
        <row r="1">
          <cell r="J1">
            <v>1.7453292519943295E-2</v>
          </cell>
        </row>
      </sheetData>
      <sheetData sheetId="7958">
        <row r="1">
          <cell r="J1">
            <v>1.7453292519943295E-2</v>
          </cell>
        </row>
      </sheetData>
      <sheetData sheetId="7959" refreshError="1"/>
      <sheetData sheetId="7960" refreshError="1"/>
      <sheetData sheetId="7961">
        <row r="1">
          <cell r="J1">
            <v>1.7453292519943295E-2</v>
          </cell>
        </row>
      </sheetData>
      <sheetData sheetId="7962" refreshError="1"/>
      <sheetData sheetId="7963" refreshError="1"/>
      <sheetData sheetId="7964" refreshError="1"/>
      <sheetData sheetId="7965" refreshError="1"/>
      <sheetData sheetId="7966">
        <row r="1">
          <cell r="J1">
            <v>1.7453292519943295E-2</v>
          </cell>
        </row>
      </sheetData>
      <sheetData sheetId="7967" refreshError="1"/>
      <sheetData sheetId="7968" refreshError="1"/>
      <sheetData sheetId="7969" refreshError="1"/>
      <sheetData sheetId="7970" refreshError="1"/>
      <sheetData sheetId="7971" refreshError="1"/>
      <sheetData sheetId="7972" refreshError="1"/>
      <sheetData sheetId="7973">
        <row r="1">
          <cell r="J1">
            <v>1.7453292519943295E-2</v>
          </cell>
        </row>
      </sheetData>
      <sheetData sheetId="7974">
        <row r="1">
          <cell r="J1">
            <v>1.7453292519943295E-2</v>
          </cell>
        </row>
      </sheetData>
      <sheetData sheetId="7975">
        <row r="1">
          <cell r="J1">
            <v>1.7453292519943295E-2</v>
          </cell>
        </row>
      </sheetData>
      <sheetData sheetId="7976">
        <row r="1">
          <cell r="J1">
            <v>1.7453292519943295E-2</v>
          </cell>
        </row>
      </sheetData>
      <sheetData sheetId="7977">
        <row r="1">
          <cell r="J1">
            <v>1.7453292519943295E-2</v>
          </cell>
        </row>
      </sheetData>
      <sheetData sheetId="7978">
        <row r="1">
          <cell r="J1">
            <v>1.7453292519943295E-2</v>
          </cell>
        </row>
      </sheetData>
      <sheetData sheetId="7979" refreshError="1"/>
      <sheetData sheetId="7980">
        <row r="1">
          <cell r="J1">
            <v>1.7453292519943295E-2</v>
          </cell>
        </row>
      </sheetData>
      <sheetData sheetId="7981" refreshError="1"/>
      <sheetData sheetId="7982" refreshError="1"/>
      <sheetData sheetId="7983" refreshError="1"/>
      <sheetData sheetId="7984" refreshError="1"/>
      <sheetData sheetId="7985" refreshError="1"/>
      <sheetData sheetId="7986" refreshError="1"/>
      <sheetData sheetId="7987">
        <row r="1">
          <cell r="J1">
            <v>1.7453292519943295E-2</v>
          </cell>
        </row>
      </sheetData>
      <sheetData sheetId="7988">
        <row r="1">
          <cell r="J1">
            <v>1.7453292519943295E-2</v>
          </cell>
        </row>
      </sheetData>
      <sheetData sheetId="7989" refreshError="1"/>
      <sheetData sheetId="7990" refreshError="1"/>
      <sheetData sheetId="7991">
        <row r="1">
          <cell r="J1">
            <v>1.7453292519943295E-2</v>
          </cell>
        </row>
      </sheetData>
      <sheetData sheetId="7992" refreshError="1"/>
      <sheetData sheetId="7993" refreshError="1"/>
      <sheetData sheetId="7994" refreshError="1"/>
      <sheetData sheetId="7995" refreshError="1"/>
      <sheetData sheetId="7996">
        <row r="1">
          <cell r="J1">
            <v>1.7453292519943295E-2</v>
          </cell>
        </row>
      </sheetData>
      <sheetData sheetId="7997">
        <row r="1">
          <cell r="J1">
            <v>1.7453292519943295E-2</v>
          </cell>
        </row>
      </sheetData>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ow r="1">
          <cell r="J1">
            <v>1.7453292519943295E-2</v>
          </cell>
        </row>
      </sheetData>
      <sheetData sheetId="8007">
        <row r="1">
          <cell r="J1">
            <v>1.7453292519943295E-2</v>
          </cell>
        </row>
      </sheetData>
      <sheetData sheetId="8008" refreshError="1"/>
      <sheetData sheetId="8009" refreshError="1"/>
      <sheetData sheetId="8010">
        <row r="1">
          <cell r="J1">
            <v>1.7453292519943295E-2</v>
          </cell>
        </row>
      </sheetData>
      <sheetData sheetId="8011" refreshError="1"/>
      <sheetData sheetId="8012">
        <row r="1">
          <cell r="J1">
            <v>1.7453292519943295E-2</v>
          </cell>
        </row>
      </sheetData>
      <sheetData sheetId="8013" refreshError="1"/>
      <sheetData sheetId="8014">
        <row r="1">
          <cell r="J1">
            <v>1.7453292519943295E-2</v>
          </cell>
        </row>
      </sheetData>
      <sheetData sheetId="8015" refreshError="1"/>
      <sheetData sheetId="8016" refreshError="1"/>
      <sheetData sheetId="8017" refreshError="1"/>
      <sheetData sheetId="8018" refreshError="1"/>
      <sheetData sheetId="8019">
        <row r="1">
          <cell r="J1">
            <v>1.7453292519943295E-2</v>
          </cell>
        </row>
      </sheetData>
      <sheetData sheetId="8020" refreshError="1"/>
      <sheetData sheetId="8021" refreshError="1"/>
      <sheetData sheetId="8022" refreshError="1"/>
      <sheetData sheetId="8023" refreshError="1"/>
      <sheetData sheetId="8024" refreshError="1"/>
      <sheetData sheetId="8025" refreshError="1"/>
      <sheetData sheetId="8026" refreshError="1"/>
      <sheetData sheetId="8027">
        <row r="1">
          <cell r="J1">
            <v>1.7453292519943295E-2</v>
          </cell>
        </row>
      </sheetData>
      <sheetData sheetId="8028" refreshError="1"/>
      <sheetData sheetId="8029" refreshError="1"/>
      <sheetData sheetId="8030" refreshError="1"/>
      <sheetData sheetId="8031">
        <row r="1">
          <cell r="J1">
            <v>1.7453292519943295E-2</v>
          </cell>
        </row>
      </sheetData>
      <sheetData sheetId="8032">
        <row r="1">
          <cell r="J1">
            <v>1.7453292519943295E-2</v>
          </cell>
        </row>
      </sheetData>
      <sheetData sheetId="8033" refreshError="1"/>
      <sheetData sheetId="8034" refreshError="1"/>
      <sheetData sheetId="8035" refreshError="1"/>
      <sheetData sheetId="8036" refreshError="1"/>
      <sheetData sheetId="8037">
        <row r="1">
          <cell r="J1">
            <v>1.7453292519943295E-2</v>
          </cell>
        </row>
      </sheetData>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ow r="1">
          <cell r="J1">
            <v>1.7453292519943295E-2</v>
          </cell>
        </row>
      </sheetData>
      <sheetData sheetId="8047">
        <row r="1">
          <cell r="J1">
            <v>1.7453292519943295E-2</v>
          </cell>
        </row>
      </sheetData>
      <sheetData sheetId="8048" refreshError="1"/>
      <sheetData sheetId="8049" refreshError="1"/>
      <sheetData sheetId="8050">
        <row r="1">
          <cell r="J1">
            <v>1.7453292519943295E-2</v>
          </cell>
        </row>
      </sheetData>
      <sheetData sheetId="8051" refreshError="1"/>
      <sheetData sheetId="8052" refreshError="1"/>
      <sheetData sheetId="8053" refreshError="1"/>
      <sheetData sheetId="8054">
        <row r="1">
          <cell r="J1">
            <v>1.7453292519943295E-2</v>
          </cell>
        </row>
      </sheetData>
      <sheetData sheetId="8055">
        <row r="1">
          <cell r="J1">
            <v>1.7453292519943295E-2</v>
          </cell>
        </row>
      </sheetData>
      <sheetData sheetId="8056" refreshError="1"/>
      <sheetData sheetId="8057">
        <row r="1">
          <cell r="J1">
            <v>1.7453292519943295E-2</v>
          </cell>
        </row>
      </sheetData>
      <sheetData sheetId="8058" refreshError="1"/>
      <sheetData sheetId="8059" refreshError="1"/>
      <sheetData sheetId="8060" refreshError="1"/>
      <sheetData sheetId="8061" refreshError="1"/>
      <sheetData sheetId="8062">
        <row r="1">
          <cell r="J1">
            <v>1.7453292519943295E-2</v>
          </cell>
        </row>
      </sheetData>
      <sheetData sheetId="8063" refreshError="1"/>
      <sheetData sheetId="8064" refreshError="1"/>
      <sheetData sheetId="8065">
        <row r="1">
          <cell r="J1">
            <v>1.7453292519943295E-2</v>
          </cell>
        </row>
      </sheetData>
      <sheetData sheetId="8066" refreshError="1"/>
      <sheetData sheetId="8067" refreshError="1"/>
      <sheetData sheetId="8068" refreshError="1"/>
      <sheetData sheetId="8069" refreshError="1"/>
      <sheetData sheetId="8070">
        <row r="1">
          <cell r="J1">
            <v>1.7453292519943295E-2</v>
          </cell>
        </row>
      </sheetData>
      <sheetData sheetId="8071">
        <row r="1">
          <cell r="J1">
            <v>1.7453292519943295E-2</v>
          </cell>
        </row>
      </sheetData>
      <sheetData sheetId="8072" refreshError="1"/>
      <sheetData sheetId="8073" refreshError="1"/>
      <sheetData sheetId="8074" refreshError="1"/>
      <sheetData sheetId="8075">
        <row r="1">
          <cell r="J1">
            <v>1.7453292519943295E-2</v>
          </cell>
        </row>
      </sheetData>
      <sheetData sheetId="8076" refreshError="1"/>
      <sheetData sheetId="8077" refreshError="1"/>
      <sheetData sheetId="8078">
        <row r="1">
          <cell r="J1">
            <v>1.7453292519943295E-2</v>
          </cell>
        </row>
      </sheetData>
      <sheetData sheetId="8079" refreshError="1"/>
      <sheetData sheetId="8080" refreshError="1"/>
      <sheetData sheetId="8081" refreshError="1"/>
      <sheetData sheetId="8082" refreshError="1"/>
      <sheetData sheetId="8083">
        <row r="1">
          <cell r="J1">
            <v>1.7453292519943295E-2</v>
          </cell>
        </row>
      </sheetData>
      <sheetData sheetId="8084" refreshError="1"/>
      <sheetData sheetId="8085" refreshError="1"/>
      <sheetData sheetId="8086">
        <row r="1">
          <cell r="J1">
            <v>1.7453292519943295E-2</v>
          </cell>
        </row>
      </sheetData>
      <sheetData sheetId="8087" refreshError="1"/>
      <sheetData sheetId="8088" refreshError="1"/>
      <sheetData sheetId="8089" refreshError="1"/>
      <sheetData sheetId="8090" refreshError="1"/>
      <sheetData sheetId="8091" refreshError="1"/>
      <sheetData sheetId="8092">
        <row r="1">
          <cell r="J1">
            <v>1.7453292519943295E-2</v>
          </cell>
        </row>
      </sheetData>
      <sheetData sheetId="8093" refreshError="1"/>
      <sheetData sheetId="8094" refreshError="1"/>
      <sheetData sheetId="8095">
        <row r="1">
          <cell r="J1">
            <v>1.7453292519943295E-2</v>
          </cell>
        </row>
      </sheetData>
      <sheetData sheetId="8096">
        <row r="1">
          <cell r="J1">
            <v>1.7453292519943295E-2</v>
          </cell>
        </row>
      </sheetData>
      <sheetData sheetId="8097" refreshError="1"/>
      <sheetData sheetId="8098" refreshError="1"/>
      <sheetData sheetId="8099" refreshError="1"/>
      <sheetData sheetId="8100" refreshError="1"/>
      <sheetData sheetId="8101" refreshError="1"/>
      <sheetData sheetId="8102">
        <row r="1">
          <cell r="J1">
            <v>1.7453292519943295E-2</v>
          </cell>
        </row>
      </sheetData>
      <sheetData sheetId="8103">
        <row r="1">
          <cell r="J1">
            <v>1.7453292519943295E-2</v>
          </cell>
        </row>
      </sheetData>
      <sheetData sheetId="8104" refreshError="1"/>
      <sheetData sheetId="8105" refreshError="1"/>
      <sheetData sheetId="8106" refreshError="1"/>
      <sheetData sheetId="8107" refreshError="1"/>
      <sheetData sheetId="8108">
        <row r="1">
          <cell r="J1">
            <v>1.7453292519943295E-2</v>
          </cell>
        </row>
      </sheetData>
      <sheetData sheetId="8109" refreshError="1"/>
      <sheetData sheetId="8110">
        <row r="1">
          <cell r="J1">
            <v>1.7453292519943295E-2</v>
          </cell>
        </row>
      </sheetData>
      <sheetData sheetId="8111">
        <row r="1">
          <cell r="J1">
            <v>1.7453292519943295E-2</v>
          </cell>
        </row>
      </sheetData>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ow r="1">
          <cell r="J1">
            <v>1.7453292519943295E-2</v>
          </cell>
        </row>
      </sheetData>
      <sheetData sheetId="8127" refreshError="1"/>
      <sheetData sheetId="8128">
        <row r="1">
          <cell r="J1">
            <v>1.7453292519943295E-2</v>
          </cell>
        </row>
      </sheetData>
      <sheetData sheetId="8129" refreshError="1"/>
      <sheetData sheetId="8130" refreshError="1"/>
      <sheetData sheetId="8131" refreshError="1"/>
      <sheetData sheetId="8132">
        <row r="1">
          <cell r="J1">
            <v>1.7453292519943295E-2</v>
          </cell>
        </row>
      </sheetData>
      <sheetData sheetId="8133" refreshError="1"/>
      <sheetData sheetId="8134">
        <row r="1">
          <cell r="J1">
            <v>1.7453292519943295E-2</v>
          </cell>
        </row>
      </sheetData>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ow r="1">
          <cell r="J1">
            <v>1.7453292519943295E-2</v>
          </cell>
        </row>
      </sheetData>
      <sheetData sheetId="8146" refreshError="1"/>
      <sheetData sheetId="8147" refreshError="1"/>
      <sheetData sheetId="8148" refreshError="1"/>
      <sheetData sheetId="8149" refreshError="1"/>
      <sheetData sheetId="8150" refreshError="1"/>
      <sheetData sheetId="8151">
        <row r="1">
          <cell r="J1">
            <v>1.7453292519943295E-2</v>
          </cell>
        </row>
      </sheetData>
      <sheetData sheetId="8152" refreshError="1"/>
      <sheetData sheetId="8153" refreshError="1"/>
      <sheetData sheetId="8154" refreshError="1"/>
      <sheetData sheetId="8155">
        <row r="1">
          <cell r="J1">
            <v>1.7453292519943295E-2</v>
          </cell>
        </row>
      </sheetData>
      <sheetData sheetId="8156">
        <row r="1">
          <cell r="J1">
            <v>1.7453292519943295E-2</v>
          </cell>
        </row>
      </sheetData>
      <sheetData sheetId="8157">
        <row r="1">
          <cell r="J1">
            <v>1.7453292519943295E-2</v>
          </cell>
        </row>
      </sheetData>
      <sheetData sheetId="8158">
        <row r="1">
          <cell r="J1">
            <v>1.7453292519943295E-2</v>
          </cell>
        </row>
      </sheetData>
      <sheetData sheetId="8159">
        <row r="1">
          <cell r="J1">
            <v>1.7453292519943295E-2</v>
          </cell>
        </row>
      </sheetData>
      <sheetData sheetId="8160">
        <row r="1">
          <cell r="J1">
            <v>1.7453292519943295E-2</v>
          </cell>
        </row>
      </sheetData>
      <sheetData sheetId="8161">
        <row r="1">
          <cell r="J1">
            <v>1.7453292519943295E-2</v>
          </cell>
        </row>
      </sheetData>
      <sheetData sheetId="8162">
        <row r="1">
          <cell r="J1">
            <v>1.7453292519943295E-2</v>
          </cell>
        </row>
      </sheetData>
      <sheetData sheetId="8163">
        <row r="1">
          <cell r="J1">
            <v>1.7453292519943295E-2</v>
          </cell>
        </row>
      </sheetData>
      <sheetData sheetId="8164" refreshError="1"/>
      <sheetData sheetId="8165" refreshError="1"/>
      <sheetData sheetId="8166" refreshError="1"/>
      <sheetData sheetId="8167">
        <row r="1">
          <cell r="J1">
            <v>1.7453292519943295E-2</v>
          </cell>
        </row>
      </sheetData>
      <sheetData sheetId="8168" refreshError="1"/>
      <sheetData sheetId="8169">
        <row r="1">
          <cell r="J1">
            <v>1.7453292519943295E-2</v>
          </cell>
        </row>
      </sheetData>
      <sheetData sheetId="8170" refreshError="1"/>
      <sheetData sheetId="8171" refreshError="1"/>
      <sheetData sheetId="8172" refreshError="1"/>
      <sheetData sheetId="8173" refreshError="1"/>
      <sheetData sheetId="8174">
        <row r="1">
          <cell r="J1">
            <v>1.7453292519943295E-2</v>
          </cell>
        </row>
      </sheetData>
      <sheetData sheetId="8175">
        <row r="1">
          <cell r="J1">
            <v>1.7453292519943295E-2</v>
          </cell>
        </row>
      </sheetData>
      <sheetData sheetId="8176" refreshError="1"/>
      <sheetData sheetId="8177" refreshError="1"/>
      <sheetData sheetId="8178" refreshError="1"/>
      <sheetData sheetId="8179">
        <row r="1">
          <cell r="J1">
            <v>1.7453292519943295E-2</v>
          </cell>
        </row>
      </sheetData>
      <sheetData sheetId="8180" refreshError="1"/>
      <sheetData sheetId="8181" refreshError="1"/>
      <sheetData sheetId="8182" refreshError="1"/>
      <sheetData sheetId="8183" refreshError="1"/>
      <sheetData sheetId="8184">
        <row r="1">
          <cell r="J1">
            <v>1.7453292519943295E-2</v>
          </cell>
        </row>
      </sheetData>
      <sheetData sheetId="8185" refreshError="1"/>
      <sheetData sheetId="8186" refreshError="1"/>
      <sheetData sheetId="8187" refreshError="1"/>
      <sheetData sheetId="8188">
        <row r="1">
          <cell r="J1">
            <v>1.7453292519943295E-2</v>
          </cell>
        </row>
      </sheetData>
      <sheetData sheetId="8189" refreshError="1"/>
      <sheetData sheetId="8190">
        <row r="1">
          <cell r="J1">
            <v>1.7453292519943295E-2</v>
          </cell>
        </row>
      </sheetData>
      <sheetData sheetId="8191" refreshError="1"/>
      <sheetData sheetId="8192" refreshError="1"/>
      <sheetData sheetId="8193" refreshError="1"/>
      <sheetData sheetId="8194" refreshError="1"/>
      <sheetData sheetId="8195" refreshError="1"/>
      <sheetData sheetId="8196" refreshError="1"/>
      <sheetData sheetId="8197">
        <row r="1">
          <cell r="J1">
            <v>1.7453292519943295E-2</v>
          </cell>
        </row>
      </sheetData>
      <sheetData sheetId="8198" refreshError="1"/>
      <sheetData sheetId="8199" refreshError="1"/>
      <sheetData sheetId="8200" refreshError="1"/>
      <sheetData sheetId="8201">
        <row r="1">
          <cell r="J1">
            <v>1.7453292519943295E-2</v>
          </cell>
        </row>
      </sheetData>
      <sheetData sheetId="8202">
        <row r="1">
          <cell r="J1">
            <v>1.7453292519943295E-2</v>
          </cell>
        </row>
      </sheetData>
      <sheetData sheetId="8203" refreshError="1"/>
      <sheetData sheetId="8204" refreshError="1"/>
      <sheetData sheetId="8205" refreshError="1"/>
      <sheetData sheetId="8206">
        <row r="1">
          <cell r="J1">
            <v>1.7453292519943295E-2</v>
          </cell>
        </row>
      </sheetData>
      <sheetData sheetId="8207" refreshError="1"/>
      <sheetData sheetId="8208" refreshError="1"/>
      <sheetData sheetId="8209" refreshError="1"/>
      <sheetData sheetId="8210">
        <row r="1">
          <cell r="J1">
            <v>1.7453292519943295E-2</v>
          </cell>
        </row>
      </sheetData>
      <sheetData sheetId="8211" refreshError="1"/>
      <sheetData sheetId="8212" refreshError="1"/>
      <sheetData sheetId="8213" refreshError="1"/>
      <sheetData sheetId="8214" refreshError="1"/>
      <sheetData sheetId="8215" refreshError="1"/>
      <sheetData sheetId="8216"/>
      <sheetData sheetId="8217" refreshError="1"/>
      <sheetData sheetId="8218" refreshError="1"/>
      <sheetData sheetId="8219" refreshError="1"/>
      <sheetData sheetId="8220">
        <row r="1">
          <cell r="J1">
            <v>1.7453292519943295E-2</v>
          </cell>
        </row>
      </sheetData>
      <sheetData sheetId="8221">
        <row r="1">
          <cell r="J1">
            <v>1.7453292519943295E-2</v>
          </cell>
        </row>
      </sheetData>
      <sheetData sheetId="8222" refreshError="1"/>
      <sheetData sheetId="8223">
        <row r="1">
          <cell r="J1">
            <v>1.7453292519943295E-2</v>
          </cell>
        </row>
      </sheetData>
      <sheetData sheetId="8224" refreshError="1"/>
      <sheetData sheetId="8225" refreshError="1"/>
      <sheetData sheetId="8226" refreshError="1"/>
      <sheetData sheetId="8227">
        <row r="1">
          <cell r="J1">
            <v>1.7453292519943295E-2</v>
          </cell>
        </row>
      </sheetData>
      <sheetData sheetId="8228" refreshError="1"/>
      <sheetData sheetId="8229">
        <row r="1">
          <cell r="J1">
            <v>1.7453292519943295E-2</v>
          </cell>
        </row>
      </sheetData>
      <sheetData sheetId="8230" refreshError="1"/>
      <sheetData sheetId="8231" refreshError="1"/>
      <sheetData sheetId="8232" refreshError="1"/>
      <sheetData sheetId="8233" refreshError="1"/>
      <sheetData sheetId="8234" refreshError="1"/>
      <sheetData sheetId="8235" refreshError="1"/>
      <sheetData sheetId="8236">
        <row r="1">
          <cell r="J1">
            <v>1.7453292519943295E-2</v>
          </cell>
        </row>
      </sheetData>
      <sheetData sheetId="8237" refreshError="1"/>
      <sheetData sheetId="8238" refreshError="1"/>
      <sheetData sheetId="8239" refreshError="1"/>
      <sheetData sheetId="8240">
        <row r="1">
          <cell r="J1">
            <v>1.7453292519943295E-2</v>
          </cell>
        </row>
      </sheetData>
      <sheetData sheetId="8241" refreshError="1"/>
      <sheetData sheetId="8242">
        <row r="1">
          <cell r="J1">
            <v>1.7453292519943295E-2</v>
          </cell>
        </row>
      </sheetData>
      <sheetData sheetId="8243" refreshError="1"/>
      <sheetData sheetId="8244" refreshError="1"/>
      <sheetData sheetId="8245" refreshError="1"/>
      <sheetData sheetId="8246" refreshError="1"/>
      <sheetData sheetId="8247" refreshError="1"/>
      <sheetData sheetId="8248" refreshError="1"/>
      <sheetData sheetId="8249">
        <row r="1">
          <cell r="J1">
            <v>1.7453292519943295E-2</v>
          </cell>
        </row>
      </sheetData>
      <sheetData sheetId="8250" refreshError="1"/>
      <sheetData sheetId="8251" refreshError="1"/>
      <sheetData sheetId="8252" refreshError="1"/>
      <sheetData sheetId="8253">
        <row r="1">
          <cell r="J1">
            <v>1.7453292519943295E-2</v>
          </cell>
        </row>
      </sheetData>
      <sheetData sheetId="8254">
        <row r="1">
          <cell r="J1">
            <v>1.7453292519943295E-2</v>
          </cell>
        </row>
      </sheetData>
      <sheetData sheetId="8255" refreshError="1"/>
      <sheetData sheetId="8256">
        <row r="1">
          <cell r="J1">
            <v>1.7453292519943295E-2</v>
          </cell>
        </row>
      </sheetData>
      <sheetData sheetId="8257" refreshError="1"/>
      <sheetData sheetId="8258">
        <row r="1">
          <cell r="J1">
            <v>1.7453292519943295E-2</v>
          </cell>
        </row>
      </sheetData>
      <sheetData sheetId="8259" refreshError="1"/>
      <sheetData sheetId="8260" refreshError="1"/>
      <sheetData sheetId="8261" refreshError="1"/>
      <sheetData sheetId="8262">
        <row r="1">
          <cell r="J1">
            <v>1.7453292519943295E-2</v>
          </cell>
        </row>
      </sheetData>
      <sheetData sheetId="8263">
        <row r="1">
          <cell r="J1">
            <v>1.7453292519943295E-2</v>
          </cell>
        </row>
      </sheetData>
      <sheetData sheetId="8264" refreshError="1"/>
      <sheetData sheetId="8265">
        <row r="1">
          <cell r="J1">
            <v>1.7453292519943295E-2</v>
          </cell>
        </row>
      </sheetData>
      <sheetData sheetId="8266" refreshError="1"/>
      <sheetData sheetId="8267">
        <row r="1">
          <cell r="J1">
            <v>1.7453292519943295E-2</v>
          </cell>
        </row>
      </sheetData>
      <sheetData sheetId="8268">
        <row r="1">
          <cell r="J1">
            <v>1.7453292519943295E-2</v>
          </cell>
        </row>
      </sheetData>
      <sheetData sheetId="8269">
        <row r="1">
          <cell r="J1">
            <v>1.7453292519943295E-2</v>
          </cell>
        </row>
      </sheetData>
      <sheetData sheetId="8270">
        <row r="1">
          <cell r="J1">
            <v>1.7453292519943295E-2</v>
          </cell>
        </row>
      </sheetData>
      <sheetData sheetId="8271">
        <row r="1">
          <cell r="J1">
            <v>1.7453292519943295E-2</v>
          </cell>
        </row>
      </sheetData>
      <sheetData sheetId="8272">
        <row r="1">
          <cell r="J1">
            <v>1.7453292519943295E-2</v>
          </cell>
        </row>
      </sheetData>
      <sheetData sheetId="8273">
        <row r="1">
          <cell r="J1">
            <v>1.7453292519943295E-2</v>
          </cell>
        </row>
      </sheetData>
      <sheetData sheetId="8274">
        <row r="1">
          <cell r="J1">
            <v>1.7453292519943295E-2</v>
          </cell>
        </row>
      </sheetData>
      <sheetData sheetId="8275">
        <row r="1">
          <cell r="J1">
            <v>1.7453292519943295E-2</v>
          </cell>
        </row>
      </sheetData>
      <sheetData sheetId="8276" refreshError="1"/>
      <sheetData sheetId="8277" refreshError="1"/>
      <sheetData sheetId="8278" refreshError="1"/>
      <sheetData sheetId="8279">
        <row r="1">
          <cell r="J1">
            <v>1.7453292519943295E-2</v>
          </cell>
        </row>
      </sheetData>
      <sheetData sheetId="8280">
        <row r="1">
          <cell r="J1">
            <v>1.7453292519943295E-2</v>
          </cell>
        </row>
      </sheetData>
      <sheetData sheetId="8281" refreshError="1"/>
      <sheetData sheetId="8282" refreshError="1"/>
      <sheetData sheetId="8283" refreshError="1"/>
      <sheetData sheetId="8284">
        <row r="1">
          <cell r="J1">
            <v>1.7453292519943295E-2</v>
          </cell>
        </row>
      </sheetData>
      <sheetData sheetId="8285" refreshError="1"/>
      <sheetData sheetId="8286" refreshError="1"/>
      <sheetData sheetId="8287" refreshError="1"/>
      <sheetData sheetId="8288" refreshError="1"/>
      <sheetData sheetId="8289" refreshError="1"/>
      <sheetData sheetId="8290">
        <row r="1">
          <cell r="J1">
            <v>1.7453292519943295E-2</v>
          </cell>
        </row>
      </sheetData>
      <sheetData sheetId="8291">
        <row r="1">
          <cell r="J1">
            <v>1.7453292519943295E-2</v>
          </cell>
        </row>
      </sheetData>
      <sheetData sheetId="8292">
        <row r="1">
          <cell r="J1">
            <v>1.7453292519943295E-2</v>
          </cell>
        </row>
      </sheetData>
      <sheetData sheetId="8293">
        <row r="1">
          <cell r="J1">
            <v>1.7453292519943295E-2</v>
          </cell>
        </row>
      </sheetData>
      <sheetData sheetId="8294">
        <row r="1">
          <cell r="J1">
            <v>1.7453292519943295E-2</v>
          </cell>
        </row>
      </sheetData>
      <sheetData sheetId="8295">
        <row r="1">
          <cell r="J1">
            <v>1.7453292519943295E-2</v>
          </cell>
        </row>
      </sheetData>
      <sheetData sheetId="8296">
        <row r="1">
          <cell r="J1">
            <v>1.7453292519943295E-2</v>
          </cell>
        </row>
      </sheetData>
      <sheetData sheetId="8297" refreshError="1"/>
      <sheetData sheetId="8298" refreshError="1"/>
      <sheetData sheetId="8299" refreshError="1"/>
      <sheetData sheetId="8300" refreshError="1"/>
      <sheetData sheetId="8301" refreshError="1"/>
      <sheetData sheetId="8302">
        <row r="1">
          <cell r="J1">
            <v>1.7453292519943295E-2</v>
          </cell>
        </row>
      </sheetData>
      <sheetData sheetId="8303" refreshError="1"/>
      <sheetData sheetId="8304" refreshError="1"/>
      <sheetData sheetId="8305" refreshError="1"/>
      <sheetData sheetId="8306">
        <row r="1">
          <cell r="J1">
            <v>1.7453292519943295E-2</v>
          </cell>
        </row>
      </sheetData>
      <sheetData sheetId="8307" refreshError="1"/>
      <sheetData sheetId="8308">
        <row r="1">
          <cell r="J1">
            <v>1.7453292519943295E-2</v>
          </cell>
        </row>
      </sheetData>
      <sheetData sheetId="8309" refreshError="1"/>
      <sheetData sheetId="8310" refreshError="1"/>
      <sheetData sheetId="8311" refreshError="1"/>
      <sheetData sheetId="8312" refreshError="1"/>
      <sheetData sheetId="8313" refreshError="1"/>
      <sheetData sheetId="8314">
        <row r="1">
          <cell r="J1">
            <v>1.7453292519943295E-2</v>
          </cell>
        </row>
      </sheetData>
      <sheetData sheetId="8315" refreshError="1"/>
      <sheetData sheetId="8316">
        <row r="1">
          <cell r="J1">
            <v>1.7453292519943295E-2</v>
          </cell>
        </row>
      </sheetData>
      <sheetData sheetId="8317" refreshError="1"/>
      <sheetData sheetId="8318">
        <row r="1">
          <cell r="J1">
            <v>1.7453292519943295E-2</v>
          </cell>
        </row>
      </sheetData>
      <sheetData sheetId="8319">
        <row r="1">
          <cell r="J1">
            <v>1.7453292519943295E-2</v>
          </cell>
        </row>
      </sheetData>
      <sheetData sheetId="8320" refreshError="1"/>
      <sheetData sheetId="8321" refreshError="1"/>
      <sheetData sheetId="8322" refreshError="1"/>
      <sheetData sheetId="8323">
        <row r="1">
          <cell r="J1">
            <v>1.7453292519943295E-2</v>
          </cell>
        </row>
      </sheetData>
      <sheetData sheetId="8324" refreshError="1"/>
      <sheetData sheetId="8325">
        <row r="1">
          <cell r="J1">
            <v>1.7453292519943295E-2</v>
          </cell>
        </row>
      </sheetData>
      <sheetData sheetId="8326" refreshError="1"/>
      <sheetData sheetId="8327" refreshError="1"/>
      <sheetData sheetId="8328" refreshError="1"/>
      <sheetData sheetId="8329" refreshError="1"/>
      <sheetData sheetId="8330">
        <row r="1">
          <cell r="J1">
            <v>1.7453292519943295E-2</v>
          </cell>
        </row>
      </sheetData>
      <sheetData sheetId="8331" refreshError="1"/>
      <sheetData sheetId="8332" refreshError="1"/>
      <sheetData sheetId="8333" refreshError="1"/>
      <sheetData sheetId="8334">
        <row r="1">
          <cell r="J1">
            <v>1.7453292519943295E-2</v>
          </cell>
        </row>
      </sheetData>
      <sheetData sheetId="8335" refreshError="1"/>
      <sheetData sheetId="8336" refreshError="1"/>
      <sheetData sheetId="8337" refreshError="1"/>
      <sheetData sheetId="8338" refreshError="1"/>
      <sheetData sheetId="8339">
        <row r="1">
          <cell r="J1">
            <v>1.7453292519943295E-2</v>
          </cell>
        </row>
      </sheetData>
      <sheetData sheetId="8340" refreshError="1"/>
      <sheetData sheetId="8341" refreshError="1"/>
      <sheetData sheetId="8342" refreshError="1"/>
      <sheetData sheetId="8343">
        <row r="1">
          <cell r="J1">
            <v>1.7453292519943295E-2</v>
          </cell>
        </row>
      </sheetData>
      <sheetData sheetId="8344" refreshError="1"/>
      <sheetData sheetId="8345">
        <row r="1">
          <cell r="J1">
            <v>1.7453292519943295E-2</v>
          </cell>
        </row>
      </sheetData>
      <sheetData sheetId="8346" refreshError="1"/>
      <sheetData sheetId="8347">
        <row r="1">
          <cell r="J1">
            <v>1.7453292519943295E-2</v>
          </cell>
        </row>
      </sheetData>
      <sheetData sheetId="8348" refreshError="1"/>
      <sheetData sheetId="8349" refreshError="1"/>
      <sheetData sheetId="8350" refreshError="1"/>
      <sheetData sheetId="8351">
        <row r="1">
          <cell r="J1">
            <v>1.7453292519943295E-2</v>
          </cell>
        </row>
      </sheetData>
      <sheetData sheetId="8352">
        <row r="1">
          <cell r="J1">
            <v>1.7453292519943295E-2</v>
          </cell>
        </row>
      </sheetData>
      <sheetData sheetId="8353" refreshError="1"/>
      <sheetData sheetId="8354" refreshError="1"/>
      <sheetData sheetId="8355" refreshError="1"/>
      <sheetData sheetId="8356" refreshError="1"/>
      <sheetData sheetId="8357" refreshError="1"/>
      <sheetData sheetId="8358" refreshError="1"/>
      <sheetData sheetId="8359">
        <row r="1">
          <cell r="J1">
            <v>1.7453292519943295E-2</v>
          </cell>
        </row>
      </sheetData>
      <sheetData sheetId="8360">
        <row r="1">
          <cell r="J1">
            <v>1.7453292519943295E-2</v>
          </cell>
        </row>
      </sheetData>
      <sheetData sheetId="8361" refreshError="1"/>
      <sheetData sheetId="8362" refreshError="1"/>
      <sheetData sheetId="8363" refreshError="1"/>
      <sheetData sheetId="8364">
        <row r="1">
          <cell r="J1">
            <v>1.7453292519943295E-2</v>
          </cell>
        </row>
      </sheetData>
      <sheetData sheetId="8365" refreshError="1"/>
      <sheetData sheetId="8366" refreshError="1"/>
      <sheetData sheetId="8367" refreshError="1"/>
      <sheetData sheetId="8368" refreshError="1"/>
      <sheetData sheetId="8369">
        <row r="1">
          <cell r="J1">
            <v>1.7453292519943295E-2</v>
          </cell>
        </row>
      </sheetData>
      <sheetData sheetId="8370" refreshError="1"/>
      <sheetData sheetId="8371" refreshError="1"/>
      <sheetData sheetId="8372" refreshError="1"/>
      <sheetData sheetId="8373">
        <row r="1">
          <cell r="J1">
            <v>1.7453292519943295E-2</v>
          </cell>
        </row>
      </sheetData>
      <sheetData sheetId="8374" refreshError="1"/>
      <sheetData sheetId="8375">
        <row r="1">
          <cell r="J1">
            <v>1.7453292519943295E-2</v>
          </cell>
        </row>
      </sheetData>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ow r="1">
          <cell r="J1">
            <v>1.7453292519943295E-2</v>
          </cell>
        </row>
      </sheetData>
      <sheetData sheetId="8385" refreshError="1"/>
      <sheetData sheetId="8386">
        <row r="1">
          <cell r="J1">
            <v>1.7453292519943295E-2</v>
          </cell>
        </row>
      </sheetData>
      <sheetData sheetId="8387" refreshError="1"/>
      <sheetData sheetId="8388" refreshError="1"/>
      <sheetData sheetId="8389" refreshError="1"/>
      <sheetData sheetId="8390" refreshError="1"/>
      <sheetData sheetId="8391" refreshError="1"/>
      <sheetData sheetId="8392" refreshError="1"/>
      <sheetData sheetId="8393" refreshError="1"/>
      <sheetData sheetId="8394">
        <row r="1">
          <cell r="J1">
            <v>1.7453292519943295E-2</v>
          </cell>
        </row>
      </sheetData>
      <sheetData sheetId="8395" refreshError="1"/>
      <sheetData sheetId="8396" refreshError="1"/>
      <sheetData sheetId="8397" refreshError="1"/>
      <sheetData sheetId="8398">
        <row r="1">
          <cell r="J1">
            <v>1.7453292519943295E-2</v>
          </cell>
        </row>
      </sheetData>
      <sheetData sheetId="8399" refreshError="1"/>
      <sheetData sheetId="8400">
        <row r="1">
          <cell r="J1">
            <v>1.7453292519943295E-2</v>
          </cell>
        </row>
      </sheetData>
      <sheetData sheetId="8401" refreshError="1"/>
      <sheetData sheetId="8402" refreshError="1"/>
      <sheetData sheetId="8403" refreshError="1"/>
      <sheetData sheetId="8404" refreshError="1"/>
      <sheetData sheetId="8405" refreshError="1"/>
      <sheetData sheetId="8406" refreshError="1"/>
      <sheetData sheetId="8407">
        <row r="1">
          <cell r="J1">
            <v>1.7453292519943295E-2</v>
          </cell>
        </row>
      </sheetData>
      <sheetData sheetId="8408" refreshError="1"/>
      <sheetData sheetId="8409" refreshError="1"/>
      <sheetData sheetId="8410" refreshError="1"/>
      <sheetData sheetId="8411">
        <row r="1">
          <cell r="J1">
            <v>1.7453292519943295E-2</v>
          </cell>
        </row>
      </sheetData>
      <sheetData sheetId="8412" refreshError="1"/>
      <sheetData sheetId="8413">
        <row r="1">
          <cell r="J1">
            <v>1.7453292519943295E-2</v>
          </cell>
        </row>
      </sheetData>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ow r="1">
          <cell r="J1">
            <v>1.7453292519943295E-2</v>
          </cell>
        </row>
      </sheetData>
      <sheetData sheetId="8424">
        <row r="1">
          <cell r="J1">
            <v>1.7453292519943295E-2</v>
          </cell>
        </row>
      </sheetData>
      <sheetData sheetId="8425" refreshError="1"/>
      <sheetData sheetId="8426" refreshError="1"/>
      <sheetData sheetId="8427" refreshError="1"/>
      <sheetData sheetId="8428">
        <row r="1">
          <cell r="J1">
            <v>1.7453292519943295E-2</v>
          </cell>
        </row>
      </sheetData>
      <sheetData sheetId="8429" refreshError="1"/>
      <sheetData sheetId="8430" refreshError="1"/>
      <sheetData sheetId="8431" refreshError="1"/>
      <sheetData sheetId="8432">
        <row r="1">
          <cell r="J1">
            <v>1.7453292519943295E-2</v>
          </cell>
        </row>
      </sheetData>
      <sheetData sheetId="8433" refreshError="1"/>
      <sheetData sheetId="8434" refreshError="1"/>
      <sheetData sheetId="8435" refreshError="1"/>
      <sheetData sheetId="8436">
        <row r="1">
          <cell r="J1">
            <v>1.7453292519943295E-2</v>
          </cell>
        </row>
      </sheetData>
      <sheetData sheetId="8437">
        <row r="1">
          <cell r="J1">
            <v>1.7453292519943295E-2</v>
          </cell>
        </row>
      </sheetData>
      <sheetData sheetId="8438" refreshError="1"/>
      <sheetData sheetId="8439">
        <row r="1">
          <cell r="J1">
            <v>1.7453292519943295E-2</v>
          </cell>
        </row>
      </sheetData>
      <sheetData sheetId="8440" refreshError="1"/>
      <sheetData sheetId="8441" refreshError="1"/>
      <sheetData sheetId="8442"/>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ow r="1">
          <cell r="J1">
            <v>1.7453292519943295E-2</v>
          </cell>
        </row>
      </sheetData>
      <sheetData sheetId="8456" refreshError="1"/>
      <sheetData sheetId="8457" refreshError="1"/>
      <sheetData sheetId="8458" refreshError="1"/>
      <sheetData sheetId="8459">
        <row r="1">
          <cell r="J1">
            <v>1.7453292519943295E-2</v>
          </cell>
        </row>
      </sheetData>
      <sheetData sheetId="8460" refreshError="1"/>
      <sheetData sheetId="8461" refreshError="1"/>
      <sheetData sheetId="8462" refreshError="1"/>
      <sheetData sheetId="8463">
        <row r="1">
          <cell r="J1">
            <v>1.7453292519943295E-2</v>
          </cell>
        </row>
      </sheetData>
      <sheetData sheetId="8464" refreshError="1"/>
      <sheetData sheetId="8465" refreshError="1"/>
      <sheetData sheetId="8466" refreshError="1"/>
      <sheetData sheetId="8467">
        <row r="1">
          <cell r="J1">
            <v>1.7453292519943295E-2</v>
          </cell>
        </row>
      </sheetData>
      <sheetData sheetId="8468" refreshError="1"/>
      <sheetData sheetId="8469">
        <row r="1">
          <cell r="J1">
            <v>1.7453292519943295E-2</v>
          </cell>
        </row>
      </sheetData>
      <sheetData sheetId="8470" refreshError="1"/>
      <sheetData sheetId="8471" refreshError="1"/>
      <sheetData sheetId="8472" refreshError="1"/>
      <sheetData sheetId="8473">
        <row r="1">
          <cell r="J1">
            <v>1.7453292519943295E-2</v>
          </cell>
        </row>
      </sheetData>
      <sheetData sheetId="8474" refreshError="1"/>
      <sheetData sheetId="8475">
        <row r="1">
          <cell r="J1">
            <v>1.7453292519943295E-2</v>
          </cell>
        </row>
      </sheetData>
      <sheetData sheetId="8476" refreshError="1"/>
      <sheetData sheetId="8477" refreshError="1"/>
      <sheetData sheetId="8478" refreshError="1"/>
      <sheetData sheetId="8479" refreshError="1"/>
      <sheetData sheetId="8480" refreshError="1"/>
      <sheetData sheetId="8481" refreshError="1"/>
      <sheetData sheetId="8482">
        <row r="1">
          <cell r="J1">
            <v>1.7453292519943295E-2</v>
          </cell>
        </row>
      </sheetData>
      <sheetData sheetId="8483" refreshError="1"/>
      <sheetData sheetId="8484" refreshError="1"/>
      <sheetData sheetId="8485" refreshError="1"/>
      <sheetData sheetId="8486">
        <row r="1">
          <cell r="J1">
            <v>1.7453292519943295E-2</v>
          </cell>
        </row>
      </sheetData>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ow r="1">
          <cell r="J1">
            <v>1.7453292519943295E-2</v>
          </cell>
        </row>
      </sheetData>
      <sheetData sheetId="8496" refreshError="1"/>
      <sheetData sheetId="8497" refreshError="1"/>
      <sheetData sheetId="8498" refreshError="1"/>
      <sheetData sheetId="8499">
        <row r="1">
          <cell r="J1">
            <v>1.7453292519943295E-2</v>
          </cell>
        </row>
      </sheetData>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ow r="1">
          <cell r="J1">
            <v>1.7453292519943295E-2</v>
          </cell>
        </row>
      </sheetData>
      <sheetData sheetId="8509" refreshError="1"/>
      <sheetData sheetId="8510" refreshError="1"/>
      <sheetData sheetId="8511" refreshError="1"/>
      <sheetData sheetId="8512">
        <row r="1">
          <cell r="J1">
            <v>1.7453292519943295E-2</v>
          </cell>
        </row>
      </sheetData>
      <sheetData sheetId="8513">
        <row r="1">
          <cell r="J1">
            <v>1.7453292519943295E-2</v>
          </cell>
        </row>
      </sheetData>
      <sheetData sheetId="8514" refreshError="1"/>
      <sheetData sheetId="8515" refreshError="1"/>
      <sheetData sheetId="8516" refreshError="1"/>
      <sheetData sheetId="8517" refreshError="1"/>
      <sheetData sheetId="8518" refreshError="1"/>
      <sheetData sheetId="8519" refreshError="1"/>
      <sheetData sheetId="8520">
        <row r="1">
          <cell r="J1">
            <v>1.7453292519943295E-2</v>
          </cell>
        </row>
      </sheetData>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ow r="1">
          <cell r="J1">
            <v>1.7453292519943295E-2</v>
          </cell>
        </row>
      </sheetData>
      <sheetData sheetId="8530" refreshError="1"/>
      <sheetData sheetId="8531" refreshError="1"/>
      <sheetData sheetId="8532">
        <row r="1">
          <cell r="J1">
            <v>1.7453292519943295E-2</v>
          </cell>
        </row>
      </sheetData>
      <sheetData sheetId="8533" refreshError="1"/>
      <sheetData sheetId="8534">
        <row r="1">
          <cell r="J1">
            <v>1.7453292519943295E-2</v>
          </cell>
        </row>
      </sheetData>
      <sheetData sheetId="8535" refreshError="1"/>
      <sheetData sheetId="8536">
        <row r="1">
          <cell r="J1">
            <v>1.7453292519943295E-2</v>
          </cell>
        </row>
      </sheetData>
      <sheetData sheetId="8537" refreshError="1"/>
      <sheetData sheetId="8538" refreshError="1"/>
      <sheetData sheetId="8539" refreshError="1"/>
      <sheetData sheetId="8540" refreshError="1"/>
      <sheetData sheetId="8541" refreshError="1"/>
      <sheetData sheetId="8542">
        <row r="1">
          <cell r="J1">
            <v>1.7453292519943295E-2</v>
          </cell>
        </row>
      </sheetData>
      <sheetData sheetId="8543" refreshError="1"/>
      <sheetData sheetId="8544" refreshError="1"/>
      <sheetData sheetId="8545" refreshError="1"/>
      <sheetData sheetId="8546">
        <row r="1">
          <cell r="J1">
            <v>1.7453292519943295E-2</v>
          </cell>
        </row>
      </sheetData>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J1">
            <v>1.7453292519943295E-2</v>
          </cell>
        </row>
      </sheetData>
      <sheetData sheetId="8556" refreshError="1"/>
      <sheetData sheetId="8557" refreshError="1"/>
      <sheetData sheetId="8558" refreshError="1"/>
      <sheetData sheetId="8559">
        <row r="1">
          <cell r="J1">
            <v>1.7453292519943295E-2</v>
          </cell>
        </row>
      </sheetData>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ow r="1">
          <cell r="J1">
            <v>1.7453292519943295E-2</v>
          </cell>
        </row>
      </sheetData>
      <sheetData sheetId="8569" refreshError="1"/>
      <sheetData sheetId="8570" refreshError="1"/>
      <sheetData sheetId="8571" refreshError="1"/>
      <sheetData sheetId="8572" refreshError="1"/>
      <sheetData sheetId="8573">
        <row r="1">
          <cell r="J1">
            <v>1.7453292519943295E-2</v>
          </cell>
        </row>
      </sheetData>
      <sheetData sheetId="8574" refreshError="1"/>
      <sheetData sheetId="8575">
        <row r="1">
          <cell r="J1">
            <v>1.7453292519943295E-2</v>
          </cell>
        </row>
      </sheetData>
      <sheetData sheetId="8576" refreshError="1"/>
      <sheetData sheetId="8577">
        <row r="1">
          <cell r="J1">
            <v>1.7453292519943295E-2</v>
          </cell>
        </row>
      </sheetData>
      <sheetData sheetId="8578">
        <row r="1">
          <cell r="J1">
            <v>1.7453292519943295E-2</v>
          </cell>
        </row>
      </sheetData>
      <sheetData sheetId="8579" refreshError="1"/>
      <sheetData sheetId="8580" refreshError="1"/>
      <sheetData sheetId="8581" refreshError="1"/>
      <sheetData sheetId="8582">
        <row r="1">
          <cell r="J1">
            <v>1.7453292519943295E-2</v>
          </cell>
        </row>
      </sheetData>
      <sheetData sheetId="8583" refreshError="1"/>
      <sheetData sheetId="8584" refreshError="1"/>
      <sheetData sheetId="8585" refreshError="1"/>
      <sheetData sheetId="8586">
        <row r="1">
          <cell r="J1">
            <v>1.7453292519943295E-2</v>
          </cell>
        </row>
      </sheetData>
      <sheetData sheetId="8587" refreshError="1"/>
      <sheetData sheetId="8588" refreshError="1"/>
      <sheetData sheetId="8589" refreshError="1"/>
      <sheetData sheetId="8590">
        <row r="1">
          <cell r="J1">
            <v>1.7453292519943295E-2</v>
          </cell>
        </row>
      </sheetData>
      <sheetData sheetId="8591" refreshError="1"/>
      <sheetData sheetId="8592" refreshError="1"/>
      <sheetData sheetId="8593" refreshError="1"/>
      <sheetData sheetId="8594">
        <row r="1">
          <cell r="J1">
            <v>1.7453292519943295E-2</v>
          </cell>
        </row>
      </sheetData>
      <sheetData sheetId="8595" refreshError="1"/>
      <sheetData sheetId="8596">
        <row r="1">
          <cell r="J1">
            <v>1.7453292519943295E-2</v>
          </cell>
        </row>
      </sheetData>
      <sheetData sheetId="8597" refreshError="1"/>
      <sheetData sheetId="8598">
        <row r="1">
          <cell r="J1">
            <v>1.7453292519943295E-2</v>
          </cell>
        </row>
      </sheetData>
      <sheetData sheetId="8599" refreshError="1"/>
      <sheetData sheetId="8600" refreshError="1"/>
      <sheetData sheetId="8601" refreshError="1"/>
      <sheetData sheetId="8602">
        <row r="1">
          <cell r="J1">
            <v>1.7453292519943295E-2</v>
          </cell>
        </row>
      </sheetData>
      <sheetData sheetId="8603" refreshError="1"/>
      <sheetData sheetId="8604">
        <row r="1">
          <cell r="J1">
            <v>1.7453292519943295E-2</v>
          </cell>
        </row>
      </sheetData>
      <sheetData sheetId="8605" refreshError="1"/>
      <sheetData sheetId="8606">
        <row r="1">
          <cell r="J1">
            <v>1.7453292519943295E-2</v>
          </cell>
        </row>
      </sheetData>
      <sheetData sheetId="8607">
        <row r="1">
          <cell r="J1">
            <v>1.7453292519943295E-2</v>
          </cell>
        </row>
      </sheetData>
      <sheetData sheetId="8608" refreshError="1"/>
      <sheetData sheetId="8609" refreshError="1"/>
      <sheetData sheetId="8610" refreshError="1"/>
      <sheetData sheetId="8611">
        <row r="1">
          <cell r="J1">
            <v>1.7453292519943295E-2</v>
          </cell>
        </row>
      </sheetData>
      <sheetData sheetId="8612">
        <row r="1">
          <cell r="J1">
            <v>1.7453292519943295E-2</v>
          </cell>
        </row>
      </sheetData>
      <sheetData sheetId="8613" refreshError="1"/>
      <sheetData sheetId="8614">
        <row r="1">
          <cell r="J1">
            <v>1.7453292519943295E-2</v>
          </cell>
        </row>
      </sheetData>
      <sheetData sheetId="8615" refreshError="1"/>
      <sheetData sheetId="8616" refreshError="1"/>
      <sheetData sheetId="8617" refreshError="1"/>
      <sheetData sheetId="8618">
        <row r="1">
          <cell r="J1">
            <v>1.7453292519943295E-2</v>
          </cell>
        </row>
      </sheetData>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ow r="1">
          <cell r="J1">
            <v>1.7453292519943295E-2</v>
          </cell>
        </row>
      </sheetData>
      <sheetData sheetId="8629">
        <row r="1">
          <cell r="J1">
            <v>1.7453292519943295E-2</v>
          </cell>
        </row>
      </sheetData>
      <sheetData sheetId="8630" refreshError="1"/>
      <sheetData sheetId="8631" refreshError="1"/>
      <sheetData sheetId="8632">
        <row r="1">
          <cell r="J1">
            <v>1.7453292519943295E-2</v>
          </cell>
        </row>
      </sheetData>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ow r="1">
          <cell r="J1">
            <v>1.7453292519943295E-2</v>
          </cell>
        </row>
      </sheetData>
      <sheetData sheetId="8642">
        <row r="1">
          <cell r="J1">
            <v>1.7453292519943295E-2</v>
          </cell>
        </row>
      </sheetData>
      <sheetData sheetId="8643" refreshError="1"/>
      <sheetData sheetId="8644" refreshError="1"/>
      <sheetData sheetId="8645" refreshError="1"/>
      <sheetData sheetId="8646">
        <row r="1">
          <cell r="J1">
            <v>1.7453292519943295E-2</v>
          </cell>
        </row>
      </sheetData>
      <sheetData sheetId="8647" refreshError="1"/>
      <sheetData sheetId="8648" refreshError="1"/>
      <sheetData sheetId="8649" refreshError="1"/>
      <sheetData sheetId="8650">
        <row r="1">
          <cell r="J1">
            <v>1.7453292519943295E-2</v>
          </cell>
        </row>
      </sheetData>
      <sheetData sheetId="8651">
        <row r="1">
          <cell r="J1">
            <v>1.7453292519943295E-2</v>
          </cell>
        </row>
      </sheetData>
      <sheetData sheetId="8652" refreshError="1"/>
      <sheetData sheetId="8653" refreshError="1"/>
      <sheetData sheetId="8654" refreshError="1"/>
      <sheetData sheetId="8655" refreshError="1"/>
      <sheetData sheetId="8656" refreshError="1"/>
      <sheetData sheetId="8657">
        <row r="1">
          <cell r="J1">
            <v>1.7453292519943295E-2</v>
          </cell>
        </row>
      </sheetData>
      <sheetData sheetId="8658" refreshError="1"/>
      <sheetData sheetId="8659"/>
      <sheetData sheetId="8660"/>
      <sheetData sheetId="8661">
        <row r="1">
          <cell r="J1">
            <v>1.7453292519943295E-2</v>
          </cell>
        </row>
      </sheetData>
      <sheetData sheetId="8662">
        <row r="1">
          <cell r="J1">
            <v>1.7453292519943295E-2</v>
          </cell>
        </row>
      </sheetData>
      <sheetData sheetId="8663">
        <row r="1">
          <cell r="J1">
            <v>1.7453292519943295E-2</v>
          </cell>
        </row>
      </sheetData>
      <sheetData sheetId="8664">
        <row r="1">
          <cell r="J1">
            <v>1.7453292519943295E-2</v>
          </cell>
        </row>
      </sheetData>
      <sheetData sheetId="8665">
        <row r="1">
          <cell r="J1">
            <v>1.7453292519943295E-2</v>
          </cell>
        </row>
      </sheetData>
      <sheetData sheetId="8666">
        <row r="1">
          <cell r="J1">
            <v>1.7453292519943295E-2</v>
          </cell>
        </row>
      </sheetData>
      <sheetData sheetId="8667" refreshError="1"/>
      <sheetData sheetId="8668" refreshError="1"/>
      <sheetData sheetId="8669" refreshError="1"/>
      <sheetData sheetId="8670" refreshError="1"/>
      <sheetData sheetId="8671">
        <row r="1">
          <cell r="J1">
            <v>1.7453292519943295E-2</v>
          </cell>
        </row>
      </sheetData>
      <sheetData sheetId="8672" refreshError="1"/>
      <sheetData sheetId="8673" refreshError="1"/>
      <sheetData sheetId="8674" refreshError="1"/>
      <sheetData sheetId="8675" refreshError="1"/>
      <sheetData sheetId="8676">
        <row r="1">
          <cell r="J1">
            <v>1.7453292519943295E-2</v>
          </cell>
        </row>
      </sheetData>
      <sheetData sheetId="8677" refreshError="1"/>
      <sheetData sheetId="8678" refreshError="1"/>
      <sheetData sheetId="8679">
        <row r="1">
          <cell r="J1">
            <v>1.7453292519943295E-2</v>
          </cell>
        </row>
      </sheetData>
      <sheetData sheetId="8680" refreshError="1"/>
      <sheetData sheetId="8681" refreshError="1"/>
      <sheetData sheetId="8682" refreshError="1"/>
      <sheetData sheetId="8683" refreshError="1"/>
      <sheetData sheetId="8684" refreshError="1"/>
      <sheetData sheetId="8685" refreshError="1"/>
      <sheetData sheetId="8686">
        <row r="1">
          <cell r="J1">
            <v>1.7453292519943295E-2</v>
          </cell>
        </row>
      </sheetData>
      <sheetData sheetId="8687" refreshError="1"/>
      <sheetData sheetId="8688" refreshError="1"/>
      <sheetData sheetId="8689" refreshError="1"/>
      <sheetData sheetId="8690">
        <row r="1">
          <cell r="J1">
            <v>1.7453292519943295E-2</v>
          </cell>
        </row>
      </sheetData>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ow r="1">
          <cell r="J1">
            <v>1.7453292519943295E-2</v>
          </cell>
        </row>
      </sheetData>
      <sheetData sheetId="8700" refreshError="1"/>
      <sheetData sheetId="8701">
        <row r="1">
          <cell r="J1">
            <v>1.7453292519943295E-2</v>
          </cell>
        </row>
      </sheetData>
      <sheetData sheetId="8702">
        <row r="1">
          <cell r="J1">
            <v>1.7453292519943295E-2</v>
          </cell>
        </row>
      </sheetData>
      <sheetData sheetId="8703" refreshError="1"/>
      <sheetData sheetId="8704" refreshError="1"/>
      <sheetData sheetId="8705" refreshError="1"/>
      <sheetData sheetId="8706" refreshError="1"/>
      <sheetData sheetId="8707" refreshError="1"/>
      <sheetData sheetId="8708">
        <row r="1">
          <cell r="J1">
            <v>1.7453292519943295E-2</v>
          </cell>
        </row>
      </sheetData>
      <sheetData sheetId="8709">
        <row r="1">
          <cell r="J1">
            <v>1.7453292519943295E-2</v>
          </cell>
        </row>
      </sheetData>
      <sheetData sheetId="8710" refreshError="1"/>
      <sheetData sheetId="8711" refreshError="1"/>
      <sheetData sheetId="8712" refreshError="1"/>
      <sheetData sheetId="8713">
        <row r="1">
          <cell r="J1">
            <v>1.7453292519943295E-2</v>
          </cell>
        </row>
      </sheetData>
      <sheetData sheetId="8714">
        <row r="1">
          <cell r="J1">
            <v>1.7453292519943295E-2</v>
          </cell>
        </row>
      </sheetData>
      <sheetData sheetId="8715" refreshError="1"/>
      <sheetData sheetId="8716">
        <row r="1">
          <cell r="J1">
            <v>1.7453292519943295E-2</v>
          </cell>
        </row>
      </sheetData>
      <sheetData sheetId="8717" refreshError="1"/>
      <sheetData sheetId="8718">
        <row r="1">
          <cell r="J1">
            <v>1.7453292519943295E-2</v>
          </cell>
        </row>
      </sheetData>
      <sheetData sheetId="8719" refreshError="1"/>
      <sheetData sheetId="8720" refreshError="1"/>
      <sheetData sheetId="8721" refreshError="1"/>
      <sheetData sheetId="8722">
        <row r="1">
          <cell r="J1">
            <v>1.7453292519943295E-2</v>
          </cell>
        </row>
      </sheetData>
      <sheetData sheetId="8723">
        <row r="1">
          <cell r="J1">
            <v>1.7453292519943295E-2</v>
          </cell>
        </row>
      </sheetData>
      <sheetData sheetId="8724" refreshError="1"/>
      <sheetData sheetId="8725">
        <row r="1">
          <cell r="J1">
            <v>1.7453292519943295E-2</v>
          </cell>
        </row>
      </sheetData>
      <sheetData sheetId="8726" refreshError="1"/>
      <sheetData sheetId="8727">
        <row r="1">
          <cell r="J1">
            <v>1.7453292519943295E-2</v>
          </cell>
        </row>
      </sheetData>
      <sheetData sheetId="8728">
        <row r="1">
          <cell r="J1">
            <v>1.7453292519943295E-2</v>
          </cell>
        </row>
      </sheetData>
      <sheetData sheetId="8729">
        <row r="1">
          <cell r="J1">
            <v>1.7453292519943295E-2</v>
          </cell>
        </row>
      </sheetData>
      <sheetData sheetId="8730">
        <row r="1">
          <cell r="J1">
            <v>1.7453292519943295E-2</v>
          </cell>
        </row>
      </sheetData>
      <sheetData sheetId="8731">
        <row r="1">
          <cell r="J1">
            <v>1.7453292519943295E-2</v>
          </cell>
        </row>
      </sheetData>
      <sheetData sheetId="8732">
        <row r="1">
          <cell r="J1">
            <v>1.7453292519943295E-2</v>
          </cell>
        </row>
      </sheetData>
      <sheetData sheetId="8733" refreshError="1"/>
      <sheetData sheetId="8734">
        <row r="1">
          <cell r="J1">
            <v>1.7453292519943295E-2</v>
          </cell>
        </row>
      </sheetData>
      <sheetData sheetId="8735" refreshError="1"/>
      <sheetData sheetId="8736" refreshError="1"/>
      <sheetData sheetId="8737" refreshError="1"/>
      <sheetData sheetId="8738" refreshError="1"/>
      <sheetData sheetId="8739" refreshError="1"/>
      <sheetData sheetId="8740" refreshError="1"/>
      <sheetData sheetId="8741">
        <row r="1">
          <cell r="J1">
            <v>1.7453292519943295E-2</v>
          </cell>
        </row>
      </sheetData>
      <sheetData sheetId="8742">
        <row r="1">
          <cell r="J1">
            <v>1.7453292519943295E-2</v>
          </cell>
        </row>
      </sheetData>
      <sheetData sheetId="8743" refreshError="1"/>
      <sheetData sheetId="8744">
        <row r="1">
          <cell r="J1">
            <v>1.7453292519943295E-2</v>
          </cell>
        </row>
      </sheetData>
      <sheetData sheetId="8745">
        <row r="1">
          <cell r="J1">
            <v>1.7453292519943295E-2</v>
          </cell>
        </row>
      </sheetData>
      <sheetData sheetId="8746">
        <row r="1">
          <cell r="J1">
            <v>1.7453292519943295E-2</v>
          </cell>
        </row>
      </sheetData>
      <sheetData sheetId="8747">
        <row r="1">
          <cell r="J1">
            <v>1.7453292519943295E-2</v>
          </cell>
        </row>
      </sheetData>
      <sheetData sheetId="8748">
        <row r="1">
          <cell r="J1">
            <v>1.7453292519943295E-2</v>
          </cell>
        </row>
      </sheetData>
      <sheetData sheetId="8749">
        <row r="1">
          <cell r="J1">
            <v>1.7453292519943295E-2</v>
          </cell>
        </row>
      </sheetData>
      <sheetData sheetId="8750">
        <row r="1">
          <cell r="J1">
            <v>1.7453292519943295E-2</v>
          </cell>
        </row>
      </sheetData>
      <sheetData sheetId="8751">
        <row r="1">
          <cell r="J1">
            <v>1.7453292519943295E-2</v>
          </cell>
        </row>
      </sheetData>
      <sheetData sheetId="8752">
        <row r="1">
          <cell r="J1">
            <v>1.7453292519943295E-2</v>
          </cell>
        </row>
      </sheetData>
      <sheetData sheetId="8753">
        <row r="1">
          <cell r="J1">
            <v>1.7453292519943295E-2</v>
          </cell>
        </row>
      </sheetData>
      <sheetData sheetId="8754">
        <row r="1">
          <cell r="J1">
            <v>1.7453292519943295E-2</v>
          </cell>
        </row>
      </sheetData>
      <sheetData sheetId="8755">
        <row r="1">
          <cell r="J1">
            <v>1.7453292519943295E-2</v>
          </cell>
        </row>
      </sheetData>
      <sheetData sheetId="8756">
        <row r="1">
          <cell r="J1">
            <v>1.7453292519943295E-2</v>
          </cell>
        </row>
      </sheetData>
      <sheetData sheetId="8757">
        <row r="1">
          <cell r="J1">
            <v>1.7453292519943295E-2</v>
          </cell>
        </row>
      </sheetData>
      <sheetData sheetId="8758">
        <row r="1">
          <cell r="J1">
            <v>1.7453292519943295E-2</v>
          </cell>
        </row>
      </sheetData>
      <sheetData sheetId="8759">
        <row r="1">
          <cell r="J1">
            <v>1.7453292519943295E-2</v>
          </cell>
        </row>
      </sheetData>
      <sheetData sheetId="8760">
        <row r="1">
          <cell r="J1">
            <v>1.7453292519943295E-2</v>
          </cell>
        </row>
      </sheetData>
      <sheetData sheetId="8761">
        <row r="1">
          <cell r="J1">
            <v>1.7453292519943295E-2</v>
          </cell>
        </row>
      </sheetData>
      <sheetData sheetId="8762">
        <row r="1">
          <cell r="J1">
            <v>1.7453292519943295E-2</v>
          </cell>
        </row>
      </sheetData>
      <sheetData sheetId="8763">
        <row r="1">
          <cell r="J1">
            <v>1.7453292519943295E-2</v>
          </cell>
        </row>
      </sheetData>
      <sheetData sheetId="8764">
        <row r="1">
          <cell r="J1">
            <v>1.7453292519943295E-2</v>
          </cell>
        </row>
      </sheetData>
      <sheetData sheetId="8765">
        <row r="1">
          <cell r="J1">
            <v>1.7453292519943295E-2</v>
          </cell>
        </row>
      </sheetData>
      <sheetData sheetId="8766">
        <row r="1">
          <cell r="J1">
            <v>1.7453292519943295E-2</v>
          </cell>
        </row>
      </sheetData>
      <sheetData sheetId="8767">
        <row r="1">
          <cell r="J1">
            <v>1.7453292519943295E-2</v>
          </cell>
        </row>
      </sheetData>
      <sheetData sheetId="8768">
        <row r="1">
          <cell r="J1">
            <v>1.7453292519943295E-2</v>
          </cell>
        </row>
      </sheetData>
      <sheetData sheetId="8769">
        <row r="1">
          <cell r="J1">
            <v>1.7453292519943295E-2</v>
          </cell>
        </row>
      </sheetData>
      <sheetData sheetId="8770">
        <row r="1">
          <cell r="J1">
            <v>1.7453292519943295E-2</v>
          </cell>
        </row>
      </sheetData>
      <sheetData sheetId="8771">
        <row r="1">
          <cell r="J1">
            <v>1.7453292519943295E-2</v>
          </cell>
        </row>
      </sheetData>
      <sheetData sheetId="8772">
        <row r="1">
          <cell r="J1">
            <v>1.7453292519943295E-2</v>
          </cell>
        </row>
      </sheetData>
      <sheetData sheetId="8773">
        <row r="1">
          <cell r="J1">
            <v>1.7453292519943295E-2</v>
          </cell>
        </row>
      </sheetData>
      <sheetData sheetId="8774">
        <row r="1">
          <cell r="J1">
            <v>1.7453292519943295E-2</v>
          </cell>
        </row>
      </sheetData>
      <sheetData sheetId="8775">
        <row r="1">
          <cell r="J1">
            <v>1.7453292519943295E-2</v>
          </cell>
        </row>
      </sheetData>
      <sheetData sheetId="8776">
        <row r="1">
          <cell r="J1">
            <v>1.7453292519943295E-2</v>
          </cell>
        </row>
      </sheetData>
      <sheetData sheetId="8777">
        <row r="1">
          <cell r="J1">
            <v>1.7453292519943295E-2</v>
          </cell>
        </row>
      </sheetData>
      <sheetData sheetId="8778">
        <row r="1">
          <cell r="J1">
            <v>1.7453292519943295E-2</v>
          </cell>
        </row>
      </sheetData>
      <sheetData sheetId="8779">
        <row r="1">
          <cell r="J1">
            <v>1.7453292519943295E-2</v>
          </cell>
        </row>
      </sheetData>
      <sheetData sheetId="8780">
        <row r="1">
          <cell r="J1">
            <v>1.7453292519943295E-2</v>
          </cell>
        </row>
      </sheetData>
      <sheetData sheetId="8781">
        <row r="1">
          <cell r="J1">
            <v>1.7453292519943295E-2</v>
          </cell>
        </row>
      </sheetData>
      <sheetData sheetId="8782">
        <row r="1">
          <cell r="J1">
            <v>1.7453292519943295E-2</v>
          </cell>
        </row>
      </sheetData>
      <sheetData sheetId="8783">
        <row r="1">
          <cell r="J1">
            <v>1.7453292519943295E-2</v>
          </cell>
        </row>
      </sheetData>
      <sheetData sheetId="8784">
        <row r="1">
          <cell r="J1">
            <v>1.7453292519943295E-2</v>
          </cell>
        </row>
      </sheetData>
      <sheetData sheetId="8785">
        <row r="1">
          <cell r="J1">
            <v>1.7453292519943295E-2</v>
          </cell>
        </row>
      </sheetData>
      <sheetData sheetId="8786">
        <row r="1">
          <cell r="J1">
            <v>1.7453292519943295E-2</v>
          </cell>
        </row>
      </sheetData>
      <sheetData sheetId="8787">
        <row r="1">
          <cell r="J1">
            <v>1.7453292519943295E-2</v>
          </cell>
        </row>
      </sheetData>
      <sheetData sheetId="8788">
        <row r="1">
          <cell r="J1">
            <v>1.7453292519943295E-2</v>
          </cell>
        </row>
      </sheetData>
      <sheetData sheetId="8789">
        <row r="1">
          <cell r="J1">
            <v>1.7453292519943295E-2</v>
          </cell>
        </row>
      </sheetData>
      <sheetData sheetId="8790">
        <row r="1">
          <cell r="J1">
            <v>1.7453292519943295E-2</v>
          </cell>
        </row>
      </sheetData>
      <sheetData sheetId="8791">
        <row r="1">
          <cell r="J1">
            <v>1.7453292519943295E-2</v>
          </cell>
        </row>
      </sheetData>
      <sheetData sheetId="8792">
        <row r="1">
          <cell r="J1">
            <v>1.7453292519943295E-2</v>
          </cell>
        </row>
      </sheetData>
      <sheetData sheetId="8793">
        <row r="1">
          <cell r="J1">
            <v>1.7453292519943295E-2</v>
          </cell>
        </row>
      </sheetData>
      <sheetData sheetId="8794">
        <row r="1">
          <cell r="J1">
            <v>1.7453292519943295E-2</v>
          </cell>
        </row>
      </sheetData>
      <sheetData sheetId="8795">
        <row r="1">
          <cell r="J1">
            <v>1.7453292519943295E-2</v>
          </cell>
        </row>
      </sheetData>
      <sheetData sheetId="8796">
        <row r="1">
          <cell r="J1">
            <v>1.7453292519943295E-2</v>
          </cell>
        </row>
      </sheetData>
      <sheetData sheetId="8797">
        <row r="1">
          <cell r="J1">
            <v>1.7453292519943295E-2</v>
          </cell>
        </row>
      </sheetData>
      <sheetData sheetId="8798">
        <row r="1">
          <cell r="J1">
            <v>1.7453292519943295E-2</v>
          </cell>
        </row>
      </sheetData>
      <sheetData sheetId="8799">
        <row r="1">
          <cell r="J1">
            <v>1.7453292519943295E-2</v>
          </cell>
        </row>
      </sheetData>
      <sheetData sheetId="8800">
        <row r="1">
          <cell r="J1">
            <v>1.7453292519943295E-2</v>
          </cell>
        </row>
      </sheetData>
      <sheetData sheetId="8801">
        <row r="1">
          <cell r="J1">
            <v>1.7453292519943295E-2</v>
          </cell>
        </row>
      </sheetData>
      <sheetData sheetId="8802">
        <row r="1">
          <cell r="J1">
            <v>1.7453292519943295E-2</v>
          </cell>
        </row>
      </sheetData>
      <sheetData sheetId="8803">
        <row r="1">
          <cell r="J1">
            <v>1.7453292519943295E-2</v>
          </cell>
        </row>
      </sheetData>
      <sheetData sheetId="8804">
        <row r="1">
          <cell r="J1">
            <v>1.7453292519943295E-2</v>
          </cell>
        </row>
      </sheetData>
      <sheetData sheetId="8805">
        <row r="1">
          <cell r="J1">
            <v>1.7453292519943295E-2</v>
          </cell>
        </row>
      </sheetData>
      <sheetData sheetId="8806">
        <row r="1">
          <cell r="J1">
            <v>1.7453292519943295E-2</v>
          </cell>
        </row>
      </sheetData>
      <sheetData sheetId="8807">
        <row r="1">
          <cell r="J1">
            <v>1.7453292519943295E-2</v>
          </cell>
        </row>
      </sheetData>
      <sheetData sheetId="8808">
        <row r="1">
          <cell r="J1">
            <v>1.7453292519943295E-2</v>
          </cell>
        </row>
      </sheetData>
      <sheetData sheetId="8809">
        <row r="1">
          <cell r="J1">
            <v>1.7453292519943295E-2</v>
          </cell>
        </row>
      </sheetData>
      <sheetData sheetId="8810">
        <row r="1">
          <cell r="J1">
            <v>1.7453292519943295E-2</v>
          </cell>
        </row>
      </sheetData>
      <sheetData sheetId="8811">
        <row r="1">
          <cell r="J1">
            <v>1.7453292519943295E-2</v>
          </cell>
        </row>
      </sheetData>
      <sheetData sheetId="8812">
        <row r="1">
          <cell r="J1">
            <v>1.7453292519943295E-2</v>
          </cell>
        </row>
      </sheetData>
      <sheetData sheetId="8813">
        <row r="1">
          <cell r="J1">
            <v>1.7453292519943295E-2</v>
          </cell>
        </row>
      </sheetData>
      <sheetData sheetId="8814">
        <row r="1">
          <cell r="J1">
            <v>1.7453292519943295E-2</v>
          </cell>
        </row>
      </sheetData>
      <sheetData sheetId="8815">
        <row r="1">
          <cell r="J1">
            <v>1.7453292519943295E-2</v>
          </cell>
        </row>
      </sheetData>
      <sheetData sheetId="8816">
        <row r="1">
          <cell r="J1">
            <v>1.7453292519943295E-2</v>
          </cell>
        </row>
      </sheetData>
      <sheetData sheetId="8817">
        <row r="1">
          <cell r="J1">
            <v>1.7453292519943295E-2</v>
          </cell>
        </row>
      </sheetData>
      <sheetData sheetId="8818">
        <row r="1">
          <cell r="J1">
            <v>1.7453292519943295E-2</v>
          </cell>
        </row>
      </sheetData>
      <sheetData sheetId="8819">
        <row r="1">
          <cell r="J1">
            <v>1.7453292519943295E-2</v>
          </cell>
        </row>
      </sheetData>
      <sheetData sheetId="8820">
        <row r="1">
          <cell r="J1">
            <v>1.7453292519943295E-2</v>
          </cell>
        </row>
      </sheetData>
      <sheetData sheetId="8821">
        <row r="1">
          <cell r="J1">
            <v>1.7453292519943295E-2</v>
          </cell>
        </row>
      </sheetData>
      <sheetData sheetId="8822">
        <row r="1">
          <cell r="J1">
            <v>1.7453292519943295E-2</v>
          </cell>
        </row>
      </sheetData>
      <sheetData sheetId="8823">
        <row r="1">
          <cell r="J1">
            <v>1.7453292519943295E-2</v>
          </cell>
        </row>
      </sheetData>
      <sheetData sheetId="8824">
        <row r="1">
          <cell r="J1">
            <v>1.7453292519943295E-2</v>
          </cell>
        </row>
      </sheetData>
      <sheetData sheetId="8825">
        <row r="1">
          <cell r="J1">
            <v>1.7453292519943295E-2</v>
          </cell>
        </row>
      </sheetData>
      <sheetData sheetId="8826">
        <row r="1">
          <cell r="J1">
            <v>1.7453292519943295E-2</v>
          </cell>
        </row>
      </sheetData>
      <sheetData sheetId="8827">
        <row r="1">
          <cell r="J1">
            <v>1.7453292519943295E-2</v>
          </cell>
        </row>
      </sheetData>
      <sheetData sheetId="8828">
        <row r="1">
          <cell r="J1">
            <v>1.7453292519943295E-2</v>
          </cell>
        </row>
      </sheetData>
      <sheetData sheetId="8829">
        <row r="1">
          <cell r="J1">
            <v>1.7453292519943295E-2</v>
          </cell>
        </row>
      </sheetData>
      <sheetData sheetId="8830">
        <row r="1">
          <cell r="J1">
            <v>1.7453292519943295E-2</v>
          </cell>
        </row>
      </sheetData>
      <sheetData sheetId="8831">
        <row r="1">
          <cell r="J1">
            <v>1.7453292519943295E-2</v>
          </cell>
        </row>
      </sheetData>
      <sheetData sheetId="8832">
        <row r="1">
          <cell r="J1">
            <v>1.7453292519943295E-2</v>
          </cell>
        </row>
      </sheetData>
      <sheetData sheetId="8833">
        <row r="1">
          <cell r="J1">
            <v>1.7453292519943295E-2</v>
          </cell>
        </row>
      </sheetData>
      <sheetData sheetId="8834">
        <row r="1">
          <cell r="J1">
            <v>1.7453292519943295E-2</v>
          </cell>
        </row>
      </sheetData>
      <sheetData sheetId="8835">
        <row r="1">
          <cell r="J1">
            <v>1.7453292519943295E-2</v>
          </cell>
        </row>
      </sheetData>
      <sheetData sheetId="8836">
        <row r="1">
          <cell r="J1">
            <v>1.7453292519943295E-2</v>
          </cell>
        </row>
      </sheetData>
      <sheetData sheetId="8837">
        <row r="1">
          <cell r="J1">
            <v>1.7453292519943295E-2</v>
          </cell>
        </row>
      </sheetData>
      <sheetData sheetId="8838">
        <row r="1">
          <cell r="J1">
            <v>1.7453292519943295E-2</v>
          </cell>
        </row>
      </sheetData>
      <sheetData sheetId="8839">
        <row r="1">
          <cell r="J1">
            <v>1.7453292519943295E-2</v>
          </cell>
        </row>
      </sheetData>
      <sheetData sheetId="8840">
        <row r="1">
          <cell r="J1">
            <v>1.7453292519943295E-2</v>
          </cell>
        </row>
      </sheetData>
      <sheetData sheetId="8841">
        <row r="1">
          <cell r="J1">
            <v>1.7453292519943295E-2</v>
          </cell>
        </row>
      </sheetData>
      <sheetData sheetId="8842">
        <row r="1">
          <cell r="J1">
            <v>1.7453292519943295E-2</v>
          </cell>
        </row>
      </sheetData>
      <sheetData sheetId="8843">
        <row r="1">
          <cell r="J1">
            <v>1.7453292519943295E-2</v>
          </cell>
        </row>
      </sheetData>
      <sheetData sheetId="8844">
        <row r="1">
          <cell r="J1">
            <v>1.7453292519943295E-2</v>
          </cell>
        </row>
      </sheetData>
      <sheetData sheetId="8845">
        <row r="1">
          <cell r="J1">
            <v>1.7453292519943295E-2</v>
          </cell>
        </row>
      </sheetData>
      <sheetData sheetId="8846">
        <row r="1">
          <cell r="J1">
            <v>1.7453292519943295E-2</v>
          </cell>
        </row>
      </sheetData>
      <sheetData sheetId="8847">
        <row r="1">
          <cell r="J1">
            <v>1.7453292519943295E-2</v>
          </cell>
        </row>
      </sheetData>
      <sheetData sheetId="8848">
        <row r="1">
          <cell r="J1">
            <v>1.7453292519943295E-2</v>
          </cell>
        </row>
      </sheetData>
      <sheetData sheetId="8849">
        <row r="1">
          <cell r="J1">
            <v>1.7453292519943295E-2</v>
          </cell>
        </row>
      </sheetData>
      <sheetData sheetId="8850">
        <row r="1">
          <cell r="J1">
            <v>1.7453292519943295E-2</v>
          </cell>
        </row>
      </sheetData>
      <sheetData sheetId="8851">
        <row r="1">
          <cell r="J1">
            <v>1.7453292519943295E-2</v>
          </cell>
        </row>
      </sheetData>
      <sheetData sheetId="8852">
        <row r="1">
          <cell r="J1">
            <v>1.7453292519943295E-2</v>
          </cell>
        </row>
      </sheetData>
      <sheetData sheetId="8853">
        <row r="1">
          <cell r="J1">
            <v>1.7453292519943295E-2</v>
          </cell>
        </row>
      </sheetData>
      <sheetData sheetId="8854">
        <row r="1">
          <cell r="J1">
            <v>1.7453292519943295E-2</v>
          </cell>
        </row>
      </sheetData>
      <sheetData sheetId="8855">
        <row r="1">
          <cell r="J1">
            <v>1.7453292519943295E-2</v>
          </cell>
        </row>
      </sheetData>
      <sheetData sheetId="8856">
        <row r="1">
          <cell r="J1">
            <v>1.7453292519943295E-2</v>
          </cell>
        </row>
      </sheetData>
      <sheetData sheetId="8857">
        <row r="1">
          <cell r="J1">
            <v>1.7453292519943295E-2</v>
          </cell>
        </row>
      </sheetData>
      <sheetData sheetId="8858">
        <row r="1">
          <cell r="J1">
            <v>1.7453292519943295E-2</v>
          </cell>
        </row>
      </sheetData>
      <sheetData sheetId="8859">
        <row r="1">
          <cell r="J1">
            <v>1.7453292519943295E-2</v>
          </cell>
        </row>
      </sheetData>
      <sheetData sheetId="8860">
        <row r="1">
          <cell r="J1">
            <v>1.7453292519943295E-2</v>
          </cell>
        </row>
      </sheetData>
      <sheetData sheetId="8861">
        <row r="1">
          <cell r="J1">
            <v>1.7453292519943295E-2</v>
          </cell>
        </row>
      </sheetData>
      <sheetData sheetId="8862">
        <row r="1">
          <cell r="J1">
            <v>1.7453292519943295E-2</v>
          </cell>
        </row>
      </sheetData>
      <sheetData sheetId="8863">
        <row r="1">
          <cell r="J1">
            <v>1.7453292519943295E-2</v>
          </cell>
        </row>
      </sheetData>
      <sheetData sheetId="8864"/>
      <sheetData sheetId="8865">
        <row r="1">
          <cell r="J1">
            <v>1.7453292519943295E-2</v>
          </cell>
        </row>
      </sheetData>
      <sheetData sheetId="8866">
        <row r="1">
          <cell r="J1">
            <v>1.7453292519943295E-2</v>
          </cell>
        </row>
      </sheetData>
      <sheetData sheetId="8867">
        <row r="1">
          <cell r="J1">
            <v>1.7453292519943295E-2</v>
          </cell>
        </row>
      </sheetData>
      <sheetData sheetId="8868">
        <row r="1">
          <cell r="J1">
            <v>1.7453292519943295E-2</v>
          </cell>
        </row>
      </sheetData>
      <sheetData sheetId="8869">
        <row r="1">
          <cell r="J1">
            <v>1.7453292519943295E-2</v>
          </cell>
        </row>
      </sheetData>
      <sheetData sheetId="8870">
        <row r="1">
          <cell r="J1">
            <v>1.7453292519943295E-2</v>
          </cell>
        </row>
      </sheetData>
      <sheetData sheetId="8871"/>
      <sheetData sheetId="8872"/>
      <sheetData sheetId="8873">
        <row r="1">
          <cell r="J1">
            <v>1.7453292519943295E-2</v>
          </cell>
        </row>
      </sheetData>
      <sheetData sheetId="8874">
        <row r="1">
          <cell r="J1">
            <v>1.7453292519943295E-2</v>
          </cell>
        </row>
      </sheetData>
      <sheetData sheetId="8875">
        <row r="1">
          <cell r="J1">
            <v>1.7453292519943295E-2</v>
          </cell>
        </row>
      </sheetData>
      <sheetData sheetId="8876">
        <row r="1">
          <cell r="J1">
            <v>1.7453292519943295E-2</v>
          </cell>
        </row>
      </sheetData>
      <sheetData sheetId="8877">
        <row r="1">
          <cell r="J1">
            <v>1.7453292519943295E-2</v>
          </cell>
        </row>
      </sheetData>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sheetData sheetId="13108"/>
      <sheetData sheetId="13109"/>
      <sheetData sheetId="13110"/>
      <sheetData sheetId="13111"/>
      <sheetData sheetId="13112"/>
      <sheetData sheetId="13113"/>
      <sheetData sheetId="13114"/>
      <sheetData sheetId="13115"/>
      <sheetData sheetId="13116"/>
      <sheetData sheetId="13117"/>
      <sheetData sheetId="13118"/>
      <sheetData sheetId="13119"/>
      <sheetData sheetId="13120"/>
      <sheetData sheetId="13121"/>
      <sheetData sheetId="13122"/>
      <sheetData sheetId="13123"/>
      <sheetData sheetId="13124"/>
      <sheetData sheetId="13125"/>
      <sheetData sheetId="13126"/>
      <sheetData sheetId="13127"/>
      <sheetData sheetId="13128"/>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row r="1">
          <cell r="J1">
            <v>1.7453292519943295E-2</v>
          </cell>
        </row>
      </sheetData>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row r="1">
          <cell r="J1">
            <v>1.7453292519943295E-2</v>
          </cell>
        </row>
      </sheetData>
      <sheetData sheetId="13575">
        <row r="1">
          <cell r="J1">
            <v>1.7453292519943295E-2</v>
          </cell>
        </row>
      </sheetData>
      <sheetData sheetId="13576"/>
      <sheetData sheetId="13577"/>
      <sheetData sheetId="13578" refreshError="1"/>
      <sheetData sheetId="13579"/>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ow r="1">
          <cell r="J1">
            <v>1.7453292519943295E-2</v>
          </cell>
        </row>
      </sheetData>
      <sheetData sheetId="13591">
        <row r="1">
          <cell r="J1">
            <v>1.7453292519943295E-2</v>
          </cell>
        </row>
      </sheetData>
      <sheetData sheetId="13592" refreshError="1"/>
      <sheetData sheetId="13593" refreshError="1"/>
      <sheetData sheetId="13594" refreshError="1"/>
      <sheetData sheetId="13595">
        <row r="1">
          <cell r="J1">
            <v>1.7453292519943295E-2</v>
          </cell>
        </row>
      </sheetData>
      <sheetData sheetId="13596">
        <row r="1">
          <cell r="J1">
            <v>1.7453292519943295E-2</v>
          </cell>
        </row>
      </sheetData>
      <sheetData sheetId="13597" refreshError="1"/>
      <sheetData sheetId="13598" refreshError="1"/>
      <sheetData sheetId="13599" refreshError="1"/>
      <sheetData sheetId="13600">
        <row r="1">
          <cell r="J1">
            <v>1.7453292519943295E-2</v>
          </cell>
        </row>
      </sheetData>
      <sheetData sheetId="13601" refreshError="1"/>
      <sheetData sheetId="13602" refreshError="1"/>
      <sheetData sheetId="13603" refreshError="1"/>
      <sheetData sheetId="13604">
        <row r="1">
          <cell r="J1">
            <v>1.7453292519943295E-2</v>
          </cell>
        </row>
      </sheetData>
      <sheetData sheetId="13605">
        <row r="1">
          <cell r="J1">
            <v>1.7453292519943295E-2</v>
          </cell>
        </row>
      </sheetData>
      <sheetData sheetId="13606" refreshError="1"/>
      <sheetData sheetId="13607">
        <row r="1">
          <cell r="J1">
            <v>1.7453292519943295E-2</v>
          </cell>
        </row>
      </sheetData>
      <sheetData sheetId="13608">
        <row r="1">
          <cell r="J1">
            <v>1.7453292519943295E-2</v>
          </cell>
        </row>
      </sheetData>
      <sheetData sheetId="13609" refreshError="1"/>
      <sheetData sheetId="13610" refreshError="1"/>
      <sheetData sheetId="13611" refreshError="1"/>
      <sheetData sheetId="13612" refreshError="1"/>
      <sheetData sheetId="13613">
        <row r="1">
          <cell r="J1">
            <v>1.7453292519943295E-2</v>
          </cell>
        </row>
      </sheetData>
      <sheetData sheetId="13614">
        <row r="1">
          <cell r="J1">
            <v>1.7453292519943295E-2</v>
          </cell>
        </row>
      </sheetData>
      <sheetData sheetId="13615" refreshError="1"/>
      <sheetData sheetId="13616" refreshError="1"/>
      <sheetData sheetId="13617" refreshError="1"/>
      <sheetData sheetId="13618">
        <row r="1">
          <cell r="J1">
            <v>1.7453292519943295E-2</v>
          </cell>
        </row>
      </sheetData>
      <sheetData sheetId="13619">
        <row r="1">
          <cell r="J1">
            <v>1.7453292519943295E-2</v>
          </cell>
        </row>
      </sheetData>
      <sheetData sheetId="13620" refreshError="1"/>
      <sheetData sheetId="13621">
        <row r="1">
          <cell r="J1">
            <v>1.7453292519943295E-2</v>
          </cell>
        </row>
      </sheetData>
      <sheetData sheetId="13622">
        <row r="1">
          <cell r="J1">
            <v>1.7453292519943295E-2</v>
          </cell>
        </row>
      </sheetData>
      <sheetData sheetId="13623">
        <row r="1">
          <cell r="J1">
            <v>1.7453292519943295E-2</v>
          </cell>
        </row>
      </sheetData>
      <sheetData sheetId="13624" refreshError="1"/>
      <sheetData sheetId="13625" refreshError="1"/>
      <sheetData sheetId="13626" refreshError="1"/>
      <sheetData sheetId="13627" refreshError="1"/>
      <sheetData sheetId="13628" refreshError="1"/>
      <sheetData sheetId="13629">
        <row r="1">
          <cell r="J1">
            <v>1.7453292519943295E-2</v>
          </cell>
        </row>
      </sheetData>
      <sheetData sheetId="13630" refreshError="1"/>
      <sheetData sheetId="13631">
        <row r="1">
          <cell r="J1">
            <v>1.7453292519943295E-2</v>
          </cell>
        </row>
      </sheetData>
      <sheetData sheetId="13632">
        <row r="1">
          <cell r="J1">
            <v>1.7453292519943295E-2</v>
          </cell>
        </row>
      </sheetData>
      <sheetData sheetId="13633" refreshError="1"/>
      <sheetData sheetId="13634">
        <row r="1">
          <cell r="J1">
            <v>1.7453292519943295E-2</v>
          </cell>
        </row>
      </sheetData>
      <sheetData sheetId="13635">
        <row r="1">
          <cell r="J1">
            <v>1.7453292519943295E-2</v>
          </cell>
        </row>
      </sheetData>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ow r="1">
          <cell r="J1">
            <v>1.7453292519943295E-2</v>
          </cell>
        </row>
      </sheetData>
      <sheetData sheetId="13644" refreshError="1"/>
      <sheetData sheetId="13645">
        <row r="1">
          <cell r="J1">
            <v>1.7453292519943295E-2</v>
          </cell>
        </row>
      </sheetData>
      <sheetData sheetId="13646" refreshError="1"/>
      <sheetData sheetId="13647" refreshError="1"/>
      <sheetData sheetId="13648" refreshError="1"/>
      <sheetData sheetId="13649">
        <row r="1">
          <cell r="J1">
            <v>1.7453292519943295E-2</v>
          </cell>
        </row>
      </sheetData>
      <sheetData sheetId="13650" refreshError="1"/>
      <sheetData sheetId="13651" refreshError="1"/>
      <sheetData sheetId="13652" refreshError="1"/>
      <sheetData sheetId="13653" refreshError="1"/>
      <sheetData sheetId="13654">
        <row r="1">
          <cell r="J1">
            <v>1.7453292519943295E-2</v>
          </cell>
        </row>
      </sheetData>
      <sheetData sheetId="13655" refreshError="1"/>
      <sheetData sheetId="13656">
        <row r="1">
          <cell r="J1">
            <v>1.7453292519943295E-2</v>
          </cell>
        </row>
      </sheetData>
      <sheetData sheetId="13657">
        <row r="1">
          <cell r="J1">
            <v>1.7453292519943295E-2</v>
          </cell>
        </row>
      </sheetData>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ow r="1">
          <cell r="J1">
            <v>1.7453292519943295E-2</v>
          </cell>
        </row>
      </sheetData>
      <sheetData sheetId="13670">
        <row r="1">
          <cell r="J1">
            <v>1.7453292519943295E-2</v>
          </cell>
        </row>
      </sheetData>
      <sheetData sheetId="13671">
        <row r="1">
          <cell r="J1">
            <v>1.7453292519943295E-2</v>
          </cell>
        </row>
      </sheetData>
      <sheetData sheetId="13672">
        <row r="1">
          <cell r="J1">
            <v>1.7453292519943295E-2</v>
          </cell>
        </row>
      </sheetData>
      <sheetData sheetId="13673">
        <row r="1">
          <cell r="J1">
            <v>1.7453292519943295E-2</v>
          </cell>
        </row>
      </sheetData>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ow r="1">
          <cell r="J1">
            <v>1.7453292519943295E-2</v>
          </cell>
        </row>
      </sheetData>
      <sheetData sheetId="13688">
        <row r="1">
          <cell r="J1">
            <v>1.7453292519943295E-2</v>
          </cell>
        </row>
      </sheetData>
      <sheetData sheetId="13689">
        <row r="1">
          <cell r="J1">
            <v>1.7453292519943295E-2</v>
          </cell>
        </row>
      </sheetData>
      <sheetData sheetId="13690" refreshError="1"/>
      <sheetData sheetId="13691">
        <row r="1">
          <cell r="J1">
            <v>1.7453292519943295E-2</v>
          </cell>
        </row>
      </sheetData>
      <sheetData sheetId="13692" refreshError="1"/>
      <sheetData sheetId="13693" refreshError="1"/>
      <sheetData sheetId="13694" refreshError="1"/>
      <sheetData sheetId="13695" refreshError="1"/>
      <sheetData sheetId="13696">
        <row r="1">
          <cell r="J1">
            <v>1.7453292519943295E-2</v>
          </cell>
        </row>
      </sheetData>
      <sheetData sheetId="13697" refreshError="1"/>
      <sheetData sheetId="13698">
        <row r="1">
          <cell r="J1">
            <v>1.7453292519943295E-2</v>
          </cell>
        </row>
      </sheetData>
      <sheetData sheetId="13699" refreshError="1"/>
      <sheetData sheetId="13700">
        <row r="1">
          <cell r="J1">
            <v>1.7453292519943295E-2</v>
          </cell>
        </row>
      </sheetData>
      <sheetData sheetId="13701" refreshError="1"/>
      <sheetData sheetId="13702">
        <row r="1">
          <cell r="J1">
            <v>1.7453292519943295E-2</v>
          </cell>
        </row>
      </sheetData>
      <sheetData sheetId="13703" refreshError="1"/>
      <sheetData sheetId="13704" refreshError="1"/>
      <sheetData sheetId="13705">
        <row r="1">
          <cell r="J1">
            <v>1.7453292519943295E-2</v>
          </cell>
        </row>
      </sheetData>
      <sheetData sheetId="13706">
        <row r="1">
          <cell r="J1">
            <v>1.7453292519943295E-2</v>
          </cell>
        </row>
      </sheetData>
      <sheetData sheetId="13707" refreshError="1"/>
      <sheetData sheetId="13708">
        <row r="1">
          <cell r="J1">
            <v>1.7453292519943295E-2</v>
          </cell>
        </row>
      </sheetData>
      <sheetData sheetId="13709" refreshError="1"/>
      <sheetData sheetId="13710">
        <row r="1">
          <cell r="J1">
            <v>1.7453292519943295E-2</v>
          </cell>
        </row>
      </sheetData>
      <sheetData sheetId="13711">
        <row r="1">
          <cell r="J1">
            <v>1.7453292519943295E-2</v>
          </cell>
        </row>
      </sheetData>
      <sheetData sheetId="13712">
        <row r="1">
          <cell r="J1">
            <v>1.7453292519943295E-2</v>
          </cell>
        </row>
      </sheetData>
      <sheetData sheetId="13713">
        <row r="1">
          <cell r="J1">
            <v>1.7453292519943295E-2</v>
          </cell>
        </row>
      </sheetData>
      <sheetData sheetId="13714">
        <row r="1">
          <cell r="J1">
            <v>1.7453292519943295E-2</v>
          </cell>
        </row>
      </sheetData>
      <sheetData sheetId="13715">
        <row r="1">
          <cell r="J1">
            <v>1.7453292519943295E-2</v>
          </cell>
        </row>
      </sheetData>
      <sheetData sheetId="13716">
        <row r="1">
          <cell r="J1">
            <v>1.7453292519943295E-2</v>
          </cell>
        </row>
      </sheetData>
      <sheetData sheetId="13717">
        <row r="1">
          <cell r="J1">
            <v>1.7453292519943295E-2</v>
          </cell>
        </row>
      </sheetData>
      <sheetData sheetId="13718">
        <row r="1">
          <cell r="J1">
            <v>1.7453292519943295E-2</v>
          </cell>
        </row>
      </sheetData>
      <sheetData sheetId="13719" refreshError="1"/>
      <sheetData sheetId="13720" refreshError="1"/>
      <sheetData sheetId="13721" refreshError="1"/>
      <sheetData sheetId="13722" refreshError="1"/>
      <sheetData sheetId="13723" refreshError="1"/>
      <sheetData sheetId="13724">
        <row r="1">
          <cell r="J1">
            <v>1.7453292519943295E-2</v>
          </cell>
        </row>
      </sheetData>
      <sheetData sheetId="13725" refreshError="1"/>
      <sheetData sheetId="13726" refreshError="1"/>
      <sheetData sheetId="13727" refreshError="1"/>
      <sheetData sheetId="13728">
        <row r="1">
          <cell r="J1">
            <v>1.7453292519943295E-2</v>
          </cell>
        </row>
      </sheetData>
      <sheetData sheetId="13729">
        <row r="1">
          <cell r="J1">
            <v>1.7453292519943295E-2</v>
          </cell>
        </row>
      </sheetData>
      <sheetData sheetId="13730" refreshError="1"/>
      <sheetData sheetId="13731">
        <row r="1">
          <cell r="J1">
            <v>1.7453292519943295E-2</v>
          </cell>
        </row>
      </sheetData>
      <sheetData sheetId="13732" refreshError="1"/>
      <sheetData sheetId="13733" refreshError="1"/>
      <sheetData sheetId="13734">
        <row r="1">
          <cell r="J1">
            <v>1.7453292519943295E-2</v>
          </cell>
        </row>
      </sheetData>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ow r="1">
          <cell r="J1">
            <v>1.7453292519943295E-2</v>
          </cell>
        </row>
      </sheetData>
      <sheetData sheetId="13805">
        <row r="1">
          <cell r="J1">
            <v>1.7453292519943295E-2</v>
          </cell>
        </row>
      </sheetData>
      <sheetData sheetId="13806" refreshError="1"/>
      <sheetData sheetId="13807" refreshError="1"/>
      <sheetData sheetId="13808" refreshError="1"/>
      <sheetData sheetId="13809">
        <row r="1">
          <cell r="J1">
            <v>1.7453292519943295E-2</v>
          </cell>
        </row>
      </sheetData>
      <sheetData sheetId="13810">
        <row r="1">
          <cell r="J1">
            <v>1.7453292519943295E-2</v>
          </cell>
        </row>
      </sheetData>
      <sheetData sheetId="13811" refreshError="1"/>
      <sheetData sheetId="13812">
        <row r="1">
          <cell r="J1">
            <v>1.7453292519943295E-2</v>
          </cell>
        </row>
      </sheetData>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ow r="1">
          <cell r="J1">
            <v>1.7453292519943295E-2</v>
          </cell>
        </row>
      </sheetData>
      <sheetData sheetId="13821" refreshError="1"/>
      <sheetData sheetId="13822" refreshError="1"/>
      <sheetData sheetId="13823" refreshError="1"/>
      <sheetData sheetId="13824" refreshError="1"/>
      <sheetData sheetId="13825" refreshError="1"/>
      <sheetData sheetId="13826">
        <row r="2">
          <cell r="B2">
            <v>1</v>
          </cell>
        </row>
      </sheetData>
      <sheetData sheetId="13827" refreshError="1"/>
      <sheetData sheetId="13828" refreshError="1"/>
      <sheetData sheetId="13829" refreshError="1"/>
      <sheetData sheetId="13830">
        <row r="1">
          <cell r="J1">
            <v>1.7453292519943295E-2</v>
          </cell>
        </row>
      </sheetData>
      <sheetData sheetId="13831">
        <row r="1">
          <cell r="J1">
            <v>1.7453292519943295E-2</v>
          </cell>
        </row>
      </sheetData>
      <sheetData sheetId="13832" refreshError="1"/>
      <sheetData sheetId="13833" refreshError="1"/>
      <sheetData sheetId="13834" refreshError="1"/>
      <sheetData sheetId="13835">
        <row r="1">
          <cell r="J1">
            <v>1.7453292519943295E-2</v>
          </cell>
        </row>
      </sheetData>
      <sheetData sheetId="13836" refreshError="1"/>
      <sheetData sheetId="13837" refreshError="1"/>
      <sheetData sheetId="13838">
        <row r="1">
          <cell r="J1">
            <v>1.7453292519943295E-2</v>
          </cell>
        </row>
      </sheetData>
      <sheetData sheetId="13839">
        <row r="1">
          <cell r="J1">
            <v>1.7453292519943295E-2</v>
          </cell>
        </row>
      </sheetData>
      <sheetData sheetId="13840" refreshError="1"/>
      <sheetData sheetId="13841" refreshError="1"/>
      <sheetData sheetId="13842" refreshError="1"/>
      <sheetData sheetId="13843" refreshError="1"/>
      <sheetData sheetId="13844" refreshError="1"/>
      <sheetData sheetId="13845">
        <row r="1">
          <cell r="J1">
            <v>1.7453292519943295E-2</v>
          </cell>
        </row>
      </sheetData>
      <sheetData sheetId="13846">
        <row r="1">
          <cell r="J1">
            <v>1.7453292519943295E-2</v>
          </cell>
        </row>
      </sheetData>
      <sheetData sheetId="13847" refreshError="1"/>
      <sheetData sheetId="13848">
        <row r="1">
          <cell r="J1">
            <v>1.7453292519943295E-2</v>
          </cell>
        </row>
      </sheetData>
      <sheetData sheetId="13849" refreshError="1"/>
      <sheetData sheetId="13850" refreshError="1"/>
      <sheetData sheetId="13851" refreshError="1"/>
      <sheetData sheetId="13852">
        <row r="1">
          <cell r="J1">
            <v>1.7453292519943295E-2</v>
          </cell>
        </row>
      </sheetData>
      <sheetData sheetId="13853">
        <row r="1">
          <cell r="J1">
            <v>1.7453292519943295E-2</v>
          </cell>
        </row>
      </sheetData>
      <sheetData sheetId="13854" refreshError="1"/>
      <sheetData sheetId="13855" refreshError="1"/>
      <sheetData sheetId="13856" refreshError="1"/>
      <sheetData sheetId="13857" refreshError="1"/>
      <sheetData sheetId="13858" refreshError="1"/>
      <sheetData sheetId="13859" refreshError="1"/>
      <sheetData sheetId="13860">
        <row r="1">
          <cell r="J1">
            <v>1.7453292519943295E-2</v>
          </cell>
        </row>
      </sheetData>
      <sheetData sheetId="13861">
        <row r="1">
          <cell r="J1">
            <v>1.7453292519943295E-2</v>
          </cell>
        </row>
      </sheetData>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ow r="1">
          <cell r="J1">
            <v>1.7453292519943295E-2</v>
          </cell>
        </row>
      </sheetData>
      <sheetData sheetId="13871" refreshError="1"/>
      <sheetData sheetId="13872" refreshError="1"/>
      <sheetData sheetId="13873">
        <row r="1">
          <cell r="J1">
            <v>1.7453292519943295E-2</v>
          </cell>
        </row>
      </sheetData>
      <sheetData sheetId="13874" refreshError="1"/>
      <sheetData sheetId="13875" refreshError="1"/>
      <sheetData sheetId="13876" refreshError="1"/>
      <sheetData sheetId="13877" refreshError="1"/>
      <sheetData sheetId="13878">
        <row r="1">
          <cell r="J1">
            <v>1.7453292519943295E-2</v>
          </cell>
        </row>
      </sheetData>
      <sheetData sheetId="13879" refreshError="1"/>
      <sheetData sheetId="13880">
        <row r="1">
          <cell r="J1">
            <v>1.7453292519943295E-2</v>
          </cell>
        </row>
      </sheetData>
      <sheetData sheetId="13881" refreshError="1"/>
      <sheetData sheetId="13882" refreshError="1"/>
      <sheetData sheetId="13883">
        <row r="1">
          <cell r="J1">
            <v>1.7453292519943295E-2</v>
          </cell>
        </row>
      </sheetData>
      <sheetData sheetId="13884">
        <row r="1">
          <cell r="J1">
            <v>1.7453292519943295E-2</v>
          </cell>
        </row>
      </sheetData>
      <sheetData sheetId="13885" refreshError="1"/>
      <sheetData sheetId="13886" refreshError="1"/>
      <sheetData sheetId="13887" refreshError="1"/>
      <sheetData sheetId="13888" refreshError="1"/>
      <sheetData sheetId="13889" refreshError="1"/>
      <sheetData sheetId="13890">
        <row r="1">
          <cell r="J1">
            <v>1.7453292519943295E-2</v>
          </cell>
        </row>
      </sheetData>
      <sheetData sheetId="13891" refreshError="1"/>
      <sheetData sheetId="13892" refreshError="1"/>
      <sheetData sheetId="13893" refreshError="1"/>
      <sheetData sheetId="13894">
        <row r="1">
          <cell r="J1">
            <v>1.7453292519943295E-2</v>
          </cell>
        </row>
      </sheetData>
      <sheetData sheetId="13895" refreshError="1"/>
      <sheetData sheetId="13896" refreshError="1"/>
      <sheetData sheetId="13897">
        <row r="1">
          <cell r="J1">
            <v>1.7453292519943295E-2</v>
          </cell>
        </row>
      </sheetData>
      <sheetData sheetId="13898">
        <row r="1">
          <cell r="J1">
            <v>1.7453292519943295E-2</v>
          </cell>
        </row>
      </sheetData>
      <sheetData sheetId="13899" refreshError="1"/>
      <sheetData sheetId="13900" refreshError="1"/>
      <sheetData sheetId="13901" refreshError="1"/>
      <sheetData sheetId="13902" refreshError="1"/>
      <sheetData sheetId="13903" refreshError="1"/>
      <sheetData sheetId="13904">
        <row r="1">
          <cell r="J1">
            <v>1.7453292519943295E-2</v>
          </cell>
        </row>
      </sheetData>
      <sheetData sheetId="13905" refreshError="1"/>
      <sheetData sheetId="13906" refreshError="1"/>
      <sheetData sheetId="13907">
        <row r="1">
          <cell r="J1">
            <v>1.7453292519943295E-2</v>
          </cell>
        </row>
      </sheetData>
      <sheetData sheetId="13908">
        <row r="1">
          <cell r="J1">
            <v>1.7453292519943295E-2</v>
          </cell>
        </row>
      </sheetData>
      <sheetData sheetId="13909">
        <row r="1">
          <cell r="J1">
            <v>1.7453292519943295E-2</v>
          </cell>
        </row>
      </sheetData>
      <sheetData sheetId="13910" refreshError="1"/>
      <sheetData sheetId="13911" refreshError="1"/>
      <sheetData sheetId="13912" refreshError="1"/>
      <sheetData sheetId="13913" refreshError="1"/>
      <sheetData sheetId="13914">
        <row r="1">
          <cell r="J1">
            <v>1.7453292519943295E-2</v>
          </cell>
        </row>
      </sheetData>
      <sheetData sheetId="13915" refreshError="1"/>
      <sheetData sheetId="13916" refreshError="1"/>
      <sheetData sheetId="13917" refreshError="1"/>
      <sheetData sheetId="13918" refreshError="1"/>
      <sheetData sheetId="13919">
        <row r="1">
          <cell r="J1">
            <v>1.7453292519943295E-2</v>
          </cell>
        </row>
      </sheetData>
      <sheetData sheetId="13920">
        <row r="1">
          <cell r="J1">
            <v>1.7453292519943295E-2</v>
          </cell>
        </row>
      </sheetData>
      <sheetData sheetId="13921" refreshError="1"/>
      <sheetData sheetId="13922" refreshError="1"/>
      <sheetData sheetId="13923" refreshError="1"/>
      <sheetData sheetId="13924" refreshError="1"/>
      <sheetData sheetId="13925">
        <row r="1">
          <cell r="J1">
            <v>1.7453292519943295E-2</v>
          </cell>
        </row>
      </sheetData>
      <sheetData sheetId="13926">
        <row r="1">
          <cell r="J1">
            <v>1.7453292519943295E-2</v>
          </cell>
        </row>
      </sheetData>
      <sheetData sheetId="13927" refreshError="1"/>
      <sheetData sheetId="13928">
        <row r="1">
          <cell r="J1">
            <v>1.7453292519943295E-2</v>
          </cell>
        </row>
      </sheetData>
      <sheetData sheetId="13929" refreshError="1"/>
      <sheetData sheetId="13930">
        <row r="1">
          <cell r="J1">
            <v>1.7453292519943295E-2</v>
          </cell>
        </row>
      </sheetData>
      <sheetData sheetId="13931" refreshError="1"/>
      <sheetData sheetId="13932" refreshError="1"/>
      <sheetData sheetId="13933" refreshError="1"/>
      <sheetData sheetId="13934">
        <row r="1">
          <cell r="J1">
            <v>1.7453292519943295E-2</v>
          </cell>
        </row>
      </sheetData>
      <sheetData sheetId="13935" refreshError="1"/>
      <sheetData sheetId="13936">
        <row r="1">
          <cell r="J1">
            <v>1.7453292519943295E-2</v>
          </cell>
        </row>
      </sheetData>
      <sheetData sheetId="13937" refreshError="1"/>
      <sheetData sheetId="13938" refreshError="1"/>
      <sheetData sheetId="13939" refreshError="1"/>
      <sheetData sheetId="13940" refreshError="1"/>
      <sheetData sheetId="13941">
        <row r="1">
          <cell r="J1">
            <v>1.7453292519943295E-2</v>
          </cell>
        </row>
      </sheetData>
      <sheetData sheetId="13942" refreshError="1"/>
      <sheetData sheetId="13943" refreshError="1"/>
      <sheetData sheetId="13944" refreshError="1"/>
      <sheetData sheetId="13945">
        <row r="1">
          <cell r="J1">
            <v>1.7453292519943295E-2</v>
          </cell>
        </row>
      </sheetData>
      <sheetData sheetId="13946" refreshError="1"/>
      <sheetData sheetId="13947" refreshError="1"/>
      <sheetData sheetId="13948" refreshError="1"/>
      <sheetData sheetId="13949">
        <row r="1">
          <cell r="J1">
            <v>1.7453292519943295E-2</v>
          </cell>
        </row>
      </sheetData>
      <sheetData sheetId="13950">
        <row r="1">
          <cell r="J1">
            <v>1.7453292519943295E-2</v>
          </cell>
        </row>
      </sheetData>
      <sheetData sheetId="13951" refreshError="1"/>
      <sheetData sheetId="13952" refreshError="1"/>
      <sheetData sheetId="13953">
        <row r="1">
          <cell r="J1">
            <v>1.7453292519943295E-2</v>
          </cell>
        </row>
      </sheetData>
      <sheetData sheetId="13954">
        <row r="1">
          <cell r="J1">
            <v>1.7453292519943295E-2</v>
          </cell>
        </row>
      </sheetData>
      <sheetData sheetId="13955">
        <row r="1">
          <cell r="J1">
            <v>1.7453292519943295E-2</v>
          </cell>
        </row>
      </sheetData>
      <sheetData sheetId="13956">
        <row r="1">
          <cell r="J1">
            <v>1.7453292519943295E-2</v>
          </cell>
        </row>
      </sheetData>
      <sheetData sheetId="13957">
        <row r="1">
          <cell r="J1">
            <v>1.7453292519943295E-2</v>
          </cell>
        </row>
      </sheetData>
      <sheetData sheetId="13958">
        <row r="1">
          <cell r="J1">
            <v>1.7453292519943295E-2</v>
          </cell>
        </row>
      </sheetData>
      <sheetData sheetId="13959">
        <row r="1">
          <cell r="J1">
            <v>1.7453292519943295E-2</v>
          </cell>
        </row>
      </sheetData>
      <sheetData sheetId="13960">
        <row r="1">
          <cell r="J1">
            <v>1.7453292519943295E-2</v>
          </cell>
        </row>
      </sheetData>
      <sheetData sheetId="13961">
        <row r="1">
          <cell r="J1">
            <v>1.7453292519943295E-2</v>
          </cell>
        </row>
      </sheetData>
      <sheetData sheetId="13962" refreshError="1"/>
      <sheetData sheetId="13963" refreshError="1"/>
      <sheetData sheetId="13964">
        <row r="1">
          <cell r="J1">
            <v>1.7453292519943295E-2</v>
          </cell>
        </row>
      </sheetData>
      <sheetData sheetId="13965">
        <row r="1">
          <cell r="J1">
            <v>1.7453292519943295E-2</v>
          </cell>
        </row>
      </sheetData>
      <sheetData sheetId="13966" refreshError="1"/>
      <sheetData sheetId="13967" refreshError="1"/>
      <sheetData sheetId="13968" refreshError="1"/>
      <sheetData sheetId="13969" refreshError="1"/>
      <sheetData sheetId="13970" refreshError="1"/>
      <sheetData sheetId="13971">
        <row r="1">
          <cell r="J1">
            <v>1.7453292519943295E-2</v>
          </cell>
        </row>
      </sheetData>
      <sheetData sheetId="13972">
        <row r="1">
          <cell r="J1">
            <v>1.7453292519943295E-2</v>
          </cell>
        </row>
      </sheetData>
      <sheetData sheetId="13973" refreshError="1"/>
      <sheetData sheetId="13974" refreshError="1"/>
      <sheetData sheetId="13975" refreshError="1"/>
      <sheetData sheetId="13976" refreshError="1"/>
      <sheetData sheetId="13977">
        <row r="1">
          <cell r="J1">
            <v>1.7453292519943295E-2</v>
          </cell>
        </row>
      </sheetData>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ow r="1">
          <cell r="J1">
            <v>1.7453292519943295E-2</v>
          </cell>
        </row>
      </sheetData>
      <sheetData sheetId="13986">
        <row r="1">
          <cell r="J1">
            <v>1.7453292519943295E-2</v>
          </cell>
        </row>
      </sheetData>
      <sheetData sheetId="13987" refreshError="1"/>
      <sheetData sheetId="13988" refreshError="1"/>
      <sheetData sheetId="13989">
        <row r="1">
          <cell r="J1">
            <v>1.7453292519943295E-2</v>
          </cell>
        </row>
      </sheetData>
      <sheetData sheetId="13990" refreshError="1"/>
      <sheetData sheetId="13991" refreshError="1"/>
      <sheetData sheetId="13992">
        <row r="1">
          <cell r="J1">
            <v>1.7453292519943295E-2</v>
          </cell>
        </row>
      </sheetData>
      <sheetData sheetId="13993" refreshError="1"/>
      <sheetData sheetId="13994" refreshError="1"/>
      <sheetData sheetId="13995" refreshError="1"/>
      <sheetData sheetId="13996" refreshError="1"/>
      <sheetData sheetId="13997">
        <row r="1">
          <cell r="J1">
            <v>1.7453292519943295E-2</v>
          </cell>
        </row>
      </sheetData>
      <sheetData sheetId="13998" refreshError="1"/>
      <sheetData sheetId="13999">
        <row r="1">
          <cell r="J1">
            <v>1.7453292519943295E-2</v>
          </cell>
        </row>
      </sheetData>
      <sheetData sheetId="14000" refreshError="1"/>
      <sheetData sheetId="14001">
        <row r="1">
          <cell r="J1">
            <v>1.7453292519943295E-2</v>
          </cell>
        </row>
      </sheetData>
      <sheetData sheetId="14002" refreshError="1"/>
      <sheetData sheetId="14003">
        <row r="1">
          <cell r="J1">
            <v>1.7453292519943295E-2</v>
          </cell>
        </row>
      </sheetData>
      <sheetData sheetId="14004" refreshError="1"/>
      <sheetData sheetId="14005" refreshError="1"/>
      <sheetData sheetId="14006">
        <row r="1">
          <cell r="J1">
            <v>1.7453292519943295E-2</v>
          </cell>
        </row>
      </sheetData>
      <sheetData sheetId="14007">
        <row r="1">
          <cell r="J1">
            <v>1.7453292519943295E-2</v>
          </cell>
        </row>
      </sheetData>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ow r="1">
          <cell r="J1">
            <v>1.7453292519943295E-2</v>
          </cell>
        </row>
      </sheetData>
      <sheetData sheetId="14017" refreshError="1"/>
      <sheetData sheetId="14018" refreshError="1"/>
      <sheetData sheetId="14019" refreshError="1"/>
      <sheetData sheetId="14020">
        <row r="1">
          <cell r="J1">
            <v>1.7453292519943295E-2</v>
          </cell>
        </row>
      </sheetData>
      <sheetData sheetId="14021" refreshError="1"/>
      <sheetData sheetId="14022" refreshError="1"/>
      <sheetData sheetId="14023" refreshError="1"/>
      <sheetData sheetId="14024" refreshError="1"/>
      <sheetData sheetId="14025">
        <row r="1">
          <cell r="J1">
            <v>1.7453292519943295E-2</v>
          </cell>
        </row>
      </sheetData>
      <sheetData sheetId="14026" refreshError="1"/>
      <sheetData sheetId="14027" refreshError="1"/>
      <sheetData sheetId="14028">
        <row r="1">
          <cell r="J1">
            <v>1.7453292519943295E-2</v>
          </cell>
        </row>
      </sheetData>
      <sheetData sheetId="14029">
        <row r="1">
          <cell r="J1">
            <v>1.7453292519943295E-2</v>
          </cell>
        </row>
      </sheetData>
      <sheetData sheetId="14030" refreshError="1"/>
      <sheetData sheetId="14031" refreshError="1"/>
      <sheetData sheetId="14032" refreshError="1"/>
      <sheetData sheetId="14033" refreshError="1"/>
      <sheetData sheetId="14034" refreshError="1"/>
      <sheetData sheetId="14035">
        <row r="1">
          <cell r="J1">
            <v>1.7453292519943295E-2</v>
          </cell>
        </row>
      </sheetData>
      <sheetData sheetId="14036" refreshError="1"/>
      <sheetData sheetId="14037">
        <row r="1">
          <cell r="J1">
            <v>1.7453292519943295E-2</v>
          </cell>
        </row>
      </sheetData>
      <sheetData sheetId="14038" refreshError="1"/>
      <sheetData sheetId="14039" refreshError="1"/>
      <sheetData sheetId="14040" refreshError="1"/>
      <sheetData sheetId="14041">
        <row r="1">
          <cell r="J1">
            <v>1.7453292519943295E-2</v>
          </cell>
        </row>
      </sheetData>
      <sheetData sheetId="14042">
        <row r="1">
          <cell r="J1">
            <v>1.7453292519943295E-2</v>
          </cell>
        </row>
      </sheetData>
      <sheetData sheetId="14043" refreshError="1"/>
      <sheetData sheetId="14044">
        <row r="1">
          <cell r="J1">
            <v>1.7453292519943295E-2</v>
          </cell>
        </row>
      </sheetData>
      <sheetData sheetId="14045" refreshError="1"/>
      <sheetData sheetId="14046" refreshError="1"/>
      <sheetData sheetId="14047" refreshError="1"/>
      <sheetData sheetId="14048" refreshError="1"/>
      <sheetData sheetId="14049">
        <row r="1">
          <cell r="J1">
            <v>1.7453292519943295E-2</v>
          </cell>
        </row>
      </sheetData>
      <sheetData sheetId="14050">
        <row r="1">
          <cell r="J1">
            <v>1.7453292519943295E-2</v>
          </cell>
        </row>
      </sheetData>
      <sheetData sheetId="14051" refreshError="1"/>
      <sheetData sheetId="14052" refreshError="1"/>
      <sheetData sheetId="14053" refreshError="1"/>
      <sheetData sheetId="14054">
        <row r="1">
          <cell r="J1">
            <v>1.7453292519943295E-2</v>
          </cell>
        </row>
      </sheetData>
      <sheetData sheetId="14055" refreshError="1"/>
      <sheetData sheetId="14056" refreshError="1"/>
      <sheetData sheetId="14057" refreshError="1"/>
      <sheetData sheetId="14058" refreshError="1"/>
      <sheetData sheetId="14059" refreshError="1"/>
      <sheetData sheetId="14060" refreshError="1"/>
      <sheetData sheetId="14061">
        <row r="1">
          <cell r="J1">
            <v>1.7453292519943295E-2</v>
          </cell>
        </row>
      </sheetData>
      <sheetData sheetId="14062" refreshError="1"/>
      <sheetData sheetId="14063">
        <row r="1">
          <cell r="J1">
            <v>1.7453292519943295E-2</v>
          </cell>
        </row>
      </sheetData>
      <sheetData sheetId="14064">
        <row r="1">
          <cell r="J1">
            <v>1.7453292519943295E-2</v>
          </cell>
        </row>
      </sheetData>
      <sheetData sheetId="14065" refreshError="1"/>
      <sheetData sheetId="14066" refreshError="1"/>
      <sheetData sheetId="14067" refreshError="1"/>
      <sheetData sheetId="14068" refreshError="1"/>
      <sheetData sheetId="14069">
        <row r="1">
          <cell r="J1">
            <v>1.7453292519943295E-2</v>
          </cell>
        </row>
      </sheetData>
      <sheetData sheetId="14070" refreshError="1"/>
      <sheetData sheetId="14071">
        <row r="1">
          <cell r="J1">
            <v>1.7453292519943295E-2</v>
          </cell>
        </row>
      </sheetData>
      <sheetData sheetId="14072">
        <row r="1">
          <cell r="J1">
            <v>1.7453292519943295E-2</v>
          </cell>
        </row>
      </sheetData>
      <sheetData sheetId="14073" refreshError="1"/>
      <sheetData sheetId="14074">
        <row r="1">
          <cell r="J1">
            <v>1.7453292519943295E-2</v>
          </cell>
        </row>
      </sheetData>
      <sheetData sheetId="14075">
        <row r="1">
          <cell r="J1">
            <v>1.7453292519943295E-2</v>
          </cell>
        </row>
      </sheetData>
      <sheetData sheetId="14076" refreshError="1"/>
      <sheetData sheetId="14077">
        <row r="1">
          <cell r="J1">
            <v>1.7453292519943295E-2</v>
          </cell>
        </row>
      </sheetData>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ow r="1">
          <cell r="J1">
            <v>1.7453292519943295E-2</v>
          </cell>
        </row>
      </sheetData>
      <sheetData sheetId="14091" refreshError="1"/>
      <sheetData sheetId="14092">
        <row r="1">
          <cell r="J1">
            <v>1.7453292519943295E-2</v>
          </cell>
        </row>
      </sheetData>
      <sheetData sheetId="14093">
        <row r="1">
          <cell r="J1">
            <v>1.7453292519943295E-2</v>
          </cell>
        </row>
      </sheetData>
      <sheetData sheetId="14094">
        <row r="1">
          <cell r="J1">
            <v>1.7453292519943295E-2</v>
          </cell>
        </row>
      </sheetData>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ow r="1">
          <cell r="J1">
            <v>1.7453292519943295E-2</v>
          </cell>
        </row>
      </sheetData>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ow r="1">
          <cell r="J1">
            <v>1.7453292519943295E-2</v>
          </cell>
        </row>
      </sheetData>
      <sheetData sheetId="14112" refreshError="1"/>
      <sheetData sheetId="14113" refreshError="1"/>
      <sheetData sheetId="14114" refreshError="1"/>
      <sheetData sheetId="14115" refreshError="1"/>
      <sheetData sheetId="14116" refreshError="1"/>
      <sheetData sheetId="14117" refreshError="1"/>
      <sheetData sheetId="14118">
        <row r="1">
          <cell r="J1">
            <v>1.7453292519943295E-2</v>
          </cell>
        </row>
      </sheetData>
      <sheetData sheetId="14119">
        <row r="1">
          <cell r="J1">
            <v>1.7453292519943295E-2</v>
          </cell>
        </row>
      </sheetData>
      <sheetData sheetId="14120">
        <row r="1">
          <cell r="J1">
            <v>1.7453292519943295E-2</v>
          </cell>
        </row>
      </sheetData>
      <sheetData sheetId="14121" refreshError="1"/>
      <sheetData sheetId="14122" refreshError="1"/>
      <sheetData sheetId="14123" refreshError="1"/>
      <sheetData sheetId="14124">
        <row r="1">
          <cell r="J1">
            <v>1.7453292519943295E-2</v>
          </cell>
        </row>
      </sheetData>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ow r="1">
          <cell r="J1">
            <v>1.7453292519943295E-2</v>
          </cell>
        </row>
      </sheetData>
      <sheetData sheetId="14133" refreshError="1"/>
      <sheetData sheetId="14134" refreshError="1"/>
      <sheetData sheetId="14135">
        <row r="1">
          <cell r="J1">
            <v>1.7453292519943295E-2</v>
          </cell>
        </row>
      </sheetData>
      <sheetData sheetId="14136" refreshError="1"/>
      <sheetData sheetId="14137" refreshError="1"/>
      <sheetData sheetId="14138" refreshError="1"/>
      <sheetData sheetId="14139" refreshError="1"/>
      <sheetData sheetId="14140">
        <row r="1">
          <cell r="J1">
            <v>1.7453292519943295E-2</v>
          </cell>
        </row>
      </sheetData>
      <sheetData sheetId="14141" refreshError="1"/>
      <sheetData sheetId="14142" refreshError="1"/>
      <sheetData sheetId="14143" refreshError="1"/>
      <sheetData sheetId="14144">
        <row r="1">
          <cell r="J1">
            <v>1.7453292519943295E-2</v>
          </cell>
        </row>
      </sheetData>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ow r="1">
          <cell r="J1">
            <v>1.7453292519943295E-2</v>
          </cell>
        </row>
      </sheetData>
      <sheetData sheetId="14166" refreshError="1"/>
      <sheetData sheetId="14167">
        <row r="1">
          <cell r="J1">
            <v>1.7453292519943295E-2</v>
          </cell>
        </row>
      </sheetData>
      <sheetData sheetId="14168">
        <row r="1">
          <cell r="J1">
            <v>1.7453292519943295E-2</v>
          </cell>
        </row>
      </sheetData>
      <sheetData sheetId="14169" refreshError="1"/>
      <sheetData sheetId="14170" refreshError="1"/>
      <sheetData sheetId="14171" refreshError="1"/>
      <sheetData sheetId="14172" refreshError="1"/>
      <sheetData sheetId="14173" refreshError="1"/>
      <sheetData sheetId="14174">
        <row r="1">
          <cell r="J1">
            <v>1.7453292519943295E-2</v>
          </cell>
        </row>
      </sheetData>
      <sheetData sheetId="14175" refreshError="1"/>
      <sheetData sheetId="14176" refreshError="1"/>
      <sheetData sheetId="14177" refreshError="1"/>
      <sheetData sheetId="14178" refreshError="1"/>
      <sheetData sheetId="14179" refreshError="1"/>
      <sheetData sheetId="14180">
        <row r="1">
          <cell r="J1">
            <v>1.7453292519943295E-2</v>
          </cell>
        </row>
      </sheetData>
      <sheetData sheetId="14181" refreshError="1"/>
      <sheetData sheetId="14182" refreshError="1"/>
      <sheetData sheetId="14183" refreshError="1"/>
      <sheetData sheetId="14184" refreshError="1"/>
      <sheetData sheetId="14185">
        <row r="1">
          <cell r="J1">
            <v>1.7453292519943295E-2</v>
          </cell>
        </row>
      </sheetData>
      <sheetData sheetId="14186" refreshError="1"/>
      <sheetData sheetId="14187" refreshError="1"/>
      <sheetData sheetId="14188" refreshError="1"/>
      <sheetData sheetId="14189">
        <row r="1">
          <cell r="J1">
            <v>1.7453292519943295E-2</v>
          </cell>
        </row>
      </sheetData>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ow r="1">
          <cell r="J1">
            <v>1.7453292519943295E-2</v>
          </cell>
        </row>
      </sheetData>
      <sheetData sheetId="14202" refreshError="1"/>
      <sheetData sheetId="14203" refreshError="1"/>
      <sheetData sheetId="14204" refreshError="1"/>
      <sheetData sheetId="14205" refreshError="1"/>
      <sheetData sheetId="14206">
        <row r="1">
          <cell r="J1">
            <v>1.7453292519943295E-2</v>
          </cell>
        </row>
      </sheetData>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ow r="1">
          <cell r="J1">
            <v>1.7453292519943295E-2</v>
          </cell>
        </row>
      </sheetData>
      <sheetData sheetId="14219">
        <row r="1">
          <cell r="J1">
            <v>1.7453292519943295E-2</v>
          </cell>
        </row>
      </sheetData>
      <sheetData sheetId="14220">
        <row r="1">
          <cell r="J1">
            <v>1.7453292519943295E-2</v>
          </cell>
        </row>
      </sheetData>
      <sheetData sheetId="14221" refreshError="1"/>
      <sheetData sheetId="14222" refreshError="1"/>
      <sheetData sheetId="14223">
        <row r="1">
          <cell r="J1">
            <v>1.7453292519943295E-2</v>
          </cell>
        </row>
      </sheetData>
      <sheetData sheetId="14224" refreshError="1"/>
      <sheetData sheetId="14225" refreshError="1"/>
      <sheetData sheetId="14226" refreshError="1"/>
      <sheetData sheetId="14227">
        <row r="1">
          <cell r="J1">
            <v>1.7453292519943295E-2</v>
          </cell>
        </row>
      </sheetData>
      <sheetData sheetId="14228">
        <row r="1">
          <cell r="J1">
            <v>1.7453292519943295E-2</v>
          </cell>
        </row>
      </sheetData>
      <sheetData sheetId="14229" refreshError="1"/>
      <sheetData sheetId="14230">
        <row r="1">
          <cell r="J1">
            <v>1.7453292519943295E-2</v>
          </cell>
        </row>
      </sheetData>
      <sheetData sheetId="14231" refreshError="1"/>
      <sheetData sheetId="14232" refreshError="1"/>
      <sheetData sheetId="14233" refreshError="1"/>
      <sheetData sheetId="14234" refreshError="1"/>
      <sheetData sheetId="14235">
        <row r="1">
          <cell r="J1">
            <v>1.7453292519943295E-2</v>
          </cell>
        </row>
      </sheetData>
      <sheetData sheetId="14236" refreshError="1"/>
      <sheetData sheetId="14237" refreshError="1"/>
      <sheetData sheetId="14238" refreshError="1"/>
      <sheetData sheetId="14239">
        <row r="1">
          <cell r="J1">
            <v>1.7453292519943295E-2</v>
          </cell>
        </row>
      </sheetData>
      <sheetData sheetId="14240">
        <row r="1">
          <cell r="J1">
            <v>1.7453292519943295E-2</v>
          </cell>
        </row>
      </sheetData>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ow r="1">
          <cell r="J1">
            <v>1.7453292519943295E-2</v>
          </cell>
        </row>
      </sheetData>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ow r="1">
          <cell r="J1">
            <v>1.7453292519943295E-2</v>
          </cell>
        </row>
      </sheetData>
      <sheetData sheetId="14258">
        <row r="1">
          <cell r="J1">
            <v>1.7453292519943295E-2</v>
          </cell>
        </row>
      </sheetData>
      <sheetData sheetId="14259" refreshError="1"/>
      <sheetData sheetId="14260">
        <row r="1">
          <cell r="J1">
            <v>1.7453292519943295E-2</v>
          </cell>
        </row>
      </sheetData>
      <sheetData sheetId="14261" refreshError="1"/>
      <sheetData sheetId="14262" refreshError="1"/>
      <sheetData sheetId="14263" refreshError="1"/>
      <sheetData sheetId="14264" refreshError="1"/>
      <sheetData sheetId="14265" refreshError="1"/>
      <sheetData sheetId="14266" refreshError="1"/>
      <sheetData sheetId="14267">
        <row r="1">
          <cell r="J1">
            <v>1.7453292519943295E-2</v>
          </cell>
        </row>
      </sheetData>
      <sheetData sheetId="14268" refreshError="1"/>
      <sheetData sheetId="14269" refreshError="1"/>
      <sheetData sheetId="14270" refreshError="1"/>
      <sheetData sheetId="14271">
        <row r="1">
          <cell r="J1">
            <v>1.7453292519943295E-2</v>
          </cell>
        </row>
      </sheetData>
      <sheetData sheetId="14272" refreshError="1"/>
      <sheetData sheetId="14273" refreshError="1"/>
      <sheetData sheetId="14274" refreshError="1"/>
      <sheetData sheetId="14275" refreshError="1"/>
      <sheetData sheetId="14276">
        <row r="1">
          <cell r="J1">
            <v>1.7453292519943295E-2</v>
          </cell>
        </row>
      </sheetData>
      <sheetData sheetId="14277" refreshError="1"/>
      <sheetData sheetId="14278" refreshError="1"/>
      <sheetData sheetId="14279" refreshError="1"/>
      <sheetData sheetId="14280">
        <row r="1">
          <cell r="J1">
            <v>1.7453292519943295E-2</v>
          </cell>
        </row>
      </sheetData>
      <sheetData sheetId="14281">
        <row r="1">
          <cell r="J1">
            <v>1.7453292519943295E-2</v>
          </cell>
        </row>
      </sheetData>
      <sheetData sheetId="14282">
        <row r="1">
          <cell r="J1">
            <v>1.7453292519943295E-2</v>
          </cell>
        </row>
      </sheetData>
      <sheetData sheetId="14283">
        <row r="1">
          <cell r="J1">
            <v>1.7453292519943295E-2</v>
          </cell>
        </row>
      </sheetData>
      <sheetData sheetId="14284">
        <row r="1">
          <cell r="J1">
            <v>1.7453292519943295E-2</v>
          </cell>
        </row>
      </sheetData>
      <sheetData sheetId="14285">
        <row r="1">
          <cell r="J1">
            <v>1.7453292519943295E-2</v>
          </cell>
        </row>
      </sheetData>
      <sheetData sheetId="14286">
        <row r="1">
          <cell r="J1">
            <v>1.7453292519943295E-2</v>
          </cell>
        </row>
      </sheetData>
      <sheetData sheetId="14287">
        <row r="1">
          <cell r="J1">
            <v>1.7453292519943295E-2</v>
          </cell>
        </row>
      </sheetData>
      <sheetData sheetId="14288">
        <row r="1">
          <cell r="J1">
            <v>1.7453292519943295E-2</v>
          </cell>
        </row>
      </sheetData>
      <sheetData sheetId="14289">
        <row r="1">
          <cell r="J1">
            <v>1.7453292519943295E-2</v>
          </cell>
        </row>
      </sheetData>
      <sheetData sheetId="14290">
        <row r="1">
          <cell r="J1">
            <v>1.7453292519943295E-2</v>
          </cell>
        </row>
      </sheetData>
      <sheetData sheetId="14291">
        <row r="1">
          <cell r="J1">
            <v>1.7453292519943295E-2</v>
          </cell>
        </row>
      </sheetData>
      <sheetData sheetId="14292">
        <row r="1">
          <cell r="J1">
            <v>1.7453292519943295E-2</v>
          </cell>
        </row>
      </sheetData>
      <sheetData sheetId="14293">
        <row r="1">
          <cell r="J1">
            <v>1.7453292519943295E-2</v>
          </cell>
        </row>
      </sheetData>
      <sheetData sheetId="14294">
        <row r="1">
          <cell r="J1">
            <v>1.7453292519943295E-2</v>
          </cell>
        </row>
      </sheetData>
      <sheetData sheetId="14295">
        <row r="1">
          <cell r="J1">
            <v>1.7453292519943295E-2</v>
          </cell>
        </row>
      </sheetData>
      <sheetData sheetId="14296"/>
      <sheetData sheetId="14297" refreshError="1"/>
      <sheetData sheetId="14298" refreshError="1"/>
      <sheetData sheetId="14299">
        <row r="1">
          <cell r="J1">
            <v>1.7453292519943295E-2</v>
          </cell>
        </row>
      </sheetData>
      <sheetData sheetId="14300">
        <row r="1">
          <cell r="J1">
            <v>1.7453292519943295E-2</v>
          </cell>
        </row>
      </sheetData>
      <sheetData sheetId="14301"/>
      <sheetData sheetId="14302">
        <row r="1">
          <cell r="J1">
            <v>1.7453292519943295E-2</v>
          </cell>
        </row>
      </sheetData>
      <sheetData sheetId="14303"/>
      <sheetData sheetId="14304">
        <row r="1">
          <cell r="J1">
            <v>1.7453292519943295E-2</v>
          </cell>
        </row>
      </sheetData>
      <sheetData sheetId="14305"/>
      <sheetData sheetId="14306">
        <row r="1">
          <cell r="J1">
            <v>1.7453292519943295E-2</v>
          </cell>
        </row>
      </sheetData>
      <sheetData sheetId="14307"/>
      <sheetData sheetId="14308">
        <row r="1">
          <cell r="J1">
            <v>1.7453292519943295E-2</v>
          </cell>
        </row>
      </sheetData>
      <sheetData sheetId="14309"/>
      <sheetData sheetId="14310" refreshError="1"/>
      <sheetData sheetId="14311">
        <row r="1">
          <cell r="J1">
            <v>1.7453292519943295E-2</v>
          </cell>
        </row>
      </sheetData>
      <sheetData sheetId="14312" refreshError="1"/>
      <sheetData sheetId="14313">
        <row r="1">
          <cell r="J1">
            <v>1.7453292519943295E-2</v>
          </cell>
        </row>
      </sheetData>
      <sheetData sheetId="14314">
        <row r="1">
          <cell r="J1">
            <v>1.7453292519943295E-2</v>
          </cell>
        </row>
      </sheetData>
      <sheetData sheetId="14315" refreshError="1"/>
      <sheetData sheetId="14316" refreshError="1"/>
      <sheetData sheetId="14317" refreshError="1"/>
      <sheetData sheetId="14318">
        <row r="1">
          <cell r="J1">
            <v>1.7453292519943295E-2</v>
          </cell>
        </row>
      </sheetData>
      <sheetData sheetId="14319">
        <row r="1">
          <cell r="J1">
            <v>1.7453292519943295E-2</v>
          </cell>
        </row>
      </sheetData>
      <sheetData sheetId="14320" refreshError="1"/>
      <sheetData sheetId="14321">
        <row r="1">
          <cell r="J1">
            <v>1.7453292519943295E-2</v>
          </cell>
        </row>
      </sheetData>
      <sheetData sheetId="14322" refreshError="1"/>
      <sheetData sheetId="14323" refreshError="1"/>
      <sheetData sheetId="14324" refreshError="1"/>
      <sheetData sheetId="14325">
        <row r="1">
          <cell r="J1">
            <v>1.7453292519943295E-2</v>
          </cell>
        </row>
      </sheetData>
      <sheetData sheetId="14326" refreshError="1"/>
      <sheetData sheetId="14327" refreshError="1"/>
      <sheetData sheetId="14328" refreshError="1"/>
      <sheetData sheetId="14329">
        <row r="1">
          <cell r="J1">
            <v>1.7453292519943295E-2</v>
          </cell>
        </row>
      </sheetData>
      <sheetData sheetId="14330" refreshError="1"/>
      <sheetData sheetId="14331" refreshError="1"/>
      <sheetData sheetId="14332" refreshError="1"/>
      <sheetData sheetId="14333">
        <row r="1">
          <cell r="J1">
            <v>1.7453292519943295E-2</v>
          </cell>
        </row>
      </sheetData>
      <sheetData sheetId="14334" refreshError="1"/>
      <sheetData sheetId="14335">
        <row r="1">
          <cell r="J1">
            <v>1.7453292519943295E-2</v>
          </cell>
        </row>
      </sheetData>
      <sheetData sheetId="14336" refreshError="1"/>
      <sheetData sheetId="14337" refreshError="1"/>
      <sheetData sheetId="14338" refreshError="1"/>
      <sheetData sheetId="14339">
        <row r="1">
          <cell r="J1">
            <v>1.7453292519943295E-2</v>
          </cell>
        </row>
      </sheetData>
      <sheetData sheetId="14340" refreshError="1"/>
      <sheetData sheetId="14341">
        <row r="1">
          <cell r="J1">
            <v>1.7453292519943295E-2</v>
          </cell>
        </row>
      </sheetData>
      <sheetData sheetId="14342">
        <row r="1">
          <cell r="J1">
            <v>1.7453292519943295E-2</v>
          </cell>
        </row>
      </sheetData>
      <sheetData sheetId="14343" refreshError="1"/>
      <sheetData sheetId="14344" refreshError="1"/>
      <sheetData sheetId="14345" refreshError="1"/>
      <sheetData sheetId="14346" refreshError="1"/>
      <sheetData sheetId="14347">
        <row r="1">
          <cell r="J1">
            <v>1.7453292519943295E-2</v>
          </cell>
        </row>
      </sheetData>
      <sheetData sheetId="14348">
        <row r="1">
          <cell r="J1">
            <v>1.7453292519943295E-2</v>
          </cell>
        </row>
      </sheetData>
      <sheetData sheetId="14349">
        <row r="1">
          <cell r="J1">
            <v>1.7453292519943295E-2</v>
          </cell>
        </row>
      </sheetData>
      <sheetData sheetId="14350" refreshError="1"/>
      <sheetData sheetId="14351">
        <row r="1">
          <cell r="J1">
            <v>1.7453292519943295E-2</v>
          </cell>
        </row>
      </sheetData>
      <sheetData sheetId="14352" refreshError="1"/>
      <sheetData sheetId="14353">
        <row r="1">
          <cell r="J1">
            <v>1.7453292519943295E-2</v>
          </cell>
        </row>
      </sheetData>
      <sheetData sheetId="14354" refreshError="1"/>
      <sheetData sheetId="14355" refreshError="1"/>
      <sheetData sheetId="14356" refreshError="1"/>
      <sheetData sheetId="14357">
        <row r="1">
          <cell r="J1">
            <v>1.7453292519943295E-2</v>
          </cell>
        </row>
      </sheetData>
      <sheetData sheetId="14358" refreshError="1"/>
      <sheetData sheetId="14359">
        <row r="1">
          <cell r="J1">
            <v>1.7453292519943295E-2</v>
          </cell>
        </row>
      </sheetData>
      <sheetData sheetId="14360" refreshError="1"/>
      <sheetData sheetId="14361">
        <row r="1">
          <cell r="J1">
            <v>1.7453292519943295E-2</v>
          </cell>
        </row>
      </sheetData>
      <sheetData sheetId="14362">
        <row r="1">
          <cell r="J1">
            <v>1.7453292519943295E-2</v>
          </cell>
        </row>
      </sheetData>
      <sheetData sheetId="14363">
        <row r="1">
          <cell r="J1">
            <v>1.7453292519943295E-2</v>
          </cell>
        </row>
      </sheetData>
      <sheetData sheetId="14364">
        <row r="1">
          <cell r="J1">
            <v>1.7453292519943295E-2</v>
          </cell>
        </row>
      </sheetData>
      <sheetData sheetId="14365">
        <row r="1">
          <cell r="J1">
            <v>1.7453292519943295E-2</v>
          </cell>
        </row>
      </sheetData>
      <sheetData sheetId="14366">
        <row r="1">
          <cell r="J1">
            <v>1.7453292519943295E-2</v>
          </cell>
        </row>
      </sheetData>
      <sheetData sheetId="14367">
        <row r="1">
          <cell r="J1">
            <v>1.7453292519943295E-2</v>
          </cell>
        </row>
      </sheetData>
      <sheetData sheetId="14368">
        <row r="1">
          <cell r="J1">
            <v>1.7453292519943295E-2</v>
          </cell>
        </row>
      </sheetData>
      <sheetData sheetId="14369">
        <row r="1">
          <cell r="J1">
            <v>1.7453292519943295E-2</v>
          </cell>
        </row>
      </sheetData>
      <sheetData sheetId="14370" refreshError="1"/>
      <sheetData sheetId="14371" refreshError="1"/>
      <sheetData sheetId="14372" refreshError="1"/>
      <sheetData sheetId="14373">
        <row r="1">
          <cell r="J1">
            <v>1.7453292519943295E-2</v>
          </cell>
        </row>
      </sheetData>
      <sheetData sheetId="14374">
        <row r="1">
          <cell r="J1">
            <v>1.7453292519943295E-2</v>
          </cell>
        </row>
      </sheetData>
      <sheetData sheetId="14375">
        <row r="1">
          <cell r="J1">
            <v>1.7453292519943295E-2</v>
          </cell>
        </row>
      </sheetData>
      <sheetData sheetId="14376" refreshError="1"/>
      <sheetData sheetId="14377">
        <row r="1">
          <cell r="J1">
            <v>1.7453292519943295E-2</v>
          </cell>
        </row>
      </sheetData>
      <sheetData sheetId="14378" refreshError="1"/>
      <sheetData sheetId="14379" refreshError="1"/>
      <sheetData sheetId="14380" refreshError="1"/>
      <sheetData sheetId="14381" refreshError="1"/>
      <sheetData sheetId="14382">
        <row r="1">
          <cell r="J1">
            <v>1.7453292519943295E-2</v>
          </cell>
        </row>
      </sheetData>
      <sheetData sheetId="14383">
        <row r="1">
          <cell r="J1">
            <v>1.7453292519943295E-2</v>
          </cell>
        </row>
      </sheetData>
      <sheetData sheetId="14384" refreshError="1"/>
      <sheetData sheetId="14385" refreshError="1"/>
      <sheetData sheetId="14386" refreshError="1"/>
      <sheetData sheetId="14387">
        <row r="1">
          <cell r="J1">
            <v>1.7453292519943295E-2</v>
          </cell>
        </row>
      </sheetData>
      <sheetData sheetId="14388" refreshError="1"/>
      <sheetData sheetId="14389" refreshError="1"/>
      <sheetData sheetId="14390" refreshError="1"/>
      <sheetData sheetId="14391" refreshError="1"/>
      <sheetData sheetId="14392">
        <row r="1">
          <cell r="J1">
            <v>1.7453292519943295E-2</v>
          </cell>
        </row>
      </sheetData>
      <sheetData sheetId="14393" refreshError="1"/>
      <sheetData sheetId="14394" refreshError="1"/>
      <sheetData sheetId="14395" refreshError="1"/>
      <sheetData sheetId="14396">
        <row r="1">
          <cell r="J1">
            <v>1.7453292519943295E-2</v>
          </cell>
        </row>
      </sheetData>
      <sheetData sheetId="14397" refreshError="1"/>
      <sheetData sheetId="14398">
        <row r="1">
          <cell r="J1">
            <v>1.7453292519943295E-2</v>
          </cell>
        </row>
      </sheetData>
      <sheetData sheetId="14399" refreshError="1"/>
      <sheetData sheetId="14400" refreshError="1"/>
      <sheetData sheetId="14401" refreshError="1"/>
      <sheetData sheetId="14402">
        <row r="1">
          <cell r="J1">
            <v>1.7453292519943295E-2</v>
          </cell>
        </row>
      </sheetData>
      <sheetData sheetId="14403">
        <row r="1">
          <cell r="J1">
            <v>1.7453292519943295E-2</v>
          </cell>
        </row>
      </sheetData>
      <sheetData sheetId="14404">
        <row r="1">
          <cell r="J1">
            <v>1.7453292519943295E-2</v>
          </cell>
        </row>
      </sheetData>
      <sheetData sheetId="14405" refreshError="1"/>
      <sheetData sheetId="14406">
        <row r="1">
          <cell r="J1">
            <v>1.7453292519943295E-2</v>
          </cell>
        </row>
      </sheetData>
      <sheetData sheetId="14407" refreshError="1"/>
      <sheetData sheetId="14408" refreshError="1"/>
      <sheetData sheetId="14409">
        <row r="1">
          <cell r="J1">
            <v>1.7453292519943295E-2</v>
          </cell>
        </row>
      </sheetData>
      <sheetData sheetId="14410" refreshError="1"/>
      <sheetData sheetId="14411" refreshError="1"/>
      <sheetData sheetId="14412">
        <row r="1">
          <cell r="J1">
            <v>1.7453292519943295E-2</v>
          </cell>
        </row>
      </sheetData>
      <sheetData sheetId="14413">
        <row r="1">
          <cell r="J1">
            <v>1.7453292519943295E-2</v>
          </cell>
        </row>
      </sheetData>
      <sheetData sheetId="14414">
        <row r="1">
          <cell r="J1">
            <v>1.7453292519943295E-2</v>
          </cell>
        </row>
      </sheetData>
      <sheetData sheetId="14415">
        <row r="1">
          <cell r="J1">
            <v>1.7453292519943295E-2</v>
          </cell>
        </row>
      </sheetData>
      <sheetData sheetId="14416">
        <row r="1">
          <cell r="J1">
            <v>1.7453292519943295E-2</v>
          </cell>
        </row>
      </sheetData>
      <sheetData sheetId="14417" refreshError="1"/>
      <sheetData sheetId="14418">
        <row r="1">
          <cell r="J1">
            <v>1.7453292519943295E-2</v>
          </cell>
        </row>
      </sheetData>
      <sheetData sheetId="14419" refreshError="1"/>
      <sheetData sheetId="14420" refreshError="1"/>
      <sheetData sheetId="14421">
        <row r="1">
          <cell r="J1">
            <v>1.7453292519943295E-2</v>
          </cell>
        </row>
      </sheetData>
      <sheetData sheetId="14422">
        <row r="1">
          <cell r="J1">
            <v>1.7453292519943295E-2</v>
          </cell>
        </row>
      </sheetData>
      <sheetData sheetId="14423">
        <row r="1">
          <cell r="J1">
            <v>1.7453292519943295E-2</v>
          </cell>
        </row>
      </sheetData>
      <sheetData sheetId="14424">
        <row r="1">
          <cell r="J1">
            <v>1.7453292519943295E-2</v>
          </cell>
        </row>
      </sheetData>
      <sheetData sheetId="14425" refreshError="1"/>
      <sheetData sheetId="14426">
        <row r="1">
          <cell r="J1">
            <v>1.7453292519943295E-2</v>
          </cell>
        </row>
      </sheetData>
      <sheetData sheetId="14427" refreshError="1"/>
      <sheetData sheetId="14428" refreshError="1"/>
      <sheetData sheetId="14429" refreshError="1"/>
      <sheetData sheetId="14430" refreshError="1"/>
      <sheetData sheetId="14431" refreshError="1"/>
      <sheetData sheetId="14432">
        <row r="1">
          <cell r="J1">
            <v>1.7453292519943295E-2</v>
          </cell>
        </row>
      </sheetData>
      <sheetData sheetId="14433">
        <row r="1">
          <cell r="J1">
            <v>1.7453292519943295E-2</v>
          </cell>
        </row>
      </sheetData>
      <sheetData sheetId="14434" refreshError="1"/>
      <sheetData sheetId="14435">
        <row r="1">
          <cell r="J1">
            <v>1.7453292519943295E-2</v>
          </cell>
        </row>
      </sheetData>
      <sheetData sheetId="14436" refreshError="1"/>
      <sheetData sheetId="14437" refreshError="1"/>
      <sheetData sheetId="14438" refreshError="1"/>
      <sheetData sheetId="14439">
        <row r="1">
          <cell r="J1">
            <v>1.7453292519943295E-2</v>
          </cell>
        </row>
      </sheetData>
      <sheetData sheetId="14440">
        <row r="1">
          <cell r="J1">
            <v>1.7453292519943295E-2</v>
          </cell>
        </row>
      </sheetData>
      <sheetData sheetId="14441" refreshError="1"/>
      <sheetData sheetId="14442">
        <row r="1">
          <cell r="J1">
            <v>1.7453292519943295E-2</v>
          </cell>
        </row>
      </sheetData>
      <sheetData sheetId="14443" refreshError="1"/>
      <sheetData sheetId="14444" refreshError="1"/>
      <sheetData sheetId="14445" refreshError="1"/>
      <sheetData sheetId="14446">
        <row r="1">
          <cell r="J1">
            <v>1.7453292519943295E-2</v>
          </cell>
        </row>
      </sheetData>
      <sheetData sheetId="14447" refreshError="1"/>
      <sheetData sheetId="14448">
        <row r="1">
          <cell r="J1">
            <v>1.7453292519943295E-2</v>
          </cell>
        </row>
      </sheetData>
      <sheetData sheetId="14449" refreshError="1"/>
      <sheetData sheetId="14450" refreshError="1"/>
      <sheetData sheetId="14451" refreshError="1"/>
      <sheetData sheetId="14452">
        <row r="1">
          <cell r="J1">
            <v>1.7453292519943295E-2</v>
          </cell>
        </row>
      </sheetData>
      <sheetData sheetId="14453" refreshError="1"/>
      <sheetData sheetId="14454">
        <row r="1">
          <cell r="J1">
            <v>1.7453292519943295E-2</v>
          </cell>
        </row>
      </sheetData>
      <sheetData sheetId="14455"/>
      <sheetData sheetId="14456" refreshError="1"/>
      <sheetData sheetId="14457" refreshError="1"/>
      <sheetData sheetId="14458" refreshError="1"/>
      <sheetData sheetId="14459" refreshError="1"/>
      <sheetData sheetId="14460"/>
      <sheetData sheetId="14461" refreshError="1"/>
      <sheetData sheetId="14462" refreshError="1"/>
      <sheetData sheetId="14463" refreshError="1"/>
      <sheetData sheetId="14464" refreshError="1"/>
      <sheetData sheetId="14465"/>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sheetData sheetId="14475" refreshError="1"/>
      <sheetData sheetId="14476" refreshError="1"/>
      <sheetData sheetId="14477" refreshError="1"/>
      <sheetData sheetId="14478" refreshError="1"/>
      <sheetData sheetId="14479"/>
      <sheetData sheetId="14480" refreshError="1"/>
      <sheetData sheetId="14481" refreshError="1"/>
      <sheetData sheetId="14482" refreshError="1"/>
      <sheetData sheetId="14483" refreshError="1"/>
      <sheetData sheetId="14484"/>
      <sheetData sheetId="14485" refreshError="1"/>
      <sheetData sheetId="14486" refreshError="1"/>
      <sheetData sheetId="14487" refreshError="1"/>
      <sheetData sheetId="14488" refreshError="1"/>
      <sheetData sheetId="14489"/>
      <sheetData sheetId="14490" refreshError="1"/>
      <sheetData sheetId="14491" refreshError="1"/>
      <sheetData sheetId="14492" refreshError="1"/>
      <sheetData sheetId="14493" refreshError="1"/>
      <sheetData sheetId="14494"/>
      <sheetData sheetId="14495" refreshError="1"/>
      <sheetData sheetId="14496" refreshError="1"/>
      <sheetData sheetId="14497" refreshError="1"/>
      <sheetData sheetId="14498" refreshError="1"/>
      <sheetData sheetId="14499"/>
      <sheetData sheetId="14500" refreshError="1"/>
      <sheetData sheetId="14501" refreshError="1"/>
      <sheetData sheetId="14502" refreshError="1"/>
      <sheetData sheetId="14503" refreshError="1"/>
      <sheetData sheetId="14504"/>
      <sheetData sheetId="14505" refreshError="1"/>
      <sheetData sheetId="14506" refreshError="1"/>
      <sheetData sheetId="14507" refreshError="1"/>
      <sheetData sheetId="14508" refreshError="1"/>
      <sheetData sheetId="14509"/>
      <sheetData sheetId="14510" refreshError="1"/>
      <sheetData sheetId="14511" refreshError="1"/>
      <sheetData sheetId="14512" refreshError="1"/>
      <sheetData sheetId="14513" refreshError="1"/>
      <sheetData sheetId="14514"/>
      <sheetData sheetId="14515" refreshError="1"/>
      <sheetData sheetId="14516" refreshError="1"/>
      <sheetData sheetId="14517" refreshError="1"/>
      <sheetData sheetId="14518" refreshError="1"/>
      <sheetData sheetId="14519"/>
      <sheetData sheetId="14520" refreshError="1"/>
      <sheetData sheetId="14521" refreshError="1"/>
      <sheetData sheetId="14522" refreshError="1"/>
      <sheetData sheetId="14523" refreshError="1"/>
      <sheetData sheetId="14524"/>
      <sheetData sheetId="14525" refreshError="1"/>
      <sheetData sheetId="14526" refreshError="1"/>
      <sheetData sheetId="14527" refreshError="1"/>
      <sheetData sheetId="14528" refreshError="1"/>
      <sheetData sheetId="14529"/>
      <sheetData sheetId="14530" refreshError="1"/>
      <sheetData sheetId="14531" refreshError="1"/>
      <sheetData sheetId="14532" refreshError="1"/>
      <sheetData sheetId="14533" refreshError="1"/>
      <sheetData sheetId="14534"/>
      <sheetData sheetId="14535" refreshError="1"/>
      <sheetData sheetId="14536" refreshError="1"/>
      <sheetData sheetId="14537" refreshError="1"/>
      <sheetData sheetId="14538" refreshError="1"/>
      <sheetData sheetId="14539"/>
      <sheetData sheetId="14540" refreshError="1"/>
      <sheetData sheetId="14541" refreshError="1"/>
      <sheetData sheetId="14542" refreshError="1"/>
      <sheetData sheetId="14543" refreshError="1"/>
      <sheetData sheetId="14544"/>
      <sheetData sheetId="14545" refreshError="1"/>
      <sheetData sheetId="14546" refreshError="1"/>
      <sheetData sheetId="14547" refreshError="1"/>
      <sheetData sheetId="14548" refreshError="1"/>
      <sheetData sheetId="14549"/>
      <sheetData sheetId="14550" refreshError="1"/>
      <sheetData sheetId="14551" refreshError="1"/>
      <sheetData sheetId="14552" refreshError="1"/>
      <sheetData sheetId="14553" refreshError="1"/>
      <sheetData sheetId="14554"/>
      <sheetData sheetId="14555" refreshError="1"/>
      <sheetData sheetId="14556" refreshError="1"/>
      <sheetData sheetId="14557" refreshError="1"/>
      <sheetData sheetId="14558" refreshError="1"/>
      <sheetData sheetId="14559"/>
      <sheetData sheetId="14560" refreshError="1"/>
      <sheetData sheetId="14561" refreshError="1"/>
      <sheetData sheetId="14562" refreshError="1"/>
      <sheetData sheetId="14563" refreshError="1"/>
      <sheetData sheetId="14564"/>
      <sheetData sheetId="14565" refreshError="1"/>
      <sheetData sheetId="14566" refreshError="1"/>
      <sheetData sheetId="14567" refreshError="1"/>
      <sheetData sheetId="14568" refreshError="1"/>
      <sheetData sheetId="14569"/>
      <sheetData sheetId="14570" refreshError="1"/>
      <sheetData sheetId="14571" refreshError="1"/>
      <sheetData sheetId="14572" refreshError="1"/>
      <sheetData sheetId="14573" refreshError="1"/>
      <sheetData sheetId="14574"/>
      <sheetData sheetId="14575" refreshError="1"/>
      <sheetData sheetId="14576" refreshError="1"/>
      <sheetData sheetId="14577" refreshError="1"/>
      <sheetData sheetId="14578" refreshError="1"/>
      <sheetData sheetId="14579"/>
      <sheetData sheetId="14580" refreshError="1"/>
      <sheetData sheetId="14581" refreshError="1"/>
      <sheetData sheetId="14582" refreshError="1"/>
      <sheetData sheetId="14583" refreshError="1"/>
      <sheetData sheetId="14584"/>
      <sheetData sheetId="14585" refreshError="1"/>
      <sheetData sheetId="14586" refreshError="1"/>
      <sheetData sheetId="14587" refreshError="1"/>
      <sheetData sheetId="14588" refreshError="1"/>
      <sheetData sheetId="14589"/>
      <sheetData sheetId="14590" refreshError="1"/>
      <sheetData sheetId="14591" refreshError="1"/>
      <sheetData sheetId="14592" refreshError="1"/>
      <sheetData sheetId="14593" refreshError="1"/>
      <sheetData sheetId="14594"/>
      <sheetData sheetId="14595" refreshError="1"/>
      <sheetData sheetId="14596" refreshError="1"/>
      <sheetData sheetId="14597" refreshError="1"/>
      <sheetData sheetId="14598" refreshError="1"/>
      <sheetData sheetId="14599"/>
      <sheetData sheetId="14600" refreshError="1"/>
      <sheetData sheetId="14601" refreshError="1"/>
      <sheetData sheetId="14602" refreshError="1"/>
      <sheetData sheetId="14603" refreshError="1"/>
      <sheetData sheetId="14604"/>
      <sheetData sheetId="14605" refreshError="1"/>
      <sheetData sheetId="14606" refreshError="1"/>
      <sheetData sheetId="14607" refreshError="1"/>
      <sheetData sheetId="14608" refreshError="1"/>
      <sheetData sheetId="14609"/>
      <sheetData sheetId="14610" refreshError="1"/>
      <sheetData sheetId="14611" refreshError="1"/>
      <sheetData sheetId="14612" refreshError="1"/>
      <sheetData sheetId="14613" refreshError="1"/>
      <sheetData sheetId="14614"/>
      <sheetData sheetId="14615" refreshError="1"/>
      <sheetData sheetId="14616" refreshError="1"/>
      <sheetData sheetId="14617" refreshError="1"/>
      <sheetData sheetId="14618" refreshError="1"/>
      <sheetData sheetId="14619"/>
      <sheetData sheetId="14620" refreshError="1"/>
      <sheetData sheetId="14621" refreshError="1"/>
      <sheetData sheetId="14622" refreshError="1"/>
      <sheetData sheetId="14623" refreshError="1"/>
      <sheetData sheetId="14624"/>
      <sheetData sheetId="14625" refreshError="1"/>
      <sheetData sheetId="14626" refreshError="1"/>
      <sheetData sheetId="14627" refreshError="1"/>
      <sheetData sheetId="14628" refreshError="1"/>
      <sheetData sheetId="14629"/>
      <sheetData sheetId="14630" refreshError="1"/>
      <sheetData sheetId="14631" refreshError="1"/>
      <sheetData sheetId="14632" refreshError="1"/>
      <sheetData sheetId="14633" refreshError="1"/>
      <sheetData sheetId="14634"/>
      <sheetData sheetId="14635" refreshError="1"/>
      <sheetData sheetId="14636" refreshError="1"/>
      <sheetData sheetId="14637" refreshError="1"/>
      <sheetData sheetId="14638" refreshError="1"/>
      <sheetData sheetId="14639"/>
      <sheetData sheetId="14640" refreshError="1"/>
      <sheetData sheetId="14641" refreshError="1"/>
      <sheetData sheetId="14642" refreshError="1"/>
      <sheetData sheetId="14643" refreshError="1"/>
      <sheetData sheetId="14644"/>
      <sheetData sheetId="14645" refreshError="1"/>
      <sheetData sheetId="14646" refreshError="1"/>
      <sheetData sheetId="14647" refreshError="1"/>
      <sheetData sheetId="14648" refreshError="1"/>
      <sheetData sheetId="14649"/>
      <sheetData sheetId="14650" refreshError="1"/>
      <sheetData sheetId="14651" refreshError="1"/>
      <sheetData sheetId="14652" refreshError="1"/>
      <sheetData sheetId="14653" refreshError="1"/>
      <sheetData sheetId="14654"/>
      <sheetData sheetId="14655" refreshError="1"/>
      <sheetData sheetId="14656" refreshError="1"/>
      <sheetData sheetId="14657" refreshError="1"/>
      <sheetData sheetId="14658" refreshError="1"/>
      <sheetData sheetId="14659"/>
      <sheetData sheetId="14660" refreshError="1"/>
      <sheetData sheetId="14661" refreshError="1"/>
      <sheetData sheetId="14662" refreshError="1"/>
      <sheetData sheetId="14663" refreshError="1"/>
      <sheetData sheetId="14664"/>
      <sheetData sheetId="14665" refreshError="1"/>
      <sheetData sheetId="14666" refreshError="1"/>
      <sheetData sheetId="14667" refreshError="1"/>
      <sheetData sheetId="14668" refreshError="1"/>
      <sheetData sheetId="14669"/>
      <sheetData sheetId="14670" refreshError="1"/>
      <sheetData sheetId="14671" refreshError="1"/>
      <sheetData sheetId="14672" refreshError="1"/>
      <sheetData sheetId="14673" refreshError="1"/>
      <sheetData sheetId="14674"/>
      <sheetData sheetId="14675" refreshError="1"/>
      <sheetData sheetId="14676" refreshError="1"/>
      <sheetData sheetId="14677" refreshError="1"/>
      <sheetData sheetId="14678" refreshError="1"/>
      <sheetData sheetId="14679"/>
      <sheetData sheetId="14680" refreshError="1"/>
      <sheetData sheetId="14681" refreshError="1"/>
      <sheetData sheetId="14682" refreshError="1"/>
      <sheetData sheetId="14683" refreshError="1"/>
      <sheetData sheetId="14684"/>
      <sheetData sheetId="14685" refreshError="1"/>
      <sheetData sheetId="14686" refreshError="1"/>
      <sheetData sheetId="14687" refreshError="1"/>
      <sheetData sheetId="14688" refreshError="1"/>
      <sheetData sheetId="14689"/>
      <sheetData sheetId="14690" refreshError="1"/>
      <sheetData sheetId="14691" refreshError="1"/>
      <sheetData sheetId="14692" refreshError="1"/>
      <sheetData sheetId="14693" refreshError="1"/>
      <sheetData sheetId="14694"/>
      <sheetData sheetId="14695" refreshError="1"/>
      <sheetData sheetId="14696" refreshError="1"/>
      <sheetData sheetId="14697" refreshError="1"/>
      <sheetData sheetId="14698" refreshError="1"/>
      <sheetData sheetId="14699"/>
      <sheetData sheetId="14700" refreshError="1"/>
      <sheetData sheetId="14701" refreshError="1"/>
      <sheetData sheetId="14702" refreshError="1"/>
      <sheetData sheetId="14703" refreshError="1"/>
      <sheetData sheetId="14704"/>
      <sheetData sheetId="14705" refreshError="1"/>
      <sheetData sheetId="14706" refreshError="1"/>
      <sheetData sheetId="14707" refreshError="1"/>
      <sheetData sheetId="14708" refreshError="1"/>
      <sheetData sheetId="14709"/>
      <sheetData sheetId="14710" refreshError="1"/>
      <sheetData sheetId="14711" refreshError="1"/>
      <sheetData sheetId="14712" refreshError="1"/>
      <sheetData sheetId="14713" refreshError="1"/>
      <sheetData sheetId="14714"/>
      <sheetData sheetId="14715" refreshError="1"/>
      <sheetData sheetId="14716" refreshError="1"/>
      <sheetData sheetId="14717" refreshError="1"/>
      <sheetData sheetId="14718" refreshError="1"/>
      <sheetData sheetId="14719"/>
      <sheetData sheetId="14720" refreshError="1"/>
      <sheetData sheetId="14721" refreshError="1"/>
      <sheetData sheetId="14722" refreshError="1"/>
      <sheetData sheetId="14723" refreshError="1"/>
      <sheetData sheetId="14724"/>
      <sheetData sheetId="14725" refreshError="1"/>
      <sheetData sheetId="14726" refreshError="1"/>
      <sheetData sheetId="14727" refreshError="1"/>
      <sheetData sheetId="14728" refreshError="1"/>
      <sheetData sheetId="14729"/>
      <sheetData sheetId="14730" refreshError="1"/>
      <sheetData sheetId="14731" refreshError="1"/>
      <sheetData sheetId="14732" refreshError="1"/>
      <sheetData sheetId="14733" refreshError="1"/>
      <sheetData sheetId="14734"/>
      <sheetData sheetId="14735" refreshError="1"/>
      <sheetData sheetId="14736" refreshError="1"/>
      <sheetData sheetId="14737" refreshError="1"/>
      <sheetData sheetId="14738" refreshError="1"/>
      <sheetData sheetId="14739"/>
      <sheetData sheetId="14740" refreshError="1"/>
      <sheetData sheetId="14741" refreshError="1"/>
      <sheetData sheetId="14742" refreshError="1"/>
      <sheetData sheetId="14743" refreshError="1"/>
      <sheetData sheetId="14744"/>
      <sheetData sheetId="14745" refreshError="1"/>
      <sheetData sheetId="14746" refreshError="1"/>
      <sheetData sheetId="14747" refreshError="1"/>
      <sheetData sheetId="14748" refreshError="1"/>
      <sheetData sheetId="14749"/>
      <sheetData sheetId="14750" refreshError="1"/>
      <sheetData sheetId="14751" refreshError="1"/>
      <sheetData sheetId="14752" refreshError="1"/>
      <sheetData sheetId="14753" refreshError="1"/>
      <sheetData sheetId="14754"/>
      <sheetData sheetId="14755" refreshError="1"/>
      <sheetData sheetId="14756" refreshError="1"/>
      <sheetData sheetId="14757" refreshError="1"/>
      <sheetData sheetId="14758" refreshError="1"/>
      <sheetData sheetId="14759"/>
      <sheetData sheetId="14760" refreshError="1"/>
      <sheetData sheetId="14761" refreshError="1"/>
      <sheetData sheetId="14762" refreshError="1"/>
      <sheetData sheetId="14763" refreshError="1"/>
      <sheetData sheetId="14764"/>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ow r="1">
          <cell r="J1">
            <v>1.7453292519943295E-2</v>
          </cell>
        </row>
      </sheetData>
      <sheetData sheetId="14773">
        <row r="1">
          <cell r="J1">
            <v>1.7453292519943295E-2</v>
          </cell>
        </row>
      </sheetData>
      <sheetData sheetId="14774">
        <row r="1">
          <cell r="J1">
            <v>1.7453292519943295E-2</v>
          </cell>
        </row>
      </sheetData>
      <sheetData sheetId="14775"/>
      <sheetData sheetId="14776" refreshError="1"/>
      <sheetData sheetId="14777" refreshError="1"/>
      <sheetData sheetId="14778" refreshError="1"/>
      <sheetData sheetId="14779" refreshError="1"/>
      <sheetData sheetId="14780"/>
      <sheetData sheetId="14781" refreshError="1"/>
      <sheetData sheetId="14782" refreshError="1"/>
      <sheetData sheetId="14783" refreshError="1"/>
      <sheetData sheetId="14784" refreshError="1"/>
      <sheetData sheetId="14785"/>
      <sheetData sheetId="14786" refreshError="1"/>
      <sheetData sheetId="14787" refreshError="1"/>
      <sheetData sheetId="14788" refreshError="1"/>
      <sheetData sheetId="14789" refreshError="1"/>
      <sheetData sheetId="14790"/>
      <sheetData sheetId="14791" refreshError="1"/>
      <sheetData sheetId="14792" refreshError="1"/>
      <sheetData sheetId="14793" refreshError="1"/>
      <sheetData sheetId="14794" refreshError="1"/>
      <sheetData sheetId="14795"/>
      <sheetData sheetId="14796" refreshError="1"/>
      <sheetData sheetId="14797" refreshError="1"/>
      <sheetData sheetId="14798" refreshError="1"/>
      <sheetData sheetId="14799" refreshError="1"/>
      <sheetData sheetId="14800"/>
      <sheetData sheetId="14801" refreshError="1"/>
      <sheetData sheetId="14802" refreshError="1"/>
      <sheetData sheetId="14803" refreshError="1"/>
      <sheetData sheetId="14804" refreshError="1"/>
      <sheetData sheetId="14805"/>
      <sheetData sheetId="14806" refreshError="1"/>
      <sheetData sheetId="14807" refreshError="1"/>
      <sheetData sheetId="14808" refreshError="1"/>
      <sheetData sheetId="14809" refreshError="1"/>
      <sheetData sheetId="14810"/>
      <sheetData sheetId="14811" refreshError="1"/>
      <sheetData sheetId="14812" refreshError="1"/>
      <sheetData sheetId="14813" refreshError="1"/>
      <sheetData sheetId="14814" refreshError="1"/>
      <sheetData sheetId="14815"/>
      <sheetData sheetId="14816" refreshError="1"/>
      <sheetData sheetId="14817" refreshError="1"/>
      <sheetData sheetId="14818" refreshError="1"/>
      <sheetData sheetId="14819" refreshError="1"/>
      <sheetData sheetId="14820"/>
      <sheetData sheetId="14821" refreshError="1"/>
      <sheetData sheetId="14822" refreshError="1"/>
      <sheetData sheetId="14823" refreshError="1"/>
      <sheetData sheetId="14824" refreshError="1"/>
      <sheetData sheetId="14825"/>
      <sheetData sheetId="14826" refreshError="1"/>
      <sheetData sheetId="14827" refreshError="1"/>
      <sheetData sheetId="14828" refreshError="1"/>
      <sheetData sheetId="14829" refreshError="1"/>
      <sheetData sheetId="14830"/>
      <sheetData sheetId="14831" refreshError="1"/>
      <sheetData sheetId="14832" refreshError="1"/>
      <sheetData sheetId="14833" refreshError="1"/>
      <sheetData sheetId="14834" refreshError="1"/>
      <sheetData sheetId="14835"/>
      <sheetData sheetId="14836" refreshError="1"/>
      <sheetData sheetId="14837" refreshError="1"/>
      <sheetData sheetId="14838" refreshError="1"/>
      <sheetData sheetId="14839" refreshError="1"/>
      <sheetData sheetId="14840"/>
      <sheetData sheetId="14841" refreshError="1"/>
      <sheetData sheetId="14842" refreshError="1"/>
      <sheetData sheetId="14843" refreshError="1"/>
      <sheetData sheetId="14844" refreshError="1"/>
      <sheetData sheetId="14845"/>
      <sheetData sheetId="14846" refreshError="1"/>
      <sheetData sheetId="14847" refreshError="1"/>
      <sheetData sheetId="14848" refreshError="1"/>
      <sheetData sheetId="14849" refreshError="1"/>
      <sheetData sheetId="14850"/>
      <sheetData sheetId="14851" refreshError="1"/>
      <sheetData sheetId="14852" refreshError="1"/>
      <sheetData sheetId="14853" refreshError="1"/>
      <sheetData sheetId="14854" refreshError="1"/>
      <sheetData sheetId="14855"/>
      <sheetData sheetId="14856" refreshError="1"/>
      <sheetData sheetId="14857" refreshError="1"/>
      <sheetData sheetId="14858" refreshError="1"/>
      <sheetData sheetId="14859" refreshError="1"/>
      <sheetData sheetId="14860"/>
      <sheetData sheetId="14861" refreshError="1"/>
      <sheetData sheetId="14862" refreshError="1"/>
      <sheetData sheetId="14863" refreshError="1"/>
      <sheetData sheetId="14864" refreshError="1"/>
      <sheetData sheetId="14865"/>
      <sheetData sheetId="14866" refreshError="1"/>
      <sheetData sheetId="14867" refreshError="1"/>
      <sheetData sheetId="14868" refreshError="1"/>
      <sheetData sheetId="14869" refreshError="1"/>
      <sheetData sheetId="14870"/>
      <sheetData sheetId="14871" refreshError="1"/>
      <sheetData sheetId="14872" refreshError="1"/>
      <sheetData sheetId="14873" refreshError="1"/>
      <sheetData sheetId="14874" refreshError="1"/>
      <sheetData sheetId="14875"/>
      <sheetData sheetId="14876" refreshError="1"/>
      <sheetData sheetId="14877" refreshError="1"/>
      <sheetData sheetId="14878" refreshError="1"/>
      <sheetData sheetId="14879" refreshError="1"/>
      <sheetData sheetId="14880"/>
      <sheetData sheetId="14881" refreshError="1"/>
      <sheetData sheetId="14882" refreshError="1"/>
      <sheetData sheetId="14883" refreshError="1"/>
      <sheetData sheetId="14884" refreshError="1"/>
      <sheetData sheetId="14885"/>
      <sheetData sheetId="14886" refreshError="1"/>
      <sheetData sheetId="14887" refreshError="1"/>
      <sheetData sheetId="14888" refreshError="1"/>
      <sheetData sheetId="14889" refreshError="1"/>
      <sheetData sheetId="14890" refreshError="1"/>
      <sheetData sheetId="14891" refreshError="1"/>
      <sheetData sheetId="14892"/>
      <sheetData sheetId="14893" refreshError="1"/>
      <sheetData sheetId="14894" refreshError="1"/>
      <sheetData sheetId="14895" refreshError="1"/>
      <sheetData sheetId="14896" refreshError="1"/>
      <sheetData sheetId="14897" refreshError="1"/>
      <sheetData sheetId="14898" refreshError="1"/>
      <sheetData sheetId="14899"/>
      <sheetData sheetId="14900" refreshError="1"/>
      <sheetData sheetId="14901" refreshError="1"/>
      <sheetData sheetId="14902" refreshError="1"/>
      <sheetData sheetId="14903" refreshError="1"/>
      <sheetData sheetId="14904"/>
      <sheetData sheetId="14905" refreshError="1"/>
      <sheetData sheetId="14906" refreshError="1"/>
      <sheetData sheetId="14907" refreshError="1"/>
      <sheetData sheetId="14908" refreshError="1"/>
      <sheetData sheetId="14909"/>
      <sheetData sheetId="14910" refreshError="1"/>
      <sheetData sheetId="14911" refreshError="1"/>
      <sheetData sheetId="14912" refreshError="1"/>
      <sheetData sheetId="14913" refreshError="1"/>
      <sheetData sheetId="14914"/>
      <sheetData sheetId="14915" refreshError="1"/>
      <sheetData sheetId="14916" refreshError="1"/>
      <sheetData sheetId="14917" refreshError="1"/>
      <sheetData sheetId="14918" refreshError="1"/>
      <sheetData sheetId="14919"/>
      <sheetData sheetId="14920" refreshError="1"/>
      <sheetData sheetId="14921" refreshError="1"/>
      <sheetData sheetId="14922" refreshError="1"/>
      <sheetData sheetId="14923" refreshError="1"/>
      <sheetData sheetId="14924"/>
      <sheetData sheetId="14925" refreshError="1"/>
      <sheetData sheetId="14926" refreshError="1"/>
      <sheetData sheetId="14927" refreshError="1"/>
      <sheetData sheetId="14928" refreshError="1"/>
      <sheetData sheetId="14929" refreshError="1"/>
      <sheetData sheetId="14930" refreshError="1"/>
      <sheetData sheetId="14931"/>
      <sheetData sheetId="14932" refreshError="1"/>
      <sheetData sheetId="14933" refreshError="1"/>
      <sheetData sheetId="14934" refreshError="1"/>
      <sheetData sheetId="14935" refreshError="1"/>
      <sheetData sheetId="14936" refreshError="1"/>
      <sheetData sheetId="14937" refreshError="1"/>
      <sheetData sheetId="14938"/>
      <sheetData sheetId="14939" refreshError="1"/>
      <sheetData sheetId="14940" refreshError="1"/>
      <sheetData sheetId="14941" refreshError="1"/>
      <sheetData sheetId="14942" refreshError="1"/>
      <sheetData sheetId="14943" refreshError="1"/>
      <sheetData sheetId="14944" refreshError="1"/>
      <sheetData sheetId="14945"/>
      <sheetData sheetId="14946" refreshError="1"/>
      <sheetData sheetId="14947" refreshError="1"/>
      <sheetData sheetId="14948" refreshError="1"/>
      <sheetData sheetId="14949" refreshError="1"/>
      <sheetData sheetId="14950" refreshError="1"/>
      <sheetData sheetId="14951" refreshError="1"/>
      <sheetData sheetId="14952"/>
      <sheetData sheetId="14953" refreshError="1"/>
      <sheetData sheetId="14954" refreshError="1"/>
      <sheetData sheetId="14955" refreshError="1"/>
      <sheetData sheetId="14956" refreshError="1"/>
      <sheetData sheetId="14957" refreshError="1"/>
      <sheetData sheetId="14958" refreshError="1"/>
      <sheetData sheetId="14959"/>
      <sheetData sheetId="14960" refreshError="1"/>
      <sheetData sheetId="14961" refreshError="1"/>
      <sheetData sheetId="14962" refreshError="1"/>
      <sheetData sheetId="14963" refreshError="1"/>
      <sheetData sheetId="14964" refreshError="1"/>
      <sheetData sheetId="14965" refreshError="1"/>
      <sheetData sheetId="14966"/>
      <sheetData sheetId="14967" refreshError="1"/>
      <sheetData sheetId="14968" refreshError="1"/>
      <sheetData sheetId="14969" refreshError="1"/>
      <sheetData sheetId="14970" refreshError="1"/>
      <sheetData sheetId="14971" refreshError="1"/>
      <sheetData sheetId="14972" refreshError="1"/>
      <sheetData sheetId="14973"/>
      <sheetData sheetId="14974" refreshError="1"/>
      <sheetData sheetId="14975" refreshError="1"/>
      <sheetData sheetId="14976" refreshError="1"/>
      <sheetData sheetId="14977" refreshError="1"/>
      <sheetData sheetId="14978" refreshError="1"/>
      <sheetData sheetId="14979" refreshError="1"/>
      <sheetData sheetId="14980"/>
      <sheetData sheetId="14981" refreshError="1"/>
      <sheetData sheetId="14982" refreshError="1"/>
      <sheetData sheetId="14983" refreshError="1"/>
      <sheetData sheetId="14984" refreshError="1"/>
      <sheetData sheetId="14985" refreshError="1"/>
      <sheetData sheetId="14986" refreshError="1"/>
      <sheetData sheetId="14987"/>
      <sheetData sheetId="14988" refreshError="1"/>
      <sheetData sheetId="14989" refreshError="1"/>
      <sheetData sheetId="14990" refreshError="1"/>
      <sheetData sheetId="14991" refreshError="1"/>
      <sheetData sheetId="14992" refreshError="1"/>
      <sheetData sheetId="14993" refreshError="1"/>
      <sheetData sheetId="14994"/>
      <sheetData sheetId="14995" refreshError="1"/>
      <sheetData sheetId="14996" refreshError="1"/>
      <sheetData sheetId="14997" refreshError="1"/>
      <sheetData sheetId="14998" refreshError="1"/>
      <sheetData sheetId="14999" refreshError="1"/>
      <sheetData sheetId="15000" refreshError="1"/>
      <sheetData sheetId="15001"/>
      <sheetData sheetId="15002" refreshError="1"/>
      <sheetData sheetId="15003" refreshError="1"/>
      <sheetData sheetId="15004" refreshError="1"/>
      <sheetData sheetId="15005" refreshError="1"/>
      <sheetData sheetId="15006" refreshError="1"/>
      <sheetData sheetId="15007" refreshError="1"/>
      <sheetData sheetId="15008"/>
      <sheetData sheetId="15009" refreshError="1"/>
      <sheetData sheetId="15010" refreshError="1"/>
      <sheetData sheetId="15011" refreshError="1"/>
      <sheetData sheetId="15012" refreshError="1"/>
      <sheetData sheetId="15013" refreshError="1"/>
      <sheetData sheetId="15014" refreshError="1"/>
      <sheetData sheetId="15015"/>
      <sheetData sheetId="15016" refreshError="1"/>
      <sheetData sheetId="15017" refreshError="1"/>
      <sheetData sheetId="15018" refreshError="1"/>
      <sheetData sheetId="15019" refreshError="1"/>
      <sheetData sheetId="15020" refreshError="1"/>
      <sheetData sheetId="15021" refreshError="1"/>
      <sheetData sheetId="15022"/>
      <sheetData sheetId="15023" refreshError="1"/>
      <sheetData sheetId="15024" refreshError="1"/>
      <sheetData sheetId="15025" refreshError="1"/>
      <sheetData sheetId="15026" refreshError="1"/>
      <sheetData sheetId="15027">
        <row r="1">
          <cell r="J1">
            <v>1.7453292519943295E-2</v>
          </cell>
        </row>
      </sheetData>
      <sheetData sheetId="15028" refreshError="1"/>
      <sheetData sheetId="15029" refreshError="1"/>
      <sheetData sheetId="15030">
        <row r="1">
          <cell r="J1">
            <v>1.7453292519943295E-2</v>
          </cell>
        </row>
      </sheetData>
      <sheetData sheetId="15031"/>
      <sheetData sheetId="15032" refreshError="1"/>
      <sheetData sheetId="15033">
        <row r="1">
          <cell r="J1">
            <v>1.7453292519943295E-2</v>
          </cell>
        </row>
      </sheetData>
      <sheetData sheetId="15034">
        <row r="1">
          <cell r="J1">
            <v>1.7453292519943295E-2</v>
          </cell>
        </row>
      </sheetData>
      <sheetData sheetId="15035" refreshError="1"/>
      <sheetData sheetId="15036">
        <row r="1">
          <cell r="J1">
            <v>1.7453292519943295E-2</v>
          </cell>
        </row>
      </sheetData>
      <sheetData sheetId="15037">
        <row r="1">
          <cell r="J1">
            <v>1.7453292519943295E-2</v>
          </cell>
        </row>
      </sheetData>
      <sheetData sheetId="15038">
        <row r="2">
          <cell r="B2">
            <v>1</v>
          </cell>
        </row>
      </sheetData>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ow r="1">
          <cell r="J1">
            <v>1.7453292519943295E-2</v>
          </cell>
        </row>
      </sheetData>
      <sheetData sheetId="15048">
        <row r="1">
          <cell r="J1">
            <v>1.7453292519943295E-2</v>
          </cell>
        </row>
      </sheetData>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sheetData sheetId="15072"/>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sheetData sheetId="1508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_23_07_10_N_SHIFT_MECH-FAB"/>
      <sheetName val="_23_07_10_N_SHIFT_MECH-TANK"/>
      <sheetName val="AOR"/>
      <sheetName val="COST"/>
      <sheetName val=" _x000a_¢_x0002_&amp;_x0000__x0000__x0000_ú5#_x0000__x0000__x0000__x0000__x0000__x0000__x0000_"/>
      <sheetName val=""/>
      <sheetName val="Rate analysis- BOQ 1 "/>
      <sheetName val="Rate Analysis"/>
      <sheetName val="box-12"/>
      <sheetName val="Voucher"/>
      <sheetName val="Prelims Breakup"/>
      <sheetName val="Prelims_Breakup"/>
      <sheetName val="Driveway Beams"/>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PRELIM5"/>
      <sheetName val="FORM7"/>
      <sheetName val="Labour"/>
      <sheetName val="gen"/>
      <sheetName val="B3-B4-B5-B6"/>
      <sheetName val="scurve_calc_(2)"/>
      <sheetName val="Direct_cost_shed_A-2_"/>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sheeet7"/>
      <sheetName val="Admin"/>
      <sheetName val=" _x000a_¢_x0002_&amp;???ú5#???????"/>
      <sheetName val="RA-markate"/>
      <sheetName val="Grade Slab -1"/>
      <sheetName val="Grade Slab -2"/>
      <sheetName val="Grade slab-3"/>
      <sheetName val="Grade slab -4"/>
      <sheetName val="Grade slab -5"/>
      <sheetName val="Grade slab -6"/>
      <sheetName val="Phase 1"/>
      <sheetName val="Background"/>
      <sheetName val="Pacakges split"/>
      <sheetName val="DEINKING(ANNEX 1)"/>
      <sheetName val="Cover"/>
      <sheetName val="Data Sheet"/>
      <sheetName val="Eqpmnt Plng"/>
      <sheetName val="LABOUR RATE"/>
      <sheetName val="Material Rate"/>
      <sheetName val="ACS(1)"/>
      <sheetName val="FAS-C(4)"/>
      <sheetName val="CCTV(old)"/>
      <sheetName val="Makro1"/>
      <sheetName val="Final"/>
      <sheetName val="Summary-Price_New"/>
      <sheetName val="AN-2K"/>
      <sheetName val="Switch V16"/>
      <sheetName val="Assumption Inputs"/>
      <sheetName val="AutoOpen Stub Data"/>
      <sheetName val="Cat A Change Control"/>
      <sheetName val="run"/>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COLUMN"/>
      <sheetName val="L+M"/>
      <sheetName val="Factor Sheet"/>
      <sheetName val="Code"/>
      <sheetName val="Debits as on 12.04.08"/>
      <sheetName val="Wire"/>
      <sheetName val="InputPO_Del"/>
      <sheetName val="Summary WG"/>
      <sheetName val="detail'02"/>
      <sheetName val="Cal"/>
      <sheetName val="환율"/>
      <sheetName val="DP"/>
      <sheetName val="Theo Cons-June'10"/>
      <sheetName val="x-items"/>
      <sheetName val="Income Statement"/>
      <sheetName val="14.07.10 CIVIL W ["/>
      <sheetName val="14.07.10@^\_x0001_&amp;_x0000__x0000__x0000__x0012_8"/>
      <sheetName val="_x0000__x0000__x0000__x0000__x0000__x0000__x0000_Ü5)_x0000__x001e_bÝ/_x0012_8)_x0000__x0012_6)_x0000_&amp;_x0000__x0000__x0000_&amp;_x0000__x0000__x0000_"/>
      <sheetName val="_x0001__x0000__x0000__x0000_"/>
      <sheetName val="CABLERET"/>
      <sheetName val="analysis"/>
      <sheetName val="STAFFSCHED "/>
      <sheetName val="pol-60"/>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Invoice Tracker"/>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_x0002_&amp;_x0000__x0000__x0000_ú5#_x0000__x0000__x0000__x0000__x0000__x0000__x0000_"/>
      <sheetName val="  ¢_x0002_&amp;???ú5#???????"/>
      <sheetName val="AFAS "/>
      <sheetName val="RDS &amp; WLD"/>
      <sheetName val="PA System"/>
      <sheetName val="ACC"/>
      <sheetName val="CCTV"/>
      <sheetName val="Server &amp; PAC Room"/>
      <sheetName val="BMS"/>
      <sheetName val="HVAC BOQ"/>
      <sheetName val="Estimate"/>
      <sheetName val=" 09.07.10 M顅ᎆ뤀ᨇ԰_x0000_v喐"/>
      <sheetName val=" 09.07.10 M顅ᎆ뤀ᨇ԰_x0000_È盰"/>
      <sheetName val="grid"/>
      <sheetName val="FT-05-02IsoBOM"/>
      <sheetName val="_21_07_10_N_SHIFT_MECH-FA"/>
      <sheetName val="08.07.10헾】_x0005_????菈_x0013_"/>
      <sheetName val="CON"/>
      <sheetName val="Report"/>
      <sheetName val="08.07.10헾】_x0005_??_x0005__x0000__x0000_"/>
      <sheetName val="Measurements"/>
      <sheetName val="Tables"/>
      <sheetName val="Flooring"/>
      <sheetName val="Ceilings"/>
      <sheetName val="ACAD Finishes"/>
      <sheetName val="Site Details"/>
      <sheetName val="Chair"/>
      <sheetName val="Site Area Statement"/>
      <sheetName val="Doors"/>
      <sheetName val="BOQ LT"/>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Deduction of assets"/>
      <sheetName val="08.07.10헾】_x0005_"/>
      <sheetName val="08.07.10헾】_x0005__x0000__x0000"/>
      <sheetName val="08.07.10헾】_x0005_____ꎋ"/>
      <sheetName val="d-safe specs"/>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temp.xls]14.07.10@_x0000__x0003_&amp;_x0000__x0000__x0000_Ò:"/>
      <sheetName val="[temp.xls]14.07.10@^\_x0001_&amp;_x0000__x0000__x0000__x0012_8"/>
      <sheetName val="PRECAST_lightconc-II34"/>
      <sheetName val="jidal_dam34"/>
      <sheetName val="fran_temp34"/>
      <sheetName val="kona_swit34"/>
      <sheetName val="template_(8)34"/>
      <sheetName val="template_(9)34"/>
      <sheetName val="PRECAST_lightconc_II34"/>
      <sheetName val="College_Details34"/>
      <sheetName val="Personal_34"/>
      <sheetName val="Cleaning_&amp;_Grubbing34"/>
      <sheetName val="OVER_HEADS34"/>
      <sheetName val="Cover_Sheet34"/>
      <sheetName val="BOQ_REV_A34"/>
      <sheetName val="PTB_(IO)34"/>
      <sheetName val="BMS_34"/>
      <sheetName val="SPT_vs_PHI34"/>
      <sheetName val="TBAL9697_-group_wise__sdpl34"/>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Quantity_Schedule33"/>
      <sheetName val="Revenue__Schedule_33"/>
      <sheetName val="Balance_works_-_Direct_Cost33"/>
      <sheetName val="Balance_works_-_Indirect_Cost33"/>
      <sheetName val="Fund_Plan33"/>
      <sheetName val="Bill_of_Resources33"/>
      <sheetName val="Cost_Index31"/>
      <sheetName val="1_Civil-RA31"/>
      <sheetName val="M-Book_for_Conc32"/>
      <sheetName val="M-Book_for_FW32"/>
      <sheetName val="beam-reinft-IIInd_floor32"/>
      <sheetName val="SITE_OVERHEADS32"/>
      <sheetName val="labour_coeff32"/>
      <sheetName val="Expenditure_plan32"/>
      <sheetName val="ORDER_BOOKING32"/>
      <sheetName val="Site_Dev_BOQ32"/>
      <sheetName val="Costing_Upto_Mar'11_(2)32"/>
      <sheetName val="Tender_Summary32"/>
      <sheetName val="Boq_Block_A32"/>
      <sheetName val="TAX_BILLS32"/>
      <sheetName val="CASH_BILLS32"/>
      <sheetName val="LABOUR_BILLS32"/>
      <sheetName val="puch_order32"/>
      <sheetName val="Sheet1_(2)32"/>
      <sheetName val="Meas_-Hotel_Part32"/>
      <sheetName val="BOQ_(2)32"/>
      <sheetName val="BOQ_Direct_selling_cost31"/>
      <sheetName val="scurve_calc_(2)31"/>
      <sheetName val="Contract_Night_Staff31"/>
      <sheetName val="Contract_Day_Staff31"/>
      <sheetName val="Day_Shift31"/>
      <sheetName val="Night_Shift31"/>
      <sheetName val="Direct_cost_shed_A-2_31"/>
      <sheetName val="Fee_Rate_Summary31"/>
      <sheetName val="Civil_Boq31"/>
      <sheetName val="22_12_201132"/>
      <sheetName val="INPUT_SHEET31"/>
      <sheetName val="final_abstract31"/>
      <sheetName val="Ave_wtd_rates31"/>
      <sheetName val="Material_31"/>
      <sheetName val="Labour_&amp;_Plant31"/>
      <sheetName val="Cashflow_projection31"/>
      <sheetName val="PA-_Consutant_31"/>
      <sheetName val="Item-_Compact31"/>
      <sheetName val="Fill_this_out_first___31"/>
      <sheetName val="Meas__Hotel_Part31"/>
      <sheetName val="DI_Rate_Analysis32"/>
      <sheetName val="Economic_RisingMain__Ph-I32"/>
      <sheetName val="St_co_91_5lvl31"/>
      <sheetName val="MN_T_B_31"/>
      <sheetName val="cash_in_flow_Summary_JV_31"/>
      <sheetName val="water_prop_31"/>
      <sheetName val="GR_slab-reinft31"/>
      <sheetName val="IO_List31"/>
      <sheetName val="Civil_Works31"/>
      <sheetName val="Sales_&amp;_Prod31"/>
      <sheetName val="TBAL9697__group_wise__sdpl31"/>
      <sheetName val="Staff_Acco_31"/>
      <sheetName val="3cd_Annexure31"/>
      <sheetName val="SP_Break_Up31"/>
      <sheetName val="Fin__Assumpt__-_Sensitivities31"/>
      <sheetName val="Bill_131"/>
      <sheetName val="Bill_231"/>
      <sheetName val="Bill_331"/>
      <sheetName val="Bill_431"/>
      <sheetName val="Bill_531"/>
      <sheetName val="Bill_631"/>
      <sheetName val="Bill_731"/>
      <sheetName val="F20_Risk_Analysis31"/>
      <sheetName val="Change_Order_Log31"/>
      <sheetName val="2000_MOR31"/>
      <sheetName val="_09_07_10_M顅ᎆ뤀ᨇ԰?缀?31"/>
      <sheetName val="Labour_productivity31"/>
      <sheetName val="Project_Details__31"/>
      <sheetName val="T-P1,_FINISHES_WORKING_31"/>
      <sheetName val="Assumption_&amp;_Exclusion31"/>
      <sheetName val="External_Doors31"/>
      <sheetName val="_09_07_10_M顅ᎆ뤀ᨇ԰31"/>
      <sheetName val="_09_07_10_M顅ᎆ뤀ᨇ԰_缀_31"/>
      <sheetName val="Structure_Bills_Qty31"/>
      <sheetName val="INDIGINEOUS_ITEMS_31"/>
      <sheetName val="Rate_analysis-_BOQ_1_31"/>
      <sheetName val="Rate_Analysis31"/>
      <sheetName val="Prelims_Breakup32"/>
      <sheetName val="Driveway_Beams31"/>
      <sheetName val="Grade_Slab_-131"/>
      <sheetName val="Grade_Slab_-231"/>
      <sheetName val="Grade_slab-331"/>
      <sheetName val="Grade_slab_-431"/>
      <sheetName val="Grade_slab_-531"/>
      <sheetName val="Grade_slab_-631"/>
      <sheetName val="Phase_131"/>
      <sheetName val="Pacakges_split31"/>
      <sheetName val="DEINKING(ANNEX_1)31"/>
      <sheetName val="Data_Sheet30"/>
      <sheetName val="Eqpmnt_Plng31"/>
      <sheetName val="LABOUR_RATE31"/>
      <sheetName val="Material_Rate31"/>
      <sheetName val="Switch_V1631"/>
      <sheetName val="Assumption_Inputs31"/>
      <sheetName val="AutoOpen_Stub_Data31"/>
      <sheetName val="Cat_A_Change_Control31"/>
      <sheetName val="Factor_Sheet31"/>
      <sheetName val="Debits_as_on_12_04_0830"/>
      <sheetName val="Summary_WG30"/>
      <sheetName val="Theo_Cons-June'1030"/>
      <sheetName val="Income_Statement30"/>
      <sheetName val="14_07_10_CIVIL_W [30"/>
      <sheetName val="STAFFSCHED_30"/>
      <sheetName val="India_F&amp;S_Template30"/>
      <sheetName val="_bus_bay30"/>
      <sheetName val="doq_430"/>
      <sheetName val="doq_230"/>
      <sheetName val="11B_30"/>
      <sheetName val="Invoice_Tracker30"/>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AFAS_30"/>
      <sheetName val="RDS_&amp;_WLD30"/>
      <sheetName val="PA_System30"/>
      <sheetName val="Server_&amp;_PAC_Room30"/>
      <sheetName val="HVAC_BOQ30"/>
      <sheetName val="_09_07_10_M顅ᎆ뤀ᨇ԰v喐"/>
      <sheetName val="_09_07_10_M顅ᎆ뤀ᨇ԰È盰"/>
      <sheetName val="ACAD_Finishes30"/>
      <sheetName val="Site_Details30"/>
      <sheetName val="Site_Area_Statement30"/>
      <sheetName val="BOQ_LT30"/>
      <sheetName val="Deduction_of_assets29"/>
      <sheetName val="d-safe_specs29"/>
      <sheetName val="VF_Full_Recon29"/>
      <sheetName val="PITP3_COPY29"/>
      <sheetName val="Meas_29"/>
      <sheetName val="Cost_Basis29"/>
      <sheetName val="BLOCK-A_(MEA_SHEET)30"/>
      <sheetName val="Expenses_Actual_Vs__Budgeted29"/>
      <sheetName val="Col_up_to_plinth29"/>
      <sheetName val="MASTER_RATE_ANALYSIS29"/>
      <sheetName val="Load_Details(B2)30"/>
      <sheetName val="Works_-_Quote_Sheet30"/>
      <sheetName val="Blr_hire29"/>
      <sheetName val="PRECAST_lig(tconc_II29"/>
      <sheetName val="Misc__Data29"/>
      <sheetName val="Cash_Flow_Input_Data_ISC29"/>
      <sheetName val="Name_List29"/>
      <sheetName val="Intro_29"/>
      <sheetName val="Gate_229"/>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Quote_Sheet29"/>
      <sheetName val="RCC,Ret__Wall29"/>
      <sheetName val="Project_Ignite29"/>
      <sheetName val="08_07_10ⴠ㭮㢝輜"/>
      <sheetName val="2_civil-RA4"/>
      <sheetName val="Raw_Data12"/>
      <sheetName val="Rate_analysis_civil4"/>
      <sheetName val="Customize_Your_Invoice29"/>
      <sheetName val="KSt_-_Analysis_12"/>
      <sheetName val="Section_Catalogue12"/>
      <sheetName val="beam-reinft-machine_rm29"/>
      <sheetName val="Form_65"/>
      <sheetName val="Lifts_&amp;_Escal-BOQ4"/>
      <sheetName val="FIRE_BOQ4"/>
      <sheetName val="Fin__Assumpt__-_SensitivitieH29"/>
      <sheetName val="LEVEL_SHEET5"/>
      <sheetName val="E_&amp;_R29"/>
      <sheetName val="__¢&amp;ú5#13"/>
      <sheetName val="__¢&amp;???ú5#???????13"/>
      <sheetName val="WORK_TABLE4"/>
      <sheetName val="Frango_Work_sheet4"/>
      <sheetName val="TCMO_(2)4"/>
      <sheetName val="Advance_tax4"/>
      <sheetName val="Cashflow_4"/>
      <sheetName val="ITDEP_revised4"/>
      <sheetName val="Deferred_tax4"/>
      <sheetName val="grp_4"/>
      <sheetName val="Debtors_Ageing_4"/>
      <sheetName val="Fin__Assumpt__-_Sensitivitie4"/>
      <sheetName val="공사비_내역_(가)12"/>
      <sheetName val="precast_RC_element4"/>
      <sheetName val="08_07_10헾】??헾　"/>
      <sheetName val="08_07_10헾】??苈ô헾⼤"/>
      <sheetName val="Deprec_4"/>
      <sheetName val="RA_BILL_-_14"/>
      <sheetName val="Tax_Inv4"/>
      <sheetName val="Tax_Inv_(Client)4"/>
      <sheetName val="_"/>
      <sheetName val="08_07_10_CIVIՌ缀"/>
      <sheetName val="__¢&amp;_x0000"/>
      <sheetName val="CIF_COST_ITEM4"/>
      <sheetName val="General_Input4"/>
      <sheetName val="Eqpmnt_Pln"/>
      <sheetName val="Eqpmnt_PlnH4"/>
      <sheetName val="Eqpmnt_PlnÄ4"/>
      <sheetName val="foot-slab_reinft4"/>
      <sheetName val="7_Other_Costs4"/>
      <sheetName val="Vind_-_BtB4"/>
      <sheetName val="R_A_4"/>
      <sheetName val="Basement_Budget4"/>
      <sheetName val="COP_Final4"/>
      <sheetName val="PointNo_54"/>
      <sheetName val="Footing_4"/>
      <sheetName val="Varthur_14"/>
      <sheetName val="Cumulative_Karnatka_Purchase4"/>
      <sheetName val="Reco-_Project_wise4"/>
      <sheetName val="Purchase_head_Wise4"/>
      <sheetName val="List_of_Project4"/>
      <sheetName val="Cumulative_Karnatka_Purchas_(24"/>
      <sheetName val="Pivot_table4"/>
      <sheetName val="[temp_xls]14_07_10@&amp;Ò:"/>
      <sheetName val="[temp_xls]14_07_10@^\&amp;8"/>
      <sheetName val="PRECAST_lightconc-II32"/>
      <sheetName val="jidal_dam32"/>
      <sheetName val="fran_temp32"/>
      <sheetName val="kona_swit32"/>
      <sheetName val="template_(8)32"/>
      <sheetName val="template_(9)32"/>
      <sheetName val="PRECAST_lightconc_II32"/>
      <sheetName val="College_Details32"/>
      <sheetName val="Personal_32"/>
      <sheetName val="Cleaning_&amp;_Grubbing32"/>
      <sheetName val="OVER_HEADS32"/>
      <sheetName val="Cover_Sheet32"/>
      <sheetName val="BOQ_REV_A32"/>
      <sheetName val="PTB_(IO)32"/>
      <sheetName val="BMS_32"/>
      <sheetName val="SPT_vs_PHI32"/>
      <sheetName val="TBAL9697_-group_wise__sdpl32"/>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Quantity_Schedule31"/>
      <sheetName val="Revenue__Schedule_31"/>
      <sheetName val="Balance_works_-_Direct_Cost31"/>
      <sheetName val="Balance_works_-_Indirect_Cost31"/>
      <sheetName val="Fund_Plan31"/>
      <sheetName val="Bill_of_Resources31"/>
      <sheetName val="Cost_Index29"/>
      <sheetName val="1_Civil-RA29"/>
      <sheetName val="M-Book_for_Conc30"/>
      <sheetName val="M-Book_for_FW30"/>
      <sheetName val="beam-reinft-IIInd_floor30"/>
      <sheetName val="SITE_OVERHEADS30"/>
      <sheetName val="labour_coeff30"/>
      <sheetName val="Expenditure_plan30"/>
      <sheetName val="ORDER_BOOKING30"/>
      <sheetName val="Site_Dev_BOQ30"/>
      <sheetName val="Costing_Upto_Mar'11_(2)30"/>
      <sheetName val="Tender_Summary30"/>
      <sheetName val="Boq_Block_A30"/>
      <sheetName val="TAX_BILLS30"/>
      <sheetName val="CASH_BILLS30"/>
      <sheetName val="LABOUR_BILLS30"/>
      <sheetName val="puch_order30"/>
      <sheetName val="Sheet1_(2)30"/>
      <sheetName val="Meas_-Hotel_Part30"/>
      <sheetName val="BOQ_(2)30"/>
      <sheetName val="BOQ_Direct_selling_cost29"/>
      <sheetName val="scurve_calc_(2)29"/>
      <sheetName val="Contract_Night_Staff29"/>
      <sheetName val="Contract_Day_Staff29"/>
      <sheetName val="Day_Shift29"/>
      <sheetName val="Night_Shift29"/>
      <sheetName val="Direct_cost_shed_A-2_29"/>
      <sheetName val="Fee_Rate_Summary29"/>
      <sheetName val="Civil_Boq29"/>
      <sheetName val="22_12_201130"/>
      <sheetName val="INPUT_SHEET29"/>
      <sheetName val="final_abstract29"/>
      <sheetName val="Ave_wtd_rates29"/>
      <sheetName val="Material_29"/>
      <sheetName val="Labour_&amp;_Plant29"/>
      <sheetName val="Cashflow_projection29"/>
      <sheetName val="PA-_Consutant_29"/>
      <sheetName val="Item-_Compact29"/>
      <sheetName val="Fill_this_out_first___29"/>
      <sheetName val="Meas__Hotel_Part29"/>
      <sheetName val="DI_Rate_Analysis30"/>
      <sheetName val="Economic_RisingMain__Ph-I30"/>
      <sheetName val="St_co_91_5lvl29"/>
      <sheetName val="MN_T_B_29"/>
      <sheetName val="cash_in_flow_Summary_JV_29"/>
      <sheetName val="water_prop_29"/>
      <sheetName val="GR_slab-reinft29"/>
      <sheetName val="IO_List29"/>
      <sheetName val="Civil_Works29"/>
      <sheetName val="Sales_&amp;_Prod29"/>
      <sheetName val="TBAL9697__group_wise__sdpl29"/>
      <sheetName val="Staff_Acco_29"/>
      <sheetName val="3cd_Annexure29"/>
      <sheetName val="SP_Break_Up29"/>
      <sheetName val="Fin__Assumpt__-_Sensitivities29"/>
      <sheetName val="Bill_129"/>
      <sheetName val="Bill_229"/>
      <sheetName val="Bill_329"/>
      <sheetName val="Bill_429"/>
      <sheetName val="Bill_529"/>
      <sheetName val="Bill_629"/>
      <sheetName val="Bill_729"/>
      <sheetName val="F20_Risk_Analysis29"/>
      <sheetName val="Change_Order_Log29"/>
      <sheetName val="2000_MOR29"/>
      <sheetName val="_09_07_10_M顅ᎆ뤀ᨇ԰?缀?29"/>
      <sheetName val="Labour_productivity29"/>
      <sheetName val="Project_Details__29"/>
      <sheetName val="T-P1,_FINISHES_WORKING_29"/>
      <sheetName val="Assumption_&amp;_Exclusion29"/>
      <sheetName val="External_Doors29"/>
      <sheetName val="_09_07_10_M顅ᎆ뤀ᨇ԰29"/>
      <sheetName val="_09_07_10_M顅ᎆ뤀ᨇ԰_缀_29"/>
      <sheetName val="Structure_Bills_Qty29"/>
      <sheetName val="INDIGINEOUS_ITEMS_29"/>
      <sheetName val="Rate_analysis-_BOQ_1_29"/>
      <sheetName val="Rate_Analysis29"/>
      <sheetName val="Prelims_Breakup30"/>
      <sheetName val="Driveway_Beams29"/>
      <sheetName val="Grade_Slab_-129"/>
      <sheetName val="Grade_Slab_-229"/>
      <sheetName val="Grade_slab-329"/>
      <sheetName val="Grade_slab_-429"/>
      <sheetName val="Grade_slab_-529"/>
      <sheetName val="Grade_slab_-629"/>
      <sheetName val="Phase_129"/>
      <sheetName val="Pacakges_split29"/>
      <sheetName val="DEINKING(ANNEX_1)29"/>
      <sheetName val="Data_Sheet28"/>
      <sheetName val="Eqpmnt_Plng29"/>
      <sheetName val="LABOUR_RATE29"/>
      <sheetName val="Material_Rate29"/>
      <sheetName val="Switch_V1629"/>
      <sheetName val="Assumption_Inputs29"/>
      <sheetName val="AutoOpen_Stub_Data29"/>
      <sheetName val="Cat_A_Change_Control29"/>
      <sheetName val="Factor_Sheet29"/>
      <sheetName val="Debits_as_on_12_04_0828"/>
      <sheetName val="Summary_WG28"/>
      <sheetName val="Theo_Cons-June'1028"/>
      <sheetName val="Income_Statement28"/>
      <sheetName val="14_07_10_CIVIL_W [28"/>
      <sheetName val="STAFFSCHED_28"/>
      <sheetName val="India_F&amp;S_Template28"/>
      <sheetName val="_bus_bay28"/>
      <sheetName val="doq_428"/>
      <sheetName val="doq_228"/>
      <sheetName val="11B_28"/>
      <sheetName val="Invoice_Tracker28"/>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FAS_28"/>
      <sheetName val="RDS_&amp;_WLD28"/>
      <sheetName val="PA_System28"/>
      <sheetName val="Server_&amp;_PAC_Room28"/>
      <sheetName val="HVAC_BOQ28"/>
      <sheetName val="ACAD_Finishes28"/>
      <sheetName val="Site_Details28"/>
      <sheetName val="Site_Area_Statement28"/>
      <sheetName val="BOQ_LT28"/>
      <sheetName val="Deduction_of_assets27"/>
      <sheetName val="d-safe_specs27"/>
      <sheetName val="VF_Full_Recon27"/>
      <sheetName val="PITP3_COPY27"/>
      <sheetName val="Meas_27"/>
      <sheetName val="Cost_Basis27"/>
      <sheetName val="BLOCK-A_(MEA_SHEET)28"/>
      <sheetName val="Expenses_Actual_Vs__Budgeted27"/>
      <sheetName val="Col_up_to_plinth27"/>
      <sheetName val="MASTER_RATE_ANALYSIS27"/>
      <sheetName val="Load_Details(B2)28"/>
      <sheetName val="Works_-_Quote_Sheet28"/>
      <sheetName val="Blr_hire27"/>
      <sheetName val="PRECAST_lig(tconc_II27"/>
      <sheetName val="Misc__Data27"/>
      <sheetName val="Cash_Flow_Input_Data_ISC27"/>
      <sheetName val="Name_List27"/>
      <sheetName val="Intro_27"/>
      <sheetName val="Gate_227"/>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Quote_Sheet27"/>
      <sheetName val="RCC,Ret__Wall27"/>
      <sheetName val="Project_Ignite27"/>
      <sheetName val="2_civil-RA2"/>
      <sheetName val="Raw_Data10"/>
      <sheetName val="Rate_analysis_civil2"/>
      <sheetName val="Customize_Your_Invoice27"/>
      <sheetName val="KSt_-_Analysis_10"/>
      <sheetName val="Section_Catalogue10"/>
      <sheetName val="beam-reinft-machine_rm27"/>
      <sheetName val="Form_63"/>
      <sheetName val="Lifts_&amp;_Escal-BOQ2"/>
      <sheetName val="FIRE_BOQ2"/>
      <sheetName val="Fin__Assumpt__-_SensitivitieH27"/>
      <sheetName val="LEVEL_SHEET3"/>
      <sheetName val="E_&amp;_R27"/>
      <sheetName val="__¢&amp;ú5#11"/>
      <sheetName val="__¢&amp;???ú5#???????11"/>
      <sheetName val="WORK_TABLE2"/>
      <sheetName val="Frango_Work_sheet2"/>
      <sheetName val="TCMO_(2)2"/>
      <sheetName val="Advance_tax2"/>
      <sheetName val="Cashflow_2"/>
      <sheetName val="ITDEP_revised2"/>
      <sheetName val="Deferred_tax2"/>
      <sheetName val="grp_2"/>
      <sheetName val="Debtors_Ageing_2"/>
      <sheetName val="Fin__Assumpt__-_Sensitivitie2"/>
      <sheetName val="공사비_내역_(가)10"/>
      <sheetName val="precast_RC_element2"/>
      <sheetName val="Deprec_2"/>
      <sheetName val="RA_BILL_-_12"/>
      <sheetName val="Tax_Inv2"/>
      <sheetName val="Tax_Inv_(Client)2"/>
      <sheetName val="CIF_COST_ITEM2"/>
      <sheetName val="General_Input2"/>
      <sheetName val="Eqpmnt_PlnH2"/>
      <sheetName val="Eqpmnt_PlnÄ2"/>
      <sheetName val="foot-slab_reinft2"/>
      <sheetName val="7_Other_Costs2"/>
      <sheetName val="Vind_-_BtB2"/>
      <sheetName val="R_A_2"/>
      <sheetName val="Basement_Budget2"/>
      <sheetName val="COP_Final2"/>
      <sheetName val="PointNo_52"/>
      <sheetName val="Footing_2"/>
      <sheetName val="Varthur_12"/>
      <sheetName val="Cumulative_Karnatka_Purchase2"/>
      <sheetName val="Reco-_Project_wise2"/>
      <sheetName val="Purchase_head_Wise2"/>
      <sheetName val="List_of_Project2"/>
      <sheetName val="Cumulative_Karnatka_Purchas_(22"/>
      <sheetName val="Pivot_table2"/>
      <sheetName val="PRECAST_lightconc-II30"/>
      <sheetName val="jidal_dam30"/>
      <sheetName val="fran_temp30"/>
      <sheetName val="kona_swit30"/>
      <sheetName val="template_(8)30"/>
      <sheetName val="template_(9)30"/>
      <sheetName val="PRECAST_lightconc_II30"/>
      <sheetName val="College_Details30"/>
      <sheetName val="Personal_30"/>
      <sheetName val="Cleaning_&amp;_Grubbing30"/>
      <sheetName val="OVER_HEADS30"/>
      <sheetName val="Cover_Sheet30"/>
      <sheetName val="BOQ_REV_A30"/>
      <sheetName val="PTB_(IO)30"/>
      <sheetName val="BMS_30"/>
      <sheetName val="SPT_vs_PHI30"/>
      <sheetName val="TBAL9697_-group_wise__sdpl30"/>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Quantity_Schedule29"/>
      <sheetName val="Revenue__Schedule_29"/>
      <sheetName val="Balance_works_-_Direct_Cost29"/>
      <sheetName val="Balance_works_-_Indirect_Cost29"/>
      <sheetName val="Fund_Plan29"/>
      <sheetName val="Bill_of_Resources29"/>
      <sheetName val="Cost_Index27"/>
      <sheetName val="1_Civil-RA27"/>
      <sheetName val="M-Book_for_Conc28"/>
      <sheetName val="M-Book_for_FW28"/>
      <sheetName val="beam-reinft-IIInd_floor28"/>
      <sheetName val="SITE_OVERHEADS28"/>
      <sheetName val="labour_coeff28"/>
      <sheetName val="Expenditure_plan28"/>
      <sheetName val="ORDER_BOOKING28"/>
      <sheetName val="Site_Dev_BOQ28"/>
      <sheetName val="Costing_Upto_Mar'11_(2)28"/>
      <sheetName val="Tender_Summary28"/>
      <sheetName val="Boq_Block_A28"/>
      <sheetName val="TAX_BILLS28"/>
      <sheetName val="CASH_BILLS28"/>
      <sheetName val="LABOUR_BILLS28"/>
      <sheetName val="puch_order28"/>
      <sheetName val="Sheet1_(2)28"/>
      <sheetName val="Meas_-Hotel_Part28"/>
      <sheetName val="BOQ_(2)28"/>
      <sheetName val="BOQ_Direct_selling_cost27"/>
      <sheetName val="scurve_calc_(2)27"/>
      <sheetName val="Contract_Night_Staff27"/>
      <sheetName val="Contract_Day_Staff27"/>
      <sheetName val="Day_Shift27"/>
      <sheetName val="Night_Shift27"/>
      <sheetName val="Direct_cost_shed_A-2_27"/>
      <sheetName val="Fee_Rate_Summary27"/>
      <sheetName val="Civil_Boq27"/>
      <sheetName val="22_12_201128"/>
      <sheetName val="INPUT_SHEET27"/>
      <sheetName val="final_abstract27"/>
      <sheetName val="Ave_wtd_rates27"/>
      <sheetName val="Material_27"/>
      <sheetName val="Labour_&amp;_Plant27"/>
      <sheetName val="Cashflow_projection27"/>
      <sheetName val="PA-_Consutant_27"/>
      <sheetName val="Item-_Compact27"/>
      <sheetName val="Fill_this_out_first___27"/>
      <sheetName val="Meas__Hotel_Part27"/>
      <sheetName val="DI_Rate_Analysis28"/>
      <sheetName val="Economic_RisingMain__Ph-I28"/>
      <sheetName val="St_co_91_5lvl27"/>
      <sheetName val="MN_T_B_27"/>
      <sheetName val="cash_in_flow_Summary_JV_27"/>
      <sheetName val="water_prop_27"/>
      <sheetName val="GR_slab-reinft27"/>
      <sheetName val="IO_List27"/>
      <sheetName val="Civil_Works27"/>
      <sheetName val="Sales_&amp;_Prod27"/>
      <sheetName val="TBAL9697__group_wise__sdpl27"/>
      <sheetName val="Staff_Acco_27"/>
      <sheetName val="3cd_Annexure27"/>
      <sheetName val="SP_Break_Up27"/>
      <sheetName val="Fin__Assumpt__-_Sensitivities27"/>
      <sheetName val="Bill_127"/>
      <sheetName val="Bill_227"/>
      <sheetName val="Bill_327"/>
      <sheetName val="Bill_427"/>
      <sheetName val="Bill_527"/>
      <sheetName val="Bill_627"/>
      <sheetName val="Bill_727"/>
      <sheetName val="F20_Risk_Analysis27"/>
      <sheetName val="Change_Order_Log27"/>
      <sheetName val="2000_MOR27"/>
      <sheetName val="_09_07_10_M顅ᎆ뤀ᨇ԰?缀?27"/>
      <sheetName val="Labour_productivity27"/>
      <sheetName val="Project_Details__27"/>
      <sheetName val="T-P1,_FINISHES_WORKING_27"/>
      <sheetName val="Assumption_&amp;_Exclusion27"/>
      <sheetName val="External_Doors27"/>
      <sheetName val="_09_07_10_M顅ᎆ뤀ᨇ԰27"/>
      <sheetName val="_09_07_10_M顅ᎆ뤀ᨇ԰_缀_27"/>
      <sheetName val="Structure_Bills_Qty27"/>
      <sheetName val="INDIGINEOUS_ITEMS_27"/>
      <sheetName val="Rate_analysis-_BOQ_1_27"/>
      <sheetName val="Rate_Analysis27"/>
      <sheetName val="Prelims_Breakup28"/>
      <sheetName val="Driveway_Beams27"/>
      <sheetName val="Grade_Slab_-127"/>
      <sheetName val="Grade_Slab_-227"/>
      <sheetName val="Grade_slab-327"/>
      <sheetName val="Grade_slab_-427"/>
      <sheetName val="Grade_slab_-527"/>
      <sheetName val="Grade_slab_-627"/>
      <sheetName val="Phase_127"/>
      <sheetName val="Pacakges_split27"/>
      <sheetName val="DEINKING(ANNEX_1)27"/>
      <sheetName val="Data_Sheet26"/>
      <sheetName val="Eqpmnt_Plng27"/>
      <sheetName val="LABOUR_RATE27"/>
      <sheetName val="Material_Rate27"/>
      <sheetName val="Switch_V1627"/>
      <sheetName val="Assumption_Inputs27"/>
      <sheetName val="AutoOpen_Stub_Data27"/>
      <sheetName val="Cat_A_Change_Control27"/>
      <sheetName val="Factor_Sheet27"/>
      <sheetName val="Debits_as_on_12_04_0826"/>
      <sheetName val="Summary_WG26"/>
      <sheetName val="Theo_Cons-June'1026"/>
      <sheetName val="Income_Statement26"/>
      <sheetName val="14_07_10_CIVIL_W [26"/>
      <sheetName val="STAFFSCHED_26"/>
      <sheetName val="India_F&amp;S_Template26"/>
      <sheetName val="_bus_bay26"/>
      <sheetName val="doq_426"/>
      <sheetName val="doq_226"/>
      <sheetName val="11B_26"/>
      <sheetName val="Invoice_Tracker26"/>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AFAS_26"/>
      <sheetName val="RDS_&amp;_WLD26"/>
      <sheetName val="PA_System26"/>
      <sheetName val="Server_&amp;_PAC_Room26"/>
      <sheetName val="HVAC_BOQ26"/>
      <sheetName val="ACAD_Finishes26"/>
      <sheetName val="Site_Details26"/>
      <sheetName val="Site_Area_Statement26"/>
      <sheetName val="BOQ_LT26"/>
      <sheetName val="Deduction_of_assets25"/>
      <sheetName val="d-safe_specs25"/>
      <sheetName val="VF_Full_Recon25"/>
      <sheetName val="PITP3_COPY25"/>
      <sheetName val="Meas_25"/>
      <sheetName val="Cost_Basis25"/>
      <sheetName val="BLOCK-A_(MEA_SHEET)26"/>
      <sheetName val="Expenses_Actual_Vs__Budgeted25"/>
      <sheetName val="Col_up_to_plinth25"/>
      <sheetName val="MASTER_RATE_ANALYSIS25"/>
      <sheetName val="Load_Details(B2)26"/>
      <sheetName val="Works_-_Quote_Sheet26"/>
      <sheetName val="Blr_hire25"/>
      <sheetName val="PRECAST_lig(tconc_II25"/>
      <sheetName val="Misc__Data25"/>
      <sheetName val="Cash_Flow_Input_Data_ISC25"/>
      <sheetName val="Name_List25"/>
      <sheetName val="Intro_25"/>
      <sheetName val="Gate_2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Quote_Sheet25"/>
      <sheetName val="RCC,Ret__Wall25"/>
      <sheetName val="Project_Ignite25"/>
      <sheetName val="2_civil-RA"/>
      <sheetName val="Raw_Data8"/>
      <sheetName val="Rate_analysis_civil"/>
      <sheetName val="Customize_Your_Invoice25"/>
      <sheetName val="KSt_-_Analysis_8"/>
      <sheetName val="Section_Catalogue8"/>
      <sheetName val="beam-reinft-machine_rm25"/>
      <sheetName val="Form_61"/>
      <sheetName val="Lifts_&amp;_Escal-BOQ"/>
      <sheetName val="FIRE_BOQ"/>
      <sheetName val="Fin__Assumpt__-_SensitivitieH25"/>
      <sheetName val="LEVEL_SHEET1"/>
      <sheetName val="E_&amp;_R25"/>
      <sheetName val="__¢&amp;ú5#9"/>
      <sheetName val="__¢&amp;???ú5#???????9"/>
      <sheetName val="WORK_TABLE"/>
      <sheetName val="Frango_Work_sheet"/>
      <sheetName val="TCMO_(2)"/>
      <sheetName val="Advance_tax"/>
      <sheetName val="Cashflow_"/>
      <sheetName val="ITDEP_revised"/>
      <sheetName val="Deferred_tax"/>
      <sheetName val="grp_"/>
      <sheetName val="Debtors_Ageing_"/>
      <sheetName val="Fin__Assumpt__-_Sensitivitie"/>
      <sheetName val="공사비_내역_(가)8"/>
      <sheetName val="precast_RC_element"/>
      <sheetName val="Deprec_"/>
      <sheetName val="RA_BILL_-_1"/>
      <sheetName val="Tax_Inv"/>
      <sheetName val="Tax_Inv_(Client)"/>
      <sheetName val="CIF_COST_ITEM"/>
      <sheetName val="General_Input"/>
      <sheetName val="Eqpmnt_PlnH"/>
      <sheetName val="Eqpmnt_PlnÄ"/>
      <sheetName val="foot-slab_reinft"/>
      <sheetName val="7_Other_Costs"/>
      <sheetName val="Vind_-_BtB"/>
      <sheetName val="R_A_"/>
      <sheetName val="Basement_Budget"/>
      <sheetName val="COP_Final"/>
      <sheetName val="PointNo_5"/>
      <sheetName val="Footing_"/>
      <sheetName val="Varthur_1"/>
      <sheetName val="Cumulative_Karnatka_Purchase"/>
      <sheetName val="Reco-_Project_wise"/>
      <sheetName val="Purchase_head_Wise"/>
      <sheetName val="List_of_Project"/>
      <sheetName val="Cumulative_Karnatka_Purchas_(2"/>
      <sheetName val="Pivot_table"/>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Rate_analysis-_BOQ_1_28"/>
      <sheetName val="Rate_Analysis28"/>
      <sheetName val="Prelims_Breakup29"/>
      <sheetName val="Driveway_Beams28"/>
      <sheetName val="Grade_Slab_-128"/>
      <sheetName val="Grade_Slab_-228"/>
      <sheetName val="Grade_slab-328"/>
      <sheetName val="Grade_slab_-428"/>
      <sheetName val="Grade_slab_-528"/>
      <sheetName val="Grade_slab_-628"/>
      <sheetName val="Phase_128"/>
      <sheetName val="Pacakges_split28"/>
      <sheetName val="DEINKING(ANNEX_1)28"/>
      <sheetName val="Data_Sheet27"/>
      <sheetName val="Eqpmnt_Plng28"/>
      <sheetName val="LABOUR_RATE28"/>
      <sheetName val="Material_Rate28"/>
      <sheetName val="Switch_V1628"/>
      <sheetName val="Assumption_Inputs28"/>
      <sheetName val="AutoOpen_Stub_Data28"/>
      <sheetName val="Cat_A_Change_Control28"/>
      <sheetName val="Factor_Sheet28"/>
      <sheetName val="Debits_as_on_12_04_0827"/>
      <sheetName val="Summary_WG27"/>
      <sheetName val="Theo_Cons-June'1027"/>
      <sheetName val="Income_Statement27"/>
      <sheetName val="14_07_10_CIVIL_W [27"/>
      <sheetName val="STAFFSCHED_27"/>
      <sheetName val="India_F&amp;S_Template27"/>
      <sheetName val="_bus_bay27"/>
      <sheetName val="doq_427"/>
      <sheetName val="doq_227"/>
      <sheetName val="11B_27"/>
      <sheetName val="Invoice_Tracker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AFAS_27"/>
      <sheetName val="RDS_&amp;_WLD27"/>
      <sheetName val="PA_System27"/>
      <sheetName val="Server_&amp;_PAC_Room27"/>
      <sheetName val="HVAC_BOQ27"/>
      <sheetName val="ACAD_Finishes27"/>
      <sheetName val="Site_Details27"/>
      <sheetName val="Site_Area_Statement27"/>
      <sheetName val="BOQ_LT27"/>
      <sheetName val="Deduction_of_assets26"/>
      <sheetName val="d-safe_specs26"/>
      <sheetName val="VF_Full_Recon26"/>
      <sheetName val="PITP3_COPY26"/>
      <sheetName val="Meas_26"/>
      <sheetName val="Cost_Basis26"/>
      <sheetName val="BLOCK-A_(MEA_SHEET)27"/>
      <sheetName val="Expenses_Actual_Vs__Budgeted26"/>
      <sheetName val="Col_up_to_plinth26"/>
      <sheetName val="MASTER_RATE_ANALYSIS26"/>
      <sheetName val="Load_Details(B2)27"/>
      <sheetName val="Works_-_Quote_Sheet27"/>
      <sheetName val="Blr_hire26"/>
      <sheetName val="PRECAST_lig(tconc_II26"/>
      <sheetName val="Misc__Data26"/>
      <sheetName val="Cash_Flow_Input_Data_ISC26"/>
      <sheetName val="Name_List26"/>
      <sheetName val="Intro_26"/>
      <sheetName val="Gate_226"/>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Quote_Sheet26"/>
      <sheetName val="RCC,Ret__Wall26"/>
      <sheetName val="Project_Ignite26"/>
      <sheetName val="2_civil-RA1"/>
      <sheetName val="Raw_Data9"/>
      <sheetName val="Rate_analysis_civil1"/>
      <sheetName val="Customize_Your_Invoice26"/>
      <sheetName val="KSt_-_Analysis_9"/>
      <sheetName val="Section_Catalogue9"/>
      <sheetName val="beam-reinft-machine_rm26"/>
      <sheetName val="Form_62"/>
      <sheetName val="Lifts_&amp;_Escal-BOQ1"/>
      <sheetName val="FIRE_BOQ1"/>
      <sheetName val="Fin__Assumpt__-_SensitivitieH26"/>
      <sheetName val="LEVEL_SHEET2"/>
      <sheetName val="E_&amp;_R26"/>
      <sheetName val="__¢&amp;ú5#10"/>
      <sheetName val="__¢&amp;???ú5#???????10"/>
      <sheetName val="WORK_TABLE1"/>
      <sheetName val="Frango_Work_sheet1"/>
      <sheetName val="TCMO_(2)1"/>
      <sheetName val="Advance_tax1"/>
      <sheetName val="Cashflow_1"/>
      <sheetName val="ITDEP_revised1"/>
      <sheetName val="Deferred_tax1"/>
      <sheetName val="grp_1"/>
      <sheetName val="Debtors_Ageing_1"/>
      <sheetName val="Fin__Assumpt__-_Sensitivitie1"/>
      <sheetName val="공사비_내역_(가)9"/>
      <sheetName val="precast_RC_element1"/>
      <sheetName val="Deprec_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1"/>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PRECAST_lightconc-II33"/>
      <sheetName val="jidal_dam33"/>
      <sheetName val="fran_temp33"/>
      <sheetName val="kona_swit33"/>
      <sheetName val="template_(8)33"/>
      <sheetName val="template_(9)33"/>
      <sheetName val="PRECAST_lightconc_II33"/>
      <sheetName val="College_Details33"/>
      <sheetName val="Personal_33"/>
      <sheetName val="Cleaning_&amp;_Grubbing33"/>
      <sheetName val="OVER_HEADS33"/>
      <sheetName val="Cover_Sheet33"/>
      <sheetName val="BOQ_REV_A33"/>
      <sheetName val="PTB_(IO)33"/>
      <sheetName val="BMS_33"/>
      <sheetName val="SPT_vs_PHI33"/>
      <sheetName val="TBAL9697_-group_wise__sdpl33"/>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Quantity_Schedule32"/>
      <sheetName val="Revenue__Schedule_32"/>
      <sheetName val="Balance_works_-_Direct_Cost32"/>
      <sheetName val="Balance_works_-_Indirect_Cost32"/>
      <sheetName val="Fund_Plan32"/>
      <sheetName val="Bill_of_Resources32"/>
      <sheetName val="Cost_Index30"/>
      <sheetName val="1_Civil-RA30"/>
      <sheetName val="M-Book_for_Conc31"/>
      <sheetName val="M-Book_for_FW31"/>
      <sheetName val="beam-reinft-IIInd_floor31"/>
      <sheetName val="SITE_OVERHEADS31"/>
      <sheetName val="labour_coeff31"/>
      <sheetName val="Expenditure_plan31"/>
      <sheetName val="ORDER_BOOKING31"/>
      <sheetName val="Site_Dev_BOQ31"/>
      <sheetName val="Costing_Upto_Mar'11_(2)31"/>
      <sheetName val="Tender_Summary31"/>
      <sheetName val="Boq_Block_A31"/>
      <sheetName val="TAX_BILLS31"/>
      <sheetName val="CASH_BILLS31"/>
      <sheetName val="LABOUR_BILLS31"/>
      <sheetName val="puch_order31"/>
      <sheetName val="Sheet1_(2)31"/>
      <sheetName val="Meas_-Hotel_Part31"/>
      <sheetName val="BOQ_(2)31"/>
      <sheetName val="BOQ_Direct_selling_cost30"/>
      <sheetName val="scurve_calc_(2)30"/>
      <sheetName val="Contract_Night_Staff30"/>
      <sheetName val="Contract_Day_Staff30"/>
      <sheetName val="Day_Shift30"/>
      <sheetName val="Night_Shift30"/>
      <sheetName val="Direct_cost_shed_A-2_30"/>
      <sheetName val="Fee_Rate_Summary30"/>
      <sheetName val="Civil_Boq30"/>
      <sheetName val="22_12_201131"/>
      <sheetName val="INPUT_SHEET30"/>
      <sheetName val="final_abstract30"/>
      <sheetName val="Ave_wtd_rates30"/>
      <sheetName val="Material_30"/>
      <sheetName val="Labour_&amp;_Plant30"/>
      <sheetName val="Cashflow_projection30"/>
      <sheetName val="PA-_Consutant_30"/>
      <sheetName val="Item-_Compact30"/>
      <sheetName val="Fill_this_out_first___30"/>
      <sheetName val="Meas__Hotel_Part30"/>
      <sheetName val="DI_Rate_Analysis31"/>
      <sheetName val="Economic_RisingMain__Ph-I31"/>
      <sheetName val="St_co_91_5lvl30"/>
      <sheetName val="MN_T_B_30"/>
      <sheetName val="cash_in_flow_Summary_JV_30"/>
      <sheetName val="water_prop_30"/>
      <sheetName val="GR_slab-reinft30"/>
      <sheetName val="IO_List30"/>
      <sheetName val="Civil_Works30"/>
      <sheetName val="Sales_&amp;_Prod30"/>
      <sheetName val="TBAL9697__group_wise__sdpl30"/>
      <sheetName val="Staff_Acco_30"/>
      <sheetName val="3cd_Annexure30"/>
      <sheetName val="SP_Break_Up30"/>
      <sheetName val="Fin__Assumpt__-_Sensitivities30"/>
      <sheetName val="Bill_130"/>
      <sheetName val="Bill_230"/>
      <sheetName val="Bill_330"/>
      <sheetName val="Bill_430"/>
      <sheetName val="Bill_530"/>
      <sheetName val="Bill_630"/>
      <sheetName val="Bill_730"/>
      <sheetName val="F20_Risk_Analysis30"/>
      <sheetName val="Change_Order_Log30"/>
      <sheetName val="2000_MOR30"/>
      <sheetName val="_09_07_10_M顅ᎆ뤀ᨇ԰?缀?30"/>
      <sheetName val="Labour_productivity30"/>
      <sheetName val="Project_Details__30"/>
      <sheetName val="T-P1,_FINISHES_WORKING_30"/>
      <sheetName val="Assumption_&amp;_Exclusion30"/>
      <sheetName val="External_Doors30"/>
      <sheetName val="_09_07_10_M顅ᎆ뤀ᨇ԰30"/>
      <sheetName val="_09_07_10_M顅ᎆ뤀ᨇ԰_缀_30"/>
      <sheetName val="Structure_Bills_Qty30"/>
      <sheetName val="INDIGINEOUS_ITEMS_30"/>
      <sheetName val="Rate_analysis-_BOQ_1_30"/>
      <sheetName val="Rate_Analysis30"/>
      <sheetName val="Prelims_Breakup31"/>
      <sheetName val="Driveway_Beams30"/>
      <sheetName val="Grade_Slab_-130"/>
      <sheetName val="Grade_Slab_-230"/>
      <sheetName val="Grade_slab-330"/>
      <sheetName val="Grade_slab_-430"/>
      <sheetName val="Grade_slab_-530"/>
      <sheetName val="Grade_slab_-630"/>
      <sheetName val="Phase_130"/>
      <sheetName val="Pacakges_split30"/>
      <sheetName val="DEINKING(ANNEX_1)30"/>
      <sheetName val="Data_Sheet29"/>
      <sheetName val="Eqpmnt_Plng30"/>
      <sheetName val="LABOUR_RATE30"/>
      <sheetName val="Material_Rate30"/>
      <sheetName val="Switch_V1630"/>
      <sheetName val="Assumption_Inputs30"/>
      <sheetName val="AutoOpen_Stub_Data30"/>
      <sheetName val="Cat_A_Change_Control30"/>
      <sheetName val="Factor_Sheet30"/>
      <sheetName val="Debits_as_on_12_04_0829"/>
      <sheetName val="Summary_WG29"/>
      <sheetName val="Theo_Cons-June'1029"/>
      <sheetName val="Income_Statement29"/>
      <sheetName val="14_07_10_CIVIL_W [29"/>
      <sheetName val="STAFFSCHED_29"/>
      <sheetName val="India_F&amp;S_Template29"/>
      <sheetName val="_bus_bay29"/>
      <sheetName val="doq_429"/>
      <sheetName val="doq_229"/>
      <sheetName val="11B_29"/>
      <sheetName val="Invoice_Tracker29"/>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AFAS_29"/>
      <sheetName val="RDS_&amp;_WLD29"/>
      <sheetName val="PA_System29"/>
      <sheetName val="Server_&amp;_PAC_Room29"/>
      <sheetName val="HVAC_BOQ29"/>
      <sheetName val="ACAD_Finishes29"/>
      <sheetName val="Site_Details29"/>
      <sheetName val="Site_Area_Statement29"/>
      <sheetName val="BOQ_LT29"/>
      <sheetName val="Deduction_of_assets28"/>
      <sheetName val="d-safe_specs28"/>
      <sheetName val="VF_Full_Recon28"/>
      <sheetName val="PITP3_COPY28"/>
      <sheetName val="Meas_28"/>
      <sheetName val="Cost_Basis28"/>
      <sheetName val="BLOCK-A_(MEA_SHEET)29"/>
      <sheetName val="Expenses_Actual_Vs__Budgeted28"/>
      <sheetName val="Col_up_to_plinth28"/>
      <sheetName val="MASTER_RATE_ANALYSIS28"/>
      <sheetName val="Load_Details(B2)29"/>
      <sheetName val="Works_-_Quote_Sheet29"/>
      <sheetName val="Blr_hire28"/>
      <sheetName val="PRECAST_lig(tconc_II28"/>
      <sheetName val="Misc__Data28"/>
      <sheetName val="Cash_Flow_Input_Data_ISC28"/>
      <sheetName val="Name_List28"/>
      <sheetName val="Intro_28"/>
      <sheetName val="Gate_228"/>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Quote_Sheet28"/>
      <sheetName val="RCC,Ret__Wall28"/>
      <sheetName val="Project_Ignite28"/>
      <sheetName val="2_civil-RA3"/>
      <sheetName val="Raw_Data11"/>
      <sheetName val="Rate_analysis_civil3"/>
      <sheetName val="Customize_Your_Invoice28"/>
      <sheetName val="KSt_-_Analysis_11"/>
      <sheetName val="Section_Catalogue11"/>
      <sheetName val="beam-reinft-machine_rm28"/>
      <sheetName val="Form_64"/>
      <sheetName val="Lifts_&amp;_Escal-BOQ3"/>
      <sheetName val="FIRE_BOQ3"/>
      <sheetName val="Fin__Assumpt__-_SensitivitieH28"/>
      <sheetName val="LEVEL_SHEET4"/>
      <sheetName val="E_&amp;_R28"/>
      <sheetName val="__¢&amp;ú5#12"/>
      <sheetName val="__¢&amp;???ú5#???????12"/>
      <sheetName val="WORK_TABLE3"/>
      <sheetName val="Frango_Work_sheet3"/>
      <sheetName val="TCMO_(2)3"/>
      <sheetName val="Advance_tax3"/>
      <sheetName val="Cashflow_3"/>
      <sheetName val="ITDEP_revised3"/>
      <sheetName val="Deferred_tax3"/>
      <sheetName val="grp_3"/>
      <sheetName val="Debtors_Ageing_3"/>
      <sheetName val="Fin__Assumpt__-_Sensitivitie3"/>
      <sheetName val="공사비_내역_(가)11"/>
      <sheetName val="precast_RC_element3"/>
      <sheetName val="Deprec_3"/>
      <sheetName val="RA_BILL_-_13"/>
      <sheetName val="Tax_Inv3"/>
      <sheetName val="Tax_Inv_(Client)3"/>
      <sheetName val="CIF_COST_ITEM3"/>
      <sheetName val="General_Input3"/>
      <sheetName val="Eqpmnt_PlnH3"/>
      <sheetName val="Eqpmnt_PlnÄ3"/>
      <sheetName val="foot-slab_reinft3"/>
      <sheetName val="7_Other_Costs3"/>
      <sheetName val="Vind_-_BtB3"/>
      <sheetName val="R_A_3"/>
      <sheetName val="Basement_Budget3"/>
      <sheetName val="COP_Final3"/>
      <sheetName val="PointNo_53"/>
      <sheetName val="Footing_3"/>
      <sheetName val="Varthur_13"/>
      <sheetName val="Cumulative_Karnatka_Purchase3"/>
      <sheetName val="Reco-_Project_wise3"/>
      <sheetName val="Purchase_head_Wise3"/>
      <sheetName val="List_of_Project3"/>
      <sheetName val="Cumulative_Karnatka_Purchas_(23"/>
      <sheetName val="Pivot_table3"/>
      <sheetName val="PIPELINE"/>
      <sheetName val="CIVIL"/>
      <sheetName val=" _x000a_¢_x0002_&amp;"/>
      <sheetName val="CLAY"/>
      <sheetName val="ETC Plant Cost"/>
      <sheetName val="Array"/>
      <sheetName val="Array (2)"/>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abst-of -cost"/>
      <sheetName val="SALA-002"/>
      <sheetName val="MS Loan repayments"/>
      <sheetName val="Master data"/>
      <sheetName val="Detail In Door Stad"/>
      <sheetName val="S1BOQ"/>
      <sheetName val="ST CODE"/>
      <sheetName val="Jafiliya"/>
      <sheetName val="Oud Metha"/>
      <sheetName val="Port Saeed"/>
      <sheetName val="Al Wasl"/>
      <sheetName val="Zabeel"/>
      <sheetName val="measure"/>
      <sheetName val="Material List "/>
      <sheetName val="GEN_LOOKUPS"/>
      <sheetName val="BL Staff"/>
      <sheetName val=" "/>
      <sheetName val="  ¢_x0002_&amp;_x0000__x0000_"/>
      <sheetName val="œheet3"/>
      <sheetName val="old_serial no."/>
      <sheetName val="tot_ass_9697"/>
      <sheetName val="ABB"/>
      <sheetName val="GE"/>
      <sheetName val="SC Cost MAR 02"/>
      <sheetName val="Balustrade"/>
      <sheetName val="Equipment Master"/>
      <sheetName val="Material Master"/>
      <sheetName val="Contract Status"/>
      <sheetName val="Basis"/>
      <sheetName val="FINOLEX"/>
      <sheetName val="Sheet7"/>
      <sheetName val="Keyword"/>
      <sheetName val="SALE&amp;COST"/>
      <sheetName val="macros"/>
      <sheetName val="Shuttering Material"/>
      <sheetName val="Reinforcement"/>
      <sheetName val="Pilling_24"/>
      <sheetName val="Steel-Circular"/>
      <sheetName val="BOM"/>
      <sheetName val="MFG"/>
      <sheetName val="WORD"/>
      <sheetName val="Forecast"/>
      <sheetName val="Database"/>
      <sheetName val="Abstract"/>
      <sheetName val="PriceSummary"/>
      <sheetName val="HK"/>
      <sheetName val="Calendar"/>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08.07.10헾】_x0005____x0005_"/>
      <sheetName val="08.07.10헾】_x0005___壀&quot;夌&quot;"/>
      <sheetName val="08.07.10헾】_x0005___헾⿂_x0005_"/>
      <sheetName val="08.07.10헾】_x0005___ꮸ⽚_x0005_"/>
      <sheetName val="08.07.10헾】_x0005_____懇"/>
      <sheetName val="08.07.10헾】_x0005___丵⼽_x0005_"/>
      <sheetName val="08.07.10헾】_x0005_____癠_"/>
      <sheetName val="08.07.10헾】_x0005___헾⽀_x0005_"/>
      <sheetName val="08.07.10헾】_x0005___헾⾑_x0005_"/>
      <sheetName val="B3-B4-B5-_x0006_"/>
      <sheetName val="08.07.10헾】_x0005___壀$夌$"/>
      <sheetName val="08.07.10"/>
      <sheetName val="08.07.10 CIVIՌ"/>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
      <sheetName val="Model"/>
      <sheetName val="CONSTRUCTION COMPONENT"/>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 _x000d_¢_x0002_&amp;___ú5#______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08.07.10헾】_x0005___헾　_x0005__x"/>
      <sheetName val="_ ¢&amp;___ú5#_______"/>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Combined Results "/>
      <sheetName val="Cashflow"/>
      <sheetName val="w't table"/>
      <sheetName val="__x000a_¢&amp;"/>
      <sheetName val="ETC_Plant_Cost"/>
      <sheetName val="Array_(2)"/>
      <sheetName val="14_07_10@"/>
      <sheetName val="14_07_10Á&amp;"/>
      <sheetName val="__¢&amp;1"/>
      <sheetName val="__¢&amp;___ú5#_______1"/>
      <sheetName val="14_07_10_CIVIL_W _10"/>
      <sheetName val="14_07_10@^_&amp;"/>
      <sheetName val="abst-of_-cost"/>
      <sheetName val="MS_Loan_repayments"/>
      <sheetName val="Master_data"/>
      <sheetName val="Detail_In_Door_Stad"/>
      <sheetName val="ST_CODE"/>
      <sheetName val="Oud_Metha"/>
      <sheetName val="Port_Saeed"/>
      <sheetName val="Al_Wasl"/>
      <sheetName val="Material_List_"/>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temp.xls]14_07_10@&amp;Ò:"/>
      <sheetName val="[temp.xls]¸:;b+/î&lt;î:&amp;&amp;"/>
      <sheetName val="[temp.xls]14_07_10@^\&amp;8"/>
      <sheetName val="[temp.xls]Ü5)bÝ/8)6)&amp;&amp;"/>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cover page"/>
      <sheetName val="08.07.10헾】_x0005_??睮は_x0005__x0000_"/>
      <sheetName val="banilad"/>
      <sheetName val="Mactan"/>
      <sheetName val="Mandaue"/>
      <sheetName val="Summary output"/>
      <sheetName val="TBEAM"/>
      <sheetName val="_x0017__x0000__x0012__x0000__x000f__x0000__x0012__x0000__x0013__x0000__x001a__x0000__x0013__x0000__x000b__x0000__x0006__x0000__x0011__x0000__x0010__x0000__x0007__x0000__x0003__x0000__x0003_"/>
      <sheetName val="08.07.10헾】_x0005_?︀ᇕ԰_x0000_缀"/>
      <sheetName val="08.07.10헾】_x0005_?蠄ሹꠀ䁮_xdc02_"/>
      <sheetName val="08.07.10헾】_x0005_?/_x0000_退Ý_x0000_"/>
      <sheetName val="08.07.10헾】_x0005_?蠌ሹ⠀䁫_xdc02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collections plan 0401"/>
      <sheetName val="reference"/>
      <sheetName val="DataSheet"/>
      <sheetName val="Variations"/>
      <sheetName val="Criteria"/>
      <sheetName val="Ring Details"/>
      <sheetName val="wordsdatþ"/>
      <sheetName val="08.07.10_x0000__x0000_쪸_x0000__x0000__x0000_㱗褰譬'"/>
      <sheetName val="Sheet"/>
      <sheetName val="Cable Data"/>
      <sheetName val="CMSBM"/>
      <sheetName val="Adimi bldg"/>
      <sheetName val="Pump House"/>
      <sheetName val="Fuel Regu Station"/>
      <sheetName val="0200 Siteworks"/>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BBS-Residential"/>
      <sheetName val="Interior"/>
      <sheetName val="Electrical"/>
      <sheetName val="Mechanical"/>
      <sheetName val="Fire Hydrant"/>
      <sheetName val="Material Spec."/>
      <sheetName val="Terms &amp; conditions"/>
      <sheetName val="IDCCALHYD-GOO"/>
      <sheetName val="GF Columns"/>
      <sheetName val="Material recovery"/>
      <sheetName val="activit-graph  "/>
      <sheetName val="Eqpmnt Pln"/>
      <sheetName val="ITB COST"/>
      <sheetName val="Measurment"/>
      <sheetName val="PROCURE"/>
      <sheetName val="단면가정"/>
      <sheetName val="설계조건"/>
      <sheetName val="Substation"/>
      <sheetName val="MSU"/>
      <sheetName val="DM tANK Allow"/>
      <sheetName val="SC Cost FEB 03"/>
      <sheetName val="Basic Rates"/>
      <sheetName val="Site_Dev_BO䡑3"/>
      <sheetName val="LOADDAT"/>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steam outlet"/>
      <sheetName val="Main Gate House"/>
      <sheetName val="ICO_budzet_97"/>
      <sheetName val="Infrastructure"/>
      <sheetName val="NetBQ"/>
      <sheetName val="unit.cost."/>
      <sheetName val="PPA Summary"/>
      <sheetName val="AREAS"/>
      <sheetName val="wdr bldg"/>
      <sheetName val=" _¢_x0002_&amp;_x0000__x0000_"/>
      <sheetName val="Sch-3"/>
      <sheetName val="Theme"/>
      <sheetName val="3LBHK RA"/>
      <sheetName val="Material"/>
      <sheetName val="Lookup"/>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Fill this out first___"/>
      <sheetName val="PMS"/>
      <sheetName val="DISTRIBUTION"/>
      <sheetName val=" 09.07.10 M蕸\헾⿓_x0005_"/>
      <sheetName val="Timesheet"/>
      <sheetName val="Door"/>
      <sheetName val="13. Steel - Ratio"/>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FdnDes_Soil"/>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ENG"/>
      <sheetName val="PO NOS"/>
      <sheetName val="Link"/>
      <sheetName val=" AnalysisPCC"/>
      <sheetName val="Analysis-NH-Culverts"/>
      <sheetName val="RMR"/>
      <sheetName val="pvc_basic"/>
      <sheetName val="PROGRAMME"/>
      <sheetName val="PROG SUMMARY"/>
      <sheetName val="tie beam"/>
      <sheetName val="Footings"/>
      <sheetName val="見積書"/>
      <sheetName val="Initial Data"/>
      <sheetName val="Sum6Jun99"/>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CIF_COST_ITEM7"/>
      <sheetName val="Oud_Metha4"/>
      <sheetName val="Port_Saeed4"/>
      <sheetName val="Al_Wasl4"/>
      <sheetName val="Initial_Data3"/>
      <sheetName val="CIF_COST_ITEM8"/>
      <sheetName val="Oud_Metha5"/>
      <sheetName val="Port_Saeed5"/>
      <sheetName val="Al_Wasl5"/>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DM_tANK_Allow3"/>
      <sheetName val="w't_table2"/>
      <sheetName val="cover_page2"/>
      <sheetName val="ST_CODE2"/>
      <sheetName val="DM_tANK_Allow2"/>
      <sheetName val="w't_table4"/>
      <sheetName val="cover_page4"/>
      <sheetName val="ST_CODE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Building_List"/>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Sump"/>
      <sheetName val="E-400 (BW)"/>
      <sheetName val="E-400 (Pl)"/>
      <sheetName val="E-400 Schedule (Pl)"/>
      <sheetName val="E-330 (Pl)"/>
      <sheetName val="E-330 Schedule (Pl)"/>
      <sheetName val="CIV INV&amp;EXP"/>
      <sheetName val="HDPE"/>
      <sheetName val="DI"/>
      <sheetName val="pvc"/>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Ward areas"/>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ETC_Plant_Cost2"/>
      <sheetName val="Array_(2)2"/>
      <sheetName val="Lifts_&amp;_Escal-BOQ5"/>
      <sheetName val="FIRE_BOQ5"/>
      <sheetName val="Deprec_5"/>
      <sheetName val="MS_Loan_repayments2"/>
      <sheetName val="14_07_10@2"/>
      <sheetName val="Combined_Results_2"/>
      <sheetName val="Detail_In_Door_Stad2"/>
      <sheetName val="Master_data2"/>
      <sheetName val="BL_Staff2"/>
      <sheetName val="ENCL9"/>
      <sheetName val="Cont"/>
      <sheetName val="個人資料"/>
      <sheetName val="1.01 (a)"/>
      <sheetName val="Grouping TB"/>
      <sheetName val="Exc"/>
      <sheetName val="RCC"/>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睮は_x0005_"/>
      <sheetName val="08.07.10헾】_x0005_?︀ᇕ԰"/>
      <sheetName val="08.07.10헾】_x0005_?蠄ሹꠀ䁮?"/>
      <sheetName val="08.07.10헾】_x0005_?/"/>
      <sheetName val="08.07.10헾】_x0005_?蠌ሹ⠀䁫?"/>
      <sheetName val="COMPLEXALL"/>
      <sheetName val="doc-specific"/>
      <sheetName val="Atlas"/>
      <sheetName val="FX Rates"/>
      <sheetName val="Summary (GBP)"/>
      <sheetName val="08.07.10_x0000__x0000_쪸_x0000__"/>
      <sheetName val="08.07.10헾】_x0005___睮は_x0005__x"/>
      <sheetName val="08.07.10헾】_x0005__︀ᇕ԰_x0000_缀"/>
      <sheetName val="08.07.10헾】_x0005__蠄ሹꠀ䁮_xdc02_"/>
      <sheetName val="08.07.10헾】_x0005____x0000_退Ý_x"/>
      <sheetName val="08.07.10헾】_x0005__蠌ሹ⠀䁫_xdc02_"/>
      <sheetName val="_x0017__x0000__x0012__x0000__x0"/>
      <sheetName val=" 09.07.10 M蕸_헾⿓_x0005_"/>
      <sheetName val="[temp.xls]14.07.10@^\_x0001_&amp;"/>
      <sheetName val="[temp.xls] 09.07.10 M蕸\헾⿓_x0005_"/>
      <sheetName val="NPV"/>
      <sheetName val="Sch"/>
      <sheetName val=" 09.07.10 _x0005__x0000__x0000__x0000__x0002__x0000_"/>
      <sheetName val="wordsdat_x0000_"/>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Lifts_&amp;_Escal-BOQ6"/>
      <sheetName val="FIRE_BOQ6"/>
      <sheetName val="Form_66"/>
      <sheetName val="Deprec_6"/>
      <sheetName val="MS_Loan_repayments3"/>
      <sheetName val="ETC_Plant_Cost3"/>
      <sheetName val="Array_(2)3"/>
      <sheetName val="BL_Staff3"/>
      <sheetName val="14_07_10@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Lifts_&amp;_Escal-BOQ7"/>
      <sheetName val="FIRE_BOQ7"/>
      <sheetName val="Fin__Assumpt__-_Sensitivitie5"/>
      <sheetName val="Form_67"/>
      <sheetName val="Deprec_7"/>
      <sheetName val="Rate_analysis_civil5"/>
      <sheetName val="R_A_5"/>
      <sheetName val="MS_Loan_repayments4"/>
      <sheetName val="ETC_Plant_Cost4"/>
      <sheetName val="Array_(2)4"/>
      <sheetName val="BL_Staff4"/>
      <sheetName val="14_07_10@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_x0000__x0000_e"/>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ENCL10-C"/>
      <sheetName val="ENCL12-C"/>
      <sheetName val="Aug"/>
      <sheetName val="FEB"/>
      <sheetName val="[temp.xls]14.07.10@"/>
      <sheetName val="YTD-March'10"/>
      <sheetName val="DESBAST"/>
      <sheetName val="[temp.xls]08.07.10헾】_x0005_?/"/>
      <sheetName val="Cash_Flow_Input_Data_ISC30"/>
      <sheetName val="Raw_Data13"/>
      <sheetName val="Customize_Your_Invoice30"/>
      <sheetName val="KSt_-_Analysis_13"/>
      <sheetName val="Section_Catalogue13"/>
      <sheetName val="beam-reinft-machine_rm30"/>
      <sheetName val="Fin__Assumpt__-_SensitivitieH30"/>
      <sheetName val="LEVEL_SHEET6"/>
      <sheetName val="E_&amp;_R30"/>
      <sheetName val="__¢&amp;ú5#14"/>
      <sheetName val="__¢&amp;???ú5#???????14"/>
      <sheetName val="WORK_TABLE5"/>
      <sheetName val="공사비_내역_(가)13"/>
      <sheetName val="precast_RC_element5"/>
      <sheetName val="RA_BILL_-_15"/>
      <sheetName val="Tax_Inv5"/>
      <sheetName val="Tax_Inv_(Client)5"/>
      <sheetName val="General_Input5"/>
      <sheetName val="Eqpmnt_PlnH5"/>
      <sheetName val="Eqpmnt_PlnÄ5"/>
      <sheetName val="foot-slab_reinft5"/>
      <sheetName val="7_Other_Costs5"/>
      <sheetName val="Vind_-_BtB5"/>
      <sheetName val="COP_Final5"/>
      <sheetName val="PointNo_55"/>
      <sheetName val="Footing_5"/>
      <sheetName val="Varthur_15"/>
      <sheetName val="Cumulative_Karnatka_Purchase5"/>
      <sheetName val="Reco-_Project_wise5"/>
      <sheetName val="Purchase_head_Wise5"/>
      <sheetName val="List_of_Project5"/>
      <sheetName val="Cumulative_Karnatka_Purchas_(25"/>
      <sheetName val="Pivot_table5"/>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9">
          <cell r="J19">
            <v>1.0499999999999999E-3</v>
          </cell>
        </row>
      </sheetData>
      <sheetData sheetId="16" refreshError="1"/>
      <sheetData sheetId="17">
        <row r="19">
          <cell r="J19">
            <v>1.0499999999999999E-3</v>
          </cell>
        </row>
      </sheetData>
      <sheetData sheetId="18">
        <row r="19">
          <cell r="J19">
            <v>1.0499999999999999E-3</v>
          </cell>
        </row>
      </sheetData>
      <sheetData sheetId="19" refreshError="1"/>
      <sheetData sheetId="20">
        <row r="19">
          <cell r="J19">
            <v>1.0499999999999999E-3</v>
          </cell>
        </row>
      </sheetData>
      <sheetData sheetId="21">
        <row r="19">
          <cell r="J19">
            <v>1.0499999999999999E-3</v>
          </cell>
        </row>
      </sheetData>
      <sheetData sheetId="22">
        <row r="19">
          <cell r="J19">
            <v>1.0499999999999999E-3</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ow r="19">
          <cell r="J19">
            <v>1.0499999999999999E-3</v>
          </cell>
        </row>
      </sheetData>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ow r="19">
          <cell r="J19">
            <v>1.0499999999999999E-3</v>
          </cell>
        </row>
      </sheetData>
      <sheetData sheetId="258">
        <row r="19">
          <cell r="J19">
            <v>1.0499999999999999E-3</v>
          </cell>
        </row>
      </sheetData>
      <sheetData sheetId="259" refreshError="1"/>
      <sheetData sheetId="260" refreshError="1"/>
      <sheetData sheetId="261" refreshError="1"/>
      <sheetData sheetId="262" refreshError="1"/>
      <sheetData sheetId="263" refreshError="1"/>
      <sheetData sheetId="264" refreshError="1"/>
      <sheetData sheetId="265">
        <row r="19">
          <cell r="J19">
            <v>1.0499999999999999E-3</v>
          </cell>
        </row>
      </sheetData>
      <sheetData sheetId="266" refreshError="1"/>
      <sheetData sheetId="267">
        <row r="19">
          <cell r="J19">
            <v>1.0499999999999999E-3</v>
          </cell>
        </row>
      </sheetData>
      <sheetData sheetId="268">
        <row r="19">
          <cell r="J19">
            <v>1.0499999999999999E-3</v>
          </cell>
        </row>
      </sheetData>
      <sheetData sheetId="269"/>
      <sheetData sheetId="270">
        <row r="19">
          <cell r="J19">
            <v>1.0499999999999999E-3</v>
          </cell>
        </row>
      </sheetData>
      <sheetData sheetId="271">
        <row r="19">
          <cell r="J19">
            <v>1.0499999999999999E-3</v>
          </cell>
        </row>
      </sheetData>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ow r="19">
          <cell r="J19">
            <v>1.0499999999999999E-3</v>
          </cell>
        </row>
      </sheetData>
      <sheetData sheetId="461" refreshError="1"/>
      <sheetData sheetId="462" refreshError="1"/>
      <sheetData sheetId="463" refreshError="1"/>
      <sheetData sheetId="464">
        <row r="19">
          <cell r="J19">
            <v>1.0499999999999999E-3</v>
          </cell>
        </row>
      </sheetData>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9">
          <cell r="J19">
            <v>1.0499999999999999E-3</v>
          </cell>
        </row>
      </sheetData>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ow r="19">
          <cell r="J19">
            <v>1.0499999999999999E-3</v>
          </cell>
        </row>
      </sheetData>
      <sheetData sheetId="496" refreshError="1"/>
      <sheetData sheetId="497" refreshError="1"/>
      <sheetData sheetId="498" refreshError="1"/>
      <sheetData sheetId="499">
        <row r="19">
          <cell r="J19">
            <v>1.0499999999999999E-3</v>
          </cell>
        </row>
      </sheetData>
      <sheetData sheetId="500" refreshError="1"/>
      <sheetData sheetId="501" refreshError="1"/>
      <sheetData sheetId="502" refreshError="1"/>
      <sheetData sheetId="503" refreshError="1"/>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efreshError="1"/>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row r="19">
          <cell r="J19">
            <v>1.0499999999999999E-3</v>
          </cell>
        </row>
      </sheetData>
      <sheetData sheetId="589">
        <row r="19">
          <cell r="J19">
            <v>1.0499999999999999E-3</v>
          </cell>
        </row>
      </sheetData>
      <sheetData sheetId="590">
        <row r="19">
          <cell r="J19">
            <v>1.0499999999999999E-3</v>
          </cell>
        </row>
      </sheetData>
      <sheetData sheetId="591">
        <row r="19">
          <cell r="J19">
            <v>1.0499999999999999E-3</v>
          </cell>
        </row>
      </sheetData>
      <sheetData sheetId="592">
        <row r="19">
          <cell r="J19">
            <v>1.0499999999999999E-3</v>
          </cell>
        </row>
      </sheetData>
      <sheetData sheetId="593">
        <row r="19">
          <cell r="J19">
            <v>1.0499999999999999E-3</v>
          </cell>
        </row>
      </sheetData>
      <sheetData sheetId="594">
        <row r="19">
          <cell r="J19">
            <v>1.0499999999999999E-3</v>
          </cell>
        </row>
      </sheetData>
      <sheetData sheetId="595">
        <row r="19">
          <cell r="J19">
            <v>1.0499999999999999E-3</v>
          </cell>
        </row>
      </sheetData>
      <sheetData sheetId="596">
        <row r="19">
          <cell r="J19">
            <v>1.0499999999999999E-3</v>
          </cell>
        </row>
      </sheetData>
      <sheetData sheetId="597">
        <row r="19">
          <cell r="J19">
            <v>1.0499999999999999E-3</v>
          </cell>
        </row>
      </sheetData>
      <sheetData sheetId="598">
        <row r="19">
          <cell r="J19">
            <v>1.0499999999999999E-3</v>
          </cell>
        </row>
      </sheetData>
      <sheetData sheetId="599">
        <row r="19">
          <cell r="J19">
            <v>1.0499999999999999E-3</v>
          </cell>
        </row>
      </sheetData>
      <sheetData sheetId="600">
        <row r="19">
          <cell r="J19">
            <v>1.0499999999999999E-3</v>
          </cell>
        </row>
      </sheetData>
      <sheetData sheetId="601">
        <row r="19">
          <cell r="J19">
            <v>1.0499999999999999E-3</v>
          </cell>
        </row>
      </sheetData>
      <sheetData sheetId="602">
        <row r="19">
          <cell r="J19">
            <v>1.0499999999999999E-3</v>
          </cell>
        </row>
      </sheetData>
      <sheetData sheetId="603">
        <row r="19">
          <cell r="J19">
            <v>1.0499999999999999E-3</v>
          </cell>
        </row>
      </sheetData>
      <sheetData sheetId="604">
        <row r="19">
          <cell r="J19">
            <v>1.0499999999999999E-3</v>
          </cell>
        </row>
      </sheetData>
      <sheetData sheetId="605">
        <row r="19">
          <cell r="J19">
            <v>1.0499999999999999E-3</v>
          </cell>
        </row>
      </sheetData>
      <sheetData sheetId="606">
        <row r="19">
          <cell r="J19">
            <v>1.0499999999999999E-3</v>
          </cell>
        </row>
      </sheetData>
      <sheetData sheetId="607">
        <row r="19">
          <cell r="J19">
            <v>1.0499999999999999E-3</v>
          </cell>
        </row>
      </sheetData>
      <sheetData sheetId="608">
        <row r="19">
          <cell r="J19">
            <v>1.0499999999999999E-3</v>
          </cell>
        </row>
      </sheetData>
      <sheetData sheetId="609">
        <row r="19">
          <cell r="J19">
            <v>1.0499999999999999E-3</v>
          </cell>
        </row>
      </sheetData>
      <sheetData sheetId="610">
        <row r="19">
          <cell r="J19">
            <v>1.0499999999999999E-3</v>
          </cell>
        </row>
      </sheetData>
      <sheetData sheetId="611">
        <row r="19">
          <cell r="J19">
            <v>1.0499999999999999E-3</v>
          </cell>
        </row>
      </sheetData>
      <sheetData sheetId="612">
        <row r="19">
          <cell r="J19">
            <v>1.0499999999999999E-3</v>
          </cell>
        </row>
      </sheetData>
      <sheetData sheetId="613">
        <row r="19">
          <cell r="J19">
            <v>1.0499999999999999E-3</v>
          </cell>
        </row>
      </sheetData>
      <sheetData sheetId="614">
        <row r="19">
          <cell r="J19">
            <v>1.0499999999999999E-3</v>
          </cell>
        </row>
      </sheetData>
      <sheetData sheetId="615">
        <row r="19">
          <cell r="J19">
            <v>1.0499999999999999E-3</v>
          </cell>
        </row>
      </sheetData>
      <sheetData sheetId="616">
        <row r="19">
          <cell r="J19">
            <v>1.0499999999999999E-3</v>
          </cell>
        </row>
      </sheetData>
      <sheetData sheetId="617">
        <row r="19">
          <cell r="J19">
            <v>1.0499999999999999E-3</v>
          </cell>
        </row>
      </sheetData>
      <sheetData sheetId="618" refreshError="1"/>
      <sheetData sheetId="619">
        <row r="19">
          <cell r="J19">
            <v>1.0499999999999999E-3</v>
          </cell>
        </row>
      </sheetData>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ow r="19">
          <cell r="J19">
            <v>1.0499999999999999E-3</v>
          </cell>
        </row>
      </sheetData>
      <sheetData sheetId="649" refreshError="1"/>
      <sheetData sheetId="650">
        <row r="19">
          <cell r="J19">
            <v>1.0499999999999999E-3</v>
          </cell>
        </row>
      </sheetData>
      <sheetData sheetId="651" refreshError="1"/>
      <sheetData sheetId="652" refreshError="1"/>
      <sheetData sheetId="653" refreshError="1"/>
      <sheetData sheetId="654" refreshError="1"/>
      <sheetData sheetId="655" refreshError="1"/>
      <sheetData sheetId="656" refreshError="1"/>
      <sheetData sheetId="657" refreshError="1"/>
      <sheetData sheetId="658">
        <row r="19">
          <cell r="J19">
            <v>1.0499999999999999E-3</v>
          </cell>
        </row>
      </sheetData>
      <sheetData sheetId="659">
        <row r="19">
          <cell r="J19">
            <v>1.0499999999999999E-3</v>
          </cell>
        </row>
      </sheetData>
      <sheetData sheetId="660">
        <row r="19">
          <cell r="J19">
            <v>1.0499999999999999E-3</v>
          </cell>
        </row>
      </sheetData>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sheetData sheetId="670" refreshError="1"/>
      <sheetData sheetId="671" refreshError="1"/>
      <sheetData sheetId="672" refreshError="1"/>
      <sheetData sheetId="673" refreshError="1"/>
      <sheetData sheetId="674" refreshError="1"/>
      <sheetData sheetId="675" refreshError="1"/>
      <sheetData sheetId="676" refreshError="1"/>
      <sheetData sheetId="677">
        <row r="19">
          <cell r="J19">
            <v>1.0499999999999999E-3</v>
          </cell>
        </row>
      </sheetData>
      <sheetData sheetId="678" refreshError="1"/>
      <sheetData sheetId="679">
        <row r="19">
          <cell r="J19">
            <v>1.0499999999999999E-3</v>
          </cell>
        </row>
      </sheetData>
      <sheetData sheetId="680">
        <row r="19">
          <cell r="J19">
            <v>1.0499999999999999E-3</v>
          </cell>
        </row>
      </sheetData>
      <sheetData sheetId="681">
        <row r="19">
          <cell r="J19">
            <v>1.0499999999999999E-3</v>
          </cell>
        </row>
      </sheetData>
      <sheetData sheetId="682">
        <row r="19">
          <cell r="J19">
            <v>1.0499999999999999E-3</v>
          </cell>
        </row>
      </sheetData>
      <sheetData sheetId="683">
        <row r="19">
          <cell r="J19">
            <v>1.0499999999999999E-3</v>
          </cell>
        </row>
      </sheetData>
      <sheetData sheetId="684" refreshError="1"/>
      <sheetData sheetId="685" refreshError="1"/>
      <sheetData sheetId="686" refreshError="1"/>
      <sheetData sheetId="687" refreshError="1"/>
      <sheetData sheetId="688" refreshError="1"/>
      <sheetData sheetId="689" refreshError="1"/>
      <sheetData sheetId="690" refreshError="1"/>
      <sheetData sheetId="691">
        <row r="19">
          <cell r="J19">
            <v>1.0499999999999999E-3</v>
          </cell>
        </row>
      </sheetData>
      <sheetData sheetId="692">
        <row r="19">
          <cell r="J19">
            <v>1.0499999999999999E-3</v>
          </cell>
        </row>
      </sheetData>
      <sheetData sheetId="693"/>
      <sheetData sheetId="694">
        <row r="19">
          <cell r="J19">
            <v>1.0499999999999999E-3</v>
          </cell>
        </row>
      </sheetData>
      <sheetData sheetId="695"/>
      <sheetData sheetId="696">
        <row r="19">
          <cell r="J19">
            <v>1.0499999999999999E-3</v>
          </cell>
        </row>
      </sheetData>
      <sheetData sheetId="697">
        <row r="19">
          <cell r="J19">
            <v>1.0499999999999999E-3</v>
          </cell>
        </row>
      </sheetData>
      <sheetData sheetId="698" refreshError="1"/>
      <sheetData sheetId="699">
        <row r="19">
          <cell r="J19">
            <v>1.0499999999999999E-3</v>
          </cell>
        </row>
      </sheetData>
      <sheetData sheetId="700" refreshError="1"/>
      <sheetData sheetId="701" refreshError="1"/>
      <sheetData sheetId="702">
        <row r="19">
          <cell r="J19">
            <v>1.0499999999999999E-3</v>
          </cell>
        </row>
      </sheetData>
      <sheetData sheetId="703">
        <row r="19">
          <cell r="J19">
            <v>1.0499999999999999E-3</v>
          </cell>
        </row>
      </sheetData>
      <sheetData sheetId="704" refreshError="1"/>
      <sheetData sheetId="705"/>
      <sheetData sheetId="706" refreshError="1"/>
      <sheetData sheetId="707" refreshError="1"/>
      <sheetData sheetId="708" refreshError="1"/>
      <sheetData sheetId="709">
        <row r="19">
          <cell r="J19">
            <v>1.0499999999999999E-3</v>
          </cell>
        </row>
      </sheetData>
      <sheetData sheetId="710"/>
      <sheetData sheetId="711" refreshError="1"/>
      <sheetData sheetId="712" refreshError="1"/>
      <sheetData sheetId="713" refreshError="1"/>
      <sheetData sheetId="714" refreshError="1"/>
      <sheetData sheetId="715" refreshError="1"/>
      <sheetData sheetId="716"/>
      <sheetData sheetId="717" refreshError="1"/>
      <sheetData sheetId="718"/>
      <sheetData sheetId="719" refreshError="1"/>
      <sheetData sheetId="720"/>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ow r="19">
          <cell r="J19">
            <v>1.0499999999999999E-3</v>
          </cell>
        </row>
      </sheetData>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ow r="19">
          <cell r="J19">
            <v>1.0499999999999999E-3</v>
          </cell>
        </row>
      </sheetData>
      <sheetData sheetId="744">
        <row r="19">
          <cell r="J19">
            <v>1.0499999999999999E-3</v>
          </cell>
        </row>
      </sheetData>
      <sheetData sheetId="745">
        <row r="19">
          <cell r="J19">
            <v>1.0499999999999999E-3</v>
          </cell>
        </row>
      </sheetData>
      <sheetData sheetId="746">
        <row r="19">
          <cell r="J19">
            <v>1.0499999999999999E-3</v>
          </cell>
        </row>
      </sheetData>
      <sheetData sheetId="747">
        <row r="19">
          <cell r="J19">
            <v>1.0499999999999999E-3</v>
          </cell>
        </row>
      </sheetData>
      <sheetData sheetId="748">
        <row r="19">
          <cell r="J19">
            <v>1.0499999999999999E-3</v>
          </cell>
        </row>
      </sheetData>
      <sheetData sheetId="749">
        <row r="19">
          <cell r="J19">
            <v>1.0499999999999999E-3</v>
          </cell>
        </row>
      </sheetData>
      <sheetData sheetId="750">
        <row r="19">
          <cell r="J19">
            <v>1.0499999999999999E-3</v>
          </cell>
        </row>
      </sheetData>
      <sheetData sheetId="751">
        <row r="19">
          <cell r="J19">
            <v>1.0499999999999999E-3</v>
          </cell>
        </row>
      </sheetData>
      <sheetData sheetId="752">
        <row r="19">
          <cell r="J19">
            <v>1.0499999999999999E-3</v>
          </cell>
        </row>
      </sheetData>
      <sheetData sheetId="753">
        <row r="19">
          <cell r="J19">
            <v>1.0499999999999999E-3</v>
          </cell>
        </row>
      </sheetData>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efreshError="1"/>
      <sheetData sheetId="785" refreshError="1"/>
      <sheetData sheetId="786" refreshError="1"/>
      <sheetData sheetId="787"/>
      <sheetData sheetId="788" refreshError="1"/>
      <sheetData sheetId="789" refreshError="1"/>
      <sheetData sheetId="790">
        <row r="19">
          <cell r="J19">
            <v>1.0499999999999999E-3</v>
          </cell>
        </row>
      </sheetData>
      <sheetData sheetId="791" refreshError="1"/>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row r="19">
          <cell r="J19">
            <v>1.0499999999999999E-3</v>
          </cell>
        </row>
      </sheetData>
      <sheetData sheetId="858">
        <row r="19">
          <cell r="J19">
            <v>1.0499999999999999E-3</v>
          </cell>
        </row>
      </sheetData>
      <sheetData sheetId="859">
        <row r="19">
          <cell r="J19">
            <v>1.0499999999999999E-3</v>
          </cell>
        </row>
      </sheetData>
      <sheetData sheetId="860">
        <row r="19">
          <cell r="J19">
            <v>1.0499999999999999E-3</v>
          </cell>
        </row>
      </sheetData>
      <sheetData sheetId="861">
        <row r="19">
          <cell r="J19">
            <v>1.0499999999999999E-3</v>
          </cell>
        </row>
      </sheetData>
      <sheetData sheetId="862">
        <row r="19">
          <cell r="J19">
            <v>1.0499999999999999E-3</v>
          </cell>
        </row>
      </sheetData>
      <sheetData sheetId="863">
        <row r="19">
          <cell r="J19">
            <v>1.0499999999999999E-3</v>
          </cell>
        </row>
      </sheetData>
      <sheetData sheetId="864">
        <row r="19">
          <cell r="J19">
            <v>1.0499999999999999E-3</v>
          </cell>
        </row>
      </sheetData>
      <sheetData sheetId="865">
        <row r="19">
          <cell r="J19">
            <v>1.0499999999999999E-3</v>
          </cell>
        </row>
      </sheetData>
      <sheetData sheetId="866">
        <row r="19">
          <cell r="J19">
            <v>1.0499999999999999E-3</v>
          </cell>
        </row>
      </sheetData>
      <sheetData sheetId="867">
        <row r="19">
          <cell r="J19">
            <v>1.0499999999999999E-3</v>
          </cell>
        </row>
      </sheetData>
      <sheetData sheetId="868">
        <row r="19">
          <cell r="J19">
            <v>1.0499999999999999E-3</v>
          </cell>
        </row>
      </sheetData>
      <sheetData sheetId="869">
        <row r="19">
          <cell r="J19">
            <v>1.0499999999999999E-3</v>
          </cell>
        </row>
      </sheetData>
      <sheetData sheetId="870">
        <row r="19">
          <cell r="J19">
            <v>1.0499999999999999E-3</v>
          </cell>
        </row>
      </sheetData>
      <sheetData sheetId="871">
        <row r="19">
          <cell r="J19">
            <v>1.0499999999999999E-3</v>
          </cell>
        </row>
      </sheetData>
      <sheetData sheetId="872">
        <row r="19">
          <cell r="J19">
            <v>1.0499999999999999E-3</v>
          </cell>
        </row>
      </sheetData>
      <sheetData sheetId="873">
        <row r="19">
          <cell r="J19">
            <v>1.0499999999999999E-3</v>
          </cell>
        </row>
      </sheetData>
      <sheetData sheetId="874">
        <row r="19">
          <cell r="J19">
            <v>1.0499999999999999E-3</v>
          </cell>
        </row>
      </sheetData>
      <sheetData sheetId="875">
        <row r="19">
          <cell r="J19">
            <v>1.0499999999999999E-3</v>
          </cell>
        </row>
      </sheetData>
      <sheetData sheetId="876">
        <row r="19">
          <cell r="J19">
            <v>1.0499999999999999E-3</v>
          </cell>
        </row>
      </sheetData>
      <sheetData sheetId="877">
        <row r="19">
          <cell r="J19">
            <v>1.0499999999999999E-3</v>
          </cell>
        </row>
      </sheetData>
      <sheetData sheetId="878">
        <row r="19">
          <cell r="J19">
            <v>1.0499999999999999E-3</v>
          </cell>
        </row>
      </sheetData>
      <sheetData sheetId="879">
        <row r="19">
          <cell r="J19">
            <v>1.0499999999999999E-3</v>
          </cell>
        </row>
      </sheetData>
      <sheetData sheetId="880">
        <row r="19">
          <cell r="J19">
            <v>1.0499999999999999E-3</v>
          </cell>
        </row>
      </sheetData>
      <sheetData sheetId="881">
        <row r="19">
          <cell r="J19">
            <v>1.0499999999999999E-3</v>
          </cell>
        </row>
      </sheetData>
      <sheetData sheetId="882">
        <row r="19">
          <cell r="J19">
            <v>1.0499999999999999E-3</v>
          </cell>
        </row>
      </sheetData>
      <sheetData sheetId="883">
        <row r="19">
          <cell r="J19">
            <v>1.0499999999999999E-3</v>
          </cell>
        </row>
      </sheetData>
      <sheetData sheetId="884">
        <row r="19">
          <cell r="J19">
            <v>1.0499999999999999E-3</v>
          </cell>
        </row>
      </sheetData>
      <sheetData sheetId="885">
        <row r="19">
          <cell r="J19">
            <v>1.0499999999999999E-3</v>
          </cell>
        </row>
      </sheetData>
      <sheetData sheetId="886">
        <row r="19">
          <cell r="J19">
            <v>1.0499999999999999E-3</v>
          </cell>
        </row>
      </sheetData>
      <sheetData sheetId="887">
        <row r="19">
          <cell r="J19">
            <v>1.0499999999999999E-3</v>
          </cell>
        </row>
      </sheetData>
      <sheetData sheetId="888">
        <row r="19">
          <cell r="J19">
            <v>1.0499999999999999E-3</v>
          </cell>
        </row>
      </sheetData>
      <sheetData sheetId="889">
        <row r="19">
          <cell r="J19">
            <v>1.0499999999999999E-3</v>
          </cell>
        </row>
      </sheetData>
      <sheetData sheetId="890">
        <row r="19">
          <cell r="J19">
            <v>1.0499999999999999E-3</v>
          </cell>
        </row>
      </sheetData>
      <sheetData sheetId="891">
        <row r="19">
          <cell r="J19">
            <v>1.0499999999999999E-3</v>
          </cell>
        </row>
      </sheetData>
      <sheetData sheetId="892">
        <row r="19">
          <cell r="J19">
            <v>1.0499999999999999E-3</v>
          </cell>
        </row>
      </sheetData>
      <sheetData sheetId="893">
        <row r="19">
          <cell r="J19">
            <v>1.0499999999999999E-3</v>
          </cell>
        </row>
      </sheetData>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ow r="19">
          <cell r="J19">
            <v>1.0499999999999999E-3</v>
          </cell>
        </row>
      </sheetData>
      <sheetData sheetId="957">
        <row r="19">
          <cell r="J19">
            <v>1.0499999999999999E-3</v>
          </cell>
        </row>
      </sheetData>
      <sheetData sheetId="958">
        <row r="19">
          <cell r="J19">
            <v>1.0499999999999999E-3</v>
          </cell>
        </row>
      </sheetData>
      <sheetData sheetId="959"/>
      <sheetData sheetId="960" refreshError="1"/>
      <sheetData sheetId="961" refreshError="1"/>
      <sheetData sheetId="962" refreshError="1"/>
      <sheetData sheetId="963" refreshError="1"/>
      <sheetData sheetId="964" refreshError="1"/>
      <sheetData sheetId="965" refreshError="1"/>
      <sheetData sheetId="966">
        <row r="19">
          <cell r="J19">
            <v>1.0499999999999999E-3</v>
          </cell>
        </row>
      </sheetData>
      <sheetData sheetId="967" refreshError="1"/>
      <sheetData sheetId="968">
        <row r="19">
          <cell r="J19">
            <v>1.0499999999999999E-3</v>
          </cell>
        </row>
      </sheetData>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ow r="19">
          <cell r="J19">
            <v>1.0499999999999999E-3</v>
          </cell>
        </row>
      </sheetData>
      <sheetData sheetId="980" refreshError="1"/>
      <sheetData sheetId="981" refreshError="1"/>
      <sheetData sheetId="982" refreshError="1"/>
      <sheetData sheetId="983" refreshError="1"/>
      <sheetData sheetId="984" refreshError="1"/>
      <sheetData sheetId="985"/>
      <sheetData sheetId="986"/>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ow r="19">
          <cell r="J19">
            <v>1.0499999999999999E-3</v>
          </cell>
        </row>
      </sheetData>
      <sheetData sheetId="1006">
        <row r="19">
          <cell r="J19">
            <v>1.0499999999999999E-3</v>
          </cell>
        </row>
      </sheetData>
      <sheetData sheetId="1007">
        <row r="19">
          <cell r="J19">
            <v>1.0499999999999999E-3</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ow r="19">
          <cell r="J19">
            <v>1.0499999999999999E-3</v>
          </cell>
        </row>
      </sheetData>
      <sheetData sheetId="1044"/>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ow r="19">
          <cell r="J19">
            <v>1.0499999999999999E-3</v>
          </cell>
        </row>
      </sheetData>
      <sheetData sheetId="1412" refreshError="1"/>
      <sheetData sheetId="1413" refreshError="1"/>
      <sheetData sheetId="1414" refreshError="1"/>
      <sheetData sheetId="1415" refreshError="1"/>
      <sheetData sheetId="1416" refreshError="1"/>
      <sheetData sheetId="1417" refreshError="1"/>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ow r="19">
          <cell r="J19">
            <v>1.0499999999999999E-3</v>
          </cell>
        </row>
      </sheetData>
      <sheetData sheetId="1427" refreshError="1"/>
      <sheetData sheetId="1428" refreshError="1"/>
      <sheetData sheetId="1429" refreshError="1"/>
      <sheetData sheetId="1430" refreshError="1"/>
      <sheetData sheetId="1431" refreshError="1"/>
      <sheetData sheetId="1432">
        <row r="19">
          <cell r="J19">
            <v>1.0499999999999999E-3</v>
          </cell>
        </row>
      </sheetData>
      <sheetData sheetId="1433">
        <row r="19">
          <cell r="J19">
            <v>1.0499999999999999E-3</v>
          </cell>
        </row>
      </sheetData>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ow r="19">
          <cell r="J19">
            <v>1.0499999999999999E-3</v>
          </cell>
        </row>
      </sheetData>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ow r="19">
          <cell r="J19">
            <v>1.0499999999999999E-3</v>
          </cell>
        </row>
      </sheetData>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ow r="19">
          <cell r="J19">
            <v>1.0499999999999999E-3</v>
          </cell>
        </row>
      </sheetData>
      <sheetData sheetId="1806">
        <row r="19">
          <cell r="J19">
            <v>1.0499999999999999E-3</v>
          </cell>
        </row>
      </sheetData>
      <sheetData sheetId="1807">
        <row r="19">
          <cell r="J19">
            <v>1.0499999999999999E-3</v>
          </cell>
        </row>
      </sheetData>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sheetData sheetId="1835"/>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sheetData sheetId="1845" refreshError="1"/>
      <sheetData sheetId="1846" refreshError="1"/>
      <sheetData sheetId="1847"/>
      <sheetData sheetId="1848"/>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sheetData sheetId="1864"/>
      <sheetData sheetId="1865" refreshError="1"/>
      <sheetData sheetId="1866" refreshError="1"/>
      <sheetData sheetId="1867"/>
      <sheetData sheetId="1868"/>
      <sheetData sheetId="1869"/>
      <sheetData sheetId="1870"/>
      <sheetData sheetId="1871"/>
      <sheetData sheetId="1872" refreshError="1"/>
      <sheetData sheetId="1873" refreshError="1"/>
      <sheetData sheetId="1874" refreshError="1"/>
      <sheetData sheetId="1875"/>
      <sheetData sheetId="1876">
        <row r="19">
          <cell r="J19">
            <v>1.0499999999999999E-3</v>
          </cell>
        </row>
      </sheetData>
      <sheetData sheetId="1877"/>
      <sheetData sheetId="1878"/>
      <sheetData sheetId="1879"/>
      <sheetData sheetId="1880">
        <row r="19">
          <cell r="J19">
            <v>1.0499999999999999E-3</v>
          </cell>
        </row>
      </sheetData>
      <sheetData sheetId="1881">
        <row r="19">
          <cell r="J19">
            <v>1.0499999999999999E-3</v>
          </cell>
        </row>
      </sheetData>
      <sheetData sheetId="1882">
        <row r="19">
          <cell r="J19">
            <v>1.0499999999999999E-3</v>
          </cell>
        </row>
      </sheetData>
      <sheetData sheetId="1883" refreshError="1"/>
      <sheetData sheetId="1884" refreshError="1"/>
      <sheetData sheetId="1885">
        <row r="19">
          <cell r="J19">
            <v>1.0499999999999999E-3</v>
          </cell>
        </row>
      </sheetData>
      <sheetData sheetId="1886">
        <row r="19">
          <cell r="J19">
            <v>1.0499999999999999E-3</v>
          </cell>
        </row>
      </sheetData>
      <sheetData sheetId="1887">
        <row r="19">
          <cell r="J19">
            <v>1.0499999999999999E-3</v>
          </cell>
        </row>
      </sheetData>
      <sheetData sheetId="1888">
        <row r="19">
          <cell r="J19">
            <v>1.0499999999999999E-3</v>
          </cell>
        </row>
      </sheetData>
      <sheetData sheetId="1889">
        <row r="19">
          <cell r="J19">
            <v>1.0499999999999999E-3</v>
          </cell>
        </row>
      </sheetData>
      <sheetData sheetId="1890">
        <row r="19">
          <cell r="J19">
            <v>1.0499999999999999E-3</v>
          </cell>
        </row>
      </sheetData>
      <sheetData sheetId="1891">
        <row r="19">
          <cell r="J19">
            <v>1.0499999999999999E-3</v>
          </cell>
        </row>
      </sheetData>
      <sheetData sheetId="1892">
        <row r="19">
          <cell r="J19">
            <v>1.0499999999999999E-3</v>
          </cell>
        </row>
      </sheetData>
      <sheetData sheetId="1893">
        <row r="19">
          <cell r="J19">
            <v>1.0499999999999999E-3</v>
          </cell>
        </row>
      </sheetData>
      <sheetData sheetId="1894">
        <row r="19">
          <cell r="J19">
            <v>1.0499999999999999E-3</v>
          </cell>
        </row>
      </sheetData>
      <sheetData sheetId="1895">
        <row r="19">
          <cell r="J19">
            <v>1.0499999999999999E-3</v>
          </cell>
        </row>
      </sheetData>
      <sheetData sheetId="1896">
        <row r="19">
          <cell r="J19">
            <v>1.0499999999999999E-3</v>
          </cell>
        </row>
      </sheetData>
      <sheetData sheetId="1897">
        <row r="19">
          <cell r="J19">
            <v>1.0499999999999999E-3</v>
          </cell>
        </row>
      </sheetData>
      <sheetData sheetId="1898">
        <row r="19">
          <cell r="J19">
            <v>1.0499999999999999E-3</v>
          </cell>
        </row>
      </sheetData>
      <sheetData sheetId="1899">
        <row r="19">
          <cell r="J19">
            <v>1.0499999999999999E-3</v>
          </cell>
        </row>
      </sheetData>
      <sheetData sheetId="1900">
        <row r="19">
          <cell r="J19">
            <v>1.0499999999999999E-3</v>
          </cell>
        </row>
      </sheetData>
      <sheetData sheetId="1901">
        <row r="19">
          <cell r="J19">
            <v>1.0499999999999999E-3</v>
          </cell>
        </row>
      </sheetData>
      <sheetData sheetId="1902">
        <row r="19">
          <cell r="J19">
            <v>1.0499999999999999E-3</v>
          </cell>
        </row>
      </sheetData>
      <sheetData sheetId="1903" refreshError="1"/>
      <sheetData sheetId="1904">
        <row r="19">
          <cell r="J19">
            <v>1.0499999999999999E-3</v>
          </cell>
        </row>
      </sheetData>
      <sheetData sheetId="1905">
        <row r="19">
          <cell r="J19">
            <v>1.0499999999999999E-3</v>
          </cell>
        </row>
      </sheetData>
      <sheetData sheetId="1906">
        <row r="19">
          <cell r="J19">
            <v>1.0499999999999999E-3</v>
          </cell>
        </row>
      </sheetData>
      <sheetData sheetId="1907">
        <row r="19">
          <cell r="J19">
            <v>1.0499999999999999E-3</v>
          </cell>
        </row>
      </sheetData>
      <sheetData sheetId="1908">
        <row r="19">
          <cell r="J19">
            <v>1.0499999999999999E-3</v>
          </cell>
        </row>
      </sheetData>
      <sheetData sheetId="1909">
        <row r="19">
          <cell r="J19">
            <v>1.0499999999999999E-3</v>
          </cell>
        </row>
      </sheetData>
      <sheetData sheetId="1910">
        <row r="19">
          <cell r="J19">
            <v>1.0499999999999999E-3</v>
          </cell>
        </row>
      </sheetData>
      <sheetData sheetId="1911">
        <row r="19">
          <cell r="J19">
            <v>1.0499999999999999E-3</v>
          </cell>
        </row>
      </sheetData>
      <sheetData sheetId="1912">
        <row r="19">
          <cell r="J19">
            <v>1.0499999999999999E-3</v>
          </cell>
        </row>
      </sheetData>
      <sheetData sheetId="1913">
        <row r="19">
          <cell r="J19">
            <v>1.0499999999999999E-3</v>
          </cell>
        </row>
      </sheetData>
      <sheetData sheetId="1914">
        <row r="19">
          <cell r="J19">
            <v>1.0499999999999999E-3</v>
          </cell>
        </row>
      </sheetData>
      <sheetData sheetId="1915">
        <row r="19">
          <cell r="J19">
            <v>1.0499999999999999E-3</v>
          </cell>
        </row>
      </sheetData>
      <sheetData sheetId="1916" refreshError="1"/>
      <sheetData sheetId="1917">
        <row r="19">
          <cell r="J19">
            <v>1.0499999999999999E-3</v>
          </cell>
        </row>
      </sheetData>
      <sheetData sheetId="1918">
        <row r="19">
          <cell r="J19">
            <v>1.0499999999999999E-3</v>
          </cell>
        </row>
      </sheetData>
      <sheetData sheetId="1919">
        <row r="19">
          <cell r="J19">
            <v>1.0499999999999999E-3</v>
          </cell>
        </row>
      </sheetData>
      <sheetData sheetId="1920">
        <row r="19">
          <cell r="J19">
            <v>1.0499999999999999E-3</v>
          </cell>
        </row>
      </sheetData>
      <sheetData sheetId="1921">
        <row r="19">
          <cell r="J19">
            <v>1.0499999999999999E-3</v>
          </cell>
        </row>
      </sheetData>
      <sheetData sheetId="1922">
        <row r="19">
          <cell r="J19">
            <v>1.0499999999999999E-3</v>
          </cell>
        </row>
      </sheetData>
      <sheetData sheetId="1923">
        <row r="19">
          <cell r="J19">
            <v>1.0499999999999999E-3</v>
          </cell>
        </row>
      </sheetData>
      <sheetData sheetId="1924">
        <row r="19">
          <cell r="J19">
            <v>1.0499999999999999E-3</v>
          </cell>
        </row>
      </sheetData>
      <sheetData sheetId="1925">
        <row r="19">
          <cell r="J19">
            <v>1.0499999999999999E-3</v>
          </cell>
        </row>
      </sheetData>
      <sheetData sheetId="1926">
        <row r="19">
          <cell r="J19">
            <v>1.0499999999999999E-3</v>
          </cell>
        </row>
      </sheetData>
      <sheetData sheetId="1927">
        <row r="19">
          <cell r="J19">
            <v>1.0499999999999999E-3</v>
          </cell>
        </row>
      </sheetData>
      <sheetData sheetId="1928">
        <row r="19">
          <cell r="J19">
            <v>1.0499999999999999E-3</v>
          </cell>
        </row>
      </sheetData>
      <sheetData sheetId="1929">
        <row r="19">
          <cell r="J19">
            <v>1.0499999999999999E-3</v>
          </cell>
        </row>
      </sheetData>
      <sheetData sheetId="1930">
        <row r="19">
          <cell r="J19">
            <v>1.0499999999999999E-3</v>
          </cell>
        </row>
      </sheetData>
      <sheetData sheetId="1931">
        <row r="19">
          <cell r="J19">
            <v>1.0499999999999999E-3</v>
          </cell>
        </row>
      </sheetData>
      <sheetData sheetId="1932">
        <row r="19">
          <cell r="J19">
            <v>1.0499999999999999E-3</v>
          </cell>
        </row>
      </sheetData>
      <sheetData sheetId="1933">
        <row r="19">
          <cell r="J19">
            <v>1.0499999999999999E-3</v>
          </cell>
        </row>
      </sheetData>
      <sheetData sheetId="1934">
        <row r="19">
          <cell r="J19">
            <v>1.0499999999999999E-3</v>
          </cell>
        </row>
      </sheetData>
      <sheetData sheetId="1935">
        <row r="19">
          <cell r="J19">
            <v>1.0499999999999999E-3</v>
          </cell>
        </row>
      </sheetData>
      <sheetData sheetId="1936">
        <row r="19">
          <cell r="J19">
            <v>1.0499999999999999E-3</v>
          </cell>
        </row>
      </sheetData>
      <sheetData sheetId="1937">
        <row r="19">
          <cell r="J19">
            <v>1.0499999999999999E-3</v>
          </cell>
        </row>
      </sheetData>
      <sheetData sheetId="1938">
        <row r="19">
          <cell r="J19">
            <v>1.0499999999999999E-3</v>
          </cell>
        </row>
      </sheetData>
      <sheetData sheetId="1939">
        <row r="19">
          <cell r="J19">
            <v>1.0499999999999999E-3</v>
          </cell>
        </row>
      </sheetData>
      <sheetData sheetId="1940">
        <row r="19">
          <cell r="J19">
            <v>1.0499999999999999E-3</v>
          </cell>
        </row>
      </sheetData>
      <sheetData sheetId="1941">
        <row r="19">
          <cell r="J19">
            <v>1.0499999999999999E-3</v>
          </cell>
        </row>
      </sheetData>
      <sheetData sheetId="1942">
        <row r="19">
          <cell r="J19">
            <v>1.0499999999999999E-3</v>
          </cell>
        </row>
      </sheetData>
      <sheetData sheetId="1943">
        <row r="19">
          <cell r="J19">
            <v>1.0499999999999999E-3</v>
          </cell>
        </row>
      </sheetData>
      <sheetData sheetId="1944">
        <row r="19">
          <cell r="J19">
            <v>1.0499999999999999E-3</v>
          </cell>
        </row>
      </sheetData>
      <sheetData sheetId="1945">
        <row r="19">
          <cell r="J19">
            <v>1.0499999999999999E-3</v>
          </cell>
        </row>
      </sheetData>
      <sheetData sheetId="1946">
        <row r="19">
          <cell r="J19">
            <v>1.0499999999999999E-3</v>
          </cell>
        </row>
      </sheetData>
      <sheetData sheetId="1947">
        <row r="19">
          <cell r="J19">
            <v>1.0499999999999999E-3</v>
          </cell>
        </row>
      </sheetData>
      <sheetData sheetId="1948">
        <row r="19">
          <cell r="J19">
            <v>1.0499999999999999E-3</v>
          </cell>
        </row>
      </sheetData>
      <sheetData sheetId="1949">
        <row r="19">
          <cell r="J19">
            <v>1.0499999999999999E-3</v>
          </cell>
        </row>
      </sheetData>
      <sheetData sheetId="1950">
        <row r="19">
          <cell r="J19">
            <v>1.0499999999999999E-3</v>
          </cell>
        </row>
      </sheetData>
      <sheetData sheetId="1951">
        <row r="19">
          <cell r="J19">
            <v>1.0499999999999999E-3</v>
          </cell>
        </row>
      </sheetData>
      <sheetData sheetId="1952">
        <row r="19">
          <cell r="J19">
            <v>1.0499999999999999E-3</v>
          </cell>
        </row>
      </sheetData>
      <sheetData sheetId="1953">
        <row r="19">
          <cell r="J19">
            <v>1.0499999999999999E-3</v>
          </cell>
        </row>
      </sheetData>
      <sheetData sheetId="1954">
        <row r="19">
          <cell r="J19">
            <v>1.0499999999999999E-3</v>
          </cell>
        </row>
      </sheetData>
      <sheetData sheetId="1955">
        <row r="19">
          <cell r="J19">
            <v>1.0499999999999999E-3</v>
          </cell>
        </row>
      </sheetData>
      <sheetData sheetId="1956">
        <row r="19">
          <cell r="J19">
            <v>1.0499999999999999E-3</v>
          </cell>
        </row>
      </sheetData>
      <sheetData sheetId="1957">
        <row r="19">
          <cell r="J19">
            <v>1.0499999999999999E-3</v>
          </cell>
        </row>
      </sheetData>
      <sheetData sheetId="1958">
        <row r="19">
          <cell r="J19">
            <v>1.0499999999999999E-3</v>
          </cell>
        </row>
      </sheetData>
      <sheetData sheetId="1959">
        <row r="19">
          <cell r="J19">
            <v>1.0499999999999999E-3</v>
          </cell>
        </row>
      </sheetData>
      <sheetData sheetId="1960">
        <row r="19">
          <cell r="J19">
            <v>1.0499999999999999E-3</v>
          </cell>
        </row>
      </sheetData>
      <sheetData sheetId="1961">
        <row r="19">
          <cell r="J19">
            <v>1.0499999999999999E-3</v>
          </cell>
        </row>
      </sheetData>
      <sheetData sheetId="1962">
        <row r="19">
          <cell r="J19">
            <v>1.0499999999999999E-3</v>
          </cell>
        </row>
      </sheetData>
      <sheetData sheetId="1963">
        <row r="19">
          <cell r="J19">
            <v>1.0499999999999999E-3</v>
          </cell>
        </row>
      </sheetData>
      <sheetData sheetId="1964">
        <row r="19">
          <cell r="J19">
            <v>1.0499999999999999E-3</v>
          </cell>
        </row>
      </sheetData>
      <sheetData sheetId="1965">
        <row r="19">
          <cell r="J19">
            <v>1.0499999999999999E-3</v>
          </cell>
        </row>
      </sheetData>
      <sheetData sheetId="1966">
        <row r="19">
          <cell r="J19">
            <v>1.0499999999999999E-3</v>
          </cell>
        </row>
      </sheetData>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refreshError="1"/>
      <sheetData sheetId="2134" refreshError="1"/>
      <sheetData sheetId="2135"/>
      <sheetData sheetId="2136"/>
      <sheetData sheetId="2137" refreshError="1"/>
      <sheetData sheetId="2138" refreshError="1"/>
      <sheetData sheetId="2139"/>
      <sheetData sheetId="2140"/>
      <sheetData sheetId="2141" refreshError="1"/>
      <sheetData sheetId="2142"/>
      <sheetData sheetId="2143" refreshError="1"/>
      <sheetData sheetId="2144"/>
      <sheetData sheetId="2145" refreshError="1"/>
      <sheetData sheetId="2146"/>
      <sheetData sheetId="2147"/>
      <sheetData sheetId="2148"/>
      <sheetData sheetId="2149"/>
      <sheetData sheetId="2150"/>
      <sheetData sheetId="2151"/>
      <sheetData sheetId="2152" refreshError="1"/>
      <sheetData sheetId="2153" refreshError="1"/>
      <sheetData sheetId="2154"/>
      <sheetData sheetId="2155"/>
      <sheetData sheetId="2156" refreshError="1"/>
      <sheetData sheetId="2157" refreshError="1"/>
      <sheetData sheetId="2158" refreshError="1"/>
      <sheetData sheetId="2159" refreshError="1"/>
      <sheetData sheetId="2160"/>
      <sheetData sheetId="2161" refreshError="1"/>
      <sheetData sheetId="2162"/>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ow r="19">
          <cell r="J19">
            <v>1.0499999999999999E-3</v>
          </cell>
        </row>
      </sheetData>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ow r="19">
          <cell r="J19">
            <v>1.0499999999999999E-3</v>
          </cell>
        </row>
      </sheetData>
      <sheetData sheetId="2248" refreshError="1"/>
      <sheetData sheetId="2249" refreshError="1"/>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efreshError="1"/>
      <sheetData sheetId="2284" refreshError="1"/>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ow r="19">
          <cell r="J19">
            <v>1.0499999999999999E-3</v>
          </cell>
        </row>
      </sheetData>
      <sheetData sheetId="2654">
        <row r="19">
          <cell r="J19">
            <v>1.0499999999999999E-3</v>
          </cell>
        </row>
      </sheetData>
      <sheetData sheetId="2655" refreshError="1"/>
      <sheetData sheetId="2656" refreshError="1"/>
      <sheetData sheetId="2657" refreshError="1"/>
      <sheetData sheetId="2658" refreshError="1"/>
      <sheetData sheetId="2659">
        <row r="19">
          <cell r="J19">
            <v>1.0499999999999999E-3</v>
          </cell>
        </row>
      </sheetData>
      <sheetData sheetId="2660" refreshError="1"/>
      <sheetData sheetId="2661" refreshError="1"/>
      <sheetData sheetId="2662" refreshError="1"/>
      <sheetData sheetId="2663" refreshError="1"/>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efreshError="1"/>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efreshError="1"/>
      <sheetData sheetId="2996">
        <row r="19">
          <cell r="J19">
            <v>1.0499999999999999E-3</v>
          </cell>
        </row>
      </sheetData>
      <sheetData sheetId="2997">
        <row r="19">
          <cell r="J19">
            <v>1.0499999999999999E-3</v>
          </cell>
        </row>
      </sheetData>
      <sheetData sheetId="2998" refreshError="1"/>
      <sheetData sheetId="2999" refreshError="1"/>
      <sheetData sheetId="3000" refreshError="1"/>
      <sheetData sheetId="3001" refreshError="1"/>
      <sheetData sheetId="3002" refreshError="1"/>
      <sheetData sheetId="3003" refreshError="1"/>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ow r="19">
          <cell r="J19">
            <v>1.0499999999999999E-3</v>
          </cell>
        </row>
      </sheetData>
      <sheetData sheetId="4907">
        <row r="19">
          <cell r="J19">
            <v>1.0499999999999999E-3</v>
          </cell>
        </row>
      </sheetData>
      <sheetData sheetId="4908">
        <row r="19">
          <cell r="J19">
            <v>1.0499999999999999E-3</v>
          </cell>
        </row>
      </sheetData>
      <sheetData sheetId="4909">
        <row r="19">
          <cell r="J19">
            <v>1.0499999999999999E-3</v>
          </cell>
        </row>
      </sheetData>
      <sheetData sheetId="4910">
        <row r="19">
          <cell r="J19">
            <v>1.0499999999999999E-3</v>
          </cell>
        </row>
      </sheetData>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efreshError="1"/>
      <sheetData sheetId="4925" refreshError="1"/>
      <sheetData sheetId="4926" refreshError="1"/>
      <sheetData sheetId="4927"/>
      <sheetData sheetId="4928"/>
      <sheetData sheetId="4929"/>
      <sheetData sheetId="4930" refreshError="1"/>
      <sheetData sheetId="4931" refreshError="1"/>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ow r="19">
          <cell r="J19">
            <v>1.0499999999999999E-3</v>
          </cell>
        </row>
      </sheetData>
      <sheetData sheetId="7100">
        <row r="19">
          <cell r="J19">
            <v>1.0499999999999999E-3</v>
          </cell>
        </row>
      </sheetData>
      <sheetData sheetId="7101">
        <row r="19">
          <cell r="J19">
            <v>1.0499999999999999E-3</v>
          </cell>
        </row>
      </sheetData>
      <sheetData sheetId="7102">
        <row r="19">
          <cell r="J19">
            <v>1.0499999999999999E-3</v>
          </cell>
        </row>
      </sheetData>
      <sheetData sheetId="7103">
        <row r="19">
          <cell r="J19">
            <v>1.0499999999999999E-3</v>
          </cell>
        </row>
      </sheetData>
      <sheetData sheetId="7104">
        <row r="19">
          <cell r="J19">
            <v>1.0499999999999999E-3</v>
          </cell>
        </row>
      </sheetData>
      <sheetData sheetId="7105">
        <row r="19">
          <cell r="J19">
            <v>1.0499999999999999E-3</v>
          </cell>
        </row>
      </sheetData>
      <sheetData sheetId="7106">
        <row r="19">
          <cell r="J19">
            <v>1.0499999999999999E-3</v>
          </cell>
        </row>
      </sheetData>
      <sheetData sheetId="7107">
        <row r="19">
          <cell r="J19">
            <v>1.0499999999999999E-3</v>
          </cell>
        </row>
      </sheetData>
      <sheetData sheetId="7108">
        <row r="19">
          <cell r="J19">
            <v>1.0499999999999999E-3</v>
          </cell>
        </row>
      </sheetData>
      <sheetData sheetId="7109">
        <row r="19">
          <cell r="J19">
            <v>1.0499999999999999E-3</v>
          </cell>
        </row>
      </sheetData>
      <sheetData sheetId="7110">
        <row r="19">
          <cell r="J19">
            <v>1.0499999999999999E-3</v>
          </cell>
        </row>
      </sheetData>
      <sheetData sheetId="7111">
        <row r="19">
          <cell r="J19">
            <v>1.0499999999999999E-3</v>
          </cell>
        </row>
      </sheetData>
      <sheetData sheetId="7112">
        <row r="19">
          <cell r="J19">
            <v>1.0499999999999999E-3</v>
          </cell>
        </row>
      </sheetData>
      <sheetData sheetId="7113">
        <row r="19">
          <cell r="J19">
            <v>1.0499999999999999E-3</v>
          </cell>
        </row>
      </sheetData>
      <sheetData sheetId="7114">
        <row r="19">
          <cell r="J19">
            <v>1.0499999999999999E-3</v>
          </cell>
        </row>
      </sheetData>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efreshError="1"/>
      <sheetData sheetId="7820" refreshError="1"/>
      <sheetData sheetId="7821">
        <row r="19">
          <cell r="J19">
            <v>1.0499999999999999E-3</v>
          </cell>
        </row>
      </sheetData>
      <sheetData sheetId="7822">
        <row r="19">
          <cell r="J19">
            <v>1.0499999999999999E-3</v>
          </cell>
        </row>
      </sheetData>
      <sheetData sheetId="7823" refreshError="1"/>
      <sheetData sheetId="7824" refreshError="1"/>
      <sheetData sheetId="7825">
        <row r="19">
          <cell r="J19">
            <v>1.0499999999999999E-3</v>
          </cell>
        </row>
      </sheetData>
      <sheetData sheetId="7826">
        <row r="19">
          <cell r="J19">
            <v>1.0499999999999999E-3</v>
          </cell>
        </row>
      </sheetData>
      <sheetData sheetId="7827" refreshError="1"/>
      <sheetData sheetId="7828" refreshError="1"/>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sheetData sheetId="7898"/>
      <sheetData sheetId="7899"/>
      <sheetData sheetId="7900"/>
      <sheetData sheetId="7901"/>
      <sheetData sheetId="7902"/>
      <sheetData sheetId="7903"/>
      <sheetData sheetId="7904"/>
      <sheetData sheetId="7905"/>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efreshError="1"/>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efreshError="1"/>
      <sheetData sheetId="9104">
        <row r="19">
          <cell r="J19">
            <v>1.0499999999999999E-3</v>
          </cell>
        </row>
      </sheetData>
      <sheetData sheetId="9105" refreshError="1"/>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ow r="19">
          <cell r="J19">
            <v>1.0499999999999999E-3</v>
          </cell>
        </row>
      </sheetData>
      <sheetData sheetId="9759" refreshError="1"/>
      <sheetData sheetId="9760">
        <row r="19">
          <cell r="J19">
            <v>1.0499999999999999E-3</v>
          </cell>
        </row>
      </sheetData>
      <sheetData sheetId="9761">
        <row r="19">
          <cell r="J19">
            <v>1.0499999999999999E-3</v>
          </cell>
        </row>
      </sheetData>
      <sheetData sheetId="9762">
        <row r="19">
          <cell r="J19">
            <v>1.0499999999999999E-3</v>
          </cell>
        </row>
      </sheetData>
      <sheetData sheetId="9763">
        <row r="19">
          <cell r="J19">
            <v>1.0499999999999999E-3</v>
          </cell>
        </row>
      </sheetData>
      <sheetData sheetId="9764">
        <row r="19">
          <cell r="J19">
            <v>1.0499999999999999E-3</v>
          </cell>
        </row>
      </sheetData>
      <sheetData sheetId="9765">
        <row r="19">
          <cell r="J19">
            <v>1.0499999999999999E-3</v>
          </cell>
        </row>
      </sheetData>
      <sheetData sheetId="9766">
        <row r="19">
          <cell r="J19">
            <v>1.0499999999999999E-3</v>
          </cell>
        </row>
      </sheetData>
      <sheetData sheetId="9767" refreshError="1"/>
      <sheetData sheetId="9768" refreshError="1"/>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efreshError="1"/>
      <sheetData sheetId="10543" refreshError="1"/>
      <sheetData sheetId="10544" refreshError="1"/>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efreshError="1"/>
      <sheetData sheetId="10932" refreshError="1"/>
      <sheetData sheetId="10933" refreshError="1"/>
      <sheetData sheetId="10934" refreshError="1"/>
      <sheetData sheetId="10935" refreshError="1"/>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sheetData sheetId="11024"/>
      <sheetData sheetId="11025"/>
      <sheetData sheetId="11026"/>
      <sheetData sheetId="11027"/>
      <sheetData sheetId="11028" refreshError="1"/>
      <sheetData sheetId="11029" refreshError="1"/>
      <sheetData sheetId="11030">
        <row r="19">
          <cell r="J19">
            <v>1.0499999999999999E-3</v>
          </cell>
        </row>
      </sheetData>
      <sheetData sheetId="11031">
        <row r="19">
          <cell r="J19">
            <v>1.0499999999999999E-3</v>
          </cell>
        </row>
      </sheetData>
      <sheetData sheetId="11032"/>
      <sheetData sheetId="11033" refreshError="1"/>
      <sheetData sheetId="11034"/>
      <sheetData sheetId="11035" refreshError="1"/>
      <sheetData sheetId="11036" refreshError="1"/>
      <sheetData sheetId="11037" refreshError="1"/>
      <sheetData sheetId="11038" refreshError="1"/>
      <sheetData sheetId="11039" refreshError="1"/>
      <sheetData sheetId="11040"/>
      <sheetData sheetId="11041"/>
      <sheetData sheetId="11042"/>
      <sheetData sheetId="11043"/>
      <sheetData sheetId="11044"/>
      <sheetData sheetId="11045"/>
      <sheetData sheetId="11046"/>
      <sheetData sheetId="11047" refreshError="1"/>
      <sheetData sheetId="11048" refreshError="1"/>
      <sheetData sheetId="11049" refreshError="1"/>
      <sheetData sheetId="11050" refreshError="1"/>
      <sheetData sheetId="11051" refreshError="1"/>
      <sheetData sheetId="11052"/>
      <sheetData sheetId="11053">
        <row r="19">
          <cell r="J19">
            <v>1.0499999999999999E-3</v>
          </cell>
        </row>
      </sheetData>
      <sheetData sheetId="11054"/>
      <sheetData sheetId="11055"/>
      <sheetData sheetId="11056"/>
      <sheetData sheetId="11057">
        <row r="19">
          <cell r="J19">
            <v>1.0499999999999999E-3</v>
          </cell>
        </row>
      </sheetData>
      <sheetData sheetId="11058">
        <row r="19">
          <cell r="J19">
            <v>1.0499999999999999E-3</v>
          </cell>
        </row>
      </sheetData>
      <sheetData sheetId="11059">
        <row r="19">
          <cell r="J19">
            <v>1.0499999999999999E-3</v>
          </cell>
        </row>
      </sheetData>
      <sheetData sheetId="11060">
        <row r="19">
          <cell r="J19">
            <v>1.0499999999999999E-3</v>
          </cell>
        </row>
      </sheetData>
      <sheetData sheetId="11061">
        <row r="19">
          <cell r="J19">
            <v>1.0499999999999999E-3</v>
          </cell>
        </row>
      </sheetData>
      <sheetData sheetId="11062"/>
      <sheetData sheetId="11063"/>
      <sheetData sheetId="11064"/>
      <sheetData sheetId="11065"/>
      <sheetData sheetId="11066"/>
      <sheetData sheetId="11067"/>
      <sheetData sheetId="11068"/>
      <sheetData sheetId="11069"/>
      <sheetData sheetId="11070">
        <row r="19">
          <cell r="J19">
            <v>1.0499999999999999E-3</v>
          </cell>
        </row>
      </sheetData>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row r="19">
          <cell r="J19">
            <v>1.0499999999999999E-3</v>
          </cell>
        </row>
      </sheetData>
      <sheetData sheetId="11134"/>
      <sheetData sheetId="11135">
        <row r="19">
          <cell r="J19">
            <v>1.0499999999999999E-3</v>
          </cell>
        </row>
      </sheetData>
      <sheetData sheetId="11136"/>
      <sheetData sheetId="11137">
        <row r="19">
          <cell r="J19">
            <v>1.0499999999999999E-3</v>
          </cell>
        </row>
      </sheetData>
      <sheetData sheetId="11138"/>
      <sheetData sheetId="11139">
        <row r="19">
          <cell r="J19">
            <v>1.0499999999999999E-3</v>
          </cell>
        </row>
      </sheetData>
      <sheetData sheetId="11140"/>
      <sheetData sheetId="11141">
        <row r="19">
          <cell r="J19">
            <v>1.0499999999999999E-3</v>
          </cell>
        </row>
      </sheetData>
      <sheetData sheetId="11142"/>
      <sheetData sheetId="11143"/>
      <sheetData sheetId="11144"/>
      <sheetData sheetId="11145"/>
      <sheetData sheetId="11146">
        <row r="19">
          <cell r="J19">
            <v>1.0499999999999999E-3</v>
          </cell>
        </row>
      </sheetData>
      <sheetData sheetId="11147">
        <row r="19">
          <cell r="J19">
            <v>1.0499999999999999E-3</v>
          </cell>
        </row>
      </sheetData>
      <sheetData sheetId="11148">
        <row r="19">
          <cell r="J19">
            <v>1.0499999999999999E-3</v>
          </cell>
        </row>
      </sheetData>
      <sheetData sheetId="11149">
        <row r="19">
          <cell r="J19">
            <v>1.0499999999999999E-3</v>
          </cell>
        </row>
      </sheetData>
      <sheetData sheetId="11150">
        <row r="19">
          <cell r="J19">
            <v>1.0499999999999999E-3</v>
          </cell>
        </row>
      </sheetData>
      <sheetData sheetId="11151">
        <row r="19">
          <cell r="J19">
            <v>1.0499999999999999E-3</v>
          </cell>
        </row>
      </sheetData>
      <sheetData sheetId="11152">
        <row r="19">
          <cell r="J19">
            <v>1.0499999999999999E-3</v>
          </cell>
        </row>
      </sheetData>
      <sheetData sheetId="11153">
        <row r="19">
          <cell r="J19">
            <v>1.0499999999999999E-3</v>
          </cell>
        </row>
      </sheetData>
      <sheetData sheetId="11154">
        <row r="19">
          <cell r="J19">
            <v>1.0499999999999999E-3</v>
          </cell>
        </row>
      </sheetData>
      <sheetData sheetId="11155">
        <row r="19">
          <cell r="J19">
            <v>1.0499999999999999E-3</v>
          </cell>
        </row>
      </sheetData>
      <sheetData sheetId="11156"/>
      <sheetData sheetId="11157">
        <row r="19">
          <cell r="J19">
            <v>1.0499999999999999E-3</v>
          </cell>
        </row>
      </sheetData>
      <sheetData sheetId="11158"/>
      <sheetData sheetId="11159"/>
      <sheetData sheetId="11160"/>
      <sheetData sheetId="11161"/>
      <sheetData sheetId="11162">
        <row r="19">
          <cell r="J19">
            <v>1.0499999999999999E-3</v>
          </cell>
        </row>
      </sheetData>
      <sheetData sheetId="11163">
        <row r="19">
          <cell r="J19">
            <v>1.0499999999999999E-3</v>
          </cell>
        </row>
      </sheetData>
      <sheetData sheetId="11164">
        <row r="19">
          <cell r="J19">
            <v>1.0499999999999999E-3</v>
          </cell>
        </row>
      </sheetData>
      <sheetData sheetId="11165">
        <row r="19">
          <cell r="J19">
            <v>1.0499999999999999E-3</v>
          </cell>
        </row>
      </sheetData>
      <sheetData sheetId="11166">
        <row r="19">
          <cell r="J19">
            <v>1.0499999999999999E-3</v>
          </cell>
        </row>
      </sheetData>
      <sheetData sheetId="11167">
        <row r="19">
          <cell r="J19">
            <v>1.0499999999999999E-3</v>
          </cell>
        </row>
      </sheetData>
      <sheetData sheetId="11168">
        <row r="19">
          <cell r="J19">
            <v>1.0499999999999999E-3</v>
          </cell>
        </row>
      </sheetData>
      <sheetData sheetId="11169">
        <row r="19">
          <cell r="J19">
            <v>1.0499999999999999E-3</v>
          </cell>
        </row>
      </sheetData>
      <sheetData sheetId="11170">
        <row r="19">
          <cell r="J19">
            <v>1.0499999999999999E-3</v>
          </cell>
        </row>
      </sheetData>
      <sheetData sheetId="11171">
        <row r="19">
          <cell r="J19">
            <v>1.0499999999999999E-3</v>
          </cell>
        </row>
      </sheetData>
      <sheetData sheetId="11172"/>
      <sheetData sheetId="11173">
        <row r="19">
          <cell r="J19">
            <v>1.0499999999999999E-3</v>
          </cell>
        </row>
      </sheetData>
      <sheetData sheetId="11174"/>
      <sheetData sheetId="11175">
        <row r="19">
          <cell r="J19">
            <v>1.0499999999999999E-3</v>
          </cell>
        </row>
      </sheetData>
      <sheetData sheetId="11176">
        <row r="19">
          <cell r="J19">
            <v>1.0499999999999999E-3</v>
          </cell>
        </row>
      </sheetData>
      <sheetData sheetId="11177">
        <row r="19">
          <cell r="J19">
            <v>1.0499999999999999E-3</v>
          </cell>
        </row>
      </sheetData>
      <sheetData sheetId="11178">
        <row r="19">
          <cell r="J19">
            <v>1.0499999999999999E-3</v>
          </cell>
        </row>
      </sheetData>
      <sheetData sheetId="11179"/>
      <sheetData sheetId="11180">
        <row r="19">
          <cell r="J19">
            <v>1.0499999999999999E-3</v>
          </cell>
        </row>
      </sheetData>
      <sheetData sheetId="11181"/>
      <sheetData sheetId="11182">
        <row r="19">
          <cell r="J19">
            <v>1.0499999999999999E-3</v>
          </cell>
        </row>
      </sheetData>
      <sheetData sheetId="11183"/>
      <sheetData sheetId="11184">
        <row r="19">
          <cell r="J19">
            <v>1.0499999999999999E-3</v>
          </cell>
        </row>
      </sheetData>
      <sheetData sheetId="11185">
        <row r="19">
          <cell r="J19">
            <v>1.0499999999999999E-3</v>
          </cell>
        </row>
      </sheetData>
      <sheetData sheetId="11186">
        <row r="19">
          <cell r="J19">
            <v>1.0499999999999999E-3</v>
          </cell>
        </row>
      </sheetData>
      <sheetData sheetId="11187">
        <row r="19">
          <cell r="J19">
            <v>1.0499999999999999E-3</v>
          </cell>
        </row>
      </sheetData>
      <sheetData sheetId="11188">
        <row r="19">
          <cell r="J19">
            <v>1.0499999999999999E-3</v>
          </cell>
        </row>
      </sheetData>
      <sheetData sheetId="11189">
        <row r="19">
          <cell r="J19">
            <v>1.0499999999999999E-3</v>
          </cell>
        </row>
      </sheetData>
      <sheetData sheetId="11190">
        <row r="19">
          <cell r="J19">
            <v>1.0499999999999999E-3</v>
          </cell>
        </row>
      </sheetData>
      <sheetData sheetId="11191">
        <row r="19">
          <cell r="J19">
            <v>1.0499999999999999E-3</v>
          </cell>
        </row>
      </sheetData>
      <sheetData sheetId="11192">
        <row r="19">
          <cell r="J19">
            <v>1.0499999999999999E-3</v>
          </cell>
        </row>
      </sheetData>
      <sheetData sheetId="11193">
        <row r="19">
          <cell r="J19">
            <v>1.0499999999999999E-3</v>
          </cell>
        </row>
      </sheetData>
      <sheetData sheetId="11194">
        <row r="19">
          <cell r="J19">
            <v>1.0499999999999999E-3</v>
          </cell>
        </row>
      </sheetData>
      <sheetData sheetId="11195">
        <row r="19">
          <cell r="J19">
            <v>1.0499999999999999E-3</v>
          </cell>
        </row>
      </sheetData>
      <sheetData sheetId="11196">
        <row r="19">
          <cell r="J19">
            <v>1.0499999999999999E-3</v>
          </cell>
        </row>
      </sheetData>
      <sheetData sheetId="11197">
        <row r="19">
          <cell r="J19">
            <v>1.0499999999999999E-3</v>
          </cell>
        </row>
      </sheetData>
      <sheetData sheetId="11198">
        <row r="19">
          <cell r="J19">
            <v>1.0499999999999999E-3</v>
          </cell>
        </row>
      </sheetData>
      <sheetData sheetId="11199">
        <row r="19">
          <cell r="J19">
            <v>1.0499999999999999E-3</v>
          </cell>
        </row>
      </sheetData>
      <sheetData sheetId="11200">
        <row r="19">
          <cell r="J19">
            <v>1.0499999999999999E-3</v>
          </cell>
        </row>
      </sheetData>
      <sheetData sheetId="11201">
        <row r="19">
          <cell r="J19">
            <v>1.0499999999999999E-3</v>
          </cell>
        </row>
      </sheetData>
      <sheetData sheetId="11202">
        <row r="19">
          <cell r="J19">
            <v>1.0499999999999999E-3</v>
          </cell>
        </row>
      </sheetData>
      <sheetData sheetId="11203">
        <row r="19">
          <cell r="J19">
            <v>1.0499999999999999E-3</v>
          </cell>
        </row>
      </sheetData>
      <sheetData sheetId="11204">
        <row r="19">
          <cell r="J19">
            <v>1.0499999999999999E-3</v>
          </cell>
        </row>
      </sheetData>
      <sheetData sheetId="11205">
        <row r="19">
          <cell r="J19">
            <v>1.0499999999999999E-3</v>
          </cell>
        </row>
      </sheetData>
      <sheetData sheetId="11206">
        <row r="19">
          <cell r="J19">
            <v>1.0499999999999999E-3</v>
          </cell>
        </row>
      </sheetData>
      <sheetData sheetId="11207">
        <row r="19">
          <cell r="J19">
            <v>1.0499999999999999E-3</v>
          </cell>
        </row>
      </sheetData>
      <sheetData sheetId="11208">
        <row r="19">
          <cell r="J19">
            <v>1.0499999999999999E-3</v>
          </cell>
        </row>
      </sheetData>
      <sheetData sheetId="11209">
        <row r="19">
          <cell r="J19">
            <v>1.0499999999999999E-3</v>
          </cell>
        </row>
      </sheetData>
      <sheetData sheetId="11210">
        <row r="19">
          <cell r="J19">
            <v>1.0499999999999999E-3</v>
          </cell>
        </row>
      </sheetData>
      <sheetData sheetId="11211">
        <row r="19">
          <cell r="J19">
            <v>1.0499999999999999E-3</v>
          </cell>
        </row>
      </sheetData>
      <sheetData sheetId="11212">
        <row r="19">
          <cell r="J19">
            <v>1.0499999999999999E-3</v>
          </cell>
        </row>
      </sheetData>
      <sheetData sheetId="11213">
        <row r="19">
          <cell r="J19">
            <v>1.0499999999999999E-3</v>
          </cell>
        </row>
      </sheetData>
      <sheetData sheetId="11214">
        <row r="19">
          <cell r="J19">
            <v>1.0499999999999999E-3</v>
          </cell>
        </row>
      </sheetData>
      <sheetData sheetId="11215">
        <row r="19">
          <cell r="J19">
            <v>1.0499999999999999E-3</v>
          </cell>
        </row>
      </sheetData>
      <sheetData sheetId="11216">
        <row r="19">
          <cell r="J19">
            <v>1.0499999999999999E-3</v>
          </cell>
        </row>
      </sheetData>
      <sheetData sheetId="11217">
        <row r="19">
          <cell r="J19">
            <v>1.0499999999999999E-3</v>
          </cell>
        </row>
      </sheetData>
      <sheetData sheetId="11218">
        <row r="19">
          <cell r="J19">
            <v>1.0499999999999999E-3</v>
          </cell>
        </row>
      </sheetData>
      <sheetData sheetId="11219">
        <row r="19">
          <cell r="J19">
            <v>1.0499999999999999E-3</v>
          </cell>
        </row>
      </sheetData>
      <sheetData sheetId="11220">
        <row r="19">
          <cell r="J19">
            <v>1.0499999999999999E-3</v>
          </cell>
        </row>
      </sheetData>
      <sheetData sheetId="11221">
        <row r="19">
          <cell r="J19">
            <v>1.0499999999999999E-3</v>
          </cell>
        </row>
      </sheetData>
      <sheetData sheetId="11222"/>
      <sheetData sheetId="11223">
        <row r="19">
          <cell r="J19">
            <v>1.0499999999999999E-3</v>
          </cell>
        </row>
      </sheetData>
      <sheetData sheetId="11224"/>
      <sheetData sheetId="11225">
        <row r="19">
          <cell r="J19">
            <v>1.0499999999999999E-3</v>
          </cell>
        </row>
      </sheetData>
      <sheetData sheetId="11226">
        <row r="19">
          <cell r="J19">
            <v>1.0499999999999999E-3</v>
          </cell>
        </row>
      </sheetData>
      <sheetData sheetId="11227">
        <row r="19">
          <cell r="J19">
            <v>1.0499999999999999E-3</v>
          </cell>
        </row>
      </sheetData>
      <sheetData sheetId="11228">
        <row r="19">
          <cell r="J19">
            <v>1.0499999999999999E-3</v>
          </cell>
        </row>
      </sheetData>
      <sheetData sheetId="11229">
        <row r="19">
          <cell r="J19">
            <v>1.0499999999999999E-3</v>
          </cell>
        </row>
      </sheetData>
      <sheetData sheetId="11230">
        <row r="19">
          <cell r="J19">
            <v>1.0499999999999999E-3</v>
          </cell>
        </row>
      </sheetData>
      <sheetData sheetId="11231">
        <row r="19">
          <cell r="J19">
            <v>1.0499999999999999E-3</v>
          </cell>
        </row>
      </sheetData>
      <sheetData sheetId="11232">
        <row r="19">
          <cell r="J19">
            <v>1.0499999999999999E-3</v>
          </cell>
        </row>
      </sheetData>
      <sheetData sheetId="11233">
        <row r="19">
          <cell r="J19">
            <v>1.0499999999999999E-3</v>
          </cell>
        </row>
      </sheetData>
      <sheetData sheetId="11234">
        <row r="19">
          <cell r="J19">
            <v>1.0499999999999999E-3</v>
          </cell>
        </row>
      </sheetData>
      <sheetData sheetId="11235">
        <row r="19">
          <cell r="J19">
            <v>1.0499999999999999E-3</v>
          </cell>
        </row>
      </sheetData>
      <sheetData sheetId="11236">
        <row r="19">
          <cell r="J19">
            <v>1.0499999999999999E-3</v>
          </cell>
        </row>
      </sheetData>
      <sheetData sheetId="11237"/>
      <sheetData sheetId="11238"/>
      <sheetData sheetId="11239"/>
      <sheetData sheetId="11240"/>
      <sheetData sheetId="11241"/>
      <sheetData sheetId="11242"/>
      <sheetData sheetId="11243">
        <row r="19">
          <cell r="J19">
            <v>1.0499999999999999E-3</v>
          </cell>
        </row>
      </sheetData>
      <sheetData sheetId="11244">
        <row r="19">
          <cell r="J19">
            <v>1.0499999999999999E-3</v>
          </cell>
        </row>
      </sheetData>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row r="19">
          <cell r="J19">
            <v>1.0499999999999999E-3</v>
          </cell>
        </row>
      </sheetData>
      <sheetData sheetId="11263">
        <row r="19">
          <cell r="J19">
            <v>1.0499999999999999E-3</v>
          </cell>
        </row>
      </sheetData>
      <sheetData sheetId="11264">
        <row r="19">
          <cell r="J19">
            <v>1.0499999999999999E-3</v>
          </cell>
        </row>
      </sheetData>
      <sheetData sheetId="11265"/>
      <sheetData sheetId="11266"/>
      <sheetData sheetId="11267"/>
      <sheetData sheetId="11268"/>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sheetData sheetId="11374"/>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row r="19">
          <cell r="J19">
            <v>1.0499999999999999E-3</v>
          </cell>
        </row>
      </sheetData>
      <sheetData sheetId="11400">
        <row r="19">
          <cell r="J19">
            <v>1.0499999999999999E-3</v>
          </cell>
        </row>
      </sheetData>
      <sheetData sheetId="11401">
        <row r="19">
          <cell r="J19">
            <v>1.0499999999999999E-3</v>
          </cell>
        </row>
      </sheetData>
      <sheetData sheetId="11402">
        <row r="19">
          <cell r="J19">
            <v>1.0499999999999999E-3</v>
          </cell>
        </row>
      </sheetData>
      <sheetData sheetId="11403">
        <row r="19">
          <cell r="J19">
            <v>1.0499999999999999E-3</v>
          </cell>
        </row>
      </sheetData>
      <sheetData sheetId="11404">
        <row r="19">
          <cell r="J19">
            <v>1.0499999999999999E-3</v>
          </cell>
        </row>
      </sheetData>
      <sheetData sheetId="11405">
        <row r="19">
          <cell r="J19">
            <v>1.0499999999999999E-3</v>
          </cell>
        </row>
      </sheetData>
      <sheetData sheetId="11406">
        <row r="19">
          <cell r="J19">
            <v>1.0499999999999999E-3</v>
          </cell>
        </row>
      </sheetData>
      <sheetData sheetId="11407">
        <row r="19">
          <cell r="J19">
            <v>1.0499999999999999E-3</v>
          </cell>
        </row>
      </sheetData>
      <sheetData sheetId="11408">
        <row r="19">
          <cell r="J19">
            <v>1.0499999999999999E-3</v>
          </cell>
        </row>
      </sheetData>
      <sheetData sheetId="11409">
        <row r="19">
          <cell r="J19">
            <v>1.0499999999999999E-3</v>
          </cell>
        </row>
      </sheetData>
      <sheetData sheetId="11410">
        <row r="19">
          <cell r="J19">
            <v>1.0499999999999999E-3</v>
          </cell>
        </row>
      </sheetData>
      <sheetData sheetId="11411">
        <row r="19">
          <cell r="J19">
            <v>1.0499999999999999E-3</v>
          </cell>
        </row>
      </sheetData>
      <sheetData sheetId="11412">
        <row r="19">
          <cell r="J19">
            <v>1.0499999999999999E-3</v>
          </cell>
        </row>
      </sheetData>
      <sheetData sheetId="11413">
        <row r="19">
          <cell r="J19">
            <v>1.0499999999999999E-3</v>
          </cell>
        </row>
      </sheetData>
      <sheetData sheetId="11414">
        <row r="19">
          <cell r="J19">
            <v>1.0499999999999999E-3</v>
          </cell>
        </row>
      </sheetData>
      <sheetData sheetId="11415">
        <row r="19">
          <cell r="J19">
            <v>1.0499999999999999E-3</v>
          </cell>
        </row>
      </sheetData>
      <sheetData sheetId="11416">
        <row r="19">
          <cell r="J19">
            <v>1.0499999999999999E-3</v>
          </cell>
        </row>
      </sheetData>
      <sheetData sheetId="11417">
        <row r="19">
          <cell r="J19">
            <v>1.0499999999999999E-3</v>
          </cell>
        </row>
      </sheetData>
      <sheetData sheetId="11418">
        <row r="19">
          <cell r="J19">
            <v>1.0499999999999999E-3</v>
          </cell>
        </row>
      </sheetData>
      <sheetData sheetId="11419">
        <row r="19">
          <cell r="J19">
            <v>1.0499999999999999E-3</v>
          </cell>
        </row>
      </sheetData>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row r="19">
          <cell r="J19">
            <v>1.0499999999999999E-3</v>
          </cell>
        </row>
      </sheetData>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sheetData sheetId="11438"/>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row r="19">
          <cell r="J19">
            <v>1.0499999999999999E-3</v>
          </cell>
        </row>
      </sheetData>
      <sheetData sheetId="11447">
        <row r="19">
          <cell r="J19">
            <v>1.0499999999999999E-3</v>
          </cell>
        </row>
      </sheetData>
      <sheetData sheetId="11448">
        <row r="19">
          <cell r="J19">
            <v>1.0499999999999999E-3</v>
          </cell>
        </row>
      </sheetData>
      <sheetData sheetId="11449">
        <row r="19">
          <cell r="J19">
            <v>1.0499999999999999E-3</v>
          </cell>
        </row>
      </sheetData>
      <sheetData sheetId="11450">
        <row r="19">
          <cell r="J19">
            <v>1.0499999999999999E-3</v>
          </cell>
        </row>
      </sheetData>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sheetData sheetId="11459">
        <row r="19">
          <cell r="J19">
            <v>1.0499999999999999E-3</v>
          </cell>
        </row>
      </sheetData>
      <sheetData sheetId="11460">
        <row r="19">
          <cell r="J19">
            <v>1.0499999999999999E-3</v>
          </cell>
        </row>
      </sheetData>
      <sheetData sheetId="11461">
        <row r="19">
          <cell r="J19">
            <v>1.0499999999999999E-3</v>
          </cell>
        </row>
      </sheetData>
      <sheetData sheetId="11462"/>
      <sheetData sheetId="11463">
        <row r="19">
          <cell r="J19">
            <v>1.0499999999999999E-3</v>
          </cell>
        </row>
      </sheetData>
      <sheetData sheetId="11464">
        <row r="19">
          <cell r="J19">
            <v>1.0499999999999999E-3</v>
          </cell>
        </row>
      </sheetData>
      <sheetData sheetId="11465"/>
      <sheetData sheetId="11466">
        <row r="19">
          <cell r="J19">
            <v>1.0499999999999999E-3</v>
          </cell>
        </row>
      </sheetData>
      <sheetData sheetId="11467">
        <row r="19">
          <cell r="J19">
            <v>1.0499999999999999E-3</v>
          </cell>
        </row>
      </sheetData>
      <sheetData sheetId="11468">
        <row r="19">
          <cell r="J19">
            <v>1.0499999999999999E-3</v>
          </cell>
        </row>
      </sheetData>
      <sheetData sheetId="11469">
        <row r="19">
          <cell r="J19">
            <v>1.0499999999999999E-3</v>
          </cell>
        </row>
      </sheetData>
      <sheetData sheetId="11470">
        <row r="19">
          <cell r="J19">
            <v>1.0499999999999999E-3</v>
          </cell>
        </row>
      </sheetData>
      <sheetData sheetId="11471">
        <row r="19">
          <cell r="J19">
            <v>1.0499999999999999E-3</v>
          </cell>
        </row>
      </sheetData>
      <sheetData sheetId="11472">
        <row r="19">
          <cell r="J19">
            <v>1.0499999999999999E-3</v>
          </cell>
        </row>
      </sheetData>
      <sheetData sheetId="11473">
        <row r="19">
          <cell r="J19">
            <v>1.0499999999999999E-3</v>
          </cell>
        </row>
      </sheetData>
      <sheetData sheetId="11474"/>
      <sheetData sheetId="11475">
        <row r="19">
          <cell r="J19">
            <v>1.0499999999999999E-3</v>
          </cell>
        </row>
      </sheetData>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sheetData sheetId="11486"/>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sheetData sheetId="11540"/>
      <sheetData sheetId="11541">
        <row r="19">
          <cell r="J19">
            <v>1.0499999999999999E-3</v>
          </cell>
        </row>
      </sheetData>
      <sheetData sheetId="11542">
        <row r="19">
          <cell r="J19">
            <v>1.0499999999999999E-3</v>
          </cell>
        </row>
      </sheetData>
      <sheetData sheetId="11543">
        <row r="19">
          <cell r="J19">
            <v>1.0499999999999999E-3</v>
          </cell>
        </row>
      </sheetData>
      <sheetData sheetId="11544"/>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sheetData sheetId="11599">
        <row r="19">
          <cell r="J19">
            <v>1.0499999999999999E-3</v>
          </cell>
        </row>
      </sheetData>
      <sheetData sheetId="11600">
        <row r="19">
          <cell r="J19">
            <v>1.0499999999999999E-3</v>
          </cell>
        </row>
      </sheetData>
      <sheetData sheetId="11601"/>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sheetData sheetId="11614"/>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sheetData sheetId="11621"/>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row r="19">
          <cell r="J19">
            <v>1.0499999999999999E-3</v>
          </cell>
        </row>
      </sheetData>
      <sheetData sheetId="11637">
        <row r="19">
          <cell r="J19">
            <v>1.0499999999999999E-3</v>
          </cell>
        </row>
      </sheetData>
      <sheetData sheetId="11638"/>
      <sheetData sheetId="11639"/>
      <sheetData sheetId="11640">
        <row r="19">
          <cell r="J19">
            <v>1.0499999999999999E-3</v>
          </cell>
        </row>
      </sheetData>
      <sheetData sheetId="11641">
        <row r="19">
          <cell r="J19">
            <v>1.0499999999999999E-3</v>
          </cell>
        </row>
      </sheetData>
      <sheetData sheetId="11642">
        <row r="19">
          <cell r="J19">
            <v>1.0499999999999999E-3</v>
          </cell>
        </row>
      </sheetData>
      <sheetData sheetId="11643">
        <row r="19">
          <cell r="J19">
            <v>1.0499999999999999E-3</v>
          </cell>
        </row>
      </sheetData>
      <sheetData sheetId="11644">
        <row r="19">
          <cell r="J19">
            <v>1.0499999999999999E-3</v>
          </cell>
        </row>
      </sheetData>
      <sheetData sheetId="11645">
        <row r="19">
          <cell r="J19">
            <v>1.0499999999999999E-3</v>
          </cell>
        </row>
      </sheetData>
      <sheetData sheetId="11646"/>
      <sheetData sheetId="11647">
        <row r="19">
          <cell r="J19">
            <v>1.0499999999999999E-3</v>
          </cell>
        </row>
      </sheetData>
      <sheetData sheetId="11648">
        <row r="19">
          <cell r="J19">
            <v>1.0499999999999999E-3</v>
          </cell>
        </row>
      </sheetData>
      <sheetData sheetId="11649"/>
      <sheetData sheetId="11650">
        <row r="19">
          <cell r="J19">
            <v>1.0499999999999999E-3</v>
          </cell>
        </row>
      </sheetData>
      <sheetData sheetId="11651">
        <row r="19">
          <cell r="J19">
            <v>1.0499999999999999E-3</v>
          </cell>
        </row>
      </sheetData>
      <sheetData sheetId="11652">
        <row r="19">
          <cell r="J19">
            <v>1.0499999999999999E-3</v>
          </cell>
        </row>
      </sheetData>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row r="19">
          <cell r="J19">
            <v>1.0499999999999999E-3</v>
          </cell>
        </row>
      </sheetData>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row r="19">
          <cell r="J19">
            <v>1.0499999999999999E-3</v>
          </cell>
        </row>
      </sheetData>
      <sheetData sheetId="11707">
        <row r="19">
          <cell r="J19">
            <v>1.0499999999999999E-3</v>
          </cell>
        </row>
      </sheetData>
      <sheetData sheetId="11708">
        <row r="19">
          <cell r="J19">
            <v>1.0499999999999999E-3</v>
          </cell>
        </row>
      </sheetData>
      <sheetData sheetId="11709">
        <row r="19">
          <cell r="J19">
            <v>1.0499999999999999E-3</v>
          </cell>
        </row>
      </sheetData>
      <sheetData sheetId="11710">
        <row r="19">
          <cell r="J19">
            <v>1.0499999999999999E-3</v>
          </cell>
        </row>
      </sheetData>
      <sheetData sheetId="11711">
        <row r="19">
          <cell r="J19">
            <v>1.0499999999999999E-3</v>
          </cell>
        </row>
      </sheetData>
      <sheetData sheetId="11712">
        <row r="19">
          <cell r="J19">
            <v>1.0499999999999999E-3</v>
          </cell>
        </row>
      </sheetData>
      <sheetData sheetId="11713">
        <row r="19">
          <cell r="J19">
            <v>1.0499999999999999E-3</v>
          </cell>
        </row>
      </sheetData>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row r="19">
          <cell r="J19">
            <v>1.0499999999999999E-3</v>
          </cell>
        </row>
      </sheetData>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sheetData sheetId="11732">
        <row r="19">
          <cell r="J19">
            <v>1.0499999999999999E-3</v>
          </cell>
        </row>
      </sheetData>
      <sheetData sheetId="11733">
        <row r="19">
          <cell r="J19">
            <v>1.0499999999999999E-3</v>
          </cell>
        </row>
      </sheetData>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row r="19">
          <cell r="J19">
            <v>1.0499999999999999E-3</v>
          </cell>
        </row>
      </sheetData>
      <sheetData sheetId="11739">
        <row r="19">
          <cell r="J19">
            <v>1.0499999999999999E-3</v>
          </cell>
        </row>
      </sheetData>
      <sheetData sheetId="11740">
        <row r="19">
          <cell r="J19">
            <v>1.0499999999999999E-3</v>
          </cell>
        </row>
      </sheetData>
      <sheetData sheetId="11741">
        <row r="19">
          <cell r="J19">
            <v>1.0499999999999999E-3</v>
          </cell>
        </row>
      </sheetData>
      <sheetData sheetId="11742">
        <row r="19">
          <cell r="J19">
            <v>1.0499999999999999E-3</v>
          </cell>
        </row>
      </sheetData>
      <sheetData sheetId="11743">
        <row r="19">
          <cell r="J19">
            <v>1.0499999999999999E-3</v>
          </cell>
        </row>
      </sheetData>
      <sheetData sheetId="11744">
        <row r="19">
          <cell r="J19">
            <v>1.0499999999999999E-3</v>
          </cell>
        </row>
      </sheetData>
      <sheetData sheetId="11745">
        <row r="19">
          <cell r="J19">
            <v>1.0499999999999999E-3</v>
          </cell>
        </row>
      </sheetData>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row r="19">
          <cell r="J19">
            <v>1.0499999999999999E-3</v>
          </cell>
        </row>
      </sheetData>
      <sheetData sheetId="11765">
        <row r="19">
          <cell r="J19">
            <v>1.0499999999999999E-3</v>
          </cell>
        </row>
      </sheetData>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row r="19">
          <cell r="J19">
            <v>1.0499999999999999E-3</v>
          </cell>
        </row>
      </sheetData>
      <sheetData sheetId="11771">
        <row r="19">
          <cell r="J19">
            <v>1.0499999999999999E-3</v>
          </cell>
        </row>
      </sheetData>
      <sheetData sheetId="11772">
        <row r="19">
          <cell r="J19">
            <v>1.0499999999999999E-3</v>
          </cell>
        </row>
      </sheetData>
      <sheetData sheetId="11773"/>
      <sheetData sheetId="11774"/>
      <sheetData sheetId="11775">
        <row r="19">
          <cell r="J19">
            <v>1.0499999999999999E-3</v>
          </cell>
        </row>
      </sheetData>
      <sheetData sheetId="11776"/>
      <sheetData sheetId="11777">
        <row r="19">
          <cell r="J19">
            <v>1.0499999999999999E-3</v>
          </cell>
        </row>
      </sheetData>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row r="19">
          <cell r="J19">
            <v>1.0499999999999999E-3</v>
          </cell>
        </row>
      </sheetData>
      <sheetData sheetId="11804">
        <row r="19">
          <cell r="J19">
            <v>1.0499999999999999E-3</v>
          </cell>
        </row>
      </sheetData>
      <sheetData sheetId="11805">
        <row r="19">
          <cell r="J19">
            <v>1.0499999999999999E-3</v>
          </cell>
        </row>
      </sheetData>
      <sheetData sheetId="11806">
        <row r="19">
          <cell r="J19">
            <v>1.0499999999999999E-3</v>
          </cell>
        </row>
      </sheetData>
      <sheetData sheetId="11807">
        <row r="19">
          <cell r="J19">
            <v>1.0499999999999999E-3</v>
          </cell>
        </row>
      </sheetData>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row r="19">
          <cell r="J19">
            <v>1.0499999999999999E-3</v>
          </cell>
        </row>
      </sheetData>
      <sheetData sheetId="11859"/>
      <sheetData sheetId="11860"/>
      <sheetData sheetId="11861">
        <row r="19">
          <cell r="J19">
            <v>1.0499999999999999E-3</v>
          </cell>
        </row>
      </sheetData>
      <sheetData sheetId="11862"/>
      <sheetData sheetId="11863">
        <row r="19">
          <cell r="J19">
            <v>1.0499999999999999E-3</v>
          </cell>
        </row>
      </sheetData>
      <sheetData sheetId="11864"/>
      <sheetData sheetId="11865"/>
      <sheetData sheetId="11866"/>
      <sheetData sheetId="11867"/>
      <sheetData sheetId="11868">
        <row r="19">
          <cell r="J19">
            <v>1.0499999999999999E-3</v>
          </cell>
        </row>
      </sheetData>
      <sheetData sheetId="11869" refreshError="1"/>
      <sheetData sheetId="11870" refreshError="1"/>
      <sheetData sheetId="11871"/>
      <sheetData sheetId="11872"/>
      <sheetData sheetId="11873"/>
      <sheetData sheetId="11874"/>
      <sheetData sheetId="11875"/>
      <sheetData sheetId="11876"/>
      <sheetData sheetId="11877"/>
      <sheetData sheetId="11878">
        <row r="19">
          <cell r="J19">
            <v>1.0499999999999999E-3</v>
          </cell>
        </row>
      </sheetData>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row r="19">
          <cell r="J19">
            <v>1.0499999999999999E-3</v>
          </cell>
        </row>
      </sheetData>
      <sheetData sheetId="11912">
        <row r="19">
          <cell r="J19">
            <v>1.0499999999999999E-3</v>
          </cell>
        </row>
      </sheetData>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row r="19">
          <cell r="J19">
            <v>1.0499999999999999E-3</v>
          </cell>
        </row>
      </sheetData>
      <sheetData sheetId="11922">
        <row r="19">
          <cell r="J19">
            <v>1.0499999999999999E-3</v>
          </cell>
        </row>
      </sheetData>
      <sheetData sheetId="11923">
        <row r="19">
          <cell r="J19">
            <v>1.0499999999999999E-3</v>
          </cell>
        </row>
      </sheetData>
      <sheetData sheetId="11924">
        <row r="19">
          <cell r="J19">
            <v>1.0499999999999999E-3</v>
          </cell>
        </row>
      </sheetData>
      <sheetData sheetId="11925">
        <row r="19">
          <cell r="J19">
            <v>1.0499999999999999E-3</v>
          </cell>
        </row>
      </sheetData>
      <sheetData sheetId="11926">
        <row r="19">
          <cell r="J19">
            <v>1.0499999999999999E-3</v>
          </cell>
        </row>
      </sheetData>
      <sheetData sheetId="11927">
        <row r="19">
          <cell r="J19">
            <v>1.0499999999999999E-3</v>
          </cell>
        </row>
      </sheetData>
      <sheetData sheetId="11928">
        <row r="19">
          <cell r="J19">
            <v>1.0499999999999999E-3</v>
          </cell>
        </row>
      </sheetData>
      <sheetData sheetId="11929">
        <row r="19">
          <cell r="J19">
            <v>1.0499999999999999E-3</v>
          </cell>
        </row>
      </sheetData>
      <sheetData sheetId="11930">
        <row r="19">
          <cell r="J19">
            <v>1.0499999999999999E-3</v>
          </cell>
        </row>
      </sheetData>
      <sheetData sheetId="11931">
        <row r="19">
          <cell r="J19">
            <v>1.0499999999999999E-3</v>
          </cell>
        </row>
      </sheetData>
      <sheetData sheetId="11932">
        <row r="19">
          <cell r="J19">
            <v>1.0499999999999999E-3</v>
          </cell>
        </row>
      </sheetData>
      <sheetData sheetId="11933">
        <row r="19">
          <cell r="J19">
            <v>1.0499999999999999E-3</v>
          </cell>
        </row>
      </sheetData>
      <sheetData sheetId="11934">
        <row r="19">
          <cell r="J19">
            <v>1.0499999999999999E-3</v>
          </cell>
        </row>
      </sheetData>
      <sheetData sheetId="11935">
        <row r="19">
          <cell r="J19">
            <v>1.0499999999999999E-3</v>
          </cell>
        </row>
      </sheetData>
      <sheetData sheetId="11936">
        <row r="19">
          <cell r="J19">
            <v>1.0499999999999999E-3</v>
          </cell>
        </row>
      </sheetData>
      <sheetData sheetId="11937">
        <row r="19">
          <cell r="J19">
            <v>1.0499999999999999E-3</v>
          </cell>
        </row>
      </sheetData>
      <sheetData sheetId="11938">
        <row r="19">
          <cell r="J19">
            <v>1.0499999999999999E-3</v>
          </cell>
        </row>
      </sheetData>
      <sheetData sheetId="11939">
        <row r="19">
          <cell r="J19">
            <v>1.0499999999999999E-3</v>
          </cell>
        </row>
      </sheetData>
      <sheetData sheetId="11940">
        <row r="19">
          <cell r="J19">
            <v>1.0499999999999999E-3</v>
          </cell>
        </row>
      </sheetData>
      <sheetData sheetId="11941">
        <row r="19">
          <cell r="J19">
            <v>1.0499999999999999E-3</v>
          </cell>
        </row>
      </sheetData>
      <sheetData sheetId="11942">
        <row r="19">
          <cell r="J19">
            <v>1.0499999999999999E-3</v>
          </cell>
        </row>
      </sheetData>
      <sheetData sheetId="11943">
        <row r="19">
          <cell r="J19">
            <v>1.0499999999999999E-3</v>
          </cell>
        </row>
      </sheetData>
      <sheetData sheetId="11944">
        <row r="19">
          <cell r="J19">
            <v>1.0499999999999999E-3</v>
          </cell>
        </row>
      </sheetData>
      <sheetData sheetId="11945">
        <row r="19">
          <cell r="J19">
            <v>1.0499999999999999E-3</v>
          </cell>
        </row>
      </sheetData>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row r="19">
          <cell r="J19">
            <v>1.0499999999999999E-3</v>
          </cell>
        </row>
      </sheetData>
      <sheetData sheetId="11954">
        <row r="19">
          <cell r="J19">
            <v>1.0499999999999999E-3</v>
          </cell>
        </row>
      </sheetData>
      <sheetData sheetId="11955">
        <row r="19">
          <cell r="J19">
            <v>1.0499999999999999E-3</v>
          </cell>
        </row>
      </sheetData>
      <sheetData sheetId="11956">
        <row r="19">
          <cell r="J19">
            <v>1.0499999999999999E-3</v>
          </cell>
        </row>
      </sheetData>
      <sheetData sheetId="11957">
        <row r="19">
          <cell r="J19">
            <v>1.0499999999999999E-3</v>
          </cell>
        </row>
      </sheetData>
      <sheetData sheetId="11958">
        <row r="19">
          <cell r="J19">
            <v>1.0499999999999999E-3</v>
          </cell>
        </row>
      </sheetData>
      <sheetData sheetId="11959">
        <row r="19">
          <cell r="J19">
            <v>1.0499999999999999E-3</v>
          </cell>
        </row>
      </sheetData>
      <sheetData sheetId="11960">
        <row r="19">
          <cell r="J19">
            <v>1.0499999999999999E-3</v>
          </cell>
        </row>
      </sheetData>
      <sheetData sheetId="11961">
        <row r="19">
          <cell r="J19">
            <v>1.0499999999999999E-3</v>
          </cell>
        </row>
      </sheetData>
      <sheetData sheetId="11962">
        <row r="19">
          <cell r="J19">
            <v>1.0499999999999999E-3</v>
          </cell>
        </row>
      </sheetData>
      <sheetData sheetId="11963">
        <row r="19">
          <cell r="J19">
            <v>1.0499999999999999E-3</v>
          </cell>
        </row>
      </sheetData>
      <sheetData sheetId="11964">
        <row r="19">
          <cell r="J19">
            <v>1.0499999999999999E-3</v>
          </cell>
        </row>
      </sheetData>
      <sheetData sheetId="11965">
        <row r="19">
          <cell r="J19">
            <v>1.0499999999999999E-3</v>
          </cell>
        </row>
      </sheetData>
      <sheetData sheetId="11966">
        <row r="19">
          <cell r="J19">
            <v>1.0499999999999999E-3</v>
          </cell>
        </row>
      </sheetData>
      <sheetData sheetId="11967">
        <row r="19">
          <cell r="J19">
            <v>1.0499999999999999E-3</v>
          </cell>
        </row>
      </sheetData>
      <sheetData sheetId="11968">
        <row r="19">
          <cell r="J19">
            <v>1.0499999999999999E-3</v>
          </cell>
        </row>
      </sheetData>
      <sheetData sheetId="11969">
        <row r="19">
          <cell r="J19">
            <v>1.0499999999999999E-3</v>
          </cell>
        </row>
      </sheetData>
      <sheetData sheetId="11970">
        <row r="19">
          <cell r="J19">
            <v>1.0499999999999999E-3</v>
          </cell>
        </row>
      </sheetData>
      <sheetData sheetId="11971">
        <row r="19">
          <cell r="J19">
            <v>1.0499999999999999E-3</v>
          </cell>
        </row>
      </sheetData>
      <sheetData sheetId="11972">
        <row r="19">
          <cell r="J19">
            <v>1.0499999999999999E-3</v>
          </cell>
        </row>
      </sheetData>
      <sheetData sheetId="11973">
        <row r="19">
          <cell r="J19">
            <v>1.0499999999999999E-3</v>
          </cell>
        </row>
      </sheetData>
      <sheetData sheetId="11974">
        <row r="19">
          <cell r="J19">
            <v>1.0499999999999999E-3</v>
          </cell>
        </row>
      </sheetData>
      <sheetData sheetId="11975">
        <row r="19">
          <cell r="J19">
            <v>1.0499999999999999E-3</v>
          </cell>
        </row>
      </sheetData>
      <sheetData sheetId="11976">
        <row r="19">
          <cell r="J19">
            <v>1.0499999999999999E-3</v>
          </cell>
        </row>
      </sheetData>
      <sheetData sheetId="11977">
        <row r="19">
          <cell r="J19">
            <v>1.0499999999999999E-3</v>
          </cell>
        </row>
      </sheetData>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row r="19">
          <cell r="J19">
            <v>1.0499999999999999E-3</v>
          </cell>
        </row>
      </sheetData>
      <sheetData sheetId="11987">
        <row r="19">
          <cell r="J19">
            <v>1.0499999999999999E-3</v>
          </cell>
        </row>
      </sheetData>
      <sheetData sheetId="11988">
        <row r="19">
          <cell r="J19">
            <v>1.0499999999999999E-3</v>
          </cell>
        </row>
      </sheetData>
      <sheetData sheetId="11989">
        <row r="19">
          <cell r="J19">
            <v>1.0499999999999999E-3</v>
          </cell>
        </row>
      </sheetData>
      <sheetData sheetId="11990">
        <row r="19">
          <cell r="J19">
            <v>1.0499999999999999E-3</v>
          </cell>
        </row>
      </sheetData>
      <sheetData sheetId="11991">
        <row r="19">
          <cell r="J19">
            <v>1.0499999999999999E-3</v>
          </cell>
        </row>
      </sheetData>
      <sheetData sheetId="11992">
        <row r="19">
          <cell r="J19">
            <v>1.0499999999999999E-3</v>
          </cell>
        </row>
      </sheetData>
      <sheetData sheetId="11993">
        <row r="19">
          <cell r="J19">
            <v>1.0499999999999999E-3</v>
          </cell>
        </row>
      </sheetData>
      <sheetData sheetId="11994">
        <row r="19">
          <cell r="J19">
            <v>1.0499999999999999E-3</v>
          </cell>
        </row>
      </sheetData>
      <sheetData sheetId="11995">
        <row r="19">
          <cell r="J19">
            <v>1.0499999999999999E-3</v>
          </cell>
        </row>
      </sheetData>
      <sheetData sheetId="11996">
        <row r="19">
          <cell r="J19">
            <v>1.0499999999999999E-3</v>
          </cell>
        </row>
      </sheetData>
      <sheetData sheetId="11997">
        <row r="19">
          <cell r="J19">
            <v>1.0499999999999999E-3</v>
          </cell>
        </row>
      </sheetData>
      <sheetData sheetId="11998">
        <row r="19">
          <cell r="J19">
            <v>1.0499999999999999E-3</v>
          </cell>
        </row>
      </sheetData>
      <sheetData sheetId="11999">
        <row r="19">
          <cell r="J19">
            <v>1.0499999999999999E-3</v>
          </cell>
        </row>
      </sheetData>
      <sheetData sheetId="12000">
        <row r="19">
          <cell r="J19">
            <v>1.0499999999999999E-3</v>
          </cell>
        </row>
      </sheetData>
      <sheetData sheetId="12001">
        <row r="19">
          <cell r="J19">
            <v>1.0499999999999999E-3</v>
          </cell>
        </row>
      </sheetData>
      <sheetData sheetId="12002">
        <row r="19">
          <cell r="J19">
            <v>1.0499999999999999E-3</v>
          </cell>
        </row>
      </sheetData>
      <sheetData sheetId="12003">
        <row r="19">
          <cell r="J19">
            <v>1.0499999999999999E-3</v>
          </cell>
        </row>
      </sheetData>
      <sheetData sheetId="12004">
        <row r="19">
          <cell r="J19">
            <v>1.0499999999999999E-3</v>
          </cell>
        </row>
      </sheetData>
      <sheetData sheetId="12005">
        <row r="19">
          <cell r="J19">
            <v>1.0499999999999999E-3</v>
          </cell>
        </row>
      </sheetData>
      <sheetData sheetId="12006">
        <row r="19">
          <cell r="J19">
            <v>1.0499999999999999E-3</v>
          </cell>
        </row>
      </sheetData>
      <sheetData sheetId="12007">
        <row r="19">
          <cell r="J19">
            <v>1.0499999999999999E-3</v>
          </cell>
        </row>
      </sheetData>
      <sheetData sheetId="12008">
        <row r="19">
          <cell r="J19">
            <v>1.0499999999999999E-3</v>
          </cell>
        </row>
      </sheetData>
      <sheetData sheetId="12009">
        <row r="19">
          <cell r="J19">
            <v>1.0499999999999999E-3</v>
          </cell>
        </row>
      </sheetData>
      <sheetData sheetId="12010">
        <row r="19">
          <cell r="J19">
            <v>1.0499999999999999E-3</v>
          </cell>
        </row>
      </sheetData>
      <sheetData sheetId="12011">
        <row r="19">
          <cell r="J19">
            <v>1.0499999999999999E-3</v>
          </cell>
        </row>
      </sheetData>
      <sheetData sheetId="12012">
        <row r="19">
          <cell r="J19">
            <v>1.0499999999999999E-3</v>
          </cell>
        </row>
      </sheetData>
      <sheetData sheetId="12013">
        <row r="19">
          <cell r="J19">
            <v>1.0499999999999999E-3</v>
          </cell>
        </row>
      </sheetData>
      <sheetData sheetId="12014">
        <row r="19">
          <cell r="J19">
            <v>1.0499999999999999E-3</v>
          </cell>
        </row>
      </sheetData>
      <sheetData sheetId="12015">
        <row r="19">
          <cell r="J19">
            <v>1.0499999999999999E-3</v>
          </cell>
        </row>
      </sheetData>
      <sheetData sheetId="12016">
        <row r="19">
          <cell r="J19">
            <v>1.0499999999999999E-3</v>
          </cell>
        </row>
      </sheetData>
      <sheetData sheetId="12017">
        <row r="19">
          <cell r="J19">
            <v>1.0499999999999999E-3</v>
          </cell>
        </row>
      </sheetData>
      <sheetData sheetId="12018">
        <row r="19">
          <cell r="J19">
            <v>1.0499999999999999E-3</v>
          </cell>
        </row>
      </sheetData>
      <sheetData sheetId="12019">
        <row r="19">
          <cell r="J19">
            <v>1.0499999999999999E-3</v>
          </cell>
        </row>
      </sheetData>
      <sheetData sheetId="12020">
        <row r="19">
          <cell r="J19">
            <v>1.0499999999999999E-3</v>
          </cell>
        </row>
      </sheetData>
      <sheetData sheetId="12021">
        <row r="19">
          <cell r="J19">
            <v>1.0499999999999999E-3</v>
          </cell>
        </row>
      </sheetData>
      <sheetData sheetId="12022">
        <row r="19">
          <cell r="J19">
            <v>1.0499999999999999E-3</v>
          </cell>
        </row>
      </sheetData>
      <sheetData sheetId="12023">
        <row r="19">
          <cell r="J19">
            <v>1.0499999999999999E-3</v>
          </cell>
        </row>
      </sheetData>
      <sheetData sheetId="12024">
        <row r="19">
          <cell r="J19">
            <v>1.0499999999999999E-3</v>
          </cell>
        </row>
      </sheetData>
      <sheetData sheetId="12025">
        <row r="19">
          <cell r="J19">
            <v>1.0499999999999999E-3</v>
          </cell>
        </row>
      </sheetData>
      <sheetData sheetId="12026">
        <row r="19">
          <cell r="J19">
            <v>1.0499999999999999E-3</v>
          </cell>
        </row>
      </sheetData>
      <sheetData sheetId="12027">
        <row r="19">
          <cell r="J19">
            <v>1.0499999999999999E-3</v>
          </cell>
        </row>
      </sheetData>
      <sheetData sheetId="12028">
        <row r="19">
          <cell r="J19">
            <v>1.0499999999999999E-3</v>
          </cell>
        </row>
      </sheetData>
      <sheetData sheetId="12029">
        <row r="19">
          <cell r="J19">
            <v>1.0499999999999999E-3</v>
          </cell>
        </row>
      </sheetData>
      <sheetData sheetId="12030">
        <row r="19">
          <cell r="J19">
            <v>1.0499999999999999E-3</v>
          </cell>
        </row>
      </sheetData>
      <sheetData sheetId="12031">
        <row r="19">
          <cell r="J19">
            <v>1.0499999999999999E-3</v>
          </cell>
        </row>
      </sheetData>
      <sheetData sheetId="12032">
        <row r="19">
          <cell r="J19">
            <v>1.0499999999999999E-3</v>
          </cell>
        </row>
      </sheetData>
      <sheetData sheetId="12033">
        <row r="19">
          <cell r="J19">
            <v>1.0499999999999999E-3</v>
          </cell>
        </row>
      </sheetData>
      <sheetData sheetId="12034">
        <row r="19">
          <cell r="J19">
            <v>1.0499999999999999E-3</v>
          </cell>
        </row>
      </sheetData>
      <sheetData sheetId="12035">
        <row r="19">
          <cell r="J19">
            <v>1.0499999999999999E-3</v>
          </cell>
        </row>
      </sheetData>
      <sheetData sheetId="12036">
        <row r="19">
          <cell r="J19">
            <v>1.0499999999999999E-3</v>
          </cell>
        </row>
      </sheetData>
      <sheetData sheetId="12037">
        <row r="19">
          <cell r="J19">
            <v>1.0499999999999999E-3</v>
          </cell>
        </row>
      </sheetData>
      <sheetData sheetId="12038">
        <row r="19">
          <cell r="J19">
            <v>1.0499999999999999E-3</v>
          </cell>
        </row>
      </sheetData>
      <sheetData sheetId="12039">
        <row r="19">
          <cell r="J19">
            <v>1.0499999999999999E-3</v>
          </cell>
        </row>
      </sheetData>
      <sheetData sheetId="12040">
        <row r="19">
          <cell r="J19">
            <v>1.0499999999999999E-3</v>
          </cell>
        </row>
      </sheetData>
      <sheetData sheetId="12041">
        <row r="19">
          <cell r="J19">
            <v>1.0499999999999999E-3</v>
          </cell>
        </row>
      </sheetData>
      <sheetData sheetId="12042">
        <row r="19">
          <cell r="J19">
            <v>1.0499999999999999E-3</v>
          </cell>
        </row>
      </sheetData>
      <sheetData sheetId="12043">
        <row r="19">
          <cell r="J19">
            <v>1.0499999999999999E-3</v>
          </cell>
        </row>
      </sheetData>
      <sheetData sheetId="12044">
        <row r="19">
          <cell r="J19">
            <v>1.0499999999999999E-3</v>
          </cell>
        </row>
      </sheetData>
      <sheetData sheetId="12045">
        <row r="19">
          <cell r="J19">
            <v>1.0499999999999999E-3</v>
          </cell>
        </row>
      </sheetData>
      <sheetData sheetId="12046">
        <row r="19">
          <cell r="J19">
            <v>1.0499999999999999E-3</v>
          </cell>
        </row>
      </sheetData>
      <sheetData sheetId="12047">
        <row r="19">
          <cell r="J19">
            <v>1.0499999999999999E-3</v>
          </cell>
        </row>
      </sheetData>
      <sheetData sheetId="12048">
        <row r="19">
          <cell r="J19">
            <v>1.0499999999999999E-3</v>
          </cell>
        </row>
      </sheetData>
      <sheetData sheetId="12049">
        <row r="19">
          <cell r="J19">
            <v>1.0499999999999999E-3</v>
          </cell>
        </row>
      </sheetData>
      <sheetData sheetId="12050">
        <row r="19">
          <cell r="J19">
            <v>1.0499999999999999E-3</v>
          </cell>
        </row>
      </sheetData>
      <sheetData sheetId="12051">
        <row r="19">
          <cell r="J19">
            <v>1.0499999999999999E-3</v>
          </cell>
        </row>
      </sheetData>
      <sheetData sheetId="12052">
        <row r="19">
          <cell r="J19">
            <v>1.0499999999999999E-3</v>
          </cell>
        </row>
      </sheetData>
      <sheetData sheetId="12053">
        <row r="19">
          <cell r="J19">
            <v>1.0499999999999999E-3</v>
          </cell>
        </row>
      </sheetData>
      <sheetData sheetId="12054">
        <row r="19">
          <cell r="J19">
            <v>1.0499999999999999E-3</v>
          </cell>
        </row>
      </sheetData>
      <sheetData sheetId="12055">
        <row r="19">
          <cell r="J19">
            <v>1.0499999999999999E-3</v>
          </cell>
        </row>
      </sheetData>
      <sheetData sheetId="12056">
        <row r="19">
          <cell r="J19">
            <v>1.0499999999999999E-3</v>
          </cell>
        </row>
      </sheetData>
      <sheetData sheetId="12057">
        <row r="19">
          <cell r="J19">
            <v>1.0499999999999999E-3</v>
          </cell>
        </row>
      </sheetData>
      <sheetData sheetId="12058">
        <row r="19">
          <cell r="J19">
            <v>1.0499999999999999E-3</v>
          </cell>
        </row>
      </sheetData>
      <sheetData sheetId="12059">
        <row r="19">
          <cell r="J19">
            <v>1.0499999999999999E-3</v>
          </cell>
        </row>
      </sheetData>
      <sheetData sheetId="12060">
        <row r="19">
          <cell r="J19">
            <v>1.0499999999999999E-3</v>
          </cell>
        </row>
      </sheetData>
      <sheetData sheetId="12061">
        <row r="19">
          <cell r="J19">
            <v>1.0499999999999999E-3</v>
          </cell>
        </row>
      </sheetData>
      <sheetData sheetId="12062">
        <row r="19">
          <cell r="J19">
            <v>1.0499999999999999E-3</v>
          </cell>
        </row>
      </sheetData>
      <sheetData sheetId="12063">
        <row r="19">
          <cell r="J19">
            <v>1.0499999999999999E-3</v>
          </cell>
        </row>
      </sheetData>
      <sheetData sheetId="12064">
        <row r="19">
          <cell r="J19">
            <v>1.0499999999999999E-3</v>
          </cell>
        </row>
      </sheetData>
      <sheetData sheetId="12065">
        <row r="19">
          <cell r="J19">
            <v>1.0499999999999999E-3</v>
          </cell>
        </row>
      </sheetData>
      <sheetData sheetId="12066">
        <row r="19">
          <cell r="J19">
            <v>1.0499999999999999E-3</v>
          </cell>
        </row>
      </sheetData>
      <sheetData sheetId="12067">
        <row r="19">
          <cell r="J19">
            <v>1.0499999999999999E-3</v>
          </cell>
        </row>
      </sheetData>
      <sheetData sheetId="12068">
        <row r="19">
          <cell r="J19">
            <v>1.0499999999999999E-3</v>
          </cell>
        </row>
      </sheetData>
      <sheetData sheetId="12069">
        <row r="19">
          <cell r="J19">
            <v>1.0499999999999999E-3</v>
          </cell>
        </row>
      </sheetData>
      <sheetData sheetId="12070">
        <row r="19">
          <cell r="J19">
            <v>1.0499999999999999E-3</v>
          </cell>
        </row>
      </sheetData>
      <sheetData sheetId="12071">
        <row r="19">
          <cell r="J19">
            <v>1.0499999999999999E-3</v>
          </cell>
        </row>
      </sheetData>
      <sheetData sheetId="12072">
        <row r="19">
          <cell r="J19">
            <v>1.0499999999999999E-3</v>
          </cell>
        </row>
      </sheetData>
      <sheetData sheetId="12073">
        <row r="19">
          <cell r="J19">
            <v>1.0499999999999999E-3</v>
          </cell>
        </row>
      </sheetData>
      <sheetData sheetId="12074">
        <row r="19">
          <cell r="J19">
            <v>1.0499999999999999E-3</v>
          </cell>
        </row>
      </sheetData>
      <sheetData sheetId="12075">
        <row r="19">
          <cell r="J19">
            <v>1.0499999999999999E-3</v>
          </cell>
        </row>
      </sheetData>
      <sheetData sheetId="12076">
        <row r="19">
          <cell r="J19">
            <v>1.0499999999999999E-3</v>
          </cell>
        </row>
      </sheetData>
      <sheetData sheetId="12077">
        <row r="19">
          <cell r="J19">
            <v>1.0499999999999999E-3</v>
          </cell>
        </row>
      </sheetData>
      <sheetData sheetId="12078">
        <row r="19">
          <cell r="J19">
            <v>1.0499999999999999E-3</v>
          </cell>
        </row>
      </sheetData>
      <sheetData sheetId="12079">
        <row r="19">
          <cell r="J19">
            <v>1.0499999999999999E-3</v>
          </cell>
        </row>
      </sheetData>
      <sheetData sheetId="12080">
        <row r="19">
          <cell r="J19">
            <v>1.0499999999999999E-3</v>
          </cell>
        </row>
      </sheetData>
      <sheetData sheetId="12081">
        <row r="19">
          <cell r="J19">
            <v>1.0499999999999999E-3</v>
          </cell>
        </row>
      </sheetData>
      <sheetData sheetId="12082">
        <row r="19">
          <cell r="J19">
            <v>1.0499999999999999E-3</v>
          </cell>
        </row>
      </sheetData>
      <sheetData sheetId="12083">
        <row r="19">
          <cell r="J19">
            <v>1.0499999999999999E-3</v>
          </cell>
        </row>
      </sheetData>
      <sheetData sheetId="12084">
        <row r="19">
          <cell r="J19">
            <v>1.0499999999999999E-3</v>
          </cell>
        </row>
      </sheetData>
      <sheetData sheetId="12085">
        <row r="19">
          <cell r="J19">
            <v>1.0499999999999999E-3</v>
          </cell>
        </row>
      </sheetData>
      <sheetData sheetId="12086">
        <row r="19">
          <cell r="J19">
            <v>1.0499999999999999E-3</v>
          </cell>
        </row>
      </sheetData>
      <sheetData sheetId="12087">
        <row r="19">
          <cell r="J19">
            <v>1.0499999999999999E-3</v>
          </cell>
        </row>
      </sheetData>
      <sheetData sheetId="12088">
        <row r="19">
          <cell r="J19">
            <v>1.0499999999999999E-3</v>
          </cell>
        </row>
      </sheetData>
      <sheetData sheetId="12089">
        <row r="19">
          <cell r="J19">
            <v>1.0499999999999999E-3</v>
          </cell>
        </row>
      </sheetData>
      <sheetData sheetId="12090">
        <row r="19">
          <cell r="J19">
            <v>1.0499999999999999E-3</v>
          </cell>
        </row>
      </sheetData>
      <sheetData sheetId="12091">
        <row r="19">
          <cell r="J19">
            <v>1.0499999999999999E-3</v>
          </cell>
        </row>
      </sheetData>
      <sheetData sheetId="12092">
        <row r="19">
          <cell r="J19">
            <v>1.0499999999999999E-3</v>
          </cell>
        </row>
      </sheetData>
      <sheetData sheetId="12093">
        <row r="19">
          <cell r="J19">
            <v>1.0499999999999999E-3</v>
          </cell>
        </row>
      </sheetData>
      <sheetData sheetId="12094">
        <row r="19">
          <cell r="J19">
            <v>1.0499999999999999E-3</v>
          </cell>
        </row>
      </sheetData>
      <sheetData sheetId="12095">
        <row r="19">
          <cell r="J19">
            <v>1.0499999999999999E-3</v>
          </cell>
        </row>
      </sheetData>
      <sheetData sheetId="12096">
        <row r="19">
          <cell r="J19">
            <v>1.0499999999999999E-3</v>
          </cell>
        </row>
      </sheetData>
      <sheetData sheetId="12097">
        <row r="19">
          <cell r="J19">
            <v>1.0499999999999999E-3</v>
          </cell>
        </row>
      </sheetData>
      <sheetData sheetId="12098">
        <row r="19">
          <cell r="J19">
            <v>1.0499999999999999E-3</v>
          </cell>
        </row>
      </sheetData>
      <sheetData sheetId="12099">
        <row r="19">
          <cell r="J19">
            <v>1.0499999999999999E-3</v>
          </cell>
        </row>
      </sheetData>
      <sheetData sheetId="12100">
        <row r="19">
          <cell r="J19">
            <v>1.0499999999999999E-3</v>
          </cell>
        </row>
      </sheetData>
      <sheetData sheetId="12101">
        <row r="19">
          <cell r="J19">
            <v>1.0499999999999999E-3</v>
          </cell>
        </row>
      </sheetData>
      <sheetData sheetId="12102">
        <row r="19">
          <cell r="J19">
            <v>1.0499999999999999E-3</v>
          </cell>
        </row>
      </sheetData>
      <sheetData sheetId="12103">
        <row r="19">
          <cell r="J19">
            <v>1.0499999999999999E-3</v>
          </cell>
        </row>
      </sheetData>
      <sheetData sheetId="12104">
        <row r="19">
          <cell r="J19">
            <v>1.0499999999999999E-3</v>
          </cell>
        </row>
      </sheetData>
      <sheetData sheetId="12105">
        <row r="19">
          <cell r="J19">
            <v>1.0499999999999999E-3</v>
          </cell>
        </row>
      </sheetData>
      <sheetData sheetId="12106">
        <row r="19">
          <cell r="J19">
            <v>1.0499999999999999E-3</v>
          </cell>
        </row>
      </sheetData>
      <sheetData sheetId="12107">
        <row r="19">
          <cell r="J19">
            <v>1.0499999999999999E-3</v>
          </cell>
        </row>
      </sheetData>
      <sheetData sheetId="12108">
        <row r="19">
          <cell r="J19">
            <v>1.0499999999999999E-3</v>
          </cell>
        </row>
      </sheetData>
      <sheetData sheetId="12109">
        <row r="19">
          <cell r="J19">
            <v>1.0499999999999999E-3</v>
          </cell>
        </row>
      </sheetData>
      <sheetData sheetId="12110">
        <row r="19">
          <cell r="J19">
            <v>1.0499999999999999E-3</v>
          </cell>
        </row>
      </sheetData>
      <sheetData sheetId="12111">
        <row r="19">
          <cell r="J19">
            <v>1.0499999999999999E-3</v>
          </cell>
        </row>
      </sheetData>
      <sheetData sheetId="12112">
        <row r="19">
          <cell r="J19">
            <v>1.0499999999999999E-3</v>
          </cell>
        </row>
      </sheetData>
      <sheetData sheetId="12113">
        <row r="19">
          <cell r="J19">
            <v>1.0499999999999999E-3</v>
          </cell>
        </row>
      </sheetData>
      <sheetData sheetId="12114">
        <row r="19">
          <cell r="J19">
            <v>1.0499999999999999E-3</v>
          </cell>
        </row>
      </sheetData>
      <sheetData sheetId="12115">
        <row r="19">
          <cell r="J19">
            <v>1.0499999999999999E-3</v>
          </cell>
        </row>
      </sheetData>
      <sheetData sheetId="12116">
        <row r="19">
          <cell r="J19">
            <v>1.0499999999999999E-3</v>
          </cell>
        </row>
      </sheetData>
      <sheetData sheetId="12117">
        <row r="19">
          <cell r="J19">
            <v>1.0499999999999999E-3</v>
          </cell>
        </row>
      </sheetData>
      <sheetData sheetId="12118">
        <row r="19">
          <cell r="J19">
            <v>1.0499999999999999E-3</v>
          </cell>
        </row>
      </sheetData>
      <sheetData sheetId="12119">
        <row r="19">
          <cell r="J19">
            <v>1.0499999999999999E-3</v>
          </cell>
        </row>
      </sheetData>
      <sheetData sheetId="12120">
        <row r="19">
          <cell r="J19">
            <v>1.0499999999999999E-3</v>
          </cell>
        </row>
      </sheetData>
      <sheetData sheetId="12121">
        <row r="19">
          <cell r="J19">
            <v>1.0499999999999999E-3</v>
          </cell>
        </row>
      </sheetData>
      <sheetData sheetId="12122">
        <row r="19">
          <cell r="J19">
            <v>1.0499999999999999E-3</v>
          </cell>
        </row>
      </sheetData>
      <sheetData sheetId="12123">
        <row r="19">
          <cell r="J19">
            <v>1.0499999999999999E-3</v>
          </cell>
        </row>
      </sheetData>
      <sheetData sheetId="12124">
        <row r="19">
          <cell r="J19">
            <v>1.0499999999999999E-3</v>
          </cell>
        </row>
      </sheetData>
      <sheetData sheetId="12125">
        <row r="19">
          <cell r="J19">
            <v>1.0499999999999999E-3</v>
          </cell>
        </row>
      </sheetData>
      <sheetData sheetId="12126">
        <row r="19">
          <cell r="J19">
            <v>1.0499999999999999E-3</v>
          </cell>
        </row>
      </sheetData>
      <sheetData sheetId="12127">
        <row r="19">
          <cell r="J19">
            <v>1.0499999999999999E-3</v>
          </cell>
        </row>
      </sheetData>
      <sheetData sheetId="12128">
        <row r="19">
          <cell r="J19">
            <v>1.0499999999999999E-3</v>
          </cell>
        </row>
      </sheetData>
      <sheetData sheetId="12129">
        <row r="19">
          <cell r="J19">
            <v>1.0499999999999999E-3</v>
          </cell>
        </row>
      </sheetData>
      <sheetData sheetId="12130">
        <row r="19">
          <cell r="J19">
            <v>1.0499999999999999E-3</v>
          </cell>
        </row>
      </sheetData>
      <sheetData sheetId="12131">
        <row r="19">
          <cell r="J19">
            <v>1.0499999999999999E-3</v>
          </cell>
        </row>
      </sheetData>
      <sheetData sheetId="12132">
        <row r="19">
          <cell r="J19">
            <v>1.0499999999999999E-3</v>
          </cell>
        </row>
      </sheetData>
      <sheetData sheetId="12133">
        <row r="19">
          <cell r="J19">
            <v>1.0499999999999999E-3</v>
          </cell>
        </row>
      </sheetData>
      <sheetData sheetId="12134">
        <row r="19">
          <cell r="J19">
            <v>1.0499999999999999E-3</v>
          </cell>
        </row>
      </sheetData>
      <sheetData sheetId="12135">
        <row r="19">
          <cell r="J19">
            <v>1.0499999999999999E-3</v>
          </cell>
        </row>
      </sheetData>
      <sheetData sheetId="12136">
        <row r="19">
          <cell r="J19">
            <v>1.0499999999999999E-3</v>
          </cell>
        </row>
      </sheetData>
      <sheetData sheetId="12137">
        <row r="19">
          <cell r="J19">
            <v>1.0499999999999999E-3</v>
          </cell>
        </row>
      </sheetData>
      <sheetData sheetId="12138">
        <row r="19">
          <cell r="J19">
            <v>1.0499999999999999E-3</v>
          </cell>
        </row>
      </sheetData>
      <sheetData sheetId="12139">
        <row r="19">
          <cell r="J19">
            <v>1.0499999999999999E-3</v>
          </cell>
        </row>
      </sheetData>
      <sheetData sheetId="12140">
        <row r="19">
          <cell r="J19">
            <v>1.0499999999999999E-3</v>
          </cell>
        </row>
      </sheetData>
      <sheetData sheetId="12141">
        <row r="19">
          <cell r="J19">
            <v>1.0499999999999999E-3</v>
          </cell>
        </row>
      </sheetData>
      <sheetData sheetId="12142">
        <row r="19">
          <cell r="J19">
            <v>1.0499999999999999E-3</v>
          </cell>
        </row>
      </sheetData>
      <sheetData sheetId="12143">
        <row r="19">
          <cell r="J19">
            <v>1.0499999999999999E-3</v>
          </cell>
        </row>
      </sheetData>
      <sheetData sheetId="12144">
        <row r="19">
          <cell r="J19">
            <v>1.0499999999999999E-3</v>
          </cell>
        </row>
      </sheetData>
      <sheetData sheetId="12145">
        <row r="19">
          <cell r="J19">
            <v>1.0499999999999999E-3</v>
          </cell>
        </row>
      </sheetData>
      <sheetData sheetId="12146">
        <row r="19">
          <cell r="J19">
            <v>1.0499999999999999E-3</v>
          </cell>
        </row>
      </sheetData>
      <sheetData sheetId="12147">
        <row r="19">
          <cell r="J19">
            <v>1.0499999999999999E-3</v>
          </cell>
        </row>
      </sheetData>
      <sheetData sheetId="12148">
        <row r="19">
          <cell r="J19">
            <v>1.0499999999999999E-3</v>
          </cell>
        </row>
      </sheetData>
      <sheetData sheetId="12149">
        <row r="19">
          <cell r="J19">
            <v>1.0499999999999999E-3</v>
          </cell>
        </row>
      </sheetData>
      <sheetData sheetId="12150">
        <row r="19">
          <cell r="J19">
            <v>1.0499999999999999E-3</v>
          </cell>
        </row>
      </sheetData>
      <sheetData sheetId="12151">
        <row r="19">
          <cell r="J19">
            <v>1.0499999999999999E-3</v>
          </cell>
        </row>
      </sheetData>
      <sheetData sheetId="12152">
        <row r="19">
          <cell r="J19">
            <v>1.0499999999999999E-3</v>
          </cell>
        </row>
      </sheetData>
      <sheetData sheetId="12153">
        <row r="19">
          <cell r="J19">
            <v>1.0499999999999999E-3</v>
          </cell>
        </row>
      </sheetData>
      <sheetData sheetId="12154">
        <row r="19">
          <cell r="J19">
            <v>1.0499999999999999E-3</v>
          </cell>
        </row>
      </sheetData>
      <sheetData sheetId="12155">
        <row r="19">
          <cell r="J19">
            <v>1.0499999999999999E-3</v>
          </cell>
        </row>
      </sheetData>
      <sheetData sheetId="12156">
        <row r="19">
          <cell r="J19">
            <v>1.0499999999999999E-3</v>
          </cell>
        </row>
      </sheetData>
      <sheetData sheetId="12157">
        <row r="19">
          <cell r="J19">
            <v>1.0499999999999999E-3</v>
          </cell>
        </row>
      </sheetData>
      <sheetData sheetId="12158">
        <row r="19">
          <cell r="J19">
            <v>1.0499999999999999E-3</v>
          </cell>
        </row>
      </sheetData>
      <sheetData sheetId="12159">
        <row r="19">
          <cell r="J19">
            <v>1.0499999999999999E-3</v>
          </cell>
        </row>
      </sheetData>
      <sheetData sheetId="12160">
        <row r="19">
          <cell r="J19">
            <v>1.0499999999999999E-3</v>
          </cell>
        </row>
      </sheetData>
      <sheetData sheetId="12161">
        <row r="19">
          <cell r="J19">
            <v>1.0499999999999999E-3</v>
          </cell>
        </row>
      </sheetData>
      <sheetData sheetId="12162">
        <row r="19">
          <cell r="J19">
            <v>1.0499999999999999E-3</v>
          </cell>
        </row>
      </sheetData>
      <sheetData sheetId="12163">
        <row r="19">
          <cell r="J19">
            <v>1.0499999999999999E-3</v>
          </cell>
        </row>
      </sheetData>
      <sheetData sheetId="12164">
        <row r="19">
          <cell r="J19">
            <v>1.0499999999999999E-3</v>
          </cell>
        </row>
      </sheetData>
      <sheetData sheetId="12165">
        <row r="19">
          <cell r="J19">
            <v>1.0499999999999999E-3</v>
          </cell>
        </row>
      </sheetData>
      <sheetData sheetId="12166">
        <row r="19">
          <cell r="J19">
            <v>1.0499999999999999E-3</v>
          </cell>
        </row>
      </sheetData>
      <sheetData sheetId="12167">
        <row r="19">
          <cell r="J19">
            <v>1.0499999999999999E-3</v>
          </cell>
        </row>
      </sheetData>
      <sheetData sheetId="12168">
        <row r="19">
          <cell r="J19">
            <v>1.0499999999999999E-3</v>
          </cell>
        </row>
      </sheetData>
      <sheetData sheetId="12169">
        <row r="19">
          <cell r="J19">
            <v>1.0499999999999999E-3</v>
          </cell>
        </row>
      </sheetData>
      <sheetData sheetId="12170">
        <row r="19">
          <cell r="J19">
            <v>1.0499999999999999E-3</v>
          </cell>
        </row>
      </sheetData>
      <sheetData sheetId="12171">
        <row r="19">
          <cell r="J19">
            <v>1.0499999999999999E-3</v>
          </cell>
        </row>
      </sheetData>
      <sheetData sheetId="12172">
        <row r="19">
          <cell r="J19">
            <v>1.0499999999999999E-3</v>
          </cell>
        </row>
      </sheetData>
      <sheetData sheetId="12173">
        <row r="19">
          <cell r="J19">
            <v>1.0499999999999999E-3</v>
          </cell>
        </row>
      </sheetData>
      <sheetData sheetId="12174">
        <row r="19">
          <cell r="J19">
            <v>1.0499999999999999E-3</v>
          </cell>
        </row>
      </sheetData>
      <sheetData sheetId="12175">
        <row r="19">
          <cell r="J19">
            <v>1.0499999999999999E-3</v>
          </cell>
        </row>
      </sheetData>
      <sheetData sheetId="12176">
        <row r="19">
          <cell r="J19">
            <v>1.0499999999999999E-3</v>
          </cell>
        </row>
      </sheetData>
      <sheetData sheetId="12177">
        <row r="19">
          <cell r="J19">
            <v>1.0499999999999999E-3</v>
          </cell>
        </row>
      </sheetData>
      <sheetData sheetId="12178">
        <row r="19">
          <cell r="J19">
            <v>1.0499999999999999E-3</v>
          </cell>
        </row>
      </sheetData>
      <sheetData sheetId="12179">
        <row r="19">
          <cell r="J19">
            <v>1.0499999999999999E-3</v>
          </cell>
        </row>
      </sheetData>
      <sheetData sheetId="12180">
        <row r="19">
          <cell r="J19">
            <v>1.0499999999999999E-3</v>
          </cell>
        </row>
      </sheetData>
      <sheetData sheetId="12181">
        <row r="19">
          <cell r="J19">
            <v>1.0499999999999999E-3</v>
          </cell>
        </row>
      </sheetData>
      <sheetData sheetId="12182">
        <row r="19">
          <cell r="J19">
            <v>1.0499999999999999E-3</v>
          </cell>
        </row>
      </sheetData>
      <sheetData sheetId="12183">
        <row r="19">
          <cell r="J19">
            <v>1.0499999999999999E-3</v>
          </cell>
        </row>
      </sheetData>
      <sheetData sheetId="12184">
        <row r="19">
          <cell r="J19">
            <v>1.0499999999999999E-3</v>
          </cell>
        </row>
      </sheetData>
      <sheetData sheetId="12185">
        <row r="19">
          <cell r="J19">
            <v>1.0499999999999999E-3</v>
          </cell>
        </row>
      </sheetData>
      <sheetData sheetId="12186">
        <row r="19">
          <cell r="J19">
            <v>1.0499999999999999E-3</v>
          </cell>
        </row>
      </sheetData>
      <sheetData sheetId="12187">
        <row r="19">
          <cell r="J19">
            <v>1.0499999999999999E-3</v>
          </cell>
        </row>
      </sheetData>
      <sheetData sheetId="12188">
        <row r="19">
          <cell r="J19">
            <v>1.0499999999999999E-3</v>
          </cell>
        </row>
      </sheetData>
      <sheetData sheetId="12189">
        <row r="19">
          <cell r="J19">
            <v>1.0499999999999999E-3</v>
          </cell>
        </row>
      </sheetData>
      <sheetData sheetId="12190">
        <row r="19">
          <cell r="J19">
            <v>1.0499999999999999E-3</v>
          </cell>
        </row>
      </sheetData>
      <sheetData sheetId="12191">
        <row r="19">
          <cell r="J19">
            <v>1.0499999999999999E-3</v>
          </cell>
        </row>
      </sheetData>
      <sheetData sheetId="12192">
        <row r="19">
          <cell r="J19">
            <v>1.0499999999999999E-3</v>
          </cell>
        </row>
      </sheetData>
      <sheetData sheetId="12193">
        <row r="19">
          <cell r="J19">
            <v>1.0499999999999999E-3</v>
          </cell>
        </row>
      </sheetData>
      <sheetData sheetId="12194">
        <row r="19">
          <cell r="J19">
            <v>1.0499999999999999E-3</v>
          </cell>
        </row>
      </sheetData>
      <sheetData sheetId="12195">
        <row r="19">
          <cell r="J19">
            <v>1.0499999999999999E-3</v>
          </cell>
        </row>
      </sheetData>
      <sheetData sheetId="12196">
        <row r="19">
          <cell r="J19">
            <v>1.0499999999999999E-3</v>
          </cell>
        </row>
      </sheetData>
      <sheetData sheetId="12197">
        <row r="19">
          <cell r="J19">
            <v>1.0499999999999999E-3</v>
          </cell>
        </row>
      </sheetData>
      <sheetData sheetId="12198">
        <row r="19">
          <cell r="J19">
            <v>1.0499999999999999E-3</v>
          </cell>
        </row>
      </sheetData>
      <sheetData sheetId="12199">
        <row r="19">
          <cell r="J19">
            <v>1.0499999999999999E-3</v>
          </cell>
        </row>
      </sheetData>
      <sheetData sheetId="12200">
        <row r="19">
          <cell r="J19">
            <v>1.0499999999999999E-3</v>
          </cell>
        </row>
      </sheetData>
      <sheetData sheetId="12201">
        <row r="19">
          <cell r="J19">
            <v>1.0499999999999999E-3</v>
          </cell>
        </row>
      </sheetData>
      <sheetData sheetId="12202">
        <row r="19">
          <cell r="J19">
            <v>1.0499999999999999E-3</v>
          </cell>
        </row>
      </sheetData>
      <sheetData sheetId="12203">
        <row r="19">
          <cell r="J19">
            <v>1.0499999999999999E-3</v>
          </cell>
        </row>
      </sheetData>
      <sheetData sheetId="12204">
        <row r="19">
          <cell r="J19">
            <v>1.0499999999999999E-3</v>
          </cell>
        </row>
      </sheetData>
      <sheetData sheetId="12205">
        <row r="19">
          <cell r="J19">
            <v>1.0499999999999999E-3</v>
          </cell>
        </row>
      </sheetData>
      <sheetData sheetId="12206">
        <row r="19">
          <cell r="J19">
            <v>1.0499999999999999E-3</v>
          </cell>
        </row>
      </sheetData>
      <sheetData sheetId="12207">
        <row r="19">
          <cell r="J19">
            <v>1.0499999999999999E-3</v>
          </cell>
        </row>
      </sheetData>
      <sheetData sheetId="12208">
        <row r="19">
          <cell r="J19">
            <v>1.0499999999999999E-3</v>
          </cell>
        </row>
      </sheetData>
      <sheetData sheetId="12209">
        <row r="19">
          <cell r="J19">
            <v>1.0499999999999999E-3</v>
          </cell>
        </row>
      </sheetData>
      <sheetData sheetId="12210">
        <row r="19">
          <cell r="J19">
            <v>1.0499999999999999E-3</v>
          </cell>
        </row>
      </sheetData>
      <sheetData sheetId="12211">
        <row r="19">
          <cell r="J19">
            <v>1.0499999999999999E-3</v>
          </cell>
        </row>
      </sheetData>
      <sheetData sheetId="12212">
        <row r="19">
          <cell r="J19">
            <v>1.0499999999999999E-3</v>
          </cell>
        </row>
      </sheetData>
      <sheetData sheetId="12213">
        <row r="19">
          <cell r="J19">
            <v>1.0499999999999999E-3</v>
          </cell>
        </row>
      </sheetData>
      <sheetData sheetId="12214">
        <row r="19">
          <cell r="J19">
            <v>1.0499999999999999E-3</v>
          </cell>
        </row>
      </sheetData>
      <sheetData sheetId="12215">
        <row r="19">
          <cell r="J19">
            <v>1.0499999999999999E-3</v>
          </cell>
        </row>
      </sheetData>
      <sheetData sheetId="12216">
        <row r="19">
          <cell r="J19">
            <v>1.0499999999999999E-3</v>
          </cell>
        </row>
      </sheetData>
      <sheetData sheetId="12217">
        <row r="19">
          <cell r="J19">
            <v>1.0499999999999999E-3</v>
          </cell>
        </row>
      </sheetData>
      <sheetData sheetId="12218">
        <row r="19">
          <cell r="J19">
            <v>1.0499999999999999E-3</v>
          </cell>
        </row>
      </sheetData>
      <sheetData sheetId="12219">
        <row r="19">
          <cell r="J19">
            <v>1.0499999999999999E-3</v>
          </cell>
        </row>
      </sheetData>
      <sheetData sheetId="12220">
        <row r="19">
          <cell r="J19">
            <v>1.0499999999999999E-3</v>
          </cell>
        </row>
      </sheetData>
      <sheetData sheetId="12221">
        <row r="19">
          <cell r="J19">
            <v>1.0499999999999999E-3</v>
          </cell>
        </row>
      </sheetData>
      <sheetData sheetId="12222">
        <row r="19">
          <cell r="J19">
            <v>1.0499999999999999E-3</v>
          </cell>
        </row>
      </sheetData>
      <sheetData sheetId="12223">
        <row r="19">
          <cell r="J19">
            <v>1.0499999999999999E-3</v>
          </cell>
        </row>
      </sheetData>
      <sheetData sheetId="12224">
        <row r="19">
          <cell r="J19">
            <v>1.0499999999999999E-3</v>
          </cell>
        </row>
      </sheetData>
      <sheetData sheetId="12225">
        <row r="19">
          <cell r="J19">
            <v>1.0499999999999999E-3</v>
          </cell>
        </row>
      </sheetData>
      <sheetData sheetId="12226">
        <row r="19">
          <cell r="J19">
            <v>1.0499999999999999E-3</v>
          </cell>
        </row>
      </sheetData>
      <sheetData sheetId="12227">
        <row r="19">
          <cell r="J19">
            <v>1.0499999999999999E-3</v>
          </cell>
        </row>
      </sheetData>
      <sheetData sheetId="12228">
        <row r="19">
          <cell r="J19">
            <v>1.0499999999999999E-3</v>
          </cell>
        </row>
      </sheetData>
      <sheetData sheetId="12229">
        <row r="19">
          <cell r="J19">
            <v>1.0499999999999999E-3</v>
          </cell>
        </row>
      </sheetData>
      <sheetData sheetId="12230">
        <row r="19">
          <cell r="J19">
            <v>1.0499999999999999E-3</v>
          </cell>
        </row>
      </sheetData>
      <sheetData sheetId="12231">
        <row r="19">
          <cell r="J19">
            <v>1.0499999999999999E-3</v>
          </cell>
        </row>
      </sheetData>
      <sheetData sheetId="12232">
        <row r="19">
          <cell r="J19">
            <v>1.0499999999999999E-3</v>
          </cell>
        </row>
      </sheetData>
      <sheetData sheetId="12233">
        <row r="19">
          <cell r="J19">
            <v>1.0499999999999999E-3</v>
          </cell>
        </row>
      </sheetData>
      <sheetData sheetId="12234">
        <row r="19">
          <cell r="J19">
            <v>1.0499999999999999E-3</v>
          </cell>
        </row>
      </sheetData>
      <sheetData sheetId="12235">
        <row r="19">
          <cell r="J19">
            <v>1.0499999999999999E-3</v>
          </cell>
        </row>
      </sheetData>
      <sheetData sheetId="12236">
        <row r="19">
          <cell r="J19">
            <v>1.0499999999999999E-3</v>
          </cell>
        </row>
      </sheetData>
      <sheetData sheetId="12237">
        <row r="19">
          <cell r="J19">
            <v>1.0499999999999999E-3</v>
          </cell>
        </row>
      </sheetData>
      <sheetData sheetId="12238">
        <row r="19">
          <cell r="J19">
            <v>1.0499999999999999E-3</v>
          </cell>
        </row>
      </sheetData>
      <sheetData sheetId="12239">
        <row r="19">
          <cell r="J19">
            <v>1.0499999999999999E-3</v>
          </cell>
        </row>
      </sheetData>
      <sheetData sheetId="12240">
        <row r="19">
          <cell r="J19">
            <v>1.0499999999999999E-3</v>
          </cell>
        </row>
      </sheetData>
      <sheetData sheetId="12241">
        <row r="19">
          <cell r="J19">
            <v>1.0499999999999999E-3</v>
          </cell>
        </row>
      </sheetData>
      <sheetData sheetId="12242">
        <row r="19">
          <cell r="J19">
            <v>1.0499999999999999E-3</v>
          </cell>
        </row>
      </sheetData>
      <sheetData sheetId="12243">
        <row r="19">
          <cell r="J19">
            <v>1.0499999999999999E-3</v>
          </cell>
        </row>
      </sheetData>
      <sheetData sheetId="12244">
        <row r="19">
          <cell r="J19">
            <v>1.0499999999999999E-3</v>
          </cell>
        </row>
      </sheetData>
      <sheetData sheetId="12245">
        <row r="19">
          <cell r="J19">
            <v>1.0499999999999999E-3</v>
          </cell>
        </row>
      </sheetData>
      <sheetData sheetId="12246">
        <row r="19">
          <cell r="J19">
            <v>1.0499999999999999E-3</v>
          </cell>
        </row>
      </sheetData>
      <sheetData sheetId="12247">
        <row r="19">
          <cell r="J19">
            <v>1.0499999999999999E-3</v>
          </cell>
        </row>
      </sheetData>
      <sheetData sheetId="12248">
        <row r="19">
          <cell r="J19">
            <v>1.0499999999999999E-3</v>
          </cell>
        </row>
      </sheetData>
      <sheetData sheetId="12249">
        <row r="19">
          <cell r="J19">
            <v>1.0499999999999999E-3</v>
          </cell>
        </row>
      </sheetData>
      <sheetData sheetId="12250">
        <row r="19">
          <cell r="J19">
            <v>1.0499999999999999E-3</v>
          </cell>
        </row>
      </sheetData>
      <sheetData sheetId="12251">
        <row r="19">
          <cell r="J19">
            <v>1.0499999999999999E-3</v>
          </cell>
        </row>
      </sheetData>
      <sheetData sheetId="12252">
        <row r="19">
          <cell r="J19">
            <v>1.0499999999999999E-3</v>
          </cell>
        </row>
      </sheetData>
      <sheetData sheetId="12253">
        <row r="19">
          <cell r="J19">
            <v>1.0499999999999999E-3</v>
          </cell>
        </row>
      </sheetData>
      <sheetData sheetId="12254">
        <row r="19">
          <cell r="J19">
            <v>1.0499999999999999E-3</v>
          </cell>
        </row>
      </sheetData>
      <sheetData sheetId="12255">
        <row r="19">
          <cell r="J19">
            <v>1.0499999999999999E-3</v>
          </cell>
        </row>
      </sheetData>
      <sheetData sheetId="12256">
        <row r="19">
          <cell r="J19">
            <v>1.0499999999999999E-3</v>
          </cell>
        </row>
      </sheetData>
      <sheetData sheetId="12257">
        <row r="19">
          <cell r="J19">
            <v>1.0499999999999999E-3</v>
          </cell>
        </row>
      </sheetData>
      <sheetData sheetId="12258">
        <row r="19">
          <cell r="J19">
            <v>1.0499999999999999E-3</v>
          </cell>
        </row>
      </sheetData>
      <sheetData sheetId="12259">
        <row r="19">
          <cell r="J19">
            <v>1.0499999999999999E-3</v>
          </cell>
        </row>
      </sheetData>
      <sheetData sheetId="12260">
        <row r="19">
          <cell r="J19">
            <v>1.0499999999999999E-3</v>
          </cell>
        </row>
      </sheetData>
      <sheetData sheetId="12261">
        <row r="19">
          <cell r="J19">
            <v>1.0499999999999999E-3</v>
          </cell>
        </row>
      </sheetData>
      <sheetData sheetId="12262">
        <row r="19">
          <cell r="J19">
            <v>1.0499999999999999E-3</v>
          </cell>
        </row>
      </sheetData>
      <sheetData sheetId="12263">
        <row r="19">
          <cell r="J19">
            <v>1.0499999999999999E-3</v>
          </cell>
        </row>
      </sheetData>
      <sheetData sheetId="12264">
        <row r="19">
          <cell r="J19">
            <v>1.0499999999999999E-3</v>
          </cell>
        </row>
      </sheetData>
      <sheetData sheetId="12265">
        <row r="19">
          <cell r="J19">
            <v>1.0499999999999999E-3</v>
          </cell>
        </row>
      </sheetData>
      <sheetData sheetId="12266">
        <row r="19">
          <cell r="J19">
            <v>1.0499999999999999E-3</v>
          </cell>
        </row>
      </sheetData>
      <sheetData sheetId="12267">
        <row r="19">
          <cell r="J19">
            <v>1.0499999999999999E-3</v>
          </cell>
        </row>
      </sheetData>
      <sheetData sheetId="12268">
        <row r="19">
          <cell r="J19">
            <v>1.0499999999999999E-3</v>
          </cell>
        </row>
      </sheetData>
      <sheetData sheetId="12269">
        <row r="19">
          <cell r="J19">
            <v>1.0499999999999999E-3</v>
          </cell>
        </row>
      </sheetData>
      <sheetData sheetId="12270">
        <row r="19">
          <cell r="J19">
            <v>1.0499999999999999E-3</v>
          </cell>
        </row>
      </sheetData>
      <sheetData sheetId="12271">
        <row r="19">
          <cell r="J19">
            <v>1.0499999999999999E-3</v>
          </cell>
        </row>
      </sheetData>
      <sheetData sheetId="12272">
        <row r="19">
          <cell r="J19">
            <v>1.0499999999999999E-3</v>
          </cell>
        </row>
      </sheetData>
      <sheetData sheetId="12273">
        <row r="19">
          <cell r="J19">
            <v>1.0499999999999999E-3</v>
          </cell>
        </row>
      </sheetData>
      <sheetData sheetId="12274">
        <row r="19">
          <cell r="J19">
            <v>1.0499999999999999E-3</v>
          </cell>
        </row>
      </sheetData>
      <sheetData sheetId="12275">
        <row r="19">
          <cell r="J19">
            <v>1.0499999999999999E-3</v>
          </cell>
        </row>
      </sheetData>
      <sheetData sheetId="12276">
        <row r="19">
          <cell r="J19">
            <v>1.0499999999999999E-3</v>
          </cell>
        </row>
      </sheetData>
      <sheetData sheetId="12277">
        <row r="19">
          <cell r="J19">
            <v>1.0499999999999999E-3</v>
          </cell>
        </row>
      </sheetData>
      <sheetData sheetId="12278">
        <row r="19">
          <cell r="J19">
            <v>1.0499999999999999E-3</v>
          </cell>
        </row>
      </sheetData>
      <sheetData sheetId="12279">
        <row r="19">
          <cell r="J19">
            <v>1.0499999999999999E-3</v>
          </cell>
        </row>
      </sheetData>
      <sheetData sheetId="12280">
        <row r="19">
          <cell r="J19">
            <v>1.0499999999999999E-3</v>
          </cell>
        </row>
      </sheetData>
      <sheetData sheetId="12281">
        <row r="19">
          <cell r="J19">
            <v>1.0499999999999999E-3</v>
          </cell>
        </row>
      </sheetData>
      <sheetData sheetId="12282">
        <row r="19">
          <cell r="J19">
            <v>1.0499999999999999E-3</v>
          </cell>
        </row>
      </sheetData>
      <sheetData sheetId="12283">
        <row r="19">
          <cell r="J19">
            <v>1.0499999999999999E-3</v>
          </cell>
        </row>
      </sheetData>
      <sheetData sheetId="12284">
        <row r="19">
          <cell r="J19">
            <v>1.0499999999999999E-3</v>
          </cell>
        </row>
      </sheetData>
      <sheetData sheetId="12285">
        <row r="19">
          <cell r="J19">
            <v>1.0499999999999999E-3</v>
          </cell>
        </row>
      </sheetData>
      <sheetData sheetId="12286"/>
      <sheetData sheetId="12287" refreshError="1"/>
      <sheetData sheetId="12288">
        <row r="19">
          <cell r="J19">
            <v>1.0499999999999999E-3</v>
          </cell>
        </row>
      </sheetData>
      <sheetData sheetId="12289">
        <row r="19">
          <cell r="J19">
            <v>1.0499999999999999E-3</v>
          </cell>
        </row>
      </sheetData>
      <sheetData sheetId="12290">
        <row r="19">
          <cell r="J19">
            <v>1.0499999999999999E-3</v>
          </cell>
        </row>
      </sheetData>
      <sheetData sheetId="12291">
        <row r="19">
          <cell r="J19">
            <v>1.0499999999999999E-3</v>
          </cell>
        </row>
      </sheetData>
      <sheetData sheetId="12292" refreshError="1"/>
      <sheetData sheetId="12293">
        <row r="19">
          <cell r="J19">
            <v>1.0499999999999999E-3</v>
          </cell>
        </row>
      </sheetData>
      <sheetData sheetId="12294">
        <row r="19">
          <cell r="J19">
            <v>1.0499999999999999E-3</v>
          </cell>
        </row>
      </sheetData>
      <sheetData sheetId="12295">
        <row r="19">
          <cell r="J19">
            <v>1.0499999999999999E-3</v>
          </cell>
        </row>
      </sheetData>
      <sheetData sheetId="12296">
        <row r="19">
          <cell r="J19">
            <v>1.0499999999999999E-3</v>
          </cell>
        </row>
      </sheetData>
      <sheetData sheetId="12297">
        <row r="19">
          <cell r="J19">
            <v>1.0499999999999999E-3</v>
          </cell>
        </row>
      </sheetData>
      <sheetData sheetId="12298">
        <row r="19">
          <cell r="J19">
            <v>1.0499999999999999E-3</v>
          </cell>
        </row>
      </sheetData>
      <sheetData sheetId="12299">
        <row r="19">
          <cell r="J19">
            <v>1.0499999999999999E-3</v>
          </cell>
        </row>
      </sheetData>
      <sheetData sheetId="12300">
        <row r="19">
          <cell r="J19">
            <v>1.0499999999999999E-3</v>
          </cell>
        </row>
      </sheetData>
      <sheetData sheetId="12301">
        <row r="19">
          <cell r="J19">
            <v>1.0499999999999999E-3</v>
          </cell>
        </row>
      </sheetData>
      <sheetData sheetId="12302">
        <row r="19">
          <cell r="J19">
            <v>1.0499999999999999E-3</v>
          </cell>
        </row>
      </sheetData>
      <sheetData sheetId="12303">
        <row r="19">
          <cell r="J19">
            <v>1.0499999999999999E-3</v>
          </cell>
        </row>
      </sheetData>
      <sheetData sheetId="12304">
        <row r="19">
          <cell r="J19">
            <v>1.0499999999999999E-3</v>
          </cell>
        </row>
      </sheetData>
      <sheetData sheetId="12305">
        <row r="19">
          <cell r="J19">
            <v>1.0499999999999999E-3</v>
          </cell>
        </row>
      </sheetData>
      <sheetData sheetId="12306">
        <row r="19">
          <cell r="J19">
            <v>1.0499999999999999E-3</v>
          </cell>
        </row>
      </sheetData>
      <sheetData sheetId="12307">
        <row r="19">
          <cell r="J19">
            <v>1.0499999999999999E-3</v>
          </cell>
        </row>
      </sheetData>
      <sheetData sheetId="12308">
        <row r="19">
          <cell r="J19">
            <v>1.0499999999999999E-3</v>
          </cell>
        </row>
      </sheetData>
      <sheetData sheetId="12309" refreshError="1"/>
      <sheetData sheetId="12310"/>
      <sheetData sheetId="12311">
        <row r="19">
          <cell r="J19">
            <v>1.0499999999999999E-3</v>
          </cell>
        </row>
      </sheetData>
      <sheetData sheetId="12312">
        <row r="19">
          <cell r="J19">
            <v>1.0499999999999999E-3</v>
          </cell>
        </row>
      </sheetData>
      <sheetData sheetId="12313">
        <row r="19">
          <cell r="J19">
            <v>1.0499999999999999E-3</v>
          </cell>
        </row>
      </sheetData>
      <sheetData sheetId="12314">
        <row r="19">
          <cell r="J19">
            <v>1.0499999999999999E-3</v>
          </cell>
        </row>
      </sheetData>
      <sheetData sheetId="12315">
        <row r="19">
          <cell r="J19">
            <v>1.0499999999999999E-3</v>
          </cell>
        </row>
      </sheetData>
      <sheetData sheetId="12316"/>
      <sheetData sheetId="12317">
        <row r="19">
          <cell r="J19">
            <v>1.0499999999999999E-3</v>
          </cell>
        </row>
      </sheetData>
      <sheetData sheetId="12318">
        <row r="19">
          <cell r="J19">
            <v>1.0499999999999999E-3</v>
          </cell>
        </row>
      </sheetData>
      <sheetData sheetId="12319">
        <row r="19">
          <cell r="J19">
            <v>1.0499999999999999E-3</v>
          </cell>
        </row>
      </sheetData>
      <sheetData sheetId="12320">
        <row r="19">
          <cell r="J19">
            <v>1.0499999999999999E-3</v>
          </cell>
        </row>
      </sheetData>
      <sheetData sheetId="12321">
        <row r="19">
          <cell r="J19">
            <v>1.0499999999999999E-3</v>
          </cell>
        </row>
      </sheetData>
      <sheetData sheetId="12322">
        <row r="19">
          <cell r="J19">
            <v>1.0499999999999999E-3</v>
          </cell>
        </row>
      </sheetData>
      <sheetData sheetId="12323" refreshError="1"/>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row r="19">
          <cell r="J19">
            <v>1.0499999999999999E-3</v>
          </cell>
        </row>
      </sheetData>
      <sheetData sheetId="12329">
        <row r="19">
          <cell r="J19">
            <v>1.0499999999999999E-3</v>
          </cell>
        </row>
      </sheetData>
      <sheetData sheetId="12330">
        <row r="19">
          <cell r="J19">
            <v>1.0499999999999999E-3</v>
          </cell>
        </row>
      </sheetData>
      <sheetData sheetId="12331">
        <row r="19">
          <cell r="J19">
            <v>1.0499999999999999E-3</v>
          </cell>
        </row>
      </sheetData>
      <sheetData sheetId="12332">
        <row r="19">
          <cell r="J19">
            <v>1.0499999999999999E-3</v>
          </cell>
        </row>
      </sheetData>
      <sheetData sheetId="12333">
        <row r="19">
          <cell r="J19">
            <v>1.0499999999999999E-3</v>
          </cell>
        </row>
      </sheetData>
      <sheetData sheetId="12334">
        <row r="19">
          <cell r="J19">
            <v>1.0499999999999999E-3</v>
          </cell>
        </row>
      </sheetData>
      <sheetData sheetId="12335"/>
      <sheetData sheetId="12336">
        <row r="19">
          <cell r="J19">
            <v>1.0499999999999999E-3</v>
          </cell>
        </row>
      </sheetData>
      <sheetData sheetId="12337"/>
      <sheetData sheetId="12338"/>
      <sheetData sheetId="12339"/>
      <sheetData sheetId="12340">
        <row r="19">
          <cell r="J19">
            <v>1.0499999999999999E-3</v>
          </cell>
        </row>
      </sheetData>
      <sheetData sheetId="12341">
        <row r="19">
          <cell r="J19">
            <v>1.0499999999999999E-3</v>
          </cell>
        </row>
      </sheetData>
      <sheetData sheetId="12342">
        <row r="19">
          <cell r="J19">
            <v>1.0499999999999999E-3</v>
          </cell>
        </row>
      </sheetData>
      <sheetData sheetId="12343">
        <row r="19">
          <cell r="J19">
            <v>1.0499999999999999E-3</v>
          </cell>
        </row>
      </sheetData>
      <sheetData sheetId="12344">
        <row r="19">
          <cell r="J19">
            <v>1.0499999999999999E-3</v>
          </cell>
        </row>
      </sheetData>
      <sheetData sheetId="12345"/>
      <sheetData sheetId="12346"/>
      <sheetData sheetId="12347"/>
      <sheetData sheetId="12348"/>
      <sheetData sheetId="12349"/>
      <sheetData sheetId="12350"/>
      <sheetData sheetId="12351"/>
      <sheetData sheetId="12352"/>
      <sheetData sheetId="12353">
        <row r="19">
          <cell r="J19">
            <v>1.0499999999999999E-3</v>
          </cell>
        </row>
      </sheetData>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ow r="19">
          <cell r="J19">
            <v>1.0499999999999999E-3</v>
          </cell>
        </row>
      </sheetData>
      <sheetData sheetId="12760">
        <row r="19">
          <cell r="J19">
            <v>1.0499999999999999E-3</v>
          </cell>
        </row>
      </sheetData>
      <sheetData sheetId="12761">
        <row r="19">
          <cell r="J19">
            <v>1.0499999999999999E-3</v>
          </cell>
        </row>
      </sheetData>
      <sheetData sheetId="12762">
        <row r="19">
          <cell r="J19">
            <v>1.0499999999999999E-3</v>
          </cell>
        </row>
      </sheetData>
      <sheetData sheetId="12763">
        <row r="19">
          <cell r="J19">
            <v>1.0499999999999999E-3</v>
          </cell>
        </row>
      </sheetData>
      <sheetData sheetId="12764">
        <row r="19">
          <cell r="J19">
            <v>1.0499999999999999E-3</v>
          </cell>
        </row>
      </sheetData>
      <sheetData sheetId="12765">
        <row r="19">
          <cell r="J19">
            <v>1.0499999999999999E-3</v>
          </cell>
        </row>
      </sheetData>
      <sheetData sheetId="12766">
        <row r="19">
          <cell r="J19">
            <v>1.0499999999999999E-3</v>
          </cell>
        </row>
      </sheetData>
      <sheetData sheetId="12767">
        <row r="19">
          <cell r="J19">
            <v>1.0499999999999999E-3</v>
          </cell>
        </row>
      </sheetData>
      <sheetData sheetId="12768">
        <row r="19">
          <cell r="J19">
            <v>1.0499999999999999E-3</v>
          </cell>
        </row>
      </sheetData>
      <sheetData sheetId="12769">
        <row r="19">
          <cell r="J19">
            <v>1.0499999999999999E-3</v>
          </cell>
        </row>
      </sheetData>
      <sheetData sheetId="12770">
        <row r="19">
          <cell r="J19">
            <v>1.0499999999999999E-3</v>
          </cell>
        </row>
      </sheetData>
      <sheetData sheetId="12771">
        <row r="19">
          <cell r="J19">
            <v>1.0499999999999999E-3</v>
          </cell>
        </row>
      </sheetData>
      <sheetData sheetId="12772">
        <row r="19">
          <cell r="J19">
            <v>1.0499999999999999E-3</v>
          </cell>
        </row>
      </sheetData>
      <sheetData sheetId="12773">
        <row r="19">
          <cell r="J19">
            <v>1.0499999999999999E-3</v>
          </cell>
        </row>
      </sheetData>
      <sheetData sheetId="12774">
        <row r="19">
          <cell r="J19">
            <v>1.0499999999999999E-3</v>
          </cell>
        </row>
      </sheetData>
      <sheetData sheetId="12775">
        <row r="19">
          <cell r="J19">
            <v>1.0499999999999999E-3</v>
          </cell>
        </row>
      </sheetData>
      <sheetData sheetId="12776">
        <row r="19">
          <cell r="J19">
            <v>1.0499999999999999E-3</v>
          </cell>
        </row>
      </sheetData>
      <sheetData sheetId="12777">
        <row r="19">
          <cell r="J19">
            <v>1.0499999999999999E-3</v>
          </cell>
        </row>
      </sheetData>
      <sheetData sheetId="12778">
        <row r="19">
          <cell r="J19">
            <v>1.0499999999999999E-3</v>
          </cell>
        </row>
      </sheetData>
      <sheetData sheetId="12779">
        <row r="19">
          <cell r="J19">
            <v>1.0499999999999999E-3</v>
          </cell>
        </row>
      </sheetData>
      <sheetData sheetId="12780">
        <row r="19">
          <cell r="J19">
            <v>1.0499999999999999E-3</v>
          </cell>
        </row>
      </sheetData>
      <sheetData sheetId="12781">
        <row r="19">
          <cell r="J19">
            <v>1.0499999999999999E-3</v>
          </cell>
        </row>
      </sheetData>
      <sheetData sheetId="12782">
        <row r="19">
          <cell r="J19">
            <v>1.0499999999999999E-3</v>
          </cell>
        </row>
      </sheetData>
      <sheetData sheetId="12783">
        <row r="19">
          <cell r="J19">
            <v>1.0499999999999999E-3</v>
          </cell>
        </row>
      </sheetData>
      <sheetData sheetId="12784">
        <row r="19">
          <cell r="J19">
            <v>1.0499999999999999E-3</v>
          </cell>
        </row>
      </sheetData>
      <sheetData sheetId="12785">
        <row r="19">
          <cell r="J19">
            <v>1.0499999999999999E-3</v>
          </cell>
        </row>
      </sheetData>
      <sheetData sheetId="12786">
        <row r="19">
          <cell r="J19">
            <v>1.0499999999999999E-3</v>
          </cell>
        </row>
      </sheetData>
      <sheetData sheetId="12787">
        <row r="19">
          <cell r="J19">
            <v>1.0499999999999999E-3</v>
          </cell>
        </row>
      </sheetData>
      <sheetData sheetId="12788">
        <row r="19">
          <cell r="J19">
            <v>1.0499999999999999E-3</v>
          </cell>
        </row>
      </sheetData>
      <sheetData sheetId="12789">
        <row r="19">
          <cell r="J19">
            <v>1.0499999999999999E-3</v>
          </cell>
        </row>
      </sheetData>
      <sheetData sheetId="12790">
        <row r="19">
          <cell r="J19">
            <v>1.0499999999999999E-3</v>
          </cell>
        </row>
      </sheetData>
      <sheetData sheetId="12791">
        <row r="19">
          <cell r="J19">
            <v>1.0499999999999999E-3</v>
          </cell>
        </row>
      </sheetData>
      <sheetData sheetId="12792">
        <row r="19">
          <cell r="J19">
            <v>1.0499999999999999E-3</v>
          </cell>
        </row>
      </sheetData>
      <sheetData sheetId="12793">
        <row r="19">
          <cell r="J19">
            <v>1.0499999999999999E-3</v>
          </cell>
        </row>
      </sheetData>
      <sheetData sheetId="12794">
        <row r="19">
          <cell r="J19">
            <v>1.0499999999999999E-3</v>
          </cell>
        </row>
      </sheetData>
      <sheetData sheetId="12795">
        <row r="19">
          <cell r="J19">
            <v>1.0499999999999999E-3</v>
          </cell>
        </row>
      </sheetData>
      <sheetData sheetId="12796">
        <row r="19">
          <cell r="J19">
            <v>1.0499999999999999E-3</v>
          </cell>
        </row>
      </sheetData>
      <sheetData sheetId="12797">
        <row r="19">
          <cell r="J19">
            <v>1.0499999999999999E-3</v>
          </cell>
        </row>
      </sheetData>
      <sheetData sheetId="12798">
        <row r="19">
          <cell r="J19">
            <v>1.0499999999999999E-3</v>
          </cell>
        </row>
      </sheetData>
      <sheetData sheetId="12799">
        <row r="19">
          <cell r="J19">
            <v>1.0499999999999999E-3</v>
          </cell>
        </row>
      </sheetData>
      <sheetData sheetId="12800">
        <row r="19">
          <cell r="J19">
            <v>1.0499999999999999E-3</v>
          </cell>
        </row>
      </sheetData>
      <sheetData sheetId="12801">
        <row r="19">
          <cell r="J19">
            <v>1.0499999999999999E-3</v>
          </cell>
        </row>
      </sheetData>
      <sheetData sheetId="12802">
        <row r="19">
          <cell r="J19">
            <v>1.0499999999999999E-3</v>
          </cell>
        </row>
      </sheetData>
      <sheetData sheetId="12803">
        <row r="19">
          <cell r="J19">
            <v>1.0499999999999999E-3</v>
          </cell>
        </row>
      </sheetData>
      <sheetData sheetId="12804">
        <row r="19">
          <cell r="J19">
            <v>1.0499999999999999E-3</v>
          </cell>
        </row>
      </sheetData>
      <sheetData sheetId="12805">
        <row r="19">
          <cell r="J19">
            <v>1.0499999999999999E-3</v>
          </cell>
        </row>
      </sheetData>
      <sheetData sheetId="12806">
        <row r="19">
          <cell r="J19">
            <v>1.0499999999999999E-3</v>
          </cell>
        </row>
      </sheetData>
      <sheetData sheetId="12807">
        <row r="19">
          <cell r="J19">
            <v>1.0499999999999999E-3</v>
          </cell>
        </row>
      </sheetData>
      <sheetData sheetId="12808">
        <row r="19">
          <cell r="J19">
            <v>1.0499999999999999E-3</v>
          </cell>
        </row>
      </sheetData>
      <sheetData sheetId="12809">
        <row r="19">
          <cell r="J19">
            <v>1.0499999999999999E-3</v>
          </cell>
        </row>
      </sheetData>
      <sheetData sheetId="12810">
        <row r="19">
          <cell r="J19">
            <v>1.0499999999999999E-3</v>
          </cell>
        </row>
      </sheetData>
      <sheetData sheetId="12811">
        <row r="19">
          <cell r="J19">
            <v>1.0499999999999999E-3</v>
          </cell>
        </row>
      </sheetData>
      <sheetData sheetId="12812">
        <row r="19">
          <cell r="J19">
            <v>1.0499999999999999E-3</v>
          </cell>
        </row>
      </sheetData>
      <sheetData sheetId="12813">
        <row r="19">
          <cell r="J19">
            <v>1.0499999999999999E-3</v>
          </cell>
        </row>
      </sheetData>
      <sheetData sheetId="12814">
        <row r="19">
          <cell r="J19">
            <v>1.0499999999999999E-3</v>
          </cell>
        </row>
      </sheetData>
      <sheetData sheetId="12815">
        <row r="19">
          <cell r="J19">
            <v>1.0499999999999999E-3</v>
          </cell>
        </row>
      </sheetData>
      <sheetData sheetId="12816">
        <row r="19">
          <cell r="J19">
            <v>1.0499999999999999E-3</v>
          </cell>
        </row>
      </sheetData>
      <sheetData sheetId="12817">
        <row r="19">
          <cell r="J19">
            <v>1.0499999999999999E-3</v>
          </cell>
        </row>
      </sheetData>
      <sheetData sheetId="12818"/>
      <sheetData sheetId="12819"/>
      <sheetData sheetId="12820"/>
      <sheetData sheetId="12821">
        <row r="19">
          <cell r="J19">
            <v>1.0499999999999999E-3</v>
          </cell>
        </row>
      </sheetData>
      <sheetData sheetId="12822"/>
      <sheetData sheetId="12823">
        <row r="19">
          <cell r="J19">
            <v>1.0499999999999999E-3</v>
          </cell>
        </row>
      </sheetData>
      <sheetData sheetId="12824"/>
      <sheetData sheetId="12825">
        <row r="19">
          <cell r="J19">
            <v>1.0499999999999999E-3</v>
          </cell>
        </row>
      </sheetData>
      <sheetData sheetId="12826">
        <row r="19">
          <cell r="J19">
            <v>1.0499999999999999E-3</v>
          </cell>
        </row>
      </sheetData>
      <sheetData sheetId="12827">
        <row r="19">
          <cell r="J19">
            <v>1.0499999999999999E-3</v>
          </cell>
        </row>
      </sheetData>
      <sheetData sheetId="12828">
        <row r="19">
          <cell r="J19">
            <v>1.0499999999999999E-3</v>
          </cell>
        </row>
      </sheetData>
      <sheetData sheetId="12829">
        <row r="19">
          <cell r="J19">
            <v>1.0499999999999999E-3</v>
          </cell>
        </row>
      </sheetData>
      <sheetData sheetId="12830">
        <row r="19">
          <cell r="J19">
            <v>1.0499999999999999E-3</v>
          </cell>
        </row>
      </sheetData>
      <sheetData sheetId="12831">
        <row r="19">
          <cell r="J19">
            <v>1.0499999999999999E-3</v>
          </cell>
        </row>
      </sheetData>
      <sheetData sheetId="12832">
        <row r="19">
          <cell r="J19">
            <v>1.0499999999999999E-3</v>
          </cell>
        </row>
      </sheetData>
      <sheetData sheetId="12833"/>
      <sheetData sheetId="12834">
        <row r="19">
          <cell r="J19">
            <v>1.0499999999999999E-3</v>
          </cell>
        </row>
      </sheetData>
      <sheetData sheetId="12835"/>
      <sheetData sheetId="12836">
        <row r="19">
          <cell r="J19">
            <v>1.0499999999999999E-3</v>
          </cell>
        </row>
      </sheetData>
      <sheetData sheetId="12837"/>
      <sheetData sheetId="12838">
        <row r="19">
          <cell r="J19">
            <v>1.0499999999999999E-3</v>
          </cell>
        </row>
      </sheetData>
      <sheetData sheetId="12839"/>
      <sheetData sheetId="12840">
        <row r="19">
          <cell r="J19">
            <v>1.0499999999999999E-3</v>
          </cell>
        </row>
      </sheetData>
      <sheetData sheetId="12841"/>
      <sheetData sheetId="12842">
        <row r="19">
          <cell r="J19">
            <v>1.0499999999999999E-3</v>
          </cell>
        </row>
      </sheetData>
      <sheetData sheetId="12843"/>
      <sheetData sheetId="12844"/>
      <sheetData sheetId="12845">
        <row r="19">
          <cell r="J19">
            <v>1.0499999999999999E-3</v>
          </cell>
        </row>
      </sheetData>
      <sheetData sheetId="12846"/>
      <sheetData sheetId="12847">
        <row r="19">
          <cell r="J19">
            <v>1.0499999999999999E-3</v>
          </cell>
        </row>
      </sheetData>
      <sheetData sheetId="12848"/>
      <sheetData sheetId="12849">
        <row r="19">
          <cell r="J19">
            <v>1.0499999999999999E-3</v>
          </cell>
        </row>
      </sheetData>
      <sheetData sheetId="12850"/>
      <sheetData sheetId="12851">
        <row r="19">
          <cell r="J19">
            <v>1.0499999999999999E-3</v>
          </cell>
        </row>
      </sheetData>
      <sheetData sheetId="12852"/>
      <sheetData sheetId="12853">
        <row r="19">
          <cell r="J19">
            <v>1.0499999999999999E-3</v>
          </cell>
        </row>
      </sheetData>
      <sheetData sheetId="12854"/>
      <sheetData sheetId="12855"/>
      <sheetData sheetId="12856"/>
      <sheetData sheetId="12857"/>
      <sheetData sheetId="12858"/>
      <sheetData sheetId="12859"/>
      <sheetData sheetId="12860"/>
      <sheetData sheetId="12861"/>
      <sheetData sheetId="12862"/>
      <sheetData sheetId="12863">
        <row r="19">
          <cell r="J19">
            <v>1.0499999999999999E-3</v>
          </cell>
        </row>
      </sheetData>
      <sheetData sheetId="12864"/>
      <sheetData sheetId="12865">
        <row r="19">
          <cell r="J19">
            <v>1.0499999999999999E-3</v>
          </cell>
        </row>
      </sheetData>
      <sheetData sheetId="12866"/>
      <sheetData sheetId="12867">
        <row r="19">
          <cell r="J19">
            <v>1.0499999999999999E-3</v>
          </cell>
        </row>
      </sheetData>
      <sheetData sheetId="12868"/>
      <sheetData sheetId="12869">
        <row r="19">
          <cell r="J19">
            <v>1.0499999999999999E-3</v>
          </cell>
        </row>
      </sheetData>
      <sheetData sheetId="12870">
        <row r="19">
          <cell r="J19">
            <v>1.0499999999999999E-3</v>
          </cell>
        </row>
      </sheetData>
      <sheetData sheetId="12871">
        <row r="19">
          <cell r="J19">
            <v>1.0499999999999999E-3</v>
          </cell>
        </row>
      </sheetData>
      <sheetData sheetId="12872">
        <row r="19">
          <cell r="J19">
            <v>1.0499999999999999E-3</v>
          </cell>
        </row>
      </sheetData>
      <sheetData sheetId="12873"/>
      <sheetData sheetId="12874">
        <row r="19">
          <cell r="J19">
            <v>1.0499999999999999E-3</v>
          </cell>
        </row>
      </sheetData>
      <sheetData sheetId="12875">
        <row r="19">
          <cell r="J19">
            <v>1.0499999999999999E-3</v>
          </cell>
        </row>
      </sheetData>
      <sheetData sheetId="12876">
        <row r="19">
          <cell r="J19">
            <v>1.0499999999999999E-3</v>
          </cell>
        </row>
      </sheetData>
      <sheetData sheetId="12877">
        <row r="19">
          <cell r="J19">
            <v>1.0499999999999999E-3</v>
          </cell>
        </row>
      </sheetData>
      <sheetData sheetId="12878">
        <row r="19">
          <cell r="J19">
            <v>1.0499999999999999E-3</v>
          </cell>
        </row>
      </sheetData>
      <sheetData sheetId="12879">
        <row r="19">
          <cell r="J19">
            <v>1.0499999999999999E-3</v>
          </cell>
        </row>
      </sheetData>
      <sheetData sheetId="12880">
        <row r="19">
          <cell r="J19">
            <v>1.0499999999999999E-3</v>
          </cell>
        </row>
      </sheetData>
      <sheetData sheetId="12881">
        <row r="19">
          <cell r="J19">
            <v>1.0499999999999999E-3</v>
          </cell>
        </row>
      </sheetData>
      <sheetData sheetId="12882">
        <row r="19">
          <cell r="J19">
            <v>1.0499999999999999E-3</v>
          </cell>
        </row>
      </sheetData>
      <sheetData sheetId="12883">
        <row r="19">
          <cell r="J19">
            <v>1.0499999999999999E-3</v>
          </cell>
        </row>
      </sheetData>
      <sheetData sheetId="12884">
        <row r="19">
          <cell r="J19">
            <v>1.0499999999999999E-3</v>
          </cell>
        </row>
      </sheetData>
      <sheetData sheetId="12885">
        <row r="19">
          <cell r="J19">
            <v>1.0499999999999999E-3</v>
          </cell>
        </row>
      </sheetData>
      <sheetData sheetId="12886">
        <row r="19">
          <cell r="J19">
            <v>1.0499999999999999E-3</v>
          </cell>
        </row>
      </sheetData>
      <sheetData sheetId="12887">
        <row r="19">
          <cell r="J19">
            <v>1.0499999999999999E-3</v>
          </cell>
        </row>
      </sheetData>
      <sheetData sheetId="12888"/>
      <sheetData sheetId="12889">
        <row r="19">
          <cell r="J19">
            <v>1.0499999999999999E-3</v>
          </cell>
        </row>
      </sheetData>
      <sheetData sheetId="12890">
        <row r="19">
          <cell r="J19">
            <v>1.0499999999999999E-3</v>
          </cell>
        </row>
      </sheetData>
      <sheetData sheetId="12891">
        <row r="19">
          <cell r="J19">
            <v>1.0499999999999999E-3</v>
          </cell>
        </row>
      </sheetData>
      <sheetData sheetId="12892">
        <row r="19">
          <cell r="J19">
            <v>1.0499999999999999E-3</v>
          </cell>
        </row>
      </sheetData>
      <sheetData sheetId="12893">
        <row r="19">
          <cell r="J19">
            <v>1.0499999999999999E-3</v>
          </cell>
        </row>
      </sheetData>
      <sheetData sheetId="12894">
        <row r="19">
          <cell r="J19">
            <v>1.0499999999999999E-3</v>
          </cell>
        </row>
      </sheetData>
      <sheetData sheetId="12895">
        <row r="19">
          <cell r="J19">
            <v>1.0499999999999999E-3</v>
          </cell>
        </row>
      </sheetData>
      <sheetData sheetId="12896">
        <row r="19">
          <cell r="J19">
            <v>1.0499999999999999E-3</v>
          </cell>
        </row>
      </sheetData>
      <sheetData sheetId="12897">
        <row r="19">
          <cell r="J19">
            <v>1.0499999999999999E-3</v>
          </cell>
        </row>
      </sheetData>
      <sheetData sheetId="12898">
        <row r="19">
          <cell r="J19">
            <v>1.0499999999999999E-3</v>
          </cell>
        </row>
      </sheetData>
      <sheetData sheetId="12899">
        <row r="19">
          <cell r="J19">
            <v>1.0499999999999999E-3</v>
          </cell>
        </row>
      </sheetData>
      <sheetData sheetId="12900">
        <row r="19">
          <cell r="J19">
            <v>1.0499999999999999E-3</v>
          </cell>
        </row>
      </sheetData>
      <sheetData sheetId="12901">
        <row r="19">
          <cell r="J19">
            <v>1.0499999999999999E-3</v>
          </cell>
        </row>
      </sheetData>
      <sheetData sheetId="12902">
        <row r="19">
          <cell r="J19">
            <v>1.0499999999999999E-3</v>
          </cell>
        </row>
      </sheetData>
      <sheetData sheetId="12903">
        <row r="19">
          <cell r="J19">
            <v>1.0499999999999999E-3</v>
          </cell>
        </row>
      </sheetData>
      <sheetData sheetId="12904">
        <row r="19">
          <cell r="J19">
            <v>1.0499999999999999E-3</v>
          </cell>
        </row>
      </sheetData>
      <sheetData sheetId="12905">
        <row r="19">
          <cell r="J19">
            <v>1.0499999999999999E-3</v>
          </cell>
        </row>
      </sheetData>
      <sheetData sheetId="12906">
        <row r="19">
          <cell r="J19">
            <v>1.0499999999999999E-3</v>
          </cell>
        </row>
      </sheetData>
      <sheetData sheetId="12907">
        <row r="19">
          <cell r="J19">
            <v>1.0499999999999999E-3</v>
          </cell>
        </row>
      </sheetData>
      <sheetData sheetId="12908">
        <row r="19">
          <cell r="J19">
            <v>1.0499999999999999E-3</v>
          </cell>
        </row>
      </sheetData>
      <sheetData sheetId="12909">
        <row r="19">
          <cell r="J19">
            <v>1.0499999999999999E-3</v>
          </cell>
        </row>
      </sheetData>
      <sheetData sheetId="12910">
        <row r="19">
          <cell r="J19">
            <v>1.0499999999999999E-3</v>
          </cell>
        </row>
      </sheetData>
      <sheetData sheetId="12911">
        <row r="19">
          <cell r="J19">
            <v>1.0499999999999999E-3</v>
          </cell>
        </row>
      </sheetData>
      <sheetData sheetId="12912">
        <row r="19">
          <cell r="J19">
            <v>1.0499999999999999E-3</v>
          </cell>
        </row>
      </sheetData>
      <sheetData sheetId="12913">
        <row r="19">
          <cell r="J19">
            <v>1.0499999999999999E-3</v>
          </cell>
        </row>
      </sheetData>
      <sheetData sheetId="12914">
        <row r="19">
          <cell r="J19">
            <v>1.0499999999999999E-3</v>
          </cell>
        </row>
      </sheetData>
      <sheetData sheetId="12915">
        <row r="19">
          <cell r="J19">
            <v>1.0499999999999999E-3</v>
          </cell>
        </row>
      </sheetData>
      <sheetData sheetId="12916">
        <row r="19">
          <cell r="J19">
            <v>1.0499999999999999E-3</v>
          </cell>
        </row>
      </sheetData>
      <sheetData sheetId="12917">
        <row r="19">
          <cell r="J19">
            <v>1.0499999999999999E-3</v>
          </cell>
        </row>
      </sheetData>
      <sheetData sheetId="12918">
        <row r="19">
          <cell r="J19">
            <v>1.0499999999999999E-3</v>
          </cell>
        </row>
      </sheetData>
      <sheetData sheetId="12919">
        <row r="19">
          <cell r="J19">
            <v>1.0499999999999999E-3</v>
          </cell>
        </row>
      </sheetData>
      <sheetData sheetId="12920">
        <row r="19">
          <cell r="J19">
            <v>1.0499999999999999E-3</v>
          </cell>
        </row>
      </sheetData>
      <sheetData sheetId="12921">
        <row r="19">
          <cell r="J19">
            <v>1.0499999999999999E-3</v>
          </cell>
        </row>
      </sheetData>
      <sheetData sheetId="12922">
        <row r="19">
          <cell r="J19">
            <v>1.0499999999999999E-3</v>
          </cell>
        </row>
      </sheetData>
      <sheetData sheetId="12923">
        <row r="19">
          <cell r="J19">
            <v>1.0499999999999999E-3</v>
          </cell>
        </row>
      </sheetData>
      <sheetData sheetId="12924">
        <row r="19">
          <cell r="J19">
            <v>1.0499999999999999E-3</v>
          </cell>
        </row>
      </sheetData>
      <sheetData sheetId="12925">
        <row r="19">
          <cell r="J19">
            <v>1.0499999999999999E-3</v>
          </cell>
        </row>
      </sheetData>
      <sheetData sheetId="12926">
        <row r="19">
          <cell r="J19">
            <v>1.0499999999999999E-3</v>
          </cell>
        </row>
      </sheetData>
      <sheetData sheetId="12927">
        <row r="19">
          <cell r="J19">
            <v>1.0499999999999999E-3</v>
          </cell>
        </row>
      </sheetData>
      <sheetData sheetId="12928">
        <row r="19">
          <cell r="J19">
            <v>1.0499999999999999E-3</v>
          </cell>
        </row>
      </sheetData>
      <sheetData sheetId="12929">
        <row r="19">
          <cell r="J19">
            <v>1.0499999999999999E-3</v>
          </cell>
        </row>
      </sheetData>
      <sheetData sheetId="12930">
        <row r="19">
          <cell r="J19">
            <v>1.0499999999999999E-3</v>
          </cell>
        </row>
      </sheetData>
      <sheetData sheetId="12931">
        <row r="19">
          <cell r="J19">
            <v>1.0499999999999999E-3</v>
          </cell>
        </row>
      </sheetData>
      <sheetData sheetId="12932">
        <row r="19">
          <cell r="J19">
            <v>1.0499999999999999E-3</v>
          </cell>
        </row>
      </sheetData>
      <sheetData sheetId="12933">
        <row r="19">
          <cell r="J19">
            <v>1.0499999999999999E-3</v>
          </cell>
        </row>
      </sheetData>
      <sheetData sheetId="12934">
        <row r="19">
          <cell r="J19">
            <v>1.0499999999999999E-3</v>
          </cell>
        </row>
      </sheetData>
      <sheetData sheetId="12935">
        <row r="19">
          <cell r="J19">
            <v>1.0499999999999999E-3</v>
          </cell>
        </row>
      </sheetData>
      <sheetData sheetId="12936">
        <row r="19">
          <cell r="J19">
            <v>1.0499999999999999E-3</v>
          </cell>
        </row>
      </sheetData>
      <sheetData sheetId="12937">
        <row r="19">
          <cell r="J19">
            <v>1.0499999999999999E-3</v>
          </cell>
        </row>
      </sheetData>
      <sheetData sheetId="12938">
        <row r="19">
          <cell r="J19">
            <v>1.0499999999999999E-3</v>
          </cell>
        </row>
      </sheetData>
      <sheetData sheetId="12939">
        <row r="19">
          <cell r="J19">
            <v>1.0499999999999999E-3</v>
          </cell>
        </row>
      </sheetData>
      <sheetData sheetId="12940">
        <row r="19">
          <cell r="J19">
            <v>1.0499999999999999E-3</v>
          </cell>
        </row>
      </sheetData>
      <sheetData sheetId="12941">
        <row r="19">
          <cell r="J19">
            <v>1.0499999999999999E-3</v>
          </cell>
        </row>
      </sheetData>
      <sheetData sheetId="12942">
        <row r="19">
          <cell r="J19">
            <v>1.0499999999999999E-3</v>
          </cell>
        </row>
      </sheetData>
      <sheetData sheetId="12943">
        <row r="19">
          <cell r="J19">
            <v>1.0499999999999999E-3</v>
          </cell>
        </row>
      </sheetData>
      <sheetData sheetId="12944">
        <row r="19">
          <cell r="J19">
            <v>1.0499999999999999E-3</v>
          </cell>
        </row>
      </sheetData>
      <sheetData sheetId="12945">
        <row r="19">
          <cell r="J19">
            <v>1.0499999999999999E-3</v>
          </cell>
        </row>
      </sheetData>
      <sheetData sheetId="12946">
        <row r="19">
          <cell r="J19">
            <v>1.0499999999999999E-3</v>
          </cell>
        </row>
      </sheetData>
      <sheetData sheetId="12947">
        <row r="19">
          <cell r="J19">
            <v>1.0499999999999999E-3</v>
          </cell>
        </row>
      </sheetData>
      <sheetData sheetId="12948">
        <row r="19">
          <cell r="J19">
            <v>1.0499999999999999E-3</v>
          </cell>
        </row>
      </sheetData>
      <sheetData sheetId="12949">
        <row r="19">
          <cell r="J19">
            <v>1.0499999999999999E-3</v>
          </cell>
        </row>
      </sheetData>
      <sheetData sheetId="12950">
        <row r="19">
          <cell r="J19">
            <v>1.0499999999999999E-3</v>
          </cell>
        </row>
      </sheetData>
      <sheetData sheetId="12951">
        <row r="19">
          <cell r="J19">
            <v>1.0499999999999999E-3</v>
          </cell>
        </row>
      </sheetData>
      <sheetData sheetId="12952">
        <row r="19">
          <cell r="J19">
            <v>1.0499999999999999E-3</v>
          </cell>
        </row>
      </sheetData>
      <sheetData sheetId="12953">
        <row r="19">
          <cell r="J19">
            <v>1.0499999999999999E-3</v>
          </cell>
        </row>
      </sheetData>
      <sheetData sheetId="12954">
        <row r="19">
          <cell r="J19">
            <v>1.0499999999999999E-3</v>
          </cell>
        </row>
      </sheetData>
      <sheetData sheetId="12955">
        <row r="19">
          <cell r="J19">
            <v>1.0499999999999999E-3</v>
          </cell>
        </row>
      </sheetData>
      <sheetData sheetId="12956">
        <row r="19">
          <cell r="J19">
            <v>1.0499999999999999E-3</v>
          </cell>
        </row>
      </sheetData>
      <sheetData sheetId="12957">
        <row r="19">
          <cell r="J19">
            <v>1.0499999999999999E-3</v>
          </cell>
        </row>
      </sheetData>
      <sheetData sheetId="12958">
        <row r="19">
          <cell r="J19">
            <v>1.0499999999999999E-3</v>
          </cell>
        </row>
      </sheetData>
      <sheetData sheetId="12959">
        <row r="19">
          <cell r="J19">
            <v>1.0499999999999999E-3</v>
          </cell>
        </row>
      </sheetData>
      <sheetData sheetId="12960">
        <row r="19">
          <cell r="J19">
            <v>1.0499999999999999E-3</v>
          </cell>
        </row>
      </sheetData>
      <sheetData sheetId="12961">
        <row r="19">
          <cell r="J19">
            <v>1.0499999999999999E-3</v>
          </cell>
        </row>
      </sheetData>
      <sheetData sheetId="12962">
        <row r="19">
          <cell r="J19">
            <v>1.0499999999999999E-3</v>
          </cell>
        </row>
      </sheetData>
      <sheetData sheetId="12963">
        <row r="19">
          <cell r="J19">
            <v>1.0499999999999999E-3</v>
          </cell>
        </row>
      </sheetData>
      <sheetData sheetId="12964">
        <row r="19">
          <cell r="J19">
            <v>1.0499999999999999E-3</v>
          </cell>
        </row>
      </sheetData>
      <sheetData sheetId="12965">
        <row r="19">
          <cell r="J19">
            <v>1.0499999999999999E-3</v>
          </cell>
        </row>
      </sheetData>
      <sheetData sheetId="12966">
        <row r="19">
          <cell r="J19">
            <v>1.0499999999999999E-3</v>
          </cell>
        </row>
      </sheetData>
      <sheetData sheetId="12967">
        <row r="19">
          <cell r="J19">
            <v>1.0499999999999999E-3</v>
          </cell>
        </row>
      </sheetData>
      <sheetData sheetId="12968">
        <row r="19">
          <cell r="J19">
            <v>1.0499999999999999E-3</v>
          </cell>
        </row>
      </sheetData>
      <sheetData sheetId="12969">
        <row r="19">
          <cell r="J19">
            <v>1.0499999999999999E-3</v>
          </cell>
        </row>
      </sheetData>
      <sheetData sheetId="12970">
        <row r="19">
          <cell r="J19">
            <v>1.0499999999999999E-3</v>
          </cell>
        </row>
      </sheetData>
      <sheetData sheetId="12971">
        <row r="19">
          <cell r="J19">
            <v>1.0499999999999999E-3</v>
          </cell>
        </row>
      </sheetData>
      <sheetData sheetId="12972">
        <row r="19">
          <cell r="J19">
            <v>1.0499999999999999E-3</v>
          </cell>
        </row>
      </sheetData>
      <sheetData sheetId="12973">
        <row r="19">
          <cell r="J19">
            <v>1.0499999999999999E-3</v>
          </cell>
        </row>
      </sheetData>
      <sheetData sheetId="12974">
        <row r="19">
          <cell r="J19">
            <v>1.0499999999999999E-3</v>
          </cell>
        </row>
      </sheetData>
      <sheetData sheetId="12975">
        <row r="19">
          <cell r="J19">
            <v>1.0499999999999999E-3</v>
          </cell>
        </row>
      </sheetData>
      <sheetData sheetId="12976">
        <row r="19">
          <cell r="J19">
            <v>1.0499999999999999E-3</v>
          </cell>
        </row>
      </sheetData>
      <sheetData sheetId="12977">
        <row r="19">
          <cell r="J19">
            <v>1.0499999999999999E-3</v>
          </cell>
        </row>
      </sheetData>
      <sheetData sheetId="12978">
        <row r="19">
          <cell r="J19">
            <v>1.0499999999999999E-3</v>
          </cell>
        </row>
      </sheetData>
      <sheetData sheetId="12979">
        <row r="19">
          <cell r="J19">
            <v>1.0499999999999999E-3</v>
          </cell>
        </row>
      </sheetData>
      <sheetData sheetId="12980">
        <row r="19">
          <cell r="J19">
            <v>1.0499999999999999E-3</v>
          </cell>
        </row>
      </sheetData>
      <sheetData sheetId="12981">
        <row r="19">
          <cell r="J19">
            <v>1.0499999999999999E-3</v>
          </cell>
        </row>
      </sheetData>
      <sheetData sheetId="12982">
        <row r="19">
          <cell r="J19">
            <v>1.0499999999999999E-3</v>
          </cell>
        </row>
      </sheetData>
      <sheetData sheetId="12983">
        <row r="19">
          <cell r="J19">
            <v>1.0499999999999999E-3</v>
          </cell>
        </row>
      </sheetData>
      <sheetData sheetId="12984">
        <row r="19">
          <cell r="J19">
            <v>1.0499999999999999E-3</v>
          </cell>
        </row>
      </sheetData>
      <sheetData sheetId="12985">
        <row r="19">
          <cell r="J19">
            <v>1.0499999999999999E-3</v>
          </cell>
        </row>
      </sheetData>
      <sheetData sheetId="12986">
        <row r="19">
          <cell r="J19">
            <v>1.0499999999999999E-3</v>
          </cell>
        </row>
      </sheetData>
      <sheetData sheetId="12987">
        <row r="19">
          <cell r="J19">
            <v>1.0499999999999999E-3</v>
          </cell>
        </row>
      </sheetData>
      <sheetData sheetId="12988">
        <row r="19">
          <cell r="J19">
            <v>1.0499999999999999E-3</v>
          </cell>
        </row>
      </sheetData>
      <sheetData sheetId="12989">
        <row r="19">
          <cell r="J19">
            <v>1.0499999999999999E-3</v>
          </cell>
        </row>
      </sheetData>
      <sheetData sheetId="12990">
        <row r="19">
          <cell r="J19">
            <v>1.0499999999999999E-3</v>
          </cell>
        </row>
      </sheetData>
      <sheetData sheetId="12991">
        <row r="19">
          <cell r="J19">
            <v>1.0499999999999999E-3</v>
          </cell>
        </row>
      </sheetData>
      <sheetData sheetId="12992">
        <row r="19">
          <cell r="J19">
            <v>1.0499999999999999E-3</v>
          </cell>
        </row>
      </sheetData>
      <sheetData sheetId="12993">
        <row r="19">
          <cell r="J19">
            <v>1.0499999999999999E-3</v>
          </cell>
        </row>
      </sheetData>
      <sheetData sheetId="12994">
        <row r="19">
          <cell r="J19">
            <v>1.0499999999999999E-3</v>
          </cell>
        </row>
      </sheetData>
      <sheetData sheetId="12995">
        <row r="19">
          <cell r="J19">
            <v>1.0499999999999999E-3</v>
          </cell>
        </row>
      </sheetData>
      <sheetData sheetId="12996">
        <row r="19">
          <cell r="J19">
            <v>1.0499999999999999E-3</v>
          </cell>
        </row>
      </sheetData>
      <sheetData sheetId="12997">
        <row r="19">
          <cell r="J19">
            <v>1.0499999999999999E-3</v>
          </cell>
        </row>
      </sheetData>
      <sheetData sheetId="12998">
        <row r="19">
          <cell r="J19">
            <v>1.0499999999999999E-3</v>
          </cell>
        </row>
      </sheetData>
      <sheetData sheetId="12999">
        <row r="19">
          <cell r="J19">
            <v>1.0499999999999999E-3</v>
          </cell>
        </row>
      </sheetData>
      <sheetData sheetId="13000">
        <row r="19">
          <cell r="J19">
            <v>1.0499999999999999E-3</v>
          </cell>
        </row>
      </sheetData>
      <sheetData sheetId="13001">
        <row r="19">
          <cell r="J19">
            <v>1.0499999999999999E-3</v>
          </cell>
        </row>
      </sheetData>
      <sheetData sheetId="13002">
        <row r="19">
          <cell r="J19">
            <v>1.0499999999999999E-3</v>
          </cell>
        </row>
      </sheetData>
      <sheetData sheetId="13003">
        <row r="19">
          <cell r="J19">
            <v>1.0499999999999999E-3</v>
          </cell>
        </row>
      </sheetData>
      <sheetData sheetId="13004">
        <row r="19">
          <cell r="J19">
            <v>1.0499999999999999E-3</v>
          </cell>
        </row>
      </sheetData>
      <sheetData sheetId="13005">
        <row r="19">
          <cell r="J19">
            <v>1.0499999999999999E-3</v>
          </cell>
        </row>
      </sheetData>
      <sheetData sheetId="13006">
        <row r="19">
          <cell r="J19">
            <v>1.0499999999999999E-3</v>
          </cell>
        </row>
      </sheetData>
      <sheetData sheetId="13007">
        <row r="19">
          <cell r="J19">
            <v>1.0499999999999999E-3</v>
          </cell>
        </row>
      </sheetData>
      <sheetData sheetId="13008">
        <row r="19">
          <cell r="J19">
            <v>1.0499999999999999E-3</v>
          </cell>
        </row>
      </sheetData>
      <sheetData sheetId="13009">
        <row r="19">
          <cell r="J19">
            <v>1.0499999999999999E-3</v>
          </cell>
        </row>
      </sheetData>
      <sheetData sheetId="13010">
        <row r="19">
          <cell r="J19">
            <v>1.0499999999999999E-3</v>
          </cell>
        </row>
      </sheetData>
      <sheetData sheetId="13011">
        <row r="19">
          <cell r="J19">
            <v>1.0499999999999999E-3</v>
          </cell>
        </row>
      </sheetData>
      <sheetData sheetId="13012">
        <row r="19">
          <cell r="J19">
            <v>1.0499999999999999E-3</v>
          </cell>
        </row>
      </sheetData>
      <sheetData sheetId="13013">
        <row r="19">
          <cell r="J19">
            <v>1.0499999999999999E-3</v>
          </cell>
        </row>
      </sheetData>
      <sheetData sheetId="13014">
        <row r="19">
          <cell r="J19">
            <v>1.0499999999999999E-3</v>
          </cell>
        </row>
      </sheetData>
      <sheetData sheetId="13015">
        <row r="19">
          <cell r="J19">
            <v>1.0499999999999999E-3</v>
          </cell>
        </row>
      </sheetData>
      <sheetData sheetId="13016">
        <row r="19">
          <cell r="J19">
            <v>1.0499999999999999E-3</v>
          </cell>
        </row>
      </sheetData>
      <sheetData sheetId="13017">
        <row r="19">
          <cell r="J19">
            <v>1.0499999999999999E-3</v>
          </cell>
        </row>
      </sheetData>
      <sheetData sheetId="13018">
        <row r="19">
          <cell r="J19">
            <v>1.0499999999999999E-3</v>
          </cell>
        </row>
      </sheetData>
      <sheetData sheetId="13019">
        <row r="19">
          <cell r="J19">
            <v>1.0499999999999999E-3</v>
          </cell>
        </row>
      </sheetData>
      <sheetData sheetId="13020">
        <row r="19">
          <cell r="J19">
            <v>1.0499999999999999E-3</v>
          </cell>
        </row>
      </sheetData>
      <sheetData sheetId="13021">
        <row r="19">
          <cell r="J19">
            <v>1.0499999999999999E-3</v>
          </cell>
        </row>
      </sheetData>
      <sheetData sheetId="13022">
        <row r="19">
          <cell r="J19">
            <v>1.0499999999999999E-3</v>
          </cell>
        </row>
      </sheetData>
      <sheetData sheetId="13023">
        <row r="19">
          <cell r="J19">
            <v>1.0499999999999999E-3</v>
          </cell>
        </row>
      </sheetData>
      <sheetData sheetId="13024">
        <row r="19">
          <cell r="J19">
            <v>1.0499999999999999E-3</v>
          </cell>
        </row>
      </sheetData>
      <sheetData sheetId="13025">
        <row r="19">
          <cell r="J19">
            <v>1.0499999999999999E-3</v>
          </cell>
        </row>
      </sheetData>
      <sheetData sheetId="13026">
        <row r="19">
          <cell r="J19">
            <v>1.0499999999999999E-3</v>
          </cell>
        </row>
      </sheetData>
      <sheetData sheetId="13027">
        <row r="19">
          <cell r="J19">
            <v>1.0499999999999999E-3</v>
          </cell>
        </row>
      </sheetData>
      <sheetData sheetId="13028">
        <row r="19">
          <cell r="J19">
            <v>1.0499999999999999E-3</v>
          </cell>
        </row>
      </sheetData>
      <sheetData sheetId="13029">
        <row r="19">
          <cell r="J19">
            <v>1.0499999999999999E-3</v>
          </cell>
        </row>
      </sheetData>
      <sheetData sheetId="13030">
        <row r="19">
          <cell r="J19">
            <v>1.0499999999999999E-3</v>
          </cell>
        </row>
      </sheetData>
      <sheetData sheetId="13031">
        <row r="19">
          <cell r="J19">
            <v>1.0499999999999999E-3</v>
          </cell>
        </row>
      </sheetData>
      <sheetData sheetId="13032">
        <row r="19">
          <cell r="J19">
            <v>1.0499999999999999E-3</v>
          </cell>
        </row>
      </sheetData>
      <sheetData sheetId="13033">
        <row r="19">
          <cell r="J19">
            <v>1.0499999999999999E-3</v>
          </cell>
        </row>
      </sheetData>
      <sheetData sheetId="13034">
        <row r="19">
          <cell r="J19">
            <v>1.0499999999999999E-3</v>
          </cell>
        </row>
      </sheetData>
      <sheetData sheetId="13035">
        <row r="19">
          <cell r="J19">
            <v>1.0499999999999999E-3</v>
          </cell>
        </row>
      </sheetData>
      <sheetData sheetId="13036">
        <row r="19">
          <cell r="J19">
            <v>1.0499999999999999E-3</v>
          </cell>
        </row>
      </sheetData>
      <sheetData sheetId="13037">
        <row r="19">
          <cell r="J19">
            <v>1.0499999999999999E-3</v>
          </cell>
        </row>
      </sheetData>
      <sheetData sheetId="13038">
        <row r="19">
          <cell r="J19">
            <v>1.0499999999999999E-3</v>
          </cell>
        </row>
      </sheetData>
      <sheetData sheetId="13039">
        <row r="19">
          <cell r="J19">
            <v>1.0499999999999999E-3</v>
          </cell>
        </row>
      </sheetData>
      <sheetData sheetId="13040">
        <row r="19">
          <cell r="J19">
            <v>1.0499999999999999E-3</v>
          </cell>
        </row>
      </sheetData>
      <sheetData sheetId="13041">
        <row r="19">
          <cell r="J19">
            <v>1.0499999999999999E-3</v>
          </cell>
        </row>
      </sheetData>
      <sheetData sheetId="13042">
        <row r="19">
          <cell r="J19">
            <v>1.0499999999999999E-3</v>
          </cell>
        </row>
      </sheetData>
      <sheetData sheetId="13043">
        <row r="19">
          <cell r="J19">
            <v>1.0499999999999999E-3</v>
          </cell>
        </row>
      </sheetData>
      <sheetData sheetId="13044">
        <row r="19">
          <cell r="J19">
            <v>1.0499999999999999E-3</v>
          </cell>
        </row>
      </sheetData>
      <sheetData sheetId="13045">
        <row r="19">
          <cell r="J19">
            <v>1.0499999999999999E-3</v>
          </cell>
        </row>
      </sheetData>
      <sheetData sheetId="13046">
        <row r="19">
          <cell r="J19">
            <v>1.0499999999999999E-3</v>
          </cell>
        </row>
      </sheetData>
      <sheetData sheetId="13047">
        <row r="19">
          <cell r="J19">
            <v>1.0499999999999999E-3</v>
          </cell>
        </row>
      </sheetData>
      <sheetData sheetId="13048">
        <row r="19">
          <cell r="J19">
            <v>1.0499999999999999E-3</v>
          </cell>
        </row>
      </sheetData>
      <sheetData sheetId="13049">
        <row r="19">
          <cell r="J19">
            <v>1.0499999999999999E-3</v>
          </cell>
        </row>
      </sheetData>
      <sheetData sheetId="13050">
        <row r="19">
          <cell r="J19">
            <v>1.0499999999999999E-3</v>
          </cell>
        </row>
      </sheetData>
      <sheetData sheetId="13051">
        <row r="19">
          <cell r="J19">
            <v>1.0499999999999999E-3</v>
          </cell>
        </row>
      </sheetData>
      <sheetData sheetId="13052">
        <row r="19">
          <cell r="J19">
            <v>1.0499999999999999E-3</v>
          </cell>
        </row>
      </sheetData>
      <sheetData sheetId="13053">
        <row r="19">
          <cell r="J19">
            <v>1.0499999999999999E-3</v>
          </cell>
        </row>
      </sheetData>
      <sheetData sheetId="13054">
        <row r="19">
          <cell r="J19">
            <v>1.0499999999999999E-3</v>
          </cell>
        </row>
      </sheetData>
      <sheetData sheetId="13055">
        <row r="19">
          <cell r="J19">
            <v>1.0499999999999999E-3</v>
          </cell>
        </row>
      </sheetData>
      <sheetData sheetId="13056">
        <row r="19">
          <cell r="J19">
            <v>1.0499999999999999E-3</v>
          </cell>
        </row>
      </sheetData>
      <sheetData sheetId="13057">
        <row r="19">
          <cell r="J19">
            <v>1.0499999999999999E-3</v>
          </cell>
        </row>
      </sheetData>
      <sheetData sheetId="13058">
        <row r="19">
          <cell r="J19">
            <v>1.0499999999999999E-3</v>
          </cell>
        </row>
      </sheetData>
      <sheetData sheetId="13059">
        <row r="19">
          <cell r="J19">
            <v>1.0499999999999999E-3</v>
          </cell>
        </row>
      </sheetData>
      <sheetData sheetId="13060">
        <row r="19">
          <cell r="J19">
            <v>1.0499999999999999E-3</v>
          </cell>
        </row>
      </sheetData>
      <sheetData sheetId="13061">
        <row r="19">
          <cell r="J19">
            <v>1.0499999999999999E-3</v>
          </cell>
        </row>
      </sheetData>
      <sheetData sheetId="13062">
        <row r="19">
          <cell r="J19">
            <v>1.0499999999999999E-3</v>
          </cell>
        </row>
      </sheetData>
      <sheetData sheetId="13063">
        <row r="19">
          <cell r="J19">
            <v>1.0499999999999999E-3</v>
          </cell>
        </row>
      </sheetData>
      <sheetData sheetId="13064">
        <row r="19">
          <cell r="J19">
            <v>1.0499999999999999E-3</v>
          </cell>
        </row>
      </sheetData>
      <sheetData sheetId="13065">
        <row r="19">
          <cell r="J19">
            <v>1.0499999999999999E-3</v>
          </cell>
        </row>
      </sheetData>
      <sheetData sheetId="13066">
        <row r="19">
          <cell r="J19">
            <v>1.0499999999999999E-3</v>
          </cell>
        </row>
      </sheetData>
      <sheetData sheetId="13067">
        <row r="19">
          <cell r="J19">
            <v>1.0499999999999999E-3</v>
          </cell>
        </row>
      </sheetData>
      <sheetData sheetId="13068">
        <row r="19">
          <cell r="J19">
            <v>1.0499999999999999E-3</v>
          </cell>
        </row>
      </sheetData>
      <sheetData sheetId="13069">
        <row r="19">
          <cell r="J19">
            <v>1.0499999999999999E-3</v>
          </cell>
        </row>
      </sheetData>
      <sheetData sheetId="13070">
        <row r="19">
          <cell r="J19">
            <v>1.0499999999999999E-3</v>
          </cell>
        </row>
      </sheetData>
      <sheetData sheetId="13071">
        <row r="19">
          <cell r="J19">
            <v>1.0499999999999999E-3</v>
          </cell>
        </row>
      </sheetData>
      <sheetData sheetId="13072">
        <row r="19">
          <cell r="J19">
            <v>1.0499999999999999E-3</v>
          </cell>
        </row>
      </sheetData>
      <sheetData sheetId="13073">
        <row r="19">
          <cell r="J19">
            <v>1.0499999999999999E-3</v>
          </cell>
        </row>
      </sheetData>
      <sheetData sheetId="13074">
        <row r="19">
          <cell r="J19">
            <v>1.0499999999999999E-3</v>
          </cell>
        </row>
      </sheetData>
      <sheetData sheetId="13075">
        <row r="19">
          <cell r="J19">
            <v>1.0499999999999999E-3</v>
          </cell>
        </row>
      </sheetData>
      <sheetData sheetId="13076">
        <row r="19">
          <cell r="J19">
            <v>1.0499999999999999E-3</v>
          </cell>
        </row>
      </sheetData>
      <sheetData sheetId="13077">
        <row r="19">
          <cell r="J19">
            <v>1.0499999999999999E-3</v>
          </cell>
        </row>
      </sheetData>
      <sheetData sheetId="13078">
        <row r="19">
          <cell r="J19">
            <v>1.0499999999999999E-3</v>
          </cell>
        </row>
      </sheetData>
      <sheetData sheetId="13079">
        <row r="19">
          <cell r="J19">
            <v>1.0499999999999999E-3</v>
          </cell>
        </row>
      </sheetData>
      <sheetData sheetId="13080">
        <row r="19">
          <cell r="J19">
            <v>1.0499999999999999E-3</v>
          </cell>
        </row>
      </sheetData>
      <sheetData sheetId="13081">
        <row r="19">
          <cell r="J19">
            <v>1.0499999999999999E-3</v>
          </cell>
        </row>
      </sheetData>
      <sheetData sheetId="13082">
        <row r="19">
          <cell r="J19">
            <v>1.0499999999999999E-3</v>
          </cell>
        </row>
      </sheetData>
      <sheetData sheetId="13083">
        <row r="19">
          <cell r="J19">
            <v>1.0499999999999999E-3</v>
          </cell>
        </row>
      </sheetData>
      <sheetData sheetId="13084">
        <row r="19">
          <cell r="J19">
            <v>1.0499999999999999E-3</v>
          </cell>
        </row>
      </sheetData>
      <sheetData sheetId="13085">
        <row r="19">
          <cell r="J19">
            <v>1.0499999999999999E-3</v>
          </cell>
        </row>
      </sheetData>
      <sheetData sheetId="13086">
        <row r="19">
          <cell r="J19">
            <v>1.0499999999999999E-3</v>
          </cell>
        </row>
      </sheetData>
      <sheetData sheetId="13087">
        <row r="19">
          <cell r="J19">
            <v>1.0499999999999999E-3</v>
          </cell>
        </row>
      </sheetData>
      <sheetData sheetId="13088">
        <row r="19">
          <cell r="J19">
            <v>1.0499999999999999E-3</v>
          </cell>
        </row>
      </sheetData>
      <sheetData sheetId="13089">
        <row r="19">
          <cell r="J19">
            <v>1.0499999999999999E-3</v>
          </cell>
        </row>
      </sheetData>
      <sheetData sheetId="13090">
        <row r="19">
          <cell r="J19">
            <v>1.0499999999999999E-3</v>
          </cell>
        </row>
      </sheetData>
      <sheetData sheetId="13091">
        <row r="19">
          <cell r="J19">
            <v>1.0499999999999999E-3</v>
          </cell>
        </row>
      </sheetData>
      <sheetData sheetId="13092">
        <row r="19">
          <cell r="J19">
            <v>1.0499999999999999E-3</v>
          </cell>
        </row>
      </sheetData>
      <sheetData sheetId="13093">
        <row r="19">
          <cell r="J19">
            <v>1.0499999999999999E-3</v>
          </cell>
        </row>
      </sheetData>
      <sheetData sheetId="13094">
        <row r="19">
          <cell r="J19">
            <v>1.0499999999999999E-3</v>
          </cell>
        </row>
      </sheetData>
      <sheetData sheetId="13095">
        <row r="19">
          <cell r="J19">
            <v>1.0499999999999999E-3</v>
          </cell>
        </row>
      </sheetData>
      <sheetData sheetId="13096">
        <row r="19">
          <cell r="J19">
            <v>1.0499999999999999E-3</v>
          </cell>
        </row>
      </sheetData>
      <sheetData sheetId="13097">
        <row r="19">
          <cell r="J19">
            <v>1.0499999999999999E-3</v>
          </cell>
        </row>
      </sheetData>
      <sheetData sheetId="13098">
        <row r="19">
          <cell r="J19">
            <v>1.0499999999999999E-3</v>
          </cell>
        </row>
      </sheetData>
      <sheetData sheetId="13099">
        <row r="19">
          <cell r="J19">
            <v>1.0499999999999999E-3</v>
          </cell>
        </row>
      </sheetData>
      <sheetData sheetId="13100">
        <row r="19">
          <cell r="J19">
            <v>1.0499999999999999E-3</v>
          </cell>
        </row>
      </sheetData>
      <sheetData sheetId="13101">
        <row r="19">
          <cell r="J19">
            <v>1.0499999999999999E-3</v>
          </cell>
        </row>
      </sheetData>
      <sheetData sheetId="13102">
        <row r="19">
          <cell r="J19">
            <v>1.0499999999999999E-3</v>
          </cell>
        </row>
      </sheetData>
      <sheetData sheetId="13103">
        <row r="19">
          <cell r="J19">
            <v>1.0499999999999999E-3</v>
          </cell>
        </row>
      </sheetData>
      <sheetData sheetId="13104">
        <row r="19">
          <cell r="J19">
            <v>1.0499999999999999E-3</v>
          </cell>
        </row>
      </sheetData>
      <sheetData sheetId="13105">
        <row r="19">
          <cell r="J19">
            <v>1.0499999999999999E-3</v>
          </cell>
        </row>
      </sheetData>
      <sheetData sheetId="13106">
        <row r="19">
          <cell r="J19">
            <v>1.0499999999999999E-3</v>
          </cell>
        </row>
      </sheetData>
      <sheetData sheetId="13107">
        <row r="19">
          <cell r="J19">
            <v>1.0499999999999999E-3</v>
          </cell>
        </row>
      </sheetData>
      <sheetData sheetId="13108">
        <row r="19">
          <cell r="J19">
            <v>1.0499999999999999E-3</v>
          </cell>
        </row>
      </sheetData>
      <sheetData sheetId="13109">
        <row r="19">
          <cell r="J19">
            <v>1.0499999999999999E-3</v>
          </cell>
        </row>
      </sheetData>
      <sheetData sheetId="13110">
        <row r="19">
          <cell r="J19">
            <v>1.0499999999999999E-3</v>
          </cell>
        </row>
      </sheetData>
      <sheetData sheetId="13111">
        <row r="19">
          <cell r="J19">
            <v>1.0499999999999999E-3</v>
          </cell>
        </row>
      </sheetData>
      <sheetData sheetId="13112">
        <row r="19">
          <cell r="J19">
            <v>1.0499999999999999E-3</v>
          </cell>
        </row>
      </sheetData>
      <sheetData sheetId="13113">
        <row r="19">
          <cell r="J19">
            <v>1.0499999999999999E-3</v>
          </cell>
        </row>
      </sheetData>
      <sheetData sheetId="13114">
        <row r="19">
          <cell r="J19">
            <v>1.0499999999999999E-3</v>
          </cell>
        </row>
      </sheetData>
      <sheetData sheetId="13115">
        <row r="19">
          <cell r="J19">
            <v>1.0499999999999999E-3</v>
          </cell>
        </row>
      </sheetData>
      <sheetData sheetId="13116">
        <row r="19">
          <cell r="J19">
            <v>1.0499999999999999E-3</v>
          </cell>
        </row>
      </sheetData>
      <sheetData sheetId="13117">
        <row r="19">
          <cell r="J19">
            <v>1.0499999999999999E-3</v>
          </cell>
        </row>
      </sheetData>
      <sheetData sheetId="13118">
        <row r="19">
          <cell r="J19">
            <v>1.0499999999999999E-3</v>
          </cell>
        </row>
      </sheetData>
      <sheetData sheetId="13119">
        <row r="19">
          <cell r="J19">
            <v>1.0499999999999999E-3</v>
          </cell>
        </row>
      </sheetData>
      <sheetData sheetId="13120">
        <row r="19">
          <cell r="J19">
            <v>1.0499999999999999E-3</v>
          </cell>
        </row>
      </sheetData>
      <sheetData sheetId="13121">
        <row r="19">
          <cell r="J19">
            <v>1.0499999999999999E-3</v>
          </cell>
        </row>
      </sheetData>
      <sheetData sheetId="13122">
        <row r="19">
          <cell r="J19">
            <v>1.0499999999999999E-3</v>
          </cell>
        </row>
      </sheetData>
      <sheetData sheetId="13123">
        <row r="19">
          <cell r="J19">
            <v>1.0499999999999999E-3</v>
          </cell>
        </row>
      </sheetData>
      <sheetData sheetId="13124">
        <row r="19">
          <cell r="J19">
            <v>1.0499999999999999E-3</v>
          </cell>
        </row>
      </sheetData>
      <sheetData sheetId="13125">
        <row r="19">
          <cell r="J19">
            <v>1.0499999999999999E-3</v>
          </cell>
        </row>
      </sheetData>
      <sheetData sheetId="13126">
        <row r="19">
          <cell r="J19">
            <v>1.0499999999999999E-3</v>
          </cell>
        </row>
      </sheetData>
      <sheetData sheetId="13127">
        <row r="19">
          <cell r="J19">
            <v>1.0499999999999999E-3</v>
          </cell>
        </row>
      </sheetData>
      <sheetData sheetId="13128">
        <row r="19">
          <cell r="J19">
            <v>1.0499999999999999E-3</v>
          </cell>
        </row>
      </sheetData>
      <sheetData sheetId="13129">
        <row r="19">
          <cell r="J19">
            <v>1.0499999999999999E-3</v>
          </cell>
        </row>
      </sheetData>
      <sheetData sheetId="13130">
        <row r="19">
          <cell r="J19">
            <v>1.0499999999999999E-3</v>
          </cell>
        </row>
      </sheetData>
      <sheetData sheetId="13131">
        <row r="19">
          <cell r="J19">
            <v>1.0499999999999999E-3</v>
          </cell>
        </row>
      </sheetData>
      <sheetData sheetId="13132">
        <row r="19">
          <cell r="J19">
            <v>1.0499999999999999E-3</v>
          </cell>
        </row>
      </sheetData>
      <sheetData sheetId="13133">
        <row r="19">
          <cell r="J19">
            <v>1.0499999999999999E-3</v>
          </cell>
        </row>
      </sheetData>
      <sheetData sheetId="13134">
        <row r="19">
          <cell r="J19">
            <v>1.0499999999999999E-3</v>
          </cell>
        </row>
      </sheetData>
      <sheetData sheetId="13135"/>
      <sheetData sheetId="13136">
        <row r="19">
          <cell r="J19">
            <v>1.0499999999999999E-3</v>
          </cell>
        </row>
      </sheetData>
      <sheetData sheetId="13137">
        <row r="19">
          <cell r="J19">
            <v>1.0499999999999999E-3</v>
          </cell>
        </row>
      </sheetData>
      <sheetData sheetId="13138">
        <row r="19">
          <cell r="J19">
            <v>1.0499999999999999E-3</v>
          </cell>
        </row>
      </sheetData>
      <sheetData sheetId="13139">
        <row r="19">
          <cell r="J19">
            <v>1.0499999999999999E-3</v>
          </cell>
        </row>
      </sheetData>
      <sheetData sheetId="13140"/>
      <sheetData sheetId="13141">
        <row r="19">
          <cell r="J19">
            <v>1.0499999999999999E-3</v>
          </cell>
        </row>
      </sheetData>
      <sheetData sheetId="13142">
        <row r="19">
          <cell r="J19">
            <v>1.0499999999999999E-3</v>
          </cell>
        </row>
      </sheetData>
      <sheetData sheetId="13143">
        <row r="19">
          <cell r="J19">
            <v>1.0499999999999999E-3</v>
          </cell>
        </row>
      </sheetData>
      <sheetData sheetId="13144">
        <row r="19">
          <cell r="J19">
            <v>1.0499999999999999E-3</v>
          </cell>
        </row>
      </sheetData>
      <sheetData sheetId="13145">
        <row r="19">
          <cell r="J19">
            <v>1.0499999999999999E-3</v>
          </cell>
        </row>
      </sheetData>
      <sheetData sheetId="13146">
        <row r="19">
          <cell r="J19">
            <v>1.0499999999999999E-3</v>
          </cell>
        </row>
      </sheetData>
      <sheetData sheetId="13147">
        <row r="19">
          <cell r="J19">
            <v>1.0499999999999999E-3</v>
          </cell>
        </row>
      </sheetData>
      <sheetData sheetId="13148">
        <row r="19">
          <cell r="J19">
            <v>1.0499999999999999E-3</v>
          </cell>
        </row>
      </sheetData>
      <sheetData sheetId="13149">
        <row r="19">
          <cell r="J19">
            <v>1.0499999999999999E-3</v>
          </cell>
        </row>
      </sheetData>
      <sheetData sheetId="13150">
        <row r="19">
          <cell r="J19">
            <v>1.0499999999999999E-3</v>
          </cell>
        </row>
      </sheetData>
      <sheetData sheetId="13151">
        <row r="19">
          <cell r="J19">
            <v>1.0499999999999999E-3</v>
          </cell>
        </row>
      </sheetData>
      <sheetData sheetId="13152">
        <row r="19">
          <cell r="J19">
            <v>1.0499999999999999E-3</v>
          </cell>
        </row>
      </sheetData>
      <sheetData sheetId="13153">
        <row r="19">
          <cell r="J19">
            <v>1.0499999999999999E-3</v>
          </cell>
        </row>
      </sheetData>
      <sheetData sheetId="13154">
        <row r="19">
          <cell r="J19">
            <v>1.0499999999999999E-3</v>
          </cell>
        </row>
      </sheetData>
      <sheetData sheetId="13155">
        <row r="19">
          <cell r="J19">
            <v>1.0499999999999999E-3</v>
          </cell>
        </row>
      </sheetData>
      <sheetData sheetId="13156">
        <row r="19">
          <cell r="J19">
            <v>1.0499999999999999E-3</v>
          </cell>
        </row>
      </sheetData>
      <sheetData sheetId="13157"/>
      <sheetData sheetId="13158">
        <row r="19">
          <cell r="J19">
            <v>1.0499999999999999E-3</v>
          </cell>
        </row>
      </sheetData>
      <sheetData sheetId="13159">
        <row r="19">
          <cell r="J19">
            <v>1.0499999999999999E-3</v>
          </cell>
        </row>
      </sheetData>
      <sheetData sheetId="13160"/>
      <sheetData sheetId="13161">
        <row r="19">
          <cell r="J19">
            <v>1.0499999999999999E-3</v>
          </cell>
        </row>
      </sheetData>
      <sheetData sheetId="13162">
        <row r="19">
          <cell r="J19">
            <v>1.0499999999999999E-3</v>
          </cell>
        </row>
      </sheetData>
      <sheetData sheetId="13163">
        <row r="19">
          <cell r="J19">
            <v>1.0499999999999999E-3</v>
          </cell>
        </row>
      </sheetData>
      <sheetData sheetId="13164"/>
      <sheetData sheetId="13165">
        <row r="19">
          <cell r="J19">
            <v>1.0499999999999999E-3</v>
          </cell>
        </row>
      </sheetData>
      <sheetData sheetId="13166">
        <row r="19">
          <cell r="J19">
            <v>1.0499999999999999E-3</v>
          </cell>
        </row>
      </sheetData>
      <sheetData sheetId="13167">
        <row r="19">
          <cell r="J19">
            <v>1.0499999999999999E-3</v>
          </cell>
        </row>
      </sheetData>
      <sheetData sheetId="13168">
        <row r="19">
          <cell r="J19">
            <v>1.0499999999999999E-3</v>
          </cell>
        </row>
      </sheetData>
      <sheetData sheetId="13169">
        <row r="19">
          <cell r="J19">
            <v>1.0499999999999999E-3</v>
          </cell>
        </row>
      </sheetData>
      <sheetData sheetId="13170">
        <row r="19">
          <cell r="J19">
            <v>1.0499999999999999E-3</v>
          </cell>
        </row>
      </sheetData>
      <sheetData sheetId="13171"/>
      <sheetData sheetId="13172"/>
      <sheetData sheetId="13173">
        <row r="19">
          <cell r="J19">
            <v>1.0499999999999999E-3</v>
          </cell>
        </row>
      </sheetData>
      <sheetData sheetId="13174">
        <row r="19">
          <cell r="J19">
            <v>1.0499999999999999E-3</v>
          </cell>
        </row>
      </sheetData>
      <sheetData sheetId="13175">
        <row r="19">
          <cell r="J19">
            <v>1.0499999999999999E-3</v>
          </cell>
        </row>
      </sheetData>
      <sheetData sheetId="13176">
        <row r="19">
          <cell r="J19">
            <v>1.0499999999999999E-3</v>
          </cell>
        </row>
      </sheetData>
      <sheetData sheetId="13177">
        <row r="19">
          <cell r="J19">
            <v>1.0499999999999999E-3</v>
          </cell>
        </row>
      </sheetData>
      <sheetData sheetId="13178">
        <row r="19">
          <cell r="J19">
            <v>1.0499999999999999E-3</v>
          </cell>
        </row>
      </sheetData>
      <sheetData sheetId="13179">
        <row r="19">
          <cell r="J19">
            <v>1.0499999999999999E-3</v>
          </cell>
        </row>
      </sheetData>
      <sheetData sheetId="13180">
        <row r="19">
          <cell r="J19">
            <v>1.0499999999999999E-3</v>
          </cell>
        </row>
      </sheetData>
      <sheetData sheetId="13181">
        <row r="19">
          <cell r="J19">
            <v>1.0499999999999999E-3</v>
          </cell>
        </row>
      </sheetData>
      <sheetData sheetId="13182">
        <row r="19">
          <cell r="J19">
            <v>1.0499999999999999E-3</v>
          </cell>
        </row>
      </sheetData>
      <sheetData sheetId="13183">
        <row r="19">
          <cell r="J19">
            <v>0</v>
          </cell>
        </row>
      </sheetData>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ow r="19">
          <cell r="J19">
            <v>1.0499999999999999E-3</v>
          </cell>
        </row>
      </sheetData>
      <sheetData sheetId="13215" refreshError="1"/>
      <sheetData sheetId="13216" refreshError="1"/>
      <sheetData sheetId="13217" refreshError="1"/>
      <sheetData sheetId="13218"/>
      <sheetData sheetId="13219">
        <row r="19">
          <cell r="J19">
            <v>1.0499999999999999E-3</v>
          </cell>
        </row>
      </sheetData>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ow r="19">
          <cell r="J19">
            <v>1.0499999999999999E-3</v>
          </cell>
        </row>
      </sheetData>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sheetData sheetId="13244" refreshError="1"/>
      <sheetData sheetId="13245" refreshError="1"/>
      <sheetData sheetId="13246">
        <row r="19">
          <cell r="J19">
            <v>0</v>
          </cell>
        </row>
      </sheetData>
      <sheetData sheetId="13247">
        <row r="19">
          <cell r="J19">
            <v>0</v>
          </cell>
        </row>
      </sheetData>
      <sheetData sheetId="13248">
        <row r="19">
          <cell r="J19">
            <v>0</v>
          </cell>
        </row>
      </sheetData>
      <sheetData sheetId="13249">
        <row r="19">
          <cell r="J19">
            <v>0</v>
          </cell>
        </row>
      </sheetData>
      <sheetData sheetId="13250">
        <row r="19">
          <cell r="J19">
            <v>0</v>
          </cell>
        </row>
      </sheetData>
      <sheetData sheetId="13251">
        <row r="19">
          <cell r="J19">
            <v>0</v>
          </cell>
        </row>
      </sheetData>
      <sheetData sheetId="13252">
        <row r="19">
          <cell r="J19">
            <v>0</v>
          </cell>
        </row>
      </sheetData>
      <sheetData sheetId="13253">
        <row r="19">
          <cell r="J19">
            <v>0</v>
          </cell>
        </row>
      </sheetData>
      <sheetData sheetId="13254">
        <row r="19">
          <cell r="J19">
            <v>0</v>
          </cell>
        </row>
      </sheetData>
      <sheetData sheetId="13255">
        <row r="19">
          <cell r="J19">
            <v>0</v>
          </cell>
        </row>
      </sheetData>
      <sheetData sheetId="13256">
        <row r="19">
          <cell r="J19">
            <v>1.0499999999999999E-3</v>
          </cell>
        </row>
      </sheetData>
      <sheetData sheetId="13257">
        <row r="19">
          <cell r="J19">
            <v>0</v>
          </cell>
        </row>
      </sheetData>
      <sheetData sheetId="13258">
        <row r="19">
          <cell r="J19">
            <v>0</v>
          </cell>
        </row>
      </sheetData>
      <sheetData sheetId="13259">
        <row r="19">
          <cell r="J19">
            <v>1.0499999999999999E-3</v>
          </cell>
        </row>
      </sheetData>
      <sheetData sheetId="13260">
        <row r="19">
          <cell r="J19">
            <v>1.0499999999999999E-3</v>
          </cell>
        </row>
      </sheetData>
      <sheetData sheetId="13261">
        <row r="19">
          <cell r="J19">
            <v>1.0499999999999999E-3</v>
          </cell>
        </row>
      </sheetData>
      <sheetData sheetId="13262">
        <row r="19">
          <cell r="J19">
            <v>1.0499999999999999E-3</v>
          </cell>
        </row>
      </sheetData>
      <sheetData sheetId="13263">
        <row r="19">
          <cell r="J19">
            <v>1.0499999999999999E-3</v>
          </cell>
        </row>
      </sheetData>
      <sheetData sheetId="13264">
        <row r="19">
          <cell r="J19">
            <v>1.0499999999999999E-3</v>
          </cell>
        </row>
      </sheetData>
      <sheetData sheetId="13265">
        <row r="19">
          <cell r="J19">
            <v>1.0499999999999999E-3</v>
          </cell>
        </row>
      </sheetData>
      <sheetData sheetId="13266">
        <row r="19">
          <cell r="J19">
            <v>1.0499999999999999E-3</v>
          </cell>
        </row>
      </sheetData>
      <sheetData sheetId="13267">
        <row r="19">
          <cell r="J19">
            <v>1.0499999999999999E-3</v>
          </cell>
        </row>
      </sheetData>
      <sheetData sheetId="13268">
        <row r="19">
          <cell r="J19">
            <v>1.0499999999999999E-3</v>
          </cell>
        </row>
      </sheetData>
      <sheetData sheetId="13269">
        <row r="19">
          <cell r="J19">
            <v>1.0499999999999999E-3</v>
          </cell>
        </row>
      </sheetData>
      <sheetData sheetId="13270">
        <row r="19">
          <cell r="J19">
            <v>1.0499999999999999E-3</v>
          </cell>
        </row>
      </sheetData>
      <sheetData sheetId="13271">
        <row r="19">
          <cell r="J19">
            <v>1.0499999999999999E-3</v>
          </cell>
        </row>
      </sheetData>
      <sheetData sheetId="13272">
        <row r="19">
          <cell r="J19">
            <v>1.0499999999999999E-3</v>
          </cell>
        </row>
      </sheetData>
      <sheetData sheetId="13273">
        <row r="19">
          <cell r="J19">
            <v>1.0499999999999999E-3</v>
          </cell>
        </row>
      </sheetData>
      <sheetData sheetId="13274">
        <row r="19">
          <cell r="J19">
            <v>1.0499999999999999E-3</v>
          </cell>
        </row>
      </sheetData>
      <sheetData sheetId="13275">
        <row r="19">
          <cell r="J19">
            <v>1.0499999999999999E-3</v>
          </cell>
        </row>
      </sheetData>
      <sheetData sheetId="13276">
        <row r="19">
          <cell r="J19">
            <v>1.0499999999999999E-3</v>
          </cell>
        </row>
      </sheetData>
      <sheetData sheetId="13277">
        <row r="19">
          <cell r="J19">
            <v>1.0499999999999999E-3</v>
          </cell>
        </row>
      </sheetData>
      <sheetData sheetId="13278">
        <row r="19">
          <cell r="J19">
            <v>1.0499999999999999E-3</v>
          </cell>
        </row>
      </sheetData>
      <sheetData sheetId="13279">
        <row r="19">
          <cell r="J19">
            <v>1.0499999999999999E-3</v>
          </cell>
        </row>
      </sheetData>
      <sheetData sheetId="13280">
        <row r="19">
          <cell r="J19">
            <v>1.0499999999999999E-3</v>
          </cell>
        </row>
      </sheetData>
      <sheetData sheetId="13281">
        <row r="19">
          <cell r="J19">
            <v>1.0499999999999999E-3</v>
          </cell>
        </row>
      </sheetData>
      <sheetData sheetId="13282">
        <row r="19">
          <cell r="J19">
            <v>1.0499999999999999E-3</v>
          </cell>
        </row>
      </sheetData>
      <sheetData sheetId="13283">
        <row r="19">
          <cell r="J19">
            <v>1.0499999999999999E-3</v>
          </cell>
        </row>
      </sheetData>
      <sheetData sheetId="13284">
        <row r="19">
          <cell r="J19">
            <v>1.0499999999999999E-3</v>
          </cell>
        </row>
      </sheetData>
      <sheetData sheetId="13285">
        <row r="19">
          <cell r="J19">
            <v>1.0499999999999999E-3</v>
          </cell>
        </row>
      </sheetData>
      <sheetData sheetId="13286">
        <row r="19">
          <cell r="J19">
            <v>1.0499999999999999E-3</v>
          </cell>
        </row>
      </sheetData>
      <sheetData sheetId="13287">
        <row r="19">
          <cell r="J19">
            <v>1.0499999999999999E-3</v>
          </cell>
        </row>
      </sheetData>
      <sheetData sheetId="13288">
        <row r="19">
          <cell r="J19">
            <v>1.0499999999999999E-3</v>
          </cell>
        </row>
      </sheetData>
      <sheetData sheetId="13289">
        <row r="19">
          <cell r="J19">
            <v>1.0499999999999999E-3</v>
          </cell>
        </row>
      </sheetData>
      <sheetData sheetId="13290">
        <row r="19">
          <cell r="J19">
            <v>1.0499999999999999E-3</v>
          </cell>
        </row>
      </sheetData>
      <sheetData sheetId="13291">
        <row r="19">
          <cell r="J19">
            <v>1.0499999999999999E-3</v>
          </cell>
        </row>
      </sheetData>
      <sheetData sheetId="13292">
        <row r="19">
          <cell r="J19">
            <v>1.0499999999999999E-3</v>
          </cell>
        </row>
      </sheetData>
      <sheetData sheetId="13293">
        <row r="19">
          <cell r="J19">
            <v>1.0499999999999999E-3</v>
          </cell>
        </row>
      </sheetData>
      <sheetData sheetId="13294">
        <row r="19">
          <cell r="J19">
            <v>1.0499999999999999E-3</v>
          </cell>
        </row>
      </sheetData>
      <sheetData sheetId="13295">
        <row r="19">
          <cell r="J19">
            <v>1.0499999999999999E-3</v>
          </cell>
        </row>
      </sheetData>
      <sheetData sheetId="13296">
        <row r="19">
          <cell r="J19">
            <v>1.0499999999999999E-3</v>
          </cell>
        </row>
      </sheetData>
      <sheetData sheetId="13297">
        <row r="19">
          <cell r="J19">
            <v>1.0499999999999999E-3</v>
          </cell>
        </row>
      </sheetData>
      <sheetData sheetId="13298">
        <row r="19">
          <cell r="J19">
            <v>1.0499999999999999E-3</v>
          </cell>
        </row>
      </sheetData>
      <sheetData sheetId="13299">
        <row r="19">
          <cell r="J19">
            <v>1.0499999999999999E-3</v>
          </cell>
        </row>
      </sheetData>
      <sheetData sheetId="13300">
        <row r="19">
          <cell r="J19">
            <v>1.0499999999999999E-3</v>
          </cell>
        </row>
      </sheetData>
      <sheetData sheetId="13301">
        <row r="19">
          <cell r="J19">
            <v>1.0499999999999999E-3</v>
          </cell>
        </row>
      </sheetData>
      <sheetData sheetId="13302">
        <row r="19">
          <cell r="J19">
            <v>1.0499999999999999E-3</v>
          </cell>
        </row>
      </sheetData>
      <sheetData sheetId="13303">
        <row r="19">
          <cell r="J19">
            <v>1.0499999999999999E-3</v>
          </cell>
        </row>
      </sheetData>
      <sheetData sheetId="13304">
        <row r="19">
          <cell r="J19">
            <v>0</v>
          </cell>
        </row>
      </sheetData>
      <sheetData sheetId="13305" refreshError="1"/>
      <sheetData sheetId="13306">
        <row r="19">
          <cell r="J19">
            <v>1.0499999999999999E-3</v>
          </cell>
        </row>
      </sheetData>
      <sheetData sheetId="13307" refreshError="1"/>
      <sheetData sheetId="13308" refreshError="1"/>
      <sheetData sheetId="13309">
        <row r="19">
          <cell r="J19">
            <v>1.0499999999999999E-3</v>
          </cell>
        </row>
      </sheetData>
      <sheetData sheetId="13310" refreshError="1"/>
      <sheetData sheetId="13311">
        <row r="19">
          <cell r="J19">
            <v>1.0499999999999999E-3</v>
          </cell>
        </row>
      </sheetData>
      <sheetData sheetId="13312" refreshError="1"/>
      <sheetData sheetId="13313" refreshError="1"/>
      <sheetData sheetId="13314" refreshError="1"/>
      <sheetData sheetId="13315">
        <row r="19">
          <cell r="J19">
            <v>1.0499999999999999E-3</v>
          </cell>
        </row>
      </sheetData>
      <sheetData sheetId="13316" refreshError="1"/>
      <sheetData sheetId="13317" refreshError="1"/>
      <sheetData sheetId="13318">
        <row r="19">
          <cell r="J19">
            <v>1.0499999999999999E-3</v>
          </cell>
        </row>
      </sheetData>
      <sheetData sheetId="13319">
        <row r="19">
          <cell r="J19">
            <v>1.0499999999999999E-3</v>
          </cell>
        </row>
      </sheetData>
      <sheetData sheetId="13320">
        <row r="19">
          <cell r="J19">
            <v>1.0499999999999999E-3</v>
          </cell>
        </row>
      </sheetData>
      <sheetData sheetId="13321">
        <row r="19">
          <cell r="J19">
            <v>1.0499999999999999E-3</v>
          </cell>
        </row>
      </sheetData>
      <sheetData sheetId="13322">
        <row r="19">
          <cell r="J19">
            <v>1.0499999999999999E-3</v>
          </cell>
        </row>
      </sheetData>
      <sheetData sheetId="13323">
        <row r="19">
          <cell r="J19">
            <v>1.0499999999999999E-3</v>
          </cell>
        </row>
      </sheetData>
      <sheetData sheetId="13324">
        <row r="19">
          <cell r="J19">
            <v>1.0499999999999999E-3</v>
          </cell>
        </row>
      </sheetData>
      <sheetData sheetId="13325">
        <row r="19">
          <cell r="J19">
            <v>1.0499999999999999E-3</v>
          </cell>
        </row>
      </sheetData>
      <sheetData sheetId="13326" refreshError="1"/>
      <sheetData sheetId="13327" refreshError="1"/>
      <sheetData sheetId="13328" refreshError="1"/>
      <sheetData sheetId="13329">
        <row r="19">
          <cell r="J19">
            <v>1.0499999999999999E-3</v>
          </cell>
        </row>
      </sheetData>
      <sheetData sheetId="13330">
        <row r="19">
          <cell r="J19">
            <v>1.0499999999999999E-3</v>
          </cell>
        </row>
      </sheetData>
      <sheetData sheetId="13331">
        <row r="19">
          <cell r="J19">
            <v>1.0499999999999999E-3</v>
          </cell>
        </row>
      </sheetData>
      <sheetData sheetId="13332">
        <row r="19">
          <cell r="J19">
            <v>1.0499999999999999E-3</v>
          </cell>
        </row>
      </sheetData>
      <sheetData sheetId="13333">
        <row r="19">
          <cell r="J19">
            <v>1.0499999999999999E-3</v>
          </cell>
        </row>
      </sheetData>
      <sheetData sheetId="13334">
        <row r="19">
          <cell r="J19">
            <v>1.0499999999999999E-3</v>
          </cell>
        </row>
      </sheetData>
      <sheetData sheetId="13335">
        <row r="19">
          <cell r="J19">
            <v>1.0499999999999999E-3</v>
          </cell>
        </row>
      </sheetData>
      <sheetData sheetId="13336">
        <row r="19">
          <cell r="J19">
            <v>1.0499999999999999E-3</v>
          </cell>
        </row>
      </sheetData>
      <sheetData sheetId="13337">
        <row r="19">
          <cell r="J19">
            <v>1.0499999999999999E-3</v>
          </cell>
        </row>
      </sheetData>
      <sheetData sheetId="13338">
        <row r="19">
          <cell r="J19">
            <v>1.0499999999999999E-3</v>
          </cell>
        </row>
      </sheetData>
      <sheetData sheetId="13339">
        <row r="19">
          <cell r="J19">
            <v>1.0499999999999999E-3</v>
          </cell>
        </row>
      </sheetData>
      <sheetData sheetId="13340">
        <row r="19">
          <cell r="J19">
            <v>1.0499999999999999E-3</v>
          </cell>
        </row>
      </sheetData>
      <sheetData sheetId="13341">
        <row r="19">
          <cell r="J19">
            <v>1.0499999999999999E-3</v>
          </cell>
        </row>
      </sheetData>
      <sheetData sheetId="13342">
        <row r="19">
          <cell r="J19">
            <v>1.0499999999999999E-3</v>
          </cell>
        </row>
      </sheetData>
      <sheetData sheetId="13343">
        <row r="19">
          <cell r="J19">
            <v>1.0499999999999999E-3</v>
          </cell>
        </row>
      </sheetData>
      <sheetData sheetId="13344">
        <row r="19">
          <cell r="J19">
            <v>1.0499999999999999E-3</v>
          </cell>
        </row>
      </sheetData>
      <sheetData sheetId="13345">
        <row r="19">
          <cell r="J19">
            <v>1.0499999999999999E-3</v>
          </cell>
        </row>
      </sheetData>
      <sheetData sheetId="13346">
        <row r="19">
          <cell r="J19">
            <v>1.0499999999999999E-3</v>
          </cell>
        </row>
      </sheetData>
      <sheetData sheetId="13347">
        <row r="19">
          <cell r="J19">
            <v>1.0499999999999999E-3</v>
          </cell>
        </row>
      </sheetData>
      <sheetData sheetId="13348">
        <row r="19">
          <cell r="J19">
            <v>1.0499999999999999E-3</v>
          </cell>
        </row>
      </sheetData>
      <sheetData sheetId="13349">
        <row r="19">
          <cell r="J19">
            <v>1.0499999999999999E-3</v>
          </cell>
        </row>
      </sheetData>
      <sheetData sheetId="13350">
        <row r="19">
          <cell r="J19">
            <v>1.0499999999999999E-3</v>
          </cell>
        </row>
      </sheetData>
      <sheetData sheetId="13351">
        <row r="19">
          <cell r="J19">
            <v>1.0499999999999999E-3</v>
          </cell>
        </row>
      </sheetData>
      <sheetData sheetId="13352">
        <row r="19">
          <cell r="J19">
            <v>1.0499999999999999E-3</v>
          </cell>
        </row>
      </sheetData>
      <sheetData sheetId="13353">
        <row r="19">
          <cell r="J19">
            <v>1.0499999999999999E-3</v>
          </cell>
        </row>
      </sheetData>
      <sheetData sheetId="13354">
        <row r="19">
          <cell r="J19">
            <v>1.0499999999999999E-3</v>
          </cell>
        </row>
      </sheetData>
      <sheetData sheetId="13355">
        <row r="19">
          <cell r="J19">
            <v>1.0499999999999999E-3</v>
          </cell>
        </row>
      </sheetData>
      <sheetData sheetId="13356">
        <row r="19">
          <cell r="J19">
            <v>1.0499999999999999E-3</v>
          </cell>
        </row>
      </sheetData>
      <sheetData sheetId="13357">
        <row r="19">
          <cell r="J19">
            <v>1.0499999999999999E-3</v>
          </cell>
        </row>
      </sheetData>
      <sheetData sheetId="13358">
        <row r="19">
          <cell r="J19">
            <v>1.0499999999999999E-3</v>
          </cell>
        </row>
      </sheetData>
      <sheetData sheetId="13359">
        <row r="19">
          <cell r="J19">
            <v>1.0499999999999999E-3</v>
          </cell>
        </row>
      </sheetData>
      <sheetData sheetId="13360">
        <row r="19">
          <cell r="J19">
            <v>1.0499999999999999E-3</v>
          </cell>
        </row>
      </sheetData>
      <sheetData sheetId="13361">
        <row r="19">
          <cell r="J19">
            <v>1.0499999999999999E-3</v>
          </cell>
        </row>
      </sheetData>
      <sheetData sheetId="13362">
        <row r="19">
          <cell r="J19">
            <v>1.0499999999999999E-3</v>
          </cell>
        </row>
      </sheetData>
      <sheetData sheetId="13363">
        <row r="19">
          <cell r="J19">
            <v>1.0499999999999999E-3</v>
          </cell>
        </row>
      </sheetData>
      <sheetData sheetId="13364">
        <row r="19">
          <cell r="J19">
            <v>1.0499999999999999E-3</v>
          </cell>
        </row>
      </sheetData>
      <sheetData sheetId="13365">
        <row r="19">
          <cell r="J19">
            <v>1.0499999999999999E-3</v>
          </cell>
        </row>
      </sheetData>
      <sheetData sheetId="13366">
        <row r="19">
          <cell r="J19">
            <v>1.0499999999999999E-3</v>
          </cell>
        </row>
      </sheetData>
      <sheetData sheetId="13367">
        <row r="19">
          <cell r="J19">
            <v>1.0499999999999999E-3</v>
          </cell>
        </row>
      </sheetData>
      <sheetData sheetId="13368" refreshError="1"/>
      <sheetData sheetId="13369" refreshError="1"/>
      <sheetData sheetId="13370" refreshError="1"/>
      <sheetData sheetId="13371">
        <row r="19">
          <cell r="J19">
            <v>1.0499999999999999E-3</v>
          </cell>
        </row>
      </sheetData>
      <sheetData sheetId="13372"/>
      <sheetData sheetId="13373">
        <row r="19">
          <cell r="J19">
            <v>1.0499999999999999E-3</v>
          </cell>
        </row>
      </sheetData>
      <sheetData sheetId="13374">
        <row r="19">
          <cell r="J19">
            <v>1.0499999999999999E-3</v>
          </cell>
        </row>
      </sheetData>
      <sheetData sheetId="13375">
        <row r="19">
          <cell r="J19">
            <v>1.0499999999999999E-3</v>
          </cell>
        </row>
      </sheetData>
      <sheetData sheetId="13376">
        <row r="19">
          <cell r="J19">
            <v>1.0499999999999999E-3</v>
          </cell>
        </row>
      </sheetData>
      <sheetData sheetId="13377" refreshError="1"/>
      <sheetData sheetId="13378" refreshError="1"/>
      <sheetData sheetId="13379">
        <row r="19">
          <cell r="J19">
            <v>1.0499999999999999E-3</v>
          </cell>
        </row>
      </sheetData>
      <sheetData sheetId="13380" refreshError="1"/>
      <sheetData sheetId="13381">
        <row r="19">
          <cell r="J19">
            <v>1.0499999999999999E-3</v>
          </cell>
        </row>
      </sheetData>
      <sheetData sheetId="13382">
        <row r="19">
          <cell r="J19">
            <v>1.0499999999999999E-3</v>
          </cell>
        </row>
      </sheetData>
      <sheetData sheetId="13383">
        <row r="19">
          <cell r="J19">
            <v>1.0499999999999999E-3</v>
          </cell>
        </row>
      </sheetData>
      <sheetData sheetId="13384"/>
      <sheetData sheetId="13385" refreshError="1"/>
      <sheetData sheetId="13386" refreshError="1"/>
      <sheetData sheetId="13387" refreshError="1"/>
      <sheetData sheetId="13388" refreshError="1"/>
      <sheetData sheetId="13389">
        <row r="19">
          <cell r="J19">
            <v>1.0499999999999999E-3</v>
          </cell>
        </row>
      </sheetData>
      <sheetData sheetId="13390" refreshError="1"/>
      <sheetData sheetId="13391" refreshError="1"/>
      <sheetData sheetId="13392">
        <row r="19">
          <cell r="J19">
            <v>1.0499999999999999E-3</v>
          </cell>
        </row>
      </sheetData>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ow r="19">
          <cell r="J19">
            <v>1.0499999999999999E-3</v>
          </cell>
        </row>
      </sheetData>
      <sheetData sheetId="13419">
        <row r="19">
          <cell r="J19">
            <v>1.0499999999999999E-3</v>
          </cell>
        </row>
      </sheetData>
      <sheetData sheetId="13420">
        <row r="19">
          <cell r="J19">
            <v>1.0499999999999999E-3</v>
          </cell>
        </row>
      </sheetData>
      <sheetData sheetId="13421">
        <row r="19">
          <cell r="J19">
            <v>1.0499999999999999E-3</v>
          </cell>
        </row>
      </sheetData>
      <sheetData sheetId="13422">
        <row r="19">
          <cell r="J19">
            <v>1.0499999999999999E-3</v>
          </cell>
        </row>
      </sheetData>
      <sheetData sheetId="13423">
        <row r="19">
          <cell r="J19">
            <v>1.0499999999999999E-3</v>
          </cell>
        </row>
      </sheetData>
      <sheetData sheetId="13424">
        <row r="19">
          <cell r="J19">
            <v>1.0499999999999999E-3</v>
          </cell>
        </row>
      </sheetData>
      <sheetData sheetId="13425">
        <row r="19">
          <cell r="J19">
            <v>1.0499999999999999E-3</v>
          </cell>
        </row>
      </sheetData>
      <sheetData sheetId="13426">
        <row r="19">
          <cell r="J19">
            <v>1.0499999999999999E-3</v>
          </cell>
        </row>
      </sheetData>
      <sheetData sheetId="13427">
        <row r="19">
          <cell r="J19">
            <v>1.0499999999999999E-3</v>
          </cell>
        </row>
      </sheetData>
      <sheetData sheetId="13428">
        <row r="19">
          <cell r="J19">
            <v>1.0499999999999999E-3</v>
          </cell>
        </row>
      </sheetData>
      <sheetData sheetId="13429">
        <row r="19">
          <cell r="J19">
            <v>1.0499999999999999E-3</v>
          </cell>
        </row>
      </sheetData>
      <sheetData sheetId="13430">
        <row r="19">
          <cell r="J19">
            <v>1.0499999999999999E-3</v>
          </cell>
        </row>
      </sheetData>
      <sheetData sheetId="13431">
        <row r="19">
          <cell r="J19">
            <v>1.0499999999999999E-3</v>
          </cell>
        </row>
      </sheetData>
      <sheetData sheetId="13432">
        <row r="19">
          <cell r="J19">
            <v>1.0499999999999999E-3</v>
          </cell>
        </row>
      </sheetData>
      <sheetData sheetId="13433">
        <row r="19">
          <cell r="J19">
            <v>1.0499999999999999E-3</v>
          </cell>
        </row>
      </sheetData>
      <sheetData sheetId="13434">
        <row r="19">
          <cell r="J19">
            <v>1.0499999999999999E-3</v>
          </cell>
        </row>
      </sheetData>
      <sheetData sheetId="13435">
        <row r="19">
          <cell r="J19">
            <v>1.0499999999999999E-3</v>
          </cell>
        </row>
      </sheetData>
      <sheetData sheetId="13436">
        <row r="19">
          <cell r="J19">
            <v>1.0499999999999999E-3</v>
          </cell>
        </row>
      </sheetData>
      <sheetData sheetId="13437">
        <row r="19">
          <cell r="J19">
            <v>1.0499999999999999E-3</v>
          </cell>
        </row>
      </sheetData>
      <sheetData sheetId="13438">
        <row r="19">
          <cell r="J19">
            <v>1.0499999999999999E-3</v>
          </cell>
        </row>
      </sheetData>
      <sheetData sheetId="13439">
        <row r="19">
          <cell r="J19">
            <v>1.0499999999999999E-3</v>
          </cell>
        </row>
      </sheetData>
      <sheetData sheetId="13440">
        <row r="19">
          <cell r="J19">
            <v>1.0499999999999999E-3</v>
          </cell>
        </row>
      </sheetData>
      <sheetData sheetId="13441">
        <row r="19">
          <cell r="J19">
            <v>1.0499999999999999E-3</v>
          </cell>
        </row>
      </sheetData>
      <sheetData sheetId="13442">
        <row r="19">
          <cell r="J19">
            <v>1.0499999999999999E-3</v>
          </cell>
        </row>
      </sheetData>
      <sheetData sheetId="13443">
        <row r="19">
          <cell r="J19">
            <v>1.0499999999999999E-3</v>
          </cell>
        </row>
      </sheetData>
      <sheetData sheetId="13444">
        <row r="19">
          <cell r="J19">
            <v>1.0499999999999999E-3</v>
          </cell>
        </row>
      </sheetData>
      <sheetData sheetId="13445">
        <row r="19">
          <cell r="J19">
            <v>1.0499999999999999E-3</v>
          </cell>
        </row>
      </sheetData>
      <sheetData sheetId="13446">
        <row r="19">
          <cell r="J19">
            <v>1.0499999999999999E-3</v>
          </cell>
        </row>
      </sheetData>
      <sheetData sheetId="13447">
        <row r="19">
          <cell r="J19">
            <v>1.0499999999999999E-3</v>
          </cell>
        </row>
      </sheetData>
      <sheetData sheetId="13448">
        <row r="19">
          <cell r="J19">
            <v>1.0499999999999999E-3</v>
          </cell>
        </row>
      </sheetData>
      <sheetData sheetId="13449">
        <row r="19">
          <cell r="J19">
            <v>1.0499999999999999E-3</v>
          </cell>
        </row>
      </sheetData>
      <sheetData sheetId="13450">
        <row r="19">
          <cell r="J19">
            <v>1.0499999999999999E-3</v>
          </cell>
        </row>
      </sheetData>
      <sheetData sheetId="13451">
        <row r="19">
          <cell r="J19">
            <v>1.0499999999999999E-3</v>
          </cell>
        </row>
      </sheetData>
      <sheetData sheetId="13452">
        <row r="19">
          <cell r="J19">
            <v>1.0499999999999999E-3</v>
          </cell>
        </row>
      </sheetData>
      <sheetData sheetId="13453">
        <row r="19">
          <cell r="J19">
            <v>1.0499999999999999E-3</v>
          </cell>
        </row>
      </sheetData>
      <sheetData sheetId="13454">
        <row r="19">
          <cell r="J19">
            <v>1.0499999999999999E-3</v>
          </cell>
        </row>
      </sheetData>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ow r="19">
          <cell r="J19">
            <v>1.0499999999999999E-3</v>
          </cell>
        </row>
      </sheetData>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ow r="19">
          <cell r="J19">
            <v>1.0499999999999999E-3</v>
          </cell>
        </row>
      </sheetData>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sheetData sheetId="13495" refreshError="1"/>
      <sheetData sheetId="13496" refreshError="1"/>
      <sheetData sheetId="13497">
        <row r="19">
          <cell r="J19">
            <v>1.0499999999999999E-3</v>
          </cell>
        </row>
      </sheetData>
      <sheetData sheetId="13498">
        <row r="19">
          <cell r="J19">
            <v>1.0499999999999999E-3</v>
          </cell>
        </row>
      </sheetData>
      <sheetData sheetId="13499"/>
      <sheetData sheetId="13500"/>
      <sheetData sheetId="13501">
        <row r="19">
          <cell r="J19">
            <v>1.0499999999999999E-3</v>
          </cell>
        </row>
      </sheetData>
      <sheetData sheetId="13502">
        <row r="19">
          <cell r="J19">
            <v>1.0499999999999999E-3</v>
          </cell>
        </row>
      </sheetData>
      <sheetData sheetId="13503"/>
      <sheetData sheetId="13504"/>
      <sheetData sheetId="13505"/>
      <sheetData sheetId="13506"/>
      <sheetData sheetId="13507"/>
      <sheetData sheetId="13508">
        <row r="19">
          <cell r="J19">
            <v>1.0499999999999999E-3</v>
          </cell>
        </row>
      </sheetData>
      <sheetData sheetId="13509"/>
      <sheetData sheetId="13510"/>
      <sheetData sheetId="13511"/>
      <sheetData sheetId="13512"/>
      <sheetData sheetId="13513"/>
      <sheetData sheetId="13514">
        <row r="19">
          <cell r="J19">
            <v>1.0499999999999999E-3</v>
          </cell>
        </row>
      </sheetData>
      <sheetData sheetId="13515"/>
      <sheetData sheetId="13516"/>
      <sheetData sheetId="13517"/>
      <sheetData sheetId="13518"/>
      <sheetData sheetId="13519">
        <row r="19">
          <cell r="J19">
            <v>1.0499999999999999E-3</v>
          </cell>
        </row>
      </sheetData>
      <sheetData sheetId="13520">
        <row r="19">
          <cell r="J19">
            <v>1.0499999999999999E-3</v>
          </cell>
        </row>
      </sheetData>
      <sheetData sheetId="13521">
        <row r="19">
          <cell r="J19">
            <v>1.0499999999999999E-3</v>
          </cell>
        </row>
      </sheetData>
      <sheetData sheetId="13522"/>
      <sheetData sheetId="13523"/>
      <sheetData sheetId="13524"/>
      <sheetData sheetId="13525">
        <row r="19">
          <cell r="J19">
            <v>1.0499999999999999E-3</v>
          </cell>
        </row>
      </sheetData>
      <sheetData sheetId="13526">
        <row r="19">
          <cell r="J19">
            <v>1.0499999999999999E-3</v>
          </cell>
        </row>
      </sheetData>
      <sheetData sheetId="13527">
        <row r="19">
          <cell r="J19">
            <v>1.0499999999999999E-3</v>
          </cell>
        </row>
      </sheetData>
      <sheetData sheetId="13528"/>
      <sheetData sheetId="13529"/>
      <sheetData sheetId="13530">
        <row r="19">
          <cell r="J19">
            <v>1.0499999999999999E-3</v>
          </cell>
        </row>
      </sheetData>
      <sheetData sheetId="13531">
        <row r="19">
          <cell r="J19">
            <v>1.0499999999999999E-3</v>
          </cell>
        </row>
      </sheetData>
      <sheetData sheetId="13532">
        <row r="19">
          <cell r="J19">
            <v>1.0499999999999999E-3</v>
          </cell>
        </row>
      </sheetData>
      <sheetData sheetId="13533">
        <row r="19">
          <cell r="J19">
            <v>1.0499999999999999E-3</v>
          </cell>
        </row>
      </sheetData>
      <sheetData sheetId="13534"/>
      <sheetData sheetId="13535">
        <row r="19">
          <cell r="J19">
            <v>1.0499999999999999E-3</v>
          </cell>
        </row>
      </sheetData>
      <sheetData sheetId="13536"/>
      <sheetData sheetId="13537"/>
      <sheetData sheetId="13538">
        <row r="19">
          <cell r="J19">
            <v>1.0499999999999999E-3</v>
          </cell>
        </row>
      </sheetData>
      <sheetData sheetId="13539">
        <row r="19">
          <cell r="J19">
            <v>1.0499999999999999E-3</v>
          </cell>
        </row>
      </sheetData>
      <sheetData sheetId="13540">
        <row r="19">
          <cell r="J19">
            <v>1.0499999999999999E-3</v>
          </cell>
        </row>
      </sheetData>
      <sheetData sheetId="13541">
        <row r="19">
          <cell r="J19">
            <v>1.0499999999999999E-3</v>
          </cell>
        </row>
      </sheetData>
      <sheetData sheetId="13542">
        <row r="19">
          <cell r="J19">
            <v>1.0499999999999999E-3</v>
          </cell>
        </row>
      </sheetData>
      <sheetData sheetId="13543">
        <row r="19">
          <cell r="J19">
            <v>1.0499999999999999E-3</v>
          </cell>
        </row>
      </sheetData>
      <sheetData sheetId="13544">
        <row r="19">
          <cell r="J19">
            <v>1.0499999999999999E-3</v>
          </cell>
        </row>
      </sheetData>
      <sheetData sheetId="13545">
        <row r="19">
          <cell r="J19">
            <v>1.0499999999999999E-3</v>
          </cell>
        </row>
      </sheetData>
      <sheetData sheetId="13546">
        <row r="19">
          <cell r="J19">
            <v>1.0499999999999999E-3</v>
          </cell>
        </row>
      </sheetData>
      <sheetData sheetId="13547">
        <row r="19">
          <cell r="J19">
            <v>1.0499999999999999E-3</v>
          </cell>
        </row>
      </sheetData>
      <sheetData sheetId="13548">
        <row r="19">
          <cell r="J19">
            <v>1.0499999999999999E-3</v>
          </cell>
        </row>
      </sheetData>
      <sheetData sheetId="13549">
        <row r="19">
          <cell r="J19">
            <v>1.0499999999999999E-3</v>
          </cell>
        </row>
      </sheetData>
      <sheetData sheetId="13550">
        <row r="19">
          <cell r="J19">
            <v>1.0499999999999999E-3</v>
          </cell>
        </row>
      </sheetData>
      <sheetData sheetId="13551">
        <row r="19">
          <cell r="J19">
            <v>1.0499999999999999E-3</v>
          </cell>
        </row>
      </sheetData>
      <sheetData sheetId="13552">
        <row r="19">
          <cell r="J19">
            <v>1.0499999999999999E-3</v>
          </cell>
        </row>
      </sheetData>
      <sheetData sheetId="13553">
        <row r="19">
          <cell r="J19">
            <v>1.0499999999999999E-3</v>
          </cell>
        </row>
      </sheetData>
      <sheetData sheetId="13554">
        <row r="19">
          <cell r="J19">
            <v>1.0499999999999999E-3</v>
          </cell>
        </row>
      </sheetData>
      <sheetData sheetId="13555">
        <row r="19">
          <cell r="J19">
            <v>1.0499999999999999E-3</v>
          </cell>
        </row>
      </sheetData>
      <sheetData sheetId="13556">
        <row r="19">
          <cell r="J19">
            <v>1.0499999999999999E-3</v>
          </cell>
        </row>
      </sheetData>
      <sheetData sheetId="13557">
        <row r="19">
          <cell r="J19">
            <v>1.0499999999999999E-3</v>
          </cell>
        </row>
      </sheetData>
      <sheetData sheetId="13558">
        <row r="19">
          <cell r="J19">
            <v>1.0499999999999999E-3</v>
          </cell>
        </row>
      </sheetData>
      <sheetData sheetId="13559">
        <row r="19">
          <cell r="J19">
            <v>1.0499999999999999E-3</v>
          </cell>
        </row>
      </sheetData>
      <sheetData sheetId="13560">
        <row r="19">
          <cell r="J19">
            <v>1.0499999999999999E-3</v>
          </cell>
        </row>
      </sheetData>
      <sheetData sheetId="13561">
        <row r="19">
          <cell r="J19">
            <v>1.0499999999999999E-3</v>
          </cell>
        </row>
      </sheetData>
      <sheetData sheetId="13562">
        <row r="19">
          <cell r="J19">
            <v>1.0499999999999999E-3</v>
          </cell>
        </row>
      </sheetData>
      <sheetData sheetId="13563"/>
      <sheetData sheetId="13564">
        <row r="19">
          <cell r="J19">
            <v>1.0499999999999999E-3</v>
          </cell>
        </row>
      </sheetData>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ow r="19">
          <cell r="J19">
            <v>1.0499999999999999E-3</v>
          </cell>
        </row>
      </sheetData>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ow r="19">
          <cell r="J19">
            <v>1.0499999999999999E-3</v>
          </cell>
        </row>
      </sheetData>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ow r="19">
          <cell r="J19">
            <v>1.0499999999999999E-3</v>
          </cell>
        </row>
      </sheetData>
      <sheetData sheetId="14024">
        <row r="19">
          <cell r="J19">
            <v>1.0499999999999999E-3</v>
          </cell>
        </row>
      </sheetData>
      <sheetData sheetId="14025">
        <row r="19">
          <cell r="J19">
            <v>1.0499999999999999E-3</v>
          </cell>
        </row>
      </sheetData>
      <sheetData sheetId="14026">
        <row r="19">
          <cell r="J19">
            <v>1.0499999999999999E-3</v>
          </cell>
        </row>
      </sheetData>
      <sheetData sheetId="14027">
        <row r="19">
          <cell r="J19">
            <v>1.0499999999999999E-3</v>
          </cell>
        </row>
      </sheetData>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ow r="19">
          <cell r="J19">
            <v>1.0499999999999999E-3</v>
          </cell>
        </row>
      </sheetData>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ow r="19">
          <cell r="J19">
            <v>1.0499999999999999E-3</v>
          </cell>
        </row>
      </sheetData>
      <sheetData sheetId="14059">
        <row r="19">
          <cell r="J19">
            <v>1.0499999999999999E-3</v>
          </cell>
        </row>
      </sheetData>
      <sheetData sheetId="14060">
        <row r="19">
          <cell r="J19">
            <v>1.0499999999999999E-3</v>
          </cell>
        </row>
      </sheetData>
      <sheetData sheetId="14061">
        <row r="19">
          <cell r="J19">
            <v>1.0499999999999999E-3</v>
          </cell>
        </row>
      </sheetData>
      <sheetData sheetId="14062">
        <row r="19">
          <cell r="J19">
            <v>1.0499999999999999E-3</v>
          </cell>
        </row>
      </sheetData>
      <sheetData sheetId="14063">
        <row r="19">
          <cell r="J19">
            <v>1.0499999999999999E-3</v>
          </cell>
        </row>
      </sheetData>
      <sheetData sheetId="14064">
        <row r="19">
          <cell r="J19">
            <v>1.0499999999999999E-3</v>
          </cell>
        </row>
      </sheetData>
      <sheetData sheetId="14065">
        <row r="19">
          <cell r="J19">
            <v>1.0499999999999999E-3</v>
          </cell>
        </row>
      </sheetData>
      <sheetData sheetId="14066">
        <row r="19">
          <cell r="J19">
            <v>1.0499999999999999E-3</v>
          </cell>
        </row>
      </sheetData>
      <sheetData sheetId="14067">
        <row r="19">
          <cell r="J19">
            <v>1.0499999999999999E-3</v>
          </cell>
        </row>
      </sheetData>
      <sheetData sheetId="14068">
        <row r="19">
          <cell r="J19">
            <v>1.0499999999999999E-3</v>
          </cell>
        </row>
      </sheetData>
      <sheetData sheetId="14069">
        <row r="19">
          <cell r="J19">
            <v>1.0499999999999999E-3</v>
          </cell>
        </row>
      </sheetData>
      <sheetData sheetId="14070">
        <row r="19">
          <cell r="J19">
            <v>1.0499999999999999E-3</v>
          </cell>
        </row>
      </sheetData>
      <sheetData sheetId="14071">
        <row r="19">
          <cell r="J19">
            <v>1.0499999999999999E-3</v>
          </cell>
        </row>
      </sheetData>
      <sheetData sheetId="14072">
        <row r="19">
          <cell r="J19">
            <v>1.0499999999999999E-3</v>
          </cell>
        </row>
      </sheetData>
      <sheetData sheetId="14073">
        <row r="19">
          <cell r="J19">
            <v>1.0499999999999999E-3</v>
          </cell>
        </row>
      </sheetData>
      <sheetData sheetId="14074">
        <row r="19">
          <cell r="J19">
            <v>1.0499999999999999E-3</v>
          </cell>
        </row>
      </sheetData>
      <sheetData sheetId="14075">
        <row r="19">
          <cell r="J19">
            <v>1.0499999999999999E-3</v>
          </cell>
        </row>
      </sheetData>
      <sheetData sheetId="14076">
        <row r="19">
          <cell r="J19">
            <v>1.0499999999999999E-3</v>
          </cell>
        </row>
      </sheetData>
      <sheetData sheetId="14077">
        <row r="19">
          <cell r="J19">
            <v>1.0499999999999999E-3</v>
          </cell>
        </row>
      </sheetData>
      <sheetData sheetId="14078">
        <row r="19">
          <cell r="J19">
            <v>1.0499999999999999E-3</v>
          </cell>
        </row>
      </sheetData>
      <sheetData sheetId="14079">
        <row r="19">
          <cell r="J19">
            <v>1.0499999999999999E-3</v>
          </cell>
        </row>
      </sheetData>
      <sheetData sheetId="14080">
        <row r="19">
          <cell r="J19">
            <v>1.0499999999999999E-3</v>
          </cell>
        </row>
      </sheetData>
      <sheetData sheetId="14081">
        <row r="19">
          <cell r="J19">
            <v>1.0499999999999999E-3</v>
          </cell>
        </row>
      </sheetData>
      <sheetData sheetId="14082">
        <row r="19">
          <cell r="J19">
            <v>1.0499999999999999E-3</v>
          </cell>
        </row>
      </sheetData>
      <sheetData sheetId="14083">
        <row r="19">
          <cell r="J19">
            <v>1.0499999999999999E-3</v>
          </cell>
        </row>
      </sheetData>
      <sheetData sheetId="14084">
        <row r="19">
          <cell r="J19">
            <v>1.0499999999999999E-3</v>
          </cell>
        </row>
      </sheetData>
      <sheetData sheetId="14085">
        <row r="19">
          <cell r="J19">
            <v>1.0499999999999999E-3</v>
          </cell>
        </row>
      </sheetData>
      <sheetData sheetId="14086">
        <row r="19">
          <cell r="J19">
            <v>1.0499999999999999E-3</v>
          </cell>
        </row>
      </sheetData>
      <sheetData sheetId="14087">
        <row r="19">
          <cell r="J19">
            <v>1.0499999999999999E-3</v>
          </cell>
        </row>
      </sheetData>
      <sheetData sheetId="14088">
        <row r="19">
          <cell r="J19">
            <v>1.0499999999999999E-3</v>
          </cell>
        </row>
      </sheetData>
      <sheetData sheetId="14089">
        <row r="19">
          <cell r="J19">
            <v>1.0499999999999999E-3</v>
          </cell>
        </row>
      </sheetData>
      <sheetData sheetId="14090">
        <row r="19">
          <cell r="J19">
            <v>1.0499999999999999E-3</v>
          </cell>
        </row>
      </sheetData>
      <sheetData sheetId="14091">
        <row r="19">
          <cell r="J19">
            <v>1.0499999999999999E-3</v>
          </cell>
        </row>
      </sheetData>
      <sheetData sheetId="14092">
        <row r="19">
          <cell r="J19">
            <v>1.0499999999999999E-3</v>
          </cell>
        </row>
      </sheetData>
      <sheetData sheetId="14093">
        <row r="19">
          <cell r="J19">
            <v>1.0499999999999999E-3</v>
          </cell>
        </row>
      </sheetData>
      <sheetData sheetId="14094">
        <row r="19">
          <cell r="J19">
            <v>1.0499999999999999E-3</v>
          </cell>
        </row>
      </sheetData>
      <sheetData sheetId="14095">
        <row r="19">
          <cell r="J19">
            <v>1.0499999999999999E-3</v>
          </cell>
        </row>
      </sheetData>
      <sheetData sheetId="14096">
        <row r="19">
          <cell r="J19">
            <v>1.0499999999999999E-3</v>
          </cell>
        </row>
      </sheetData>
      <sheetData sheetId="14097">
        <row r="19">
          <cell r="J19">
            <v>1.0499999999999999E-3</v>
          </cell>
        </row>
      </sheetData>
      <sheetData sheetId="14098">
        <row r="19">
          <cell r="J19">
            <v>1.0499999999999999E-3</v>
          </cell>
        </row>
      </sheetData>
      <sheetData sheetId="14099">
        <row r="19">
          <cell r="J19">
            <v>1.0499999999999999E-3</v>
          </cell>
        </row>
      </sheetData>
      <sheetData sheetId="14100">
        <row r="19">
          <cell r="J19">
            <v>1.0499999999999999E-3</v>
          </cell>
        </row>
      </sheetData>
      <sheetData sheetId="14101">
        <row r="19">
          <cell r="J19">
            <v>1.0499999999999999E-3</v>
          </cell>
        </row>
      </sheetData>
      <sheetData sheetId="14102">
        <row r="19">
          <cell r="J19">
            <v>1.0499999999999999E-3</v>
          </cell>
        </row>
      </sheetData>
      <sheetData sheetId="14103">
        <row r="19">
          <cell r="J19">
            <v>1.0499999999999999E-3</v>
          </cell>
        </row>
      </sheetData>
      <sheetData sheetId="14104">
        <row r="19">
          <cell r="J19">
            <v>1.0499999999999999E-3</v>
          </cell>
        </row>
      </sheetData>
      <sheetData sheetId="14105">
        <row r="19">
          <cell r="J19">
            <v>1.0499999999999999E-3</v>
          </cell>
        </row>
      </sheetData>
      <sheetData sheetId="14106">
        <row r="19">
          <cell r="J19">
            <v>1.0499999999999999E-3</v>
          </cell>
        </row>
      </sheetData>
      <sheetData sheetId="14107">
        <row r="19">
          <cell r="J19">
            <v>1.0499999999999999E-3</v>
          </cell>
        </row>
      </sheetData>
      <sheetData sheetId="14108">
        <row r="19">
          <cell r="J19">
            <v>1.0499999999999999E-3</v>
          </cell>
        </row>
      </sheetData>
      <sheetData sheetId="14109">
        <row r="19">
          <cell r="J19">
            <v>1.0499999999999999E-3</v>
          </cell>
        </row>
      </sheetData>
      <sheetData sheetId="14110">
        <row r="19">
          <cell r="J19">
            <v>1.0499999999999999E-3</v>
          </cell>
        </row>
      </sheetData>
      <sheetData sheetId="14111">
        <row r="19">
          <cell r="J19">
            <v>1.0499999999999999E-3</v>
          </cell>
        </row>
      </sheetData>
      <sheetData sheetId="14112">
        <row r="19">
          <cell r="J19">
            <v>1.0499999999999999E-3</v>
          </cell>
        </row>
      </sheetData>
      <sheetData sheetId="14113">
        <row r="19">
          <cell r="J19">
            <v>1.0499999999999999E-3</v>
          </cell>
        </row>
      </sheetData>
      <sheetData sheetId="14114">
        <row r="19">
          <cell r="J19">
            <v>1.0499999999999999E-3</v>
          </cell>
        </row>
      </sheetData>
      <sheetData sheetId="14115">
        <row r="19">
          <cell r="J19">
            <v>1.0499999999999999E-3</v>
          </cell>
        </row>
      </sheetData>
      <sheetData sheetId="14116">
        <row r="19">
          <cell r="J19">
            <v>1.0499999999999999E-3</v>
          </cell>
        </row>
      </sheetData>
      <sheetData sheetId="14117">
        <row r="19">
          <cell r="J19">
            <v>1.0499999999999999E-3</v>
          </cell>
        </row>
      </sheetData>
      <sheetData sheetId="14118">
        <row r="19">
          <cell r="J19">
            <v>1.0499999999999999E-3</v>
          </cell>
        </row>
      </sheetData>
      <sheetData sheetId="14119">
        <row r="19">
          <cell r="J19">
            <v>1.0499999999999999E-3</v>
          </cell>
        </row>
      </sheetData>
      <sheetData sheetId="14120">
        <row r="19">
          <cell r="J19">
            <v>1.0499999999999999E-3</v>
          </cell>
        </row>
      </sheetData>
      <sheetData sheetId="14121">
        <row r="19">
          <cell r="J19">
            <v>1.0499999999999999E-3</v>
          </cell>
        </row>
      </sheetData>
      <sheetData sheetId="14122">
        <row r="19">
          <cell r="J19">
            <v>1.0499999999999999E-3</v>
          </cell>
        </row>
      </sheetData>
      <sheetData sheetId="14123">
        <row r="19">
          <cell r="J19">
            <v>1.0499999999999999E-3</v>
          </cell>
        </row>
      </sheetData>
      <sheetData sheetId="14124">
        <row r="19">
          <cell r="J19">
            <v>1.0499999999999999E-3</v>
          </cell>
        </row>
      </sheetData>
      <sheetData sheetId="14125">
        <row r="19">
          <cell r="J19">
            <v>1.0499999999999999E-3</v>
          </cell>
        </row>
      </sheetData>
      <sheetData sheetId="14126">
        <row r="19">
          <cell r="J19">
            <v>1.0499999999999999E-3</v>
          </cell>
        </row>
      </sheetData>
      <sheetData sheetId="14127">
        <row r="19">
          <cell r="J19">
            <v>1.0499999999999999E-3</v>
          </cell>
        </row>
      </sheetData>
      <sheetData sheetId="14128">
        <row r="19">
          <cell r="J19">
            <v>1.0499999999999999E-3</v>
          </cell>
        </row>
      </sheetData>
      <sheetData sheetId="14129">
        <row r="19">
          <cell r="J19">
            <v>1.0499999999999999E-3</v>
          </cell>
        </row>
      </sheetData>
      <sheetData sheetId="14130">
        <row r="19">
          <cell r="J19">
            <v>1.0499999999999999E-3</v>
          </cell>
        </row>
      </sheetData>
      <sheetData sheetId="14131">
        <row r="19">
          <cell r="J19">
            <v>1.0499999999999999E-3</v>
          </cell>
        </row>
      </sheetData>
      <sheetData sheetId="14132">
        <row r="19">
          <cell r="J19">
            <v>1.0499999999999999E-3</v>
          </cell>
        </row>
      </sheetData>
      <sheetData sheetId="14133">
        <row r="19">
          <cell r="J19">
            <v>1.0499999999999999E-3</v>
          </cell>
        </row>
      </sheetData>
      <sheetData sheetId="14134">
        <row r="19">
          <cell r="J19">
            <v>1.0499999999999999E-3</v>
          </cell>
        </row>
      </sheetData>
      <sheetData sheetId="14135">
        <row r="19">
          <cell r="J19">
            <v>1.0499999999999999E-3</v>
          </cell>
        </row>
      </sheetData>
      <sheetData sheetId="14136">
        <row r="19">
          <cell r="J19">
            <v>1.0499999999999999E-3</v>
          </cell>
        </row>
      </sheetData>
      <sheetData sheetId="14137">
        <row r="19">
          <cell r="J19">
            <v>1.0499999999999999E-3</v>
          </cell>
        </row>
      </sheetData>
      <sheetData sheetId="14138">
        <row r="19">
          <cell r="J19">
            <v>1.0499999999999999E-3</v>
          </cell>
        </row>
      </sheetData>
      <sheetData sheetId="14139">
        <row r="19">
          <cell r="J19">
            <v>1.0499999999999999E-3</v>
          </cell>
        </row>
      </sheetData>
      <sheetData sheetId="14140">
        <row r="19">
          <cell r="J19">
            <v>1.0499999999999999E-3</v>
          </cell>
        </row>
      </sheetData>
      <sheetData sheetId="14141">
        <row r="19">
          <cell r="J19">
            <v>1.0499999999999999E-3</v>
          </cell>
        </row>
      </sheetData>
      <sheetData sheetId="14142">
        <row r="19">
          <cell r="J19">
            <v>1.0499999999999999E-3</v>
          </cell>
        </row>
      </sheetData>
      <sheetData sheetId="14143">
        <row r="19">
          <cell r="J19">
            <v>1.0499999999999999E-3</v>
          </cell>
        </row>
      </sheetData>
      <sheetData sheetId="14144">
        <row r="19">
          <cell r="J19">
            <v>1.0499999999999999E-3</v>
          </cell>
        </row>
      </sheetData>
      <sheetData sheetId="14145">
        <row r="19">
          <cell r="J19">
            <v>1.0499999999999999E-3</v>
          </cell>
        </row>
      </sheetData>
      <sheetData sheetId="14146">
        <row r="19">
          <cell r="J19">
            <v>1.0499999999999999E-3</v>
          </cell>
        </row>
      </sheetData>
      <sheetData sheetId="14147">
        <row r="19">
          <cell r="J19">
            <v>1.0499999999999999E-3</v>
          </cell>
        </row>
      </sheetData>
      <sheetData sheetId="14148">
        <row r="19">
          <cell r="J19">
            <v>1.0499999999999999E-3</v>
          </cell>
        </row>
      </sheetData>
      <sheetData sheetId="14149">
        <row r="19">
          <cell r="J19">
            <v>1.0499999999999999E-3</v>
          </cell>
        </row>
      </sheetData>
      <sheetData sheetId="14150">
        <row r="19">
          <cell r="J19">
            <v>1.0499999999999999E-3</v>
          </cell>
        </row>
      </sheetData>
      <sheetData sheetId="14151">
        <row r="19">
          <cell r="J19">
            <v>1.0499999999999999E-3</v>
          </cell>
        </row>
      </sheetData>
      <sheetData sheetId="14152">
        <row r="19">
          <cell r="J19">
            <v>1.0499999999999999E-3</v>
          </cell>
        </row>
      </sheetData>
      <sheetData sheetId="14153">
        <row r="19">
          <cell r="J19">
            <v>1.0499999999999999E-3</v>
          </cell>
        </row>
      </sheetData>
      <sheetData sheetId="14154">
        <row r="19">
          <cell r="J19">
            <v>1.0499999999999999E-3</v>
          </cell>
        </row>
      </sheetData>
      <sheetData sheetId="14155">
        <row r="19">
          <cell r="J19">
            <v>1.0499999999999999E-3</v>
          </cell>
        </row>
      </sheetData>
      <sheetData sheetId="14156">
        <row r="19">
          <cell r="J19">
            <v>1.0499999999999999E-3</v>
          </cell>
        </row>
      </sheetData>
      <sheetData sheetId="14157">
        <row r="19">
          <cell r="J19">
            <v>1.0499999999999999E-3</v>
          </cell>
        </row>
      </sheetData>
      <sheetData sheetId="14158">
        <row r="19">
          <cell r="J19">
            <v>1.0499999999999999E-3</v>
          </cell>
        </row>
      </sheetData>
      <sheetData sheetId="14159">
        <row r="19">
          <cell r="J19">
            <v>1.0499999999999999E-3</v>
          </cell>
        </row>
      </sheetData>
      <sheetData sheetId="14160">
        <row r="19">
          <cell r="J19">
            <v>1.0499999999999999E-3</v>
          </cell>
        </row>
      </sheetData>
      <sheetData sheetId="14161">
        <row r="19">
          <cell r="J19">
            <v>1.0499999999999999E-3</v>
          </cell>
        </row>
      </sheetData>
      <sheetData sheetId="14162">
        <row r="19">
          <cell r="J19">
            <v>1.0499999999999999E-3</v>
          </cell>
        </row>
      </sheetData>
      <sheetData sheetId="14163">
        <row r="19">
          <cell r="J19">
            <v>1.0499999999999999E-3</v>
          </cell>
        </row>
      </sheetData>
      <sheetData sheetId="14164">
        <row r="19">
          <cell r="J19">
            <v>1.0499999999999999E-3</v>
          </cell>
        </row>
      </sheetData>
      <sheetData sheetId="14165">
        <row r="19">
          <cell r="J19">
            <v>1.0499999999999999E-3</v>
          </cell>
        </row>
      </sheetData>
      <sheetData sheetId="14166">
        <row r="19">
          <cell r="J19">
            <v>1.0499999999999999E-3</v>
          </cell>
        </row>
      </sheetData>
      <sheetData sheetId="14167">
        <row r="19">
          <cell r="J19">
            <v>1.0499999999999999E-3</v>
          </cell>
        </row>
      </sheetData>
      <sheetData sheetId="14168">
        <row r="19">
          <cell r="J19">
            <v>1.0499999999999999E-3</v>
          </cell>
        </row>
      </sheetData>
      <sheetData sheetId="14169">
        <row r="19">
          <cell r="J19">
            <v>1.0499999999999999E-3</v>
          </cell>
        </row>
      </sheetData>
      <sheetData sheetId="14170">
        <row r="19">
          <cell r="J19">
            <v>1.0499999999999999E-3</v>
          </cell>
        </row>
      </sheetData>
      <sheetData sheetId="14171">
        <row r="19">
          <cell r="J19">
            <v>1.0499999999999999E-3</v>
          </cell>
        </row>
      </sheetData>
      <sheetData sheetId="14172">
        <row r="19">
          <cell r="J19">
            <v>1.0499999999999999E-3</v>
          </cell>
        </row>
      </sheetData>
      <sheetData sheetId="14173">
        <row r="19">
          <cell r="J19">
            <v>1.0499999999999999E-3</v>
          </cell>
        </row>
      </sheetData>
      <sheetData sheetId="14174">
        <row r="19">
          <cell r="J19">
            <v>1.0499999999999999E-3</v>
          </cell>
        </row>
      </sheetData>
      <sheetData sheetId="14175">
        <row r="19">
          <cell r="J19">
            <v>1.0499999999999999E-3</v>
          </cell>
        </row>
      </sheetData>
      <sheetData sheetId="14176">
        <row r="19">
          <cell r="J19">
            <v>1.0499999999999999E-3</v>
          </cell>
        </row>
      </sheetData>
      <sheetData sheetId="14177">
        <row r="19">
          <cell r="J19">
            <v>1.0499999999999999E-3</v>
          </cell>
        </row>
      </sheetData>
      <sheetData sheetId="14178">
        <row r="19">
          <cell r="J19">
            <v>1.0499999999999999E-3</v>
          </cell>
        </row>
      </sheetData>
      <sheetData sheetId="14179">
        <row r="19">
          <cell r="J19">
            <v>1.0499999999999999E-3</v>
          </cell>
        </row>
      </sheetData>
      <sheetData sheetId="14180">
        <row r="19">
          <cell r="J19">
            <v>1.0499999999999999E-3</v>
          </cell>
        </row>
      </sheetData>
      <sheetData sheetId="14181">
        <row r="19">
          <cell r="J19">
            <v>1.0499999999999999E-3</v>
          </cell>
        </row>
      </sheetData>
      <sheetData sheetId="14182">
        <row r="19">
          <cell r="J19">
            <v>1.0499999999999999E-3</v>
          </cell>
        </row>
      </sheetData>
      <sheetData sheetId="14183">
        <row r="19">
          <cell r="J19">
            <v>1.0499999999999999E-3</v>
          </cell>
        </row>
      </sheetData>
      <sheetData sheetId="14184">
        <row r="19">
          <cell r="J19">
            <v>1.0499999999999999E-3</v>
          </cell>
        </row>
      </sheetData>
      <sheetData sheetId="14185">
        <row r="19">
          <cell r="J19">
            <v>1.0499999999999999E-3</v>
          </cell>
        </row>
      </sheetData>
      <sheetData sheetId="14186">
        <row r="19">
          <cell r="J19">
            <v>1.0499999999999999E-3</v>
          </cell>
        </row>
      </sheetData>
      <sheetData sheetId="14187">
        <row r="19">
          <cell r="J19">
            <v>1.0499999999999999E-3</v>
          </cell>
        </row>
      </sheetData>
      <sheetData sheetId="14188">
        <row r="19">
          <cell r="J19">
            <v>1.0499999999999999E-3</v>
          </cell>
        </row>
      </sheetData>
      <sheetData sheetId="14189">
        <row r="19">
          <cell r="J19">
            <v>1.0499999999999999E-3</v>
          </cell>
        </row>
      </sheetData>
      <sheetData sheetId="14190">
        <row r="19">
          <cell r="J19">
            <v>1.0499999999999999E-3</v>
          </cell>
        </row>
      </sheetData>
      <sheetData sheetId="14191">
        <row r="19">
          <cell r="J19">
            <v>1.0499999999999999E-3</v>
          </cell>
        </row>
      </sheetData>
      <sheetData sheetId="14192">
        <row r="19">
          <cell r="J19">
            <v>1.0499999999999999E-3</v>
          </cell>
        </row>
      </sheetData>
      <sheetData sheetId="14193">
        <row r="19">
          <cell r="J19">
            <v>1.0499999999999999E-3</v>
          </cell>
        </row>
      </sheetData>
      <sheetData sheetId="14194">
        <row r="19">
          <cell r="J19">
            <v>1.0499999999999999E-3</v>
          </cell>
        </row>
      </sheetData>
      <sheetData sheetId="14195">
        <row r="19">
          <cell r="J19">
            <v>1.0499999999999999E-3</v>
          </cell>
        </row>
      </sheetData>
      <sheetData sheetId="14196">
        <row r="19">
          <cell r="J19">
            <v>1.0499999999999999E-3</v>
          </cell>
        </row>
      </sheetData>
      <sheetData sheetId="14197">
        <row r="19">
          <cell r="J19">
            <v>1.0499999999999999E-3</v>
          </cell>
        </row>
      </sheetData>
      <sheetData sheetId="14198">
        <row r="19">
          <cell r="J19">
            <v>1.0499999999999999E-3</v>
          </cell>
        </row>
      </sheetData>
      <sheetData sheetId="14199">
        <row r="19">
          <cell r="J19">
            <v>1.0499999999999999E-3</v>
          </cell>
        </row>
      </sheetData>
      <sheetData sheetId="14200">
        <row r="19">
          <cell r="J19">
            <v>1.0499999999999999E-3</v>
          </cell>
        </row>
      </sheetData>
      <sheetData sheetId="14201">
        <row r="19">
          <cell r="J19">
            <v>1.0499999999999999E-3</v>
          </cell>
        </row>
      </sheetData>
      <sheetData sheetId="14202">
        <row r="19">
          <cell r="J19">
            <v>1.0499999999999999E-3</v>
          </cell>
        </row>
      </sheetData>
      <sheetData sheetId="14203">
        <row r="19">
          <cell r="J19">
            <v>1.0499999999999999E-3</v>
          </cell>
        </row>
      </sheetData>
      <sheetData sheetId="14204">
        <row r="19">
          <cell r="J19">
            <v>1.0499999999999999E-3</v>
          </cell>
        </row>
      </sheetData>
      <sheetData sheetId="14205">
        <row r="19">
          <cell r="J19">
            <v>1.0499999999999999E-3</v>
          </cell>
        </row>
      </sheetData>
      <sheetData sheetId="14206">
        <row r="19">
          <cell r="J19">
            <v>1.0499999999999999E-3</v>
          </cell>
        </row>
      </sheetData>
      <sheetData sheetId="14207">
        <row r="19">
          <cell r="J19">
            <v>1.0499999999999999E-3</v>
          </cell>
        </row>
      </sheetData>
      <sheetData sheetId="14208">
        <row r="19">
          <cell r="J19">
            <v>1.0499999999999999E-3</v>
          </cell>
        </row>
      </sheetData>
      <sheetData sheetId="14209">
        <row r="19">
          <cell r="J19">
            <v>1.0499999999999999E-3</v>
          </cell>
        </row>
      </sheetData>
      <sheetData sheetId="14210">
        <row r="19">
          <cell r="J19">
            <v>1.0499999999999999E-3</v>
          </cell>
        </row>
      </sheetData>
      <sheetData sheetId="14211">
        <row r="19">
          <cell r="J19">
            <v>1.0499999999999999E-3</v>
          </cell>
        </row>
      </sheetData>
      <sheetData sheetId="14212">
        <row r="19">
          <cell r="J19">
            <v>1.0499999999999999E-3</v>
          </cell>
        </row>
      </sheetData>
      <sheetData sheetId="14213">
        <row r="19">
          <cell r="J19">
            <v>1.0499999999999999E-3</v>
          </cell>
        </row>
      </sheetData>
      <sheetData sheetId="14214">
        <row r="19">
          <cell r="J19">
            <v>1.0499999999999999E-3</v>
          </cell>
        </row>
      </sheetData>
      <sheetData sheetId="14215">
        <row r="19">
          <cell r="J19">
            <v>1.0499999999999999E-3</v>
          </cell>
        </row>
      </sheetData>
      <sheetData sheetId="14216">
        <row r="19">
          <cell r="J19">
            <v>1.0499999999999999E-3</v>
          </cell>
        </row>
      </sheetData>
      <sheetData sheetId="14217">
        <row r="19">
          <cell r="J19">
            <v>1.0499999999999999E-3</v>
          </cell>
        </row>
      </sheetData>
      <sheetData sheetId="14218">
        <row r="19">
          <cell r="J19">
            <v>1.0499999999999999E-3</v>
          </cell>
        </row>
      </sheetData>
      <sheetData sheetId="14219">
        <row r="19">
          <cell r="J19">
            <v>1.0499999999999999E-3</v>
          </cell>
        </row>
      </sheetData>
      <sheetData sheetId="14220">
        <row r="19">
          <cell r="J19">
            <v>1.0499999999999999E-3</v>
          </cell>
        </row>
      </sheetData>
      <sheetData sheetId="14221">
        <row r="19">
          <cell r="J19">
            <v>1.0499999999999999E-3</v>
          </cell>
        </row>
      </sheetData>
      <sheetData sheetId="14222">
        <row r="19">
          <cell r="J19">
            <v>1.0499999999999999E-3</v>
          </cell>
        </row>
      </sheetData>
      <sheetData sheetId="14223">
        <row r="19">
          <cell r="J19">
            <v>1.0499999999999999E-3</v>
          </cell>
        </row>
      </sheetData>
      <sheetData sheetId="14224">
        <row r="19">
          <cell r="J19">
            <v>1.0499999999999999E-3</v>
          </cell>
        </row>
      </sheetData>
      <sheetData sheetId="14225">
        <row r="19">
          <cell r="J19">
            <v>1.0499999999999999E-3</v>
          </cell>
        </row>
      </sheetData>
      <sheetData sheetId="14226">
        <row r="19">
          <cell r="J19">
            <v>1.0499999999999999E-3</v>
          </cell>
        </row>
      </sheetData>
      <sheetData sheetId="14227"/>
      <sheetData sheetId="14228">
        <row r="19">
          <cell r="J19">
            <v>1.0499999999999999E-3</v>
          </cell>
        </row>
      </sheetData>
      <sheetData sheetId="14229">
        <row r="19">
          <cell r="J19">
            <v>1.0499999999999999E-3</v>
          </cell>
        </row>
      </sheetData>
      <sheetData sheetId="14230">
        <row r="19">
          <cell r="J19">
            <v>1.0499999999999999E-3</v>
          </cell>
        </row>
      </sheetData>
      <sheetData sheetId="14231">
        <row r="19">
          <cell r="J19">
            <v>1.0499999999999999E-3</v>
          </cell>
        </row>
      </sheetData>
      <sheetData sheetId="14232">
        <row r="19">
          <cell r="J19">
            <v>1.0499999999999999E-3</v>
          </cell>
        </row>
      </sheetData>
      <sheetData sheetId="14233">
        <row r="19">
          <cell r="J19">
            <v>1.0499999999999999E-3</v>
          </cell>
        </row>
      </sheetData>
      <sheetData sheetId="14234"/>
      <sheetData sheetId="14235">
        <row r="19">
          <cell r="J19">
            <v>1.0499999999999999E-3</v>
          </cell>
        </row>
      </sheetData>
      <sheetData sheetId="14236">
        <row r="19">
          <cell r="J19">
            <v>1.0499999999999999E-3</v>
          </cell>
        </row>
      </sheetData>
      <sheetData sheetId="14237">
        <row r="19">
          <cell r="J19">
            <v>1.0499999999999999E-3</v>
          </cell>
        </row>
      </sheetData>
      <sheetData sheetId="14238">
        <row r="19">
          <cell r="J19">
            <v>1.0499999999999999E-3</v>
          </cell>
        </row>
      </sheetData>
      <sheetData sheetId="14239">
        <row r="19">
          <cell r="J19">
            <v>1.0499999999999999E-3</v>
          </cell>
        </row>
      </sheetData>
      <sheetData sheetId="14240">
        <row r="19">
          <cell r="J19">
            <v>1.0499999999999999E-3</v>
          </cell>
        </row>
      </sheetData>
      <sheetData sheetId="14241">
        <row r="19">
          <cell r="J19">
            <v>1.0499999999999999E-3</v>
          </cell>
        </row>
      </sheetData>
      <sheetData sheetId="14242">
        <row r="19">
          <cell r="J19">
            <v>1.0499999999999999E-3</v>
          </cell>
        </row>
      </sheetData>
      <sheetData sheetId="14243">
        <row r="19">
          <cell r="J19">
            <v>1.0499999999999999E-3</v>
          </cell>
        </row>
      </sheetData>
      <sheetData sheetId="14244">
        <row r="19">
          <cell r="J19">
            <v>1.0499999999999999E-3</v>
          </cell>
        </row>
      </sheetData>
      <sheetData sheetId="14245">
        <row r="19">
          <cell r="J19">
            <v>1.0499999999999999E-3</v>
          </cell>
        </row>
      </sheetData>
      <sheetData sheetId="14246">
        <row r="19">
          <cell r="J19">
            <v>1.0499999999999999E-3</v>
          </cell>
        </row>
      </sheetData>
      <sheetData sheetId="14247">
        <row r="19">
          <cell r="J19">
            <v>1.0499999999999999E-3</v>
          </cell>
        </row>
      </sheetData>
      <sheetData sheetId="14248">
        <row r="19">
          <cell r="J19">
            <v>1.0499999999999999E-3</v>
          </cell>
        </row>
      </sheetData>
      <sheetData sheetId="14249">
        <row r="19">
          <cell r="J19">
            <v>1.0499999999999999E-3</v>
          </cell>
        </row>
      </sheetData>
      <sheetData sheetId="14250">
        <row r="19">
          <cell r="J19">
            <v>1.0499999999999999E-3</v>
          </cell>
        </row>
      </sheetData>
      <sheetData sheetId="14251">
        <row r="19">
          <cell r="J19">
            <v>1.0499999999999999E-3</v>
          </cell>
        </row>
      </sheetData>
      <sheetData sheetId="14252">
        <row r="19">
          <cell r="J19">
            <v>1.0499999999999999E-3</v>
          </cell>
        </row>
      </sheetData>
      <sheetData sheetId="14253">
        <row r="19">
          <cell r="J19">
            <v>1.0499999999999999E-3</v>
          </cell>
        </row>
      </sheetData>
      <sheetData sheetId="14254">
        <row r="19">
          <cell r="J19">
            <v>1.0499999999999999E-3</v>
          </cell>
        </row>
      </sheetData>
      <sheetData sheetId="14255">
        <row r="19">
          <cell r="J19">
            <v>1.0499999999999999E-3</v>
          </cell>
        </row>
      </sheetData>
      <sheetData sheetId="14256">
        <row r="19">
          <cell r="J19">
            <v>1.0499999999999999E-3</v>
          </cell>
        </row>
      </sheetData>
      <sheetData sheetId="14257">
        <row r="19">
          <cell r="J19">
            <v>1.0499999999999999E-3</v>
          </cell>
        </row>
      </sheetData>
      <sheetData sheetId="14258">
        <row r="19">
          <cell r="J19">
            <v>1.0499999999999999E-3</v>
          </cell>
        </row>
      </sheetData>
      <sheetData sheetId="14259">
        <row r="19">
          <cell r="J19">
            <v>1.0499999999999999E-3</v>
          </cell>
        </row>
      </sheetData>
      <sheetData sheetId="14260">
        <row r="19">
          <cell r="J19">
            <v>1.0499999999999999E-3</v>
          </cell>
        </row>
      </sheetData>
      <sheetData sheetId="14261">
        <row r="19">
          <cell r="J19">
            <v>1.0499999999999999E-3</v>
          </cell>
        </row>
      </sheetData>
      <sheetData sheetId="14262">
        <row r="19">
          <cell r="J19">
            <v>1.0499999999999999E-3</v>
          </cell>
        </row>
      </sheetData>
      <sheetData sheetId="14263"/>
      <sheetData sheetId="14264">
        <row r="19">
          <cell r="J19">
            <v>1.0499999999999999E-3</v>
          </cell>
        </row>
      </sheetData>
      <sheetData sheetId="14265"/>
      <sheetData sheetId="14266">
        <row r="19">
          <cell r="J19">
            <v>1.0499999999999999E-3</v>
          </cell>
        </row>
      </sheetData>
      <sheetData sheetId="14267"/>
      <sheetData sheetId="14268">
        <row r="19">
          <cell r="J19">
            <v>1.0499999999999999E-3</v>
          </cell>
        </row>
      </sheetData>
      <sheetData sheetId="14269"/>
      <sheetData sheetId="14270"/>
      <sheetData sheetId="14271"/>
      <sheetData sheetId="14272">
        <row r="19">
          <cell r="J19">
            <v>1.0499999999999999E-3</v>
          </cell>
        </row>
      </sheetData>
      <sheetData sheetId="14273"/>
      <sheetData sheetId="14274">
        <row r="19">
          <cell r="J19">
            <v>1.0499999999999999E-3</v>
          </cell>
        </row>
      </sheetData>
      <sheetData sheetId="14275"/>
      <sheetData sheetId="14276">
        <row r="19">
          <cell r="J19">
            <v>1.0499999999999999E-3</v>
          </cell>
        </row>
      </sheetData>
      <sheetData sheetId="14277"/>
      <sheetData sheetId="14278">
        <row r="19">
          <cell r="J19">
            <v>1.0499999999999999E-3</v>
          </cell>
        </row>
      </sheetData>
      <sheetData sheetId="14279"/>
      <sheetData sheetId="14280">
        <row r="19">
          <cell r="J19">
            <v>1.0499999999999999E-3</v>
          </cell>
        </row>
      </sheetData>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row r="19">
          <cell r="J19">
            <v>1.0499999999999999E-3</v>
          </cell>
        </row>
      </sheetData>
      <sheetData sheetId="14307">
        <row r="19">
          <cell r="J19">
            <v>1.0499999999999999E-3</v>
          </cell>
        </row>
      </sheetData>
      <sheetData sheetId="14308">
        <row r="19">
          <cell r="J19">
            <v>1.0499999999999999E-3</v>
          </cell>
        </row>
      </sheetData>
      <sheetData sheetId="14309">
        <row r="19">
          <cell r="J19">
            <v>1.0499999999999999E-3</v>
          </cell>
        </row>
      </sheetData>
      <sheetData sheetId="14310">
        <row r="19">
          <cell r="J19">
            <v>1.0499999999999999E-3</v>
          </cell>
        </row>
      </sheetData>
      <sheetData sheetId="14311">
        <row r="19">
          <cell r="J19">
            <v>1.0499999999999999E-3</v>
          </cell>
        </row>
      </sheetData>
      <sheetData sheetId="14312">
        <row r="19">
          <cell r="J19">
            <v>1.0499999999999999E-3</v>
          </cell>
        </row>
      </sheetData>
      <sheetData sheetId="14313">
        <row r="19">
          <cell r="J19">
            <v>1.0499999999999999E-3</v>
          </cell>
        </row>
      </sheetData>
      <sheetData sheetId="14314">
        <row r="19">
          <cell r="J19">
            <v>1.0499999999999999E-3</v>
          </cell>
        </row>
      </sheetData>
      <sheetData sheetId="14315">
        <row r="19">
          <cell r="J19">
            <v>1.0499999999999999E-3</v>
          </cell>
        </row>
      </sheetData>
      <sheetData sheetId="14316">
        <row r="19">
          <cell r="J19">
            <v>1.0499999999999999E-3</v>
          </cell>
        </row>
      </sheetData>
      <sheetData sheetId="14317">
        <row r="19">
          <cell r="J19">
            <v>1.0499999999999999E-3</v>
          </cell>
        </row>
      </sheetData>
      <sheetData sheetId="14318">
        <row r="19">
          <cell r="J19">
            <v>1.0499999999999999E-3</v>
          </cell>
        </row>
      </sheetData>
      <sheetData sheetId="14319">
        <row r="19">
          <cell r="J19">
            <v>1.0499999999999999E-3</v>
          </cell>
        </row>
      </sheetData>
      <sheetData sheetId="14320">
        <row r="19">
          <cell r="J19">
            <v>1.0499999999999999E-3</v>
          </cell>
        </row>
      </sheetData>
      <sheetData sheetId="14321">
        <row r="19">
          <cell r="J19">
            <v>1.0499999999999999E-3</v>
          </cell>
        </row>
      </sheetData>
      <sheetData sheetId="14322">
        <row r="19">
          <cell r="J19">
            <v>1.0499999999999999E-3</v>
          </cell>
        </row>
      </sheetData>
      <sheetData sheetId="14323">
        <row r="19">
          <cell r="J19">
            <v>1.0499999999999999E-3</v>
          </cell>
        </row>
      </sheetData>
      <sheetData sheetId="14324">
        <row r="19">
          <cell r="J19">
            <v>1.0499999999999999E-3</v>
          </cell>
        </row>
      </sheetData>
      <sheetData sheetId="14325">
        <row r="19">
          <cell r="J19">
            <v>1.0499999999999999E-3</v>
          </cell>
        </row>
      </sheetData>
      <sheetData sheetId="14326">
        <row r="19">
          <cell r="J19">
            <v>1.0499999999999999E-3</v>
          </cell>
        </row>
      </sheetData>
      <sheetData sheetId="14327">
        <row r="19">
          <cell r="J19">
            <v>1.0499999999999999E-3</v>
          </cell>
        </row>
      </sheetData>
      <sheetData sheetId="14328">
        <row r="19">
          <cell r="J19">
            <v>1.0499999999999999E-3</v>
          </cell>
        </row>
      </sheetData>
      <sheetData sheetId="14329">
        <row r="19">
          <cell r="J19">
            <v>1.0499999999999999E-3</v>
          </cell>
        </row>
      </sheetData>
      <sheetData sheetId="14330">
        <row r="19">
          <cell r="J19">
            <v>1.0499999999999999E-3</v>
          </cell>
        </row>
      </sheetData>
      <sheetData sheetId="14331">
        <row r="19">
          <cell r="J19">
            <v>1.0499999999999999E-3</v>
          </cell>
        </row>
      </sheetData>
      <sheetData sheetId="14332">
        <row r="19">
          <cell r="J19">
            <v>1.0499999999999999E-3</v>
          </cell>
        </row>
      </sheetData>
      <sheetData sheetId="14333">
        <row r="19">
          <cell r="J19">
            <v>1.0499999999999999E-3</v>
          </cell>
        </row>
      </sheetData>
      <sheetData sheetId="14334">
        <row r="19">
          <cell r="J19">
            <v>1.0499999999999999E-3</v>
          </cell>
        </row>
      </sheetData>
      <sheetData sheetId="14335">
        <row r="19">
          <cell r="J19">
            <v>1.0499999999999999E-3</v>
          </cell>
        </row>
      </sheetData>
      <sheetData sheetId="14336">
        <row r="19">
          <cell r="J19">
            <v>1.0499999999999999E-3</v>
          </cell>
        </row>
      </sheetData>
      <sheetData sheetId="14337">
        <row r="19">
          <cell r="J19">
            <v>1.0499999999999999E-3</v>
          </cell>
        </row>
      </sheetData>
      <sheetData sheetId="14338">
        <row r="19">
          <cell r="J19">
            <v>1.0499999999999999E-3</v>
          </cell>
        </row>
      </sheetData>
      <sheetData sheetId="14339">
        <row r="19">
          <cell r="J19">
            <v>1.0499999999999999E-3</v>
          </cell>
        </row>
      </sheetData>
      <sheetData sheetId="14340">
        <row r="19">
          <cell r="J19">
            <v>1.0499999999999999E-3</v>
          </cell>
        </row>
      </sheetData>
      <sheetData sheetId="14341">
        <row r="19">
          <cell r="J19">
            <v>1.0499999999999999E-3</v>
          </cell>
        </row>
      </sheetData>
      <sheetData sheetId="14342">
        <row r="19">
          <cell r="J19">
            <v>1.0499999999999999E-3</v>
          </cell>
        </row>
      </sheetData>
      <sheetData sheetId="14343">
        <row r="19">
          <cell r="J19">
            <v>1.0499999999999999E-3</v>
          </cell>
        </row>
      </sheetData>
      <sheetData sheetId="14344">
        <row r="19">
          <cell r="J19">
            <v>1.0499999999999999E-3</v>
          </cell>
        </row>
      </sheetData>
      <sheetData sheetId="14345">
        <row r="19">
          <cell r="J19">
            <v>1.0499999999999999E-3</v>
          </cell>
        </row>
      </sheetData>
      <sheetData sheetId="14346">
        <row r="19">
          <cell r="J19">
            <v>1.0499999999999999E-3</v>
          </cell>
        </row>
      </sheetData>
      <sheetData sheetId="14347">
        <row r="19">
          <cell r="J19">
            <v>1.0499999999999999E-3</v>
          </cell>
        </row>
      </sheetData>
      <sheetData sheetId="14348">
        <row r="19">
          <cell r="J19">
            <v>1.0499999999999999E-3</v>
          </cell>
        </row>
      </sheetData>
      <sheetData sheetId="14349">
        <row r="19">
          <cell r="J19">
            <v>1.0499999999999999E-3</v>
          </cell>
        </row>
      </sheetData>
      <sheetData sheetId="14350">
        <row r="19">
          <cell r="J19">
            <v>1.0499999999999999E-3</v>
          </cell>
        </row>
      </sheetData>
      <sheetData sheetId="14351">
        <row r="19">
          <cell r="J19">
            <v>1.0499999999999999E-3</v>
          </cell>
        </row>
      </sheetData>
      <sheetData sheetId="14352">
        <row r="19">
          <cell r="J19">
            <v>1.0499999999999999E-3</v>
          </cell>
        </row>
      </sheetData>
      <sheetData sheetId="14353">
        <row r="19">
          <cell r="J19">
            <v>1.0499999999999999E-3</v>
          </cell>
        </row>
      </sheetData>
      <sheetData sheetId="14354">
        <row r="19">
          <cell r="J19">
            <v>1.0499999999999999E-3</v>
          </cell>
        </row>
      </sheetData>
      <sheetData sheetId="14355">
        <row r="19">
          <cell r="J19">
            <v>1.0499999999999999E-3</v>
          </cell>
        </row>
      </sheetData>
      <sheetData sheetId="14356">
        <row r="19">
          <cell r="J19">
            <v>1.0499999999999999E-3</v>
          </cell>
        </row>
      </sheetData>
      <sheetData sheetId="14357">
        <row r="19">
          <cell r="J19">
            <v>1.0499999999999999E-3</v>
          </cell>
        </row>
      </sheetData>
      <sheetData sheetId="14358">
        <row r="19">
          <cell r="J19">
            <v>1.0499999999999999E-3</v>
          </cell>
        </row>
      </sheetData>
      <sheetData sheetId="14359">
        <row r="19">
          <cell r="J19">
            <v>1.0499999999999999E-3</v>
          </cell>
        </row>
      </sheetData>
      <sheetData sheetId="14360">
        <row r="19">
          <cell r="J19">
            <v>1.0499999999999999E-3</v>
          </cell>
        </row>
      </sheetData>
      <sheetData sheetId="14361">
        <row r="19">
          <cell r="J19">
            <v>1.0499999999999999E-3</v>
          </cell>
        </row>
      </sheetData>
      <sheetData sheetId="14362">
        <row r="19">
          <cell r="J19">
            <v>1.0499999999999999E-3</v>
          </cell>
        </row>
      </sheetData>
      <sheetData sheetId="14363">
        <row r="19">
          <cell r="J19">
            <v>1.0499999999999999E-3</v>
          </cell>
        </row>
      </sheetData>
      <sheetData sheetId="14364">
        <row r="19">
          <cell r="J19">
            <v>1.0499999999999999E-3</v>
          </cell>
        </row>
      </sheetData>
      <sheetData sheetId="14365">
        <row r="19">
          <cell r="J19">
            <v>1.0499999999999999E-3</v>
          </cell>
        </row>
      </sheetData>
      <sheetData sheetId="14366">
        <row r="19">
          <cell r="J19">
            <v>1.0499999999999999E-3</v>
          </cell>
        </row>
      </sheetData>
      <sheetData sheetId="14367">
        <row r="19">
          <cell r="J19">
            <v>1.0499999999999999E-3</v>
          </cell>
        </row>
      </sheetData>
      <sheetData sheetId="14368">
        <row r="19">
          <cell r="J19">
            <v>1.0499999999999999E-3</v>
          </cell>
        </row>
      </sheetData>
      <sheetData sheetId="14369">
        <row r="19">
          <cell r="J19">
            <v>1.0499999999999999E-3</v>
          </cell>
        </row>
      </sheetData>
      <sheetData sheetId="14370">
        <row r="19">
          <cell r="J19">
            <v>1.0499999999999999E-3</v>
          </cell>
        </row>
      </sheetData>
      <sheetData sheetId="14371">
        <row r="19">
          <cell r="J19">
            <v>1.0499999999999999E-3</v>
          </cell>
        </row>
      </sheetData>
      <sheetData sheetId="14372">
        <row r="19">
          <cell r="J19">
            <v>1.0499999999999999E-3</v>
          </cell>
        </row>
      </sheetData>
      <sheetData sheetId="14373">
        <row r="19">
          <cell r="J19">
            <v>1.0499999999999999E-3</v>
          </cell>
        </row>
      </sheetData>
      <sheetData sheetId="14374">
        <row r="19">
          <cell r="J19">
            <v>1.0499999999999999E-3</v>
          </cell>
        </row>
      </sheetData>
      <sheetData sheetId="14375">
        <row r="19">
          <cell r="J19">
            <v>1.0499999999999999E-3</v>
          </cell>
        </row>
      </sheetData>
      <sheetData sheetId="14376">
        <row r="19">
          <cell r="J19">
            <v>1.0499999999999999E-3</v>
          </cell>
        </row>
      </sheetData>
      <sheetData sheetId="14377">
        <row r="19">
          <cell r="J19">
            <v>1.0499999999999999E-3</v>
          </cell>
        </row>
      </sheetData>
      <sheetData sheetId="14378">
        <row r="19">
          <cell r="J19">
            <v>1.0499999999999999E-3</v>
          </cell>
        </row>
      </sheetData>
      <sheetData sheetId="14379">
        <row r="19">
          <cell r="J19">
            <v>1.0499999999999999E-3</v>
          </cell>
        </row>
      </sheetData>
      <sheetData sheetId="14380">
        <row r="19">
          <cell r="J19">
            <v>1.0499999999999999E-3</v>
          </cell>
        </row>
      </sheetData>
      <sheetData sheetId="14381">
        <row r="19">
          <cell r="J19">
            <v>1.0499999999999999E-3</v>
          </cell>
        </row>
      </sheetData>
      <sheetData sheetId="14382">
        <row r="19">
          <cell r="J19">
            <v>1.0499999999999999E-3</v>
          </cell>
        </row>
      </sheetData>
      <sheetData sheetId="14383">
        <row r="19">
          <cell r="J19">
            <v>1.0499999999999999E-3</v>
          </cell>
        </row>
      </sheetData>
      <sheetData sheetId="14384">
        <row r="19">
          <cell r="J19">
            <v>1.0499999999999999E-3</v>
          </cell>
        </row>
      </sheetData>
      <sheetData sheetId="14385">
        <row r="19">
          <cell r="J19">
            <v>1.0499999999999999E-3</v>
          </cell>
        </row>
      </sheetData>
      <sheetData sheetId="14386">
        <row r="19">
          <cell r="J19">
            <v>1.0499999999999999E-3</v>
          </cell>
        </row>
      </sheetData>
      <sheetData sheetId="14387">
        <row r="19">
          <cell r="J19">
            <v>1.0499999999999999E-3</v>
          </cell>
        </row>
      </sheetData>
      <sheetData sheetId="14388">
        <row r="19">
          <cell r="J19">
            <v>1.0499999999999999E-3</v>
          </cell>
        </row>
      </sheetData>
      <sheetData sheetId="14389">
        <row r="19">
          <cell r="J19">
            <v>1.0499999999999999E-3</v>
          </cell>
        </row>
      </sheetData>
      <sheetData sheetId="14390">
        <row r="19">
          <cell r="J19">
            <v>1.0499999999999999E-3</v>
          </cell>
        </row>
      </sheetData>
      <sheetData sheetId="14391">
        <row r="19">
          <cell r="J19">
            <v>1.0499999999999999E-3</v>
          </cell>
        </row>
      </sheetData>
      <sheetData sheetId="14392">
        <row r="19">
          <cell r="J19">
            <v>1.0499999999999999E-3</v>
          </cell>
        </row>
      </sheetData>
      <sheetData sheetId="14393">
        <row r="19">
          <cell r="J19">
            <v>1.0499999999999999E-3</v>
          </cell>
        </row>
      </sheetData>
      <sheetData sheetId="14394">
        <row r="19">
          <cell r="J19">
            <v>1.0499999999999999E-3</v>
          </cell>
        </row>
      </sheetData>
      <sheetData sheetId="14395">
        <row r="19">
          <cell r="J19">
            <v>1.0499999999999999E-3</v>
          </cell>
        </row>
      </sheetData>
      <sheetData sheetId="14396">
        <row r="19">
          <cell r="J19">
            <v>1.0499999999999999E-3</v>
          </cell>
        </row>
      </sheetData>
      <sheetData sheetId="14397">
        <row r="19">
          <cell r="J19">
            <v>1.0499999999999999E-3</v>
          </cell>
        </row>
      </sheetData>
      <sheetData sheetId="14398">
        <row r="19">
          <cell r="J19">
            <v>1.0499999999999999E-3</v>
          </cell>
        </row>
      </sheetData>
      <sheetData sheetId="14399">
        <row r="19">
          <cell r="J19">
            <v>1.0499999999999999E-3</v>
          </cell>
        </row>
      </sheetData>
      <sheetData sheetId="14400">
        <row r="19">
          <cell r="J19">
            <v>1.0499999999999999E-3</v>
          </cell>
        </row>
      </sheetData>
      <sheetData sheetId="14401">
        <row r="19">
          <cell r="J19">
            <v>1.0499999999999999E-3</v>
          </cell>
        </row>
      </sheetData>
      <sheetData sheetId="14402">
        <row r="19">
          <cell r="J19">
            <v>1.0499999999999999E-3</v>
          </cell>
        </row>
      </sheetData>
      <sheetData sheetId="14403">
        <row r="19">
          <cell r="J19">
            <v>1.0499999999999999E-3</v>
          </cell>
        </row>
      </sheetData>
      <sheetData sheetId="14404">
        <row r="19">
          <cell r="J19">
            <v>1.0499999999999999E-3</v>
          </cell>
        </row>
      </sheetData>
      <sheetData sheetId="14405">
        <row r="19">
          <cell r="J19">
            <v>1.0499999999999999E-3</v>
          </cell>
        </row>
      </sheetData>
      <sheetData sheetId="14406">
        <row r="19">
          <cell r="J19">
            <v>1.0499999999999999E-3</v>
          </cell>
        </row>
      </sheetData>
      <sheetData sheetId="14407">
        <row r="19">
          <cell r="J19">
            <v>1.0499999999999999E-3</v>
          </cell>
        </row>
      </sheetData>
      <sheetData sheetId="14408">
        <row r="19">
          <cell r="J19">
            <v>1.0499999999999999E-3</v>
          </cell>
        </row>
      </sheetData>
      <sheetData sheetId="14409">
        <row r="19">
          <cell r="J19">
            <v>1.0499999999999999E-3</v>
          </cell>
        </row>
      </sheetData>
      <sheetData sheetId="14410">
        <row r="19">
          <cell r="J19">
            <v>1.0499999999999999E-3</v>
          </cell>
        </row>
      </sheetData>
      <sheetData sheetId="14411">
        <row r="19">
          <cell r="J19">
            <v>1.0499999999999999E-3</v>
          </cell>
        </row>
      </sheetData>
      <sheetData sheetId="14412">
        <row r="19">
          <cell r="J19">
            <v>1.0499999999999999E-3</v>
          </cell>
        </row>
      </sheetData>
      <sheetData sheetId="14413">
        <row r="19">
          <cell r="J19">
            <v>1.0499999999999999E-3</v>
          </cell>
        </row>
      </sheetData>
      <sheetData sheetId="14414">
        <row r="19">
          <cell r="J19">
            <v>1.0499999999999999E-3</v>
          </cell>
        </row>
      </sheetData>
      <sheetData sheetId="14415">
        <row r="19">
          <cell r="J19">
            <v>1.0499999999999999E-3</v>
          </cell>
        </row>
      </sheetData>
      <sheetData sheetId="14416">
        <row r="19">
          <cell r="J19">
            <v>1.0499999999999999E-3</v>
          </cell>
        </row>
      </sheetData>
      <sheetData sheetId="14417">
        <row r="19">
          <cell r="J19">
            <v>1.0499999999999999E-3</v>
          </cell>
        </row>
      </sheetData>
      <sheetData sheetId="14418">
        <row r="19">
          <cell r="J19">
            <v>1.0499999999999999E-3</v>
          </cell>
        </row>
      </sheetData>
      <sheetData sheetId="14419">
        <row r="19">
          <cell r="J19">
            <v>1.0499999999999999E-3</v>
          </cell>
        </row>
      </sheetData>
      <sheetData sheetId="14420">
        <row r="19">
          <cell r="J19">
            <v>1.0499999999999999E-3</v>
          </cell>
        </row>
      </sheetData>
      <sheetData sheetId="14421">
        <row r="19">
          <cell r="J19">
            <v>1.0499999999999999E-3</v>
          </cell>
        </row>
      </sheetData>
      <sheetData sheetId="14422">
        <row r="19">
          <cell r="J19">
            <v>1.0499999999999999E-3</v>
          </cell>
        </row>
      </sheetData>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sheetData sheetId="14477" refreshError="1"/>
      <sheetData sheetId="14478" refreshError="1"/>
      <sheetData sheetId="14479">
        <row r="19">
          <cell r="J19">
            <v>1.0499999999999999E-3</v>
          </cell>
        </row>
      </sheetData>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sheetData sheetId="14527">
        <row r="19">
          <cell r="J19">
            <v>1.0499999999999999E-3</v>
          </cell>
        </row>
      </sheetData>
      <sheetData sheetId="14528">
        <row r="19">
          <cell r="J19">
            <v>1.0499999999999999E-3</v>
          </cell>
        </row>
      </sheetData>
      <sheetData sheetId="14529"/>
      <sheetData sheetId="14530"/>
      <sheetData sheetId="14531">
        <row r="19">
          <cell r="J19">
            <v>1.0499999999999999E-3</v>
          </cell>
        </row>
      </sheetData>
      <sheetData sheetId="14532">
        <row r="19">
          <cell r="J19">
            <v>1.0499999999999999E-3</v>
          </cell>
        </row>
      </sheetData>
      <sheetData sheetId="14533"/>
      <sheetData sheetId="14534">
        <row r="19">
          <cell r="J19">
            <v>1.0499999999999999E-3</v>
          </cell>
        </row>
      </sheetData>
      <sheetData sheetId="14535">
        <row r="19">
          <cell r="J19">
            <v>1.0499999999999999E-3</v>
          </cell>
        </row>
      </sheetData>
      <sheetData sheetId="14536">
        <row r="19">
          <cell r="J19">
            <v>1.0499999999999999E-3</v>
          </cell>
        </row>
      </sheetData>
      <sheetData sheetId="14537">
        <row r="19">
          <cell r="J19">
            <v>1.0499999999999999E-3</v>
          </cell>
        </row>
      </sheetData>
      <sheetData sheetId="14538">
        <row r="19">
          <cell r="J19">
            <v>1.0499999999999999E-3</v>
          </cell>
        </row>
      </sheetData>
      <sheetData sheetId="14539">
        <row r="19">
          <cell r="J19">
            <v>1.0499999999999999E-3</v>
          </cell>
        </row>
      </sheetData>
      <sheetData sheetId="14540">
        <row r="19">
          <cell r="J19">
            <v>1.0499999999999999E-3</v>
          </cell>
        </row>
      </sheetData>
      <sheetData sheetId="14541">
        <row r="19">
          <cell r="J19">
            <v>1.0499999999999999E-3</v>
          </cell>
        </row>
      </sheetData>
      <sheetData sheetId="14542">
        <row r="19">
          <cell r="J19">
            <v>1.0499999999999999E-3</v>
          </cell>
        </row>
      </sheetData>
      <sheetData sheetId="14543">
        <row r="19">
          <cell r="J19">
            <v>1.0499999999999999E-3</v>
          </cell>
        </row>
      </sheetData>
      <sheetData sheetId="14544">
        <row r="19">
          <cell r="J19">
            <v>1.0499999999999999E-3</v>
          </cell>
        </row>
      </sheetData>
      <sheetData sheetId="14545">
        <row r="19">
          <cell r="J19">
            <v>1.0499999999999999E-3</v>
          </cell>
        </row>
      </sheetData>
      <sheetData sheetId="14546">
        <row r="19">
          <cell r="J19">
            <v>1.0499999999999999E-3</v>
          </cell>
        </row>
      </sheetData>
      <sheetData sheetId="14547">
        <row r="19">
          <cell r="J19">
            <v>1.0499999999999999E-3</v>
          </cell>
        </row>
      </sheetData>
      <sheetData sheetId="14548">
        <row r="19">
          <cell r="J19">
            <v>1.0499999999999999E-3</v>
          </cell>
        </row>
      </sheetData>
      <sheetData sheetId="14549">
        <row r="19">
          <cell r="J19">
            <v>1.0499999999999999E-3</v>
          </cell>
        </row>
      </sheetData>
      <sheetData sheetId="14550">
        <row r="19">
          <cell r="J19">
            <v>1.0499999999999999E-3</v>
          </cell>
        </row>
      </sheetData>
      <sheetData sheetId="14551">
        <row r="19">
          <cell r="J19">
            <v>1.0499999999999999E-3</v>
          </cell>
        </row>
      </sheetData>
      <sheetData sheetId="14552">
        <row r="19">
          <cell r="J19">
            <v>1.0499999999999999E-3</v>
          </cell>
        </row>
      </sheetData>
      <sheetData sheetId="14553">
        <row r="19">
          <cell r="J19">
            <v>1.0499999999999999E-3</v>
          </cell>
        </row>
      </sheetData>
      <sheetData sheetId="14554"/>
      <sheetData sheetId="14555">
        <row r="19">
          <cell r="J19">
            <v>1.0499999999999999E-3</v>
          </cell>
        </row>
      </sheetData>
      <sheetData sheetId="14556">
        <row r="19">
          <cell r="J19">
            <v>1.0499999999999999E-3</v>
          </cell>
        </row>
      </sheetData>
      <sheetData sheetId="14557">
        <row r="19">
          <cell r="J19">
            <v>1.0499999999999999E-3</v>
          </cell>
        </row>
      </sheetData>
      <sheetData sheetId="14558"/>
      <sheetData sheetId="14559">
        <row r="19">
          <cell r="J19">
            <v>1.0499999999999999E-3</v>
          </cell>
        </row>
      </sheetData>
      <sheetData sheetId="14560">
        <row r="19">
          <cell r="J19">
            <v>1.0499999999999999E-3</v>
          </cell>
        </row>
      </sheetData>
      <sheetData sheetId="14561">
        <row r="19">
          <cell r="J19">
            <v>1.0499999999999999E-3</v>
          </cell>
        </row>
      </sheetData>
      <sheetData sheetId="14562"/>
      <sheetData sheetId="14563">
        <row r="19">
          <cell r="J19">
            <v>1.0499999999999999E-3</v>
          </cell>
        </row>
      </sheetData>
      <sheetData sheetId="14564">
        <row r="19">
          <cell r="J19">
            <v>1.0499999999999999E-3</v>
          </cell>
        </row>
      </sheetData>
      <sheetData sheetId="14565">
        <row r="19">
          <cell r="J19">
            <v>1.0499999999999999E-3</v>
          </cell>
        </row>
      </sheetData>
      <sheetData sheetId="14566">
        <row r="19">
          <cell r="J19">
            <v>1.0499999999999999E-3</v>
          </cell>
        </row>
      </sheetData>
      <sheetData sheetId="14567">
        <row r="19">
          <cell r="J19">
            <v>1.0499999999999999E-3</v>
          </cell>
        </row>
      </sheetData>
      <sheetData sheetId="14568">
        <row r="19">
          <cell r="J19">
            <v>1.0499999999999999E-3</v>
          </cell>
        </row>
      </sheetData>
      <sheetData sheetId="14569">
        <row r="19">
          <cell r="J19">
            <v>1.0499999999999999E-3</v>
          </cell>
        </row>
      </sheetData>
      <sheetData sheetId="14570">
        <row r="19">
          <cell r="J19">
            <v>1.0499999999999999E-3</v>
          </cell>
        </row>
      </sheetData>
      <sheetData sheetId="14571">
        <row r="19">
          <cell r="J19">
            <v>1.0499999999999999E-3</v>
          </cell>
        </row>
      </sheetData>
      <sheetData sheetId="14572">
        <row r="19">
          <cell r="J19">
            <v>1.0499999999999999E-3</v>
          </cell>
        </row>
      </sheetData>
      <sheetData sheetId="14573">
        <row r="19">
          <cell r="J19">
            <v>1.0499999999999999E-3</v>
          </cell>
        </row>
      </sheetData>
      <sheetData sheetId="14574">
        <row r="19">
          <cell r="J19">
            <v>1.0499999999999999E-3</v>
          </cell>
        </row>
      </sheetData>
      <sheetData sheetId="14575">
        <row r="19">
          <cell r="J19">
            <v>1.0499999999999999E-3</v>
          </cell>
        </row>
      </sheetData>
      <sheetData sheetId="14576">
        <row r="19">
          <cell r="J19">
            <v>1.0499999999999999E-3</v>
          </cell>
        </row>
      </sheetData>
      <sheetData sheetId="14577">
        <row r="19">
          <cell r="J19">
            <v>1.0499999999999999E-3</v>
          </cell>
        </row>
      </sheetData>
      <sheetData sheetId="14578">
        <row r="19">
          <cell r="J19">
            <v>1.0499999999999999E-3</v>
          </cell>
        </row>
      </sheetData>
      <sheetData sheetId="14579">
        <row r="19">
          <cell r="J19">
            <v>1.0499999999999999E-3</v>
          </cell>
        </row>
      </sheetData>
      <sheetData sheetId="14580"/>
      <sheetData sheetId="14581"/>
      <sheetData sheetId="14582">
        <row r="19">
          <cell r="J19">
            <v>1.0499999999999999E-3</v>
          </cell>
        </row>
      </sheetData>
      <sheetData sheetId="14583">
        <row r="19">
          <cell r="J19">
            <v>1.0499999999999999E-3</v>
          </cell>
        </row>
      </sheetData>
      <sheetData sheetId="14584"/>
      <sheetData sheetId="14585"/>
      <sheetData sheetId="14586"/>
      <sheetData sheetId="14587">
        <row r="19">
          <cell r="J19">
            <v>1.0499999999999999E-3</v>
          </cell>
        </row>
      </sheetData>
      <sheetData sheetId="14588"/>
      <sheetData sheetId="14589"/>
      <sheetData sheetId="14590">
        <row r="19">
          <cell r="J19">
            <v>1.0499999999999999E-3</v>
          </cell>
        </row>
      </sheetData>
      <sheetData sheetId="14591">
        <row r="19">
          <cell r="J19">
            <v>1.0499999999999999E-3</v>
          </cell>
        </row>
      </sheetData>
      <sheetData sheetId="14592"/>
      <sheetData sheetId="14593"/>
      <sheetData sheetId="14594">
        <row r="19">
          <cell r="J19">
            <v>1.0499999999999999E-3</v>
          </cell>
        </row>
      </sheetData>
      <sheetData sheetId="14595">
        <row r="19">
          <cell r="J19">
            <v>1.0499999999999999E-3</v>
          </cell>
        </row>
      </sheetData>
      <sheetData sheetId="14596"/>
      <sheetData sheetId="14597"/>
      <sheetData sheetId="14598">
        <row r="19">
          <cell r="J19">
            <v>1.0499999999999999E-3</v>
          </cell>
        </row>
      </sheetData>
      <sheetData sheetId="14599">
        <row r="19">
          <cell r="J19">
            <v>1.0499999999999999E-3</v>
          </cell>
        </row>
      </sheetData>
      <sheetData sheetId="14600"/>
      <sheetData sheetId="14601">
        <row r="19">
          <cell r="J19">
            <v>1.0499999999999999E-3</v>
          </cell>
        </row>
      </sheetData>
      <sheetData sheetId="14602">
        <row r="19">
          <cell r="J19">
            <v>1.0499999999999999E-3</v>
          </cell>
        </row>
      </sheetData>
      <sheetData sheetId="14603">
        <row r="19">
          <cell r="J19">
            <v>1.0499999999999999E-3</v>
          </cell>
        </row>
      </sheetData>
      <sheetData sheetId="14604"/>
      <sheetData sheetId="14605">
        <row r="19">
          <cell r="J19">
            <v>1.0499999999999999E-3</v>
          </cell>
        </row>
      </sheetData>
      <sheetData sheetId="14606">
        <row r="19">
          <cell r="J19">
            <v>1.0499999999999999E-3</v>
          </cell>
        </row>
      </sheetData>
      <sheetData sheetId="14607">
        <row r="19">
          <cell r="J19">
            <v>1.0499999999999999E-3</v>
          </cell>
        </row>
      </sheetData>
      <sheetData sheetId="14608"/>
      <sheetData sheetId="14609">
        <row r="19">
          <cell r="J19">
            <v>1.0499999999999999E-3</v>
          </cell>
        </row>
      </sheetData>
      <sheetData sheetId="14610">
        <row r="19">
          <cell r="J19">
            <v>1.0499999999999999E-3</v>
          </cell>
        </row>
      </sheetData>
      <sheetData sheetId="14611">
        <row r="19">
          <cell r="J19">
            <v>1.0499999999999999E-3</v>
          </cell>
        </row>
      </sheetData>
      <sheetData sheetId="14612"/>
      <sheetData sheetId="14613">
        <row r="19">
          <cell r="J19">
            <v>1.0499999999999999E-3</v>
          </cell>
        </row>
      </sheetData>
      <sheetData sheetId="14614">
        <row r="19">
          <cell r="J19">
            <v>1.0499999999999999E-3</v>
          </cell>
        </row>
      </sheetData>
      <sheetData sheetId="14615">
        <row r="19">
          <cell r="J19">
            <v>1.0499999999999999E-3</v>
          </cell>
        </row>
      </sheetData>
      <sheetData sheetId="14616"/>
      <sheetData sheetId="14617">
        <row r="19">
          <cell r="J19">
            <v>1.0499999999999999E-3</v>
          </cell>
        </row>
      </sheetData>
      <sheetData sheetId="14618">
        <row r="19">
          <cell r="J19">
            <v>1.0499999999999999E-3</v>
          </cell>
        </row>
      </sheetData>
      <sheetData sheetId="14619">
        <row r="19">
          <cell r="J19">
            <v>1.0499999999999999E-3</v>
          </cell>
        </row>
      </sheetData>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row r="19">
          <cell r="J19">
            <v>1.0499999999999999E-3</v>
          </cell>
        </row>
      </sheetData>
      <sheetData sheetId="14635">
        <row r="19">
          <cell r="J19">
            <v>1.0499999999999999E-3</v>
          </cell>
        </row>
      </sheetData>
      <sheetData sheetId="14636">
        <row r="19">
          <cell r="J19">
            <v>1.0499999999999999E-3</v>
          </cell>
        </row>
      </sheetData>
      <sheetData sheetId="14637">
        <row r="19">
          <cell r="J19">
            <v>1.0499999999999999E-3</v>
          </cell>
        </row>
      </sheetData>
      <sheetData sheetId="14638">
        <row r="19">
          <cell r="J19">
            <v>1.0499999999999999E-3</v>
          </cell>
        </row>
      </sheetData>
      <sheetData sheetId="14639">
        <row r="19">
          <cell r="J19">
            <v>1.0499999999999999E-3</v>
          </cell>
        </row>
      </sheetData>
      <sheetData sheetId="14640">
        <row r="19">
          <cell r="J19">
            <v>1.0499999999999999E-3</v>
          </cell>
        </row>
      </sheetData>
      <sheetData sheetId="14641">
        <row r="19">
          <cell r="J19">
            <v>1.0499999999999999E-3</v>
          </cell>
        </row>
      </sheetData>
      <sheetData sheetId="14642">
        <row r="19">
          <cell r="J19">
            <v>1.0499999999999999E-3</v>
          </cell>
        </row>
      </sheetData>
      <sheetData sheetId="14643">
        <row r="19">
          <cell r="J19">
            <v>1.0499999999999999E-3</v>
          </cell>
        </row>
      </sheetData>
      <sheetData sheetId="14644">
        <row r="19">
          <cell r="J19">
            <v>1.0499999999999999E-3</v>
          </cell>
        </row>
      </sheetData>
      <sheetData sheetId="14645">
        <row r="19">
          <cell r="J19">
            <v>1.0499999999999999E-3</v>
          </cell>
        </row>
      </sheetData>
      <sheetData sheetId="14646">
        <row r="19">
          <cell r="J19">
            <v>1.0499999999999999E-3</v>
          </cell>
        </row>
      </sheetData>
      <sheetData sheetId="14647">
        <row r="19">
          <cell r="J19">
            <v>1.0499999999999999E-3</v>
          </cell>
        </row>
      </sheetData>
      <sheetData sheetId="14648">
        <row r="19">
          <cell r="J19">
            <v>1.0499999999999999E-3</v>
          </cell>
        </row>
      </sheetData>
      <sheetData sheetId="14649">
        <row r="19">
          <cell r="J19">
            <v>1.0499999999999999E-3</v>
          </cell>
        </row>
      </sheetData>
      <sheetData sheetId="14650">
        <row r="19">
          <cell r="J19">
            <v>1.0499999999999999E-3</v>
          </cell>
        </row>
      </sheetData>
      <sheetData sheetId="14651">
        <row r="19">
          <cell r="J19">
            <v>1.0499999999999999E-3</v>
          </cell>
        </row>
      </sheetData>
      <sheetData sheetId="14652">
        <row r="19">
          <cell r="J19">
            <v>1.0499999999999999E-3</v>
          </cell>
        </row>
      </sheetData>
      <sheetData sheetId="14653">
        <row r="19">
          <cell r="J19">
            <v>1.0499999999999999E-3</v>
          </cell>
        </row>
      </sheetData>
      <sheetData sheetId="14654">
        <row r="19">
          <cell r="J19">
            <v>1.0499999999999999E-3</v>
          </cell>
        </row>
      </sheetData>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row r="19">
          <cell r="J19">
            <v>1.0499999999999999E-3</v>
          </cell>
        </row>
      </sheetData>
      <sheetData sheetId="14671">
        <row r="19">
          <cell r="J19">
            <v>1.0499999999999999E-3</v>
          </cell>
        </row>
      </sheetData>
      <sheetData sheetId="14672">
        <row r="19">
          <cell r="J19">
            <v>1.0499999999999999E-3</v>
          </cell>
        </row>
      </sheetData>
      <sheetData sheetId="14673">
        <row r="19">
          <cell r="J19">
            <v>1.0499999999999999E-3</v>
          </cell>
        </row>
      </sheetData>
      <sheetData sheetId="14674">
        <row r="19">
          <cell r="J19">
            <v>1.0499999999999999E-3</v>
          </cell>
        </row>
      </sheetData>
      <sheetData sheetId="14675">
        <row r="19">
          <cell r="J19">
            <v>1.0499999999999999E-3</v>
          </cell>
        </row>
      </sheetData>
      <sheetData sheetId="14676">
        <row r="19">
          <cell r="J19">
            <v>1.0499999999999999E-3</v>
          </cell>
        </row>
      </sheetData>
      <sheetData sheetId="14677">
        <row r="19">
          <cell r="J19">
            <v>1.0499999999999999E-3</v>
          </cell>
        </row>
      </sheetData>
      <sheetData sheetId="14678">
        <row r="19">
          <cell r="J19">
            <v>1.0499999999999999E-3</v>
          </cell>
        </row>
      </sheetData>
      <sheetData sheetId="14679">
        <row r="19">
          <cell r="J19">
            <v>1.0499999999999999E-3</v>
          </cell>
        </row>
      </sheetData>
      <sheetData sheetId="14680">
        <row r="19">
          <cell r="J19">
            <v>1.0499999999999999E-3</v>
          </cell>
        </row>
      </sheetData>
      <sheetData sheetId="14681">
        <row r="19">
          <cell r="J19">
            <v>1.0499999999999999E-3</v>
          </cell>
        </row>
      </sheetData>
      <sheetData sheetId="14682">
        <row r="19">
          <cell r="J19">
            <v>1.0499999999999999E-3</v>
          </cell>
        </row>
      </sheetData>
      <sheetData sheetId="14683">
        <row r="19">
          <cell r="J19">
            <v>1.0499999999999999E-3</v>
          </cell>
        </row>
      </sheetData>
      <sheetData sheetId="14684">
        <row r="19">
          <cell r="J19">
            <v>1.0499999999999999E-3</v>
          </cell>
        </row>
      </sheetData>
      <sheetData sheetId="14685">
        <row r="19">
          <cell r="J19">
            <v>1.0499999999999999E-3</v>
          </cell>
        </row>
      </sheetData>
      <sheetData sheetId="14686">
        <row r="19">
          <cell r="J19">
            <v>1.0499999999999999E-3</v>
          </cell>
        </row>
      </sheetData>
      <sheetData sheetId="14687">
        <row r="19">
          <cell r="J19">
            <v>1.0499999999999999E-3</v>
          </cell>
        </row>
      </sheetData>
      <sheetData sheetId="14688">
        <row r="19">
          <cell r="J19">
            <v>1.0499999999999999E-3</v>
          </cell>
        </row>
      </sheetData>
      <sheetData sheetId="14689">
        <row r="19">
          <cell r="J19">
            <v>1.0499999999999999E-3</v>
          </cell>
        </row>
      </sheetData>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row r="19">
          <cell r="J19">
            <v>1.0499999999999999E-3</v>
          </cell>
        </row>
      </sheetData>
      <sheetData sheetId="14709"/>
      <sheetData sheetId="14710"/>
      <sheetData sheetId="14711"/>
      <sheetData sheetId="14712">
        <row r="19">
          <cell r="J19">
            <v>1.0499999999999999E-3</v>
          </cell>
        </row>
      </sheetData>
      <sheetData sheetId="14713"/>
      <sheetData sheetId="14714"/>
      <sheetData sheetId="14715"/>
      <sheetData sheetId="14716">
        <row r="19">
          <cell r="J19">
            <v>1.0499999999999999E-3</v>
          </cell>
        </row>
      </sheetData>
      <sheetData sheetId="14717"/>
      <sheetData sheetId="14718"/>
      <sheetData sheetId="14719"/>
      <sheetData sheetId="14720">
        <row r="19">
          <cell r="J19">
            <v>1.0499999999999999E-3</v>
          </cell>
        </row>
      </sheetData>
      <sheetData sheetId="14721"/>
      <sheetData sheetId="14722"/>
      <sheetData sheetId="14723"/>
      <sheetData sheetId="14724">
        <row r="19">
          <cell r="J19">
            <v>1.0499999999999999E-3</v>
          </cell>
        </row>
      </sheetData>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row r="19">
          <cell r="J19">
            <v>1.0499999999999999E-3</v>
          </cell>
        </row>
      </sheetData>
      <sheetData sheetId="14871"/>
      <sheetData sheetId="14872"/>
      <sheetData sheetId="14873"/>
      <sheetData sheetId="14874">
        <row r="19">
          <cell r="J19">
            <v>1.0499999999999999E-3</v>
          </cell>
        </row>
      </sheetData>
      <sheetData sheetId="14875"/>
      <sheetData sheetId="14876"/>
      <sheetData sheetId="14877"/>
      <sheetData sheetId="14878">
        <row r="19">
          <cell r="J19">
            <v>1.0499999999999999E-3</v>
          </cell>
        </row>
      </sheetData>
      <sheetData sheetId="14879"/>
      <sheetData sheetId="14880"/>
      <sheetData sheetId="14881"/>
      <sheetData sheetId="14882">
        <row r="19">
          <cell r="J19">
            <v>1.0499999999999999E-3</v>
          </cell>
        </row>
      </sheetData>
      <sheetData sheetId="14883"/>
      <sheetData sheetId="14884"/>
      <sheetData sheetId="14885"/>
      <sheetData sheetId="14886">
        <row r="19">
          <cell r="J19">
            <v>1.0499999999999999E-3</v>
          </cell>
        </row>
      </sheetData>
      <sheetData sheetId="14887"/>
      <sheetData sheetId="14888"/>
      <sheetData sheetId="14889"/>
      <sheetData sheetId="14890">
        <row r="19">
          <cell r="J19">
            <v>1.0499999999999999E-3</v>
          </cell>
        </row>
      </sheetData>
      <sheetData sheetId="14891"/>
      <sheetData sheetId="14892"/>
      <sheetData sheetId="14893"/>
      <sheetData sheetId="14894">
        <row r="19">
          <cell r="J19">
            <v>1.0499999999999999E-3</v>
          </cell>
        </row>
      </sheetData>
      <sheetData sheetId="14895"/>
      <sheetData sheetId="14896"/>
      <sheetData sheetId="14897"/>
      <sheetData sheetId="14898">
        <row r="19">
          <cell r="J19">
            <v>1.0499999999999999E-3</v>
          </cell>
        </row>
      </sheetData>
      <sheetData sheetId="14899"/>
      <sheetData sheetId="14900"/>
      <sheetData sheetId="14901"/>
      <sheetData sheetId="14902">
        <row r="19">
          <cell r="J19">
            <v>1.0499999999999999E-3</v>
          </cell>
        </row>
      </sheetData>
      <sheetData sheetId="14903"/>
      <sheetData sheetId="14904"/>
      <sheetData sheetId="14905">
        <row r="19">
          <cell r="J19">
            <v>1.0499999999999999E-3</v>
          </cell>
        </row>
      </sheetData>
      <sheetData sheetId="14906">
        <row r="19">
          <cell r="J19">
            <v>1.0499999999999999E-3</v>
          </cell>
        </row>
      </sheetData>
      <sheetData sheetId="14907">
        <row r="19">
          <cell r="J19">
            <v>1.0499999999999999E-3</v>
          </cell>
        </row>
      </sheetData>
      <sheetData sheetId="14908"/>
      <sheetData sheetId="14909">
        <row r="19">
          <cell r="J19">
            <v>1.0499999999999999E-3</v>
          </cell>
        </row>
      </sheetData>
      <sheetData sheetId="14910">
        <row r="19">
          <cell r="J19">
            <v>1.0499999999999999E-3</v>
          </cell>
        </row>
      </sheetData>
      <sheetData sheetId="14911">
        <row r="19">
          <cell r="J19">
            <v>1.0499999999999999E-3</v>
          </cell>
        </row>
      </sheetData>
      <sheetData sheetId="14912"/>
      <sheetData sheetId="14913">
        <row r="19">
          <cell r="J19">
            <v>1.0499999999999999E-3</v>
          </cell>
        </row>
      </sheetData>
      <sheetData sheetId="14914">
        <row r="19">
          <cell r="J19">
            <v>1.0499999999999999E-3</v>
          </cell>
        </row>
      </sheetData>
      <sheetData sheetId="14915">
        <row r="19">
          <cell r="J19">
            <v>1.0499999999999999E-3</v>
          </cell>
        </row>
      </sheetData>
      <sheetData sheetId="14916"/>
      <sheetData sheetId="14917">
        <row r="19">
          <cell r="J19">
            <v>1.0499999999999999E-3</v>
          </cell>
        </row>
      </sheetData>
      <sheetData sheetId="14918">
        <row r="19">
          <cell r="J19">
            <v>1.0499999999999999E-3</v>
          </cell>
        </row>
      </sheetData>
      <sheetData sheetId="14919">
        <row r="19">
          <cell r="J19">
            <v>1.0499999999999999E-3</v>
          </cell>
        </row>
      </sheetData>
      <sheetData sheetId="14920"/>
      <sheetData sheetId="14921">
        <row r="19">
          <cell r="J19">
            <v>1.0499999999999999E-3</v>
          </cell>
        </row>
      </sheetData>
      <sheetData sheetId="14922">
        <row r="19">
          <cell r="J19">
            <v>1.0499999999999999E-3</v>
          </cell>
        </row>
      </sheetData>
      <sheetData sheetId="14923">
        <row r="19">
          <cell r="J19">
            <v>1.0499999999999999E-3</v>
          </cell>
        </row>
      </sheetData>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row r="19">
          <cell r="J19">
            <v>1.0499999999999999E-3</v>
          </cell>
        </row>
      </sheetData>
      <sheetData sheetId="14940">
        <row r="19">
          <cell r="J19">
            <v>1.0499999999999999E-3</v>
          </cell>
        </row>
      </sheetData>
      <sheetData sheetId="14941">
        <row r="19">
          <cell r="J19">
            <v>1.0499999999999999E-3</v>
          </cell>
        </row>
      </sheetData>
      <sheetData sheetId="14942">
        <row r="19">
          <cell r="J19">
            <v>1.0499999999999999E-3</v>
          </cell>
        </row>
      </sheetData>
      <sheetData sheetId="14943">
        <row r="19">
          <cell r="J19">
            <v>1.0499999999999999E-3</v>
          </cell>
        </row>
      </sheetData>
      <sheetData sheetId="14944">
        <row r="19">
          <cell r="J19">
            <v>1.0499999999999999E-3</v>
          </cell>
        </row>
      </sheetData>
      <sheetData sheetId="14945">
        <row r="19">
          <cell r="J19">
            <v>1.0499999999999999E-3</v>
          </cell>
        </row>
      </sheetData>
      <sheetData sheetId="14946">
        <row r="19">
          <cell r="J19">
            <v>1.0499999999999999E-3</v>
          </cell>
        </row>
      </sheetData>
      <sheetData sheetId="14947">
        <row r="19">
          <cell r="J19">
            <v>1.0499999999999999E-3</v>
          </cell>
        </row>
      </sheetData>
      <sheetData sheetId="14948">
        <row r="19">
          <cell r="J19">
            <v>1.0499999999999999E-3</v>
          </cell>
        </row>
      </sheetData>
      <sheetData sheetId="14949">
        <row r="19">
          <cell r="J19">
            <v>1.0499999999999999E-3</v>
          </cell>
        </row>
      </sheetData>
      <sheetData sheetId="14950">
        <row r="19">
          <cell r="J19">
            <v>1.0499999999999999E-3</v>
          </cell>
        </row>
      </sheetData>
      <sheetData sheetId="14951">
        <row r="19">
          <cell r="J19">
            <v>1.0499999999999999E-3</v>
          </cell>
        </row>
      </sheetData>
      <sheetData sheetId="14952">
        <row r="19">
          <cell r="J19">
            <v>1.0499999999999999E-3</v>
          </cell>
        </row>
      </sheetData>
      <sheetData sheetId="14953">
        <row r="19">
          <cell r="J19">
            <v>1.0499999999999999E-3</v>
          </cell>
        </row>
      </sheetData>
      <sheetData sheetId="14954">
        <row r="19">
          <cell r="J19">
            <v>1.0499999999999999E-3</v>
          </cell>
        </row>
      </sheetData>
      <sheetData sheetId="14955" refreshError="1"/>
      <sheetData sheetId="14956" refreshError="1"/>
      <sheetData sheetId="14957">
        <row r="19">
          <cell r="J19">
            <v>1.0499999999999999E-3</v>
          </cell>
        </row>
      </sheetData>
      <sheetData sheetId="14958">
        <row r="19">
          <cell r="J19">
            <v>1.0499999999999999E-3</v>
          </cell>
        </row>
      </sheetData>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row r="19">
          <cell r="J19">
            <v>1.0499999999999999E-3</v>
          </cell>
        </row>
      </sheetData>
      <sheetData sheetId="14973"/>
      <sheetData sheetId="14974"/>
      <sheetData sheetId="14975">
        <row r="19">
          <cell r="J19">
            <v>1.0499999999999999E-3</v>
          </cell>
        </row>
      </sheetData>
      <sheetData sheetId="14976">
        <row r="19">
          <cell r="J19">
            <v>1.0499999999999999E-3</v>
          </cell>
        </row>
      </sheetData>
      <sheetData sheetId="14977"/>
      <sheetData sheetId="14978"/>
      <sheetData sheetId="14979">
        <row r="19">
          <cell r="J19">
            <v>1.0499999999999999E-3</v>
          </cell>
        </row>
      </sheetData>
      <sheetData sheetId="14980">
        <row r="19">
          <cell r="J19">
            <v>1.0499999999999999E-3</v>
          </cell>
        </row>
      </sheetData>
      <sheetData sheetId="14981"/>
      <sheetData sheetId="14982"/>
      <sheetData sheetId="14983">
        <row r="19">
          <cell r="J19">
            <v>1.0499999999999999E-3</v>
          </cell>
        </row>
      </sheetData>
      <sheetData sheetId="14984">
        <row r="19">
          <cell r="J19">
            <v>1.0499999999999999E-3</v>
          </cell>
        </row>
      </sheetData>
      <sheetData sheetId="14985"/>
      <sheetData sheetId="14986"/>
      <sheetData sheetId="14987">
        <row r="19">
          <cell r="J19">
            <v>1.0499999999999999E-3</v>
          </cell>
        </row>
      </sheetData>
      <sheetData sheetId="14988">
        <row r="19">
          <cell r="J19">
            <v>1.0499999999999999E-3</v>
          </cell>
        </row>
      </sheetData>
      <sheetData sheetId="14989"/>
      <sheetData sheetId="14990"/>
      <sheetData sheetId="14991">
        <row r="19">
          <cell r="J19">
            <v>1.0499999999999999E-3</v>
          </cell>
        </row>
      </sheetData>
      <sheetData sheetId="14992"/>
      <sheetData sheetId="14993"/>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refreshError="1"/>
      <sheetData sheetId="20210" refreshError="1"/>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sheetData sheetId="21367"/>
      <sheetData sheetId="21368"/>
      <sheetData sheetId="21369"/>
      <sheetData sheetId="21370"/>
      <sheetData sheetId="21371"/>
      <sheetData sheetId="21372"/>
      <sheetData sheetId="21373"/>
      <sheetData sheetId="21374"/>
      <sheetData sheetId="21375"/>
      <sheetData sheetId="21376"/>
      <sheetData sheetId="21377"/>
      <sheetData sheetId="21378"/>
      <sheetData sheetId="21379"/>
      <sheetData sheetId="21380"/>
      <sheetData sheetId="21381"/>
      <sheetData sheetId="21382"/>
      <sheetData sheetId="2138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creting Input"/>
      <sheetName val="Data Sheet"/>
    </sheetNames>
    <sheetDataSet>
      <sheetData sheetId="0">
        <row r="7">
          <cell r="E7">
            <v>60</v>
          </cell>
        </row>
      </sheetData>
      <sheetData sheetId="1">
        <row r="5">
          <cell r="C5" t="str">
            <v>UoM</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 Boq"/>
      <sheetName val="Calculations"/>
      <sheetName val="List"/>
      <sheetName val="Pre-cast"/>
      <sheetName val="ANALYSIS"/>
      <sheetName val="SPT vs PHI"/>
      <sheetName val="std.wt."/>
      <sheetName val="Pile cap"/>
      <sheetName val="RA-markate"/>
      <sheetName val="moments-table(tri)"/>
      <sheetName val="Material "/>
      <sheetName val="Pur"/>
      <sheetName val="Summary"/>
      <sheetName val="Chandrawal -1"/>
      <sheetName val="policies"/>
      <sheetName val="BOQ"/>
      <sheetName val="HDD"/>
      <sheetName val="Works"/>
      <sheetName val="FUSION"/>
      <sheetName val="OFC-Design"/>
      <sheetName val="PCS"/>
      <sheetName val="ETC"/>
      <sheetName val="Guide VAT_ED_Credit"/>
      <sheetName val="JTS"/>
      <sheetName val="AMC &amp; O&amp;M"/>
      <sheetName val="JTS Costing"/>
      <sheetName val="Instructions"/>
      <sheetName val="E1"/>
      <sheetName val="Civil_Boq"/>
      <sheetName val="conc-foot-gradeslab"/>
      <sheetName val="Civil_Boq1"/>
      <sheetName val="SPT_vs_PHI"/>
      <sheetName val="std_wt_"/>
      <sheetName val="Pile_cap"/>
      <sheetName val="Material_"/>
      <sheetName val="Chandrawal_-1"/>
      <sheetName val="Guide_VAT_ED_Credit"/>
      <sheetName val="AMC_&amp;_O&amp;M"/>
      <sheetName val="JTS_Costing"/>
      <sheetName val="General Summary"/>
      <sheetName val="+X &amp; -X DIR PRE"/>
      <sheetName val="BOQ fire proofing"/>
      <sheetName val="BOQ_Direct_selling cost"/>
      <sheetName val="dummy"/>
      <sheetName val="149"/>
      <sheetName val="Design"/>
      <sheetName val="floor slab-RS2"/>
      <sheetName val="THK"/>
      <sheetName val="switch"/>
      <sheetName val="Staff Forecast spread"/>
      <sheetName val="PRECAST lightconc-II"/>
      <sheetName val="girder"/>
      <sheetName val="Input"/>
      <sheetName val="PIpe Pushing"/>
      <sheetName val="sept-plan"/>
      <sheetName val="d-safe specs"/>
      <sheetName val="WPR-IV"/>
      <sheetName val="Labour productivity"/>
      <sheetName val="x-items"/>
      <sheetName val="RECAPITULATION"/>
      <sheetName val="BOQ_Direct_selling_cost"/>
      <sheetName val="Staff_Forecast_spread"/>
      <sheetName val="floor_slab-RS2"/>
      <sheetName val="PRECAST_lightconc-II"/>
      <sheetName val="PIpe_Pushing"/>
      <sheetName val="d-safe_specs"/>
      <sheetName val="Labour_productivity"/>
      <sheetName val="BOQ (2)"/>
      <sheetName val="GBW"/>
      <sheetName val="T1037 Entire School"/>
      <sheetName val="main"/>
      <sheetName val="COST"/>
      <sheetName val="Site Dev BOQ"/>
      <sheetName val="Supplier"/>
      <sheetName val="Plant Cost"/>
      <sheetName val="MainSheet"/>
      <sheetName val="Summary_Bank"/>
      <sheetName val="Non-Factory"/>
      <sheetName val="Pay_Sep06"/>
      <sheetName val="Main-Material"/>
      <sheetName val="Break up Sheet"/>
      <sheetName val="RES-PLANNING"/>
      <sheetName val="Sheet4"/>
      <sheetName val="Sheet1"/>
      <sheetName val="P&amp;L-BDMC"/>
      <sheetName val="Footings"/>
      <sheetName val="13. Steel - Ratio"/>
      <sheetName val="DETAIL SHEET"/>
      <sheetName val="FORM7"/>
      <sheetName val="shuttering"/>
      <sheetName val="2.1 受電設備棟"/>
      <sheetName val="2.2 受・防火水槽"/>
      <sheetName val="2.3 排水処理設備棟"/>
      <sheetName val="2.4 倉庫棟"/>
      <sheetName val="2.5 守衛棟"/>
      <sheetName val="Project Budget Worksheet"/>
      <sheetName val="PointNo.5"/>
      <sheetName val="CABLE DATA"/>
      <sheetName val="Notes"/>
      <sheetName val="COLUMN"/>
      <sheetName val="Abstract Sheet"/>
      <sheetName val="Legal Risk Analysis"/>
      <sheetName val="INPUT SHEET"/>
      <sheetName val="Extra Item"/>
      <sheetName val="Fill this out first..."/>
      <sheetName val="Lead"/>
      <sheetName val="Labour &amp; Plant"/>
      <sheetName val="TASKRSRC (2)"/>
      <sheetName val="TARGET"/>
      <sheetName val="BASELINE"/>
      <sheetName val="organi synthesis lab"/>
      <sheetName val="spool"/>
      <sheetName val="UNIT2"/>
      <sheetName val="V.O.4 - PCC Qty"/>
      <sheetName val="Field Values"/>
      <sheetName val="TBAL9697 -group wise  sdpl"/>
      <sheetName val="BOQ -II ph 2"/>
      <sheetName val="1.01 (a)"/>
      <sheetName val="Balance sheet"/>
      <sheetName val="RCC,Ret. Wall"/>
      <sheetName val="cubes_M20"/>
      <sheetName val="d-safe DELUXE"/>
      <sheetName val="Site wise NADs"/>
      <sheetName val="Sheet3"/>
      <sheetName val="Sheet2"/>
      <sheetName val="LANGUAGE"/>
      <sheetName val="Aseet1998"/>
      <sheetName val="PC Master List"/>
      <sheetName val="Fee Rate Summary"/>
      <sheetName val="beam-reinft"/>
      <sheetName val="Rate analysis"/>
      <sheetName val="WWR"/>
      <sheetName val="LABOUR"/>
      <sheetName val="Vehicles"/>
      <sheetName val="VCH-SLC"/>
      <sheetName val="except wiring"/>
      <sheetName val="3cd Annexure"/>
      <sheetName val="Detail"/>
      <sheetName val="Fin Sum"/>
      <sheetName val="RMZ Summary"/>
      <sheetName val="Employee List"/>
      <sheetName val="p&amp;m"/>
      <sheetName val="STAFFSCHED "/>
      <sheetName val="dBase"/>
      <sheetName val="PRECAST lightconc_II"/>
      <sheetName val="Voucher"/>
      <sheetName val="Basement Budget"/>
      <sheetName val="IO LIST"/>
      <sheetName val="1st and 4th flight"/>
      <sheetName val="Costing"/>
      <sheetName val="Construction"/>
      <sheetName val=" "/>
      <sheetName val="SC revtrgt"/>
      <sheetName val="tower"/>
      <sheetName val="Storage"/>
      <sheetName val="foot"/>
      <sheetName val="3-3(750)"/>
      <sheetName val="Calc1"/>
      <sheetName val="Equipment"/>
      <sheetName val="ORDER BOOKING"/>
      <sheetName val="AOR"/>
      <sheetName val="Cal"/>
      <sheetName val="Data"/>
      <sheetName val="Boiler&amp;TG"/>
      <sheetName val="AK-Offertstammblatt"/>
      <sheetName val="Cover sheet"/>
      <sheetName val="POI_MASTER_1"/>
      <sheetName val="目录"/>
      <sheetName val="Build-up"/>
      <sheetName val="Electrical"/>
      <sheetName val="Tender Summary"/>
      <sheetName val="Calc_ISC"/>
      <sheetName val="labour coeff"/>
      <sheetName val="Names&amp;Cases"/>
      <sheetName val="Macro1"/>
      <sheetName val="10. &amp; 11. Rate Code &amp; BQ"/>
      <sheetName val="analysis-superstructure"/>
      <sheetName val="loadcal"/>
      <sheetName val="Scope Reconciliation"/>
      <sheetName val="BOQ_SERENO"/>
      <sheetName val="Staff Acco."/>
      <sheetName val="Current Bill MB ref"/>
      <sheetName val="purpose&amp;input"/>
      <sheetName val="Invoice"/>
      <sheetName val="NT LBH"/>
      <sheetName val="Project Details.."/>
      <sheetName val="Top Line - WWW"/>
      <sheetName val="Desgn(zone I)"/>
      <sheetName val="nglrpt042964858"/>
      <sheetName val="Trial Bal"/>
      <sheetName val="@Risk Inputs"/>
      <sheetName val="Calc"/>
      <sheetName val="T&amp;M"/>
      <sheetName val="Activity Costing Breakup"/>
      <sheetName val="Unit Rate(CIS)"/>
      <sheetName val="Conc Analysis"/>
      <sheetName val="Basic "/>
      <sheetName val="Back-UP IRA (CIS)"/>
      <sheetName val="Precast IRA"/>
      <sheetName val="Precast IRA Backup"/>
      <sheetName val="Precast RA"/>
      <sheetName val="Summary year Plan"/>
      <sheetName val="Wire"/>
      <sheetName val="INPUT_SHEET"/>
      <sheetName val="Publicbuilding"/>
      <sheetName val="Depreciation Calc"/>
      <sheetName val="Mat_Cost"/>
      <sheetName val="Detailed Summary (5)"/>
      <sheetName val="Block A - BOQ"/>
      <sheetName val="b.s.-p.l.-sch."/>
      <sheetName val="Factors"/>
      <sheetName val="M.S."/>
      <sheetName val="Final Summary"/>
      <sheetName val="master"/>
      <sheetName val="lookups"/>
      <sheetName val="BOQ Distribution"/>
      <sheetName val="Chandrawal_-11"/>
      <sheetName val="Guide_VAT_ED_Credit1"/>
      <sheetName val="AMC_&amp;_O&amp;M1"/>
      <sheetName val="JTS_Costing1"/>
      <sheetName val="SPT_vs_PHI1"/>
      <sheetName val="std_wt_1"/>
      <sheetName val="Material_1"/>
      <sheetName val="Pile_cap1"/>
      <sheetName val="d-safe_specs1"/>
      <sheetName val="CABLE_DATA"/>
      <sheetName val="Global factors"/>
      <sheetName val="Sheet 1"/>
      <sheetName val="CLform"/>
      <sheetName val="BOQ "/>
      <sheetName val="Flooring"/>
      <sheetName val="ELEC_BOQ"/>
      <sheetName val="Intro."/>
      <sheetName val="BS Schdl- 1 &amp; 2"/>
      <sheetName val="L3"/>
      <sheetName val="st"/>
      <sheetName val="Section Catalogue"/>
      <sheetName val="Cul_detail"/>
      <sheetName val="1_Project_Profile"/>
      <sheetName val="M.R.List (2)"/>
      <sheetName val="final abstract"/>
      <sheetName val="radar"/>
      <sheetName val="E &amp; R"/>
      <sheetName val="환율"/>
      <sheetName val="Register"/>
      <sheetName val="Abstract - Single Line"/>
      <sheetName val="COMP WALL"/>
      <sheetName val="월선수금"/>
      <sheetName val="OHT_Abs"/>
      <sheetName val="Approved MTD Proj #'s"/>
      <sheetName val="Risk &amp; Opportunities"/>
      <sheetName val="CFForecast detai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HEAD"/>
      <sheetName val="Mat &amp; Lab Rate"/>
      <sheetName val="RA_EIL"/>
      <sheetName val="RA_MKT_QUOTE"/>
      <sheetName val="Assmpns"/>
      <sheetName val="Civil_Boq2"/>
      <sheetName val="BOQ_Direct_selling_cost1"/>
      <sheetName val="Staff_Forecast_spread1"/>
      <sheetName val="floor_slab-RS21"/>
      <sheetName val="General_Summary"/>
      <sheetName val="+X_&amp;_-X_DIR_PRE"/>
      <sheetName val="PIpe_Pushing1"/>
      <sheetName val="Break_up_Sheet"/>
      <sheetName val="PRECAST_lightconc-II1"/>
      <sheetName val="Labour_productivity1"/>
      <sheetName val="13__Steel_-_Ratio"/>
      <sheetName val="2_1_受電設備棟"/>
      <sheetName val="2_2_受・防火水槽"/>
      <sheetName val="2_3_排水処理設備棟"/>
      <sheetName val="2_4_倉庫棟"/>
      <sheetName val="2_5_守衛棟"/>
      <sheetName val="Abstract_Sheet"/>
      <sheetName val="Plant_Cost"/>
      <sheetName val="DETAIL_SHEET"/>
      <sheetName val="INPUT_SHEET1"/>
      <sheetName val="Extra_Item"/>
      <sheetName val="Fill_this_out_first___"/>
      <sheetName val="Labour_&amp;_Plant"/>
      <sheetName val="Project_Budget_Worksheet"/>
      <sheetName val="TASKRSRC_(2)"/>
      <sheetName val="organi_synthesis_lab"/>
      <sheetName val="Legal_Risk_Analysis"/>
      <sheetName val="V_O_4_-_PCC_Qty"/>
      <sheetName val="Field_Values"/>
      <sheetName val="TBAL9697_-group_wise__sdpl"/>
      <sheetName val="BOQ_-II_ph_2"/>
      <sheetName val="PointNo_5"/>
      <sheetName val="1_01_(a)"/>
      <sheetName val="d-safe_DELUXE"/>
      <sheetName val="Site_wise_NADs"/>
      <sheetName val="T1037_Entire_School"/>
      <sheetName val="PC_Master_List"/>
      <sheetName val="Balance_sheet"/>
      <sheetName val="SC_revtrgt"/>
      <sheetName val="Fin_Sum"/>
      <sheetName val="BOQ_fire_proofing"/>
      <sheetName val="RCC,Ret__Wall"/>
      <sheetName val="_"/>
      <sheetName val="RMZ_Summary"/>
      <sheetName val="Employee_List"/>
      <sheetName val="STAFFSCHED_"/>
      <sheetName val="PRECAST_lightconc_II"/>
      <sheetName val="Basement_Budget"/>
      <sheetName val="IO_LIST"/>
      <sheetName val="ORDER_BOOKING"/>
      <sheetName val="except_wiring"/>
      <sheetName val="3cd_Annexure"/>
      <sheetName val="BOQ_(2)"/>
      <sheetName val="Site_Dev_BOQ"/>
      <sheetName val="1st_and_4th_flight"/>
      <sheetName val="Cover_sheet"/>
      <sheetName val="labour_coeff"/>
      <sheetName val="Fee_Rate_Summary"/>
      <sheetName val="Rate_analysis"/>
      <sheetName val="Tender_Summary"/>
      <sheetName val="10__&amp;_11__Rate_Code_&amp;_BQ"/>
      <sheetName val="Scope_Reconciliation"/>
      <sheetName val="Current_Bill_MB_ref"/>
      <sheetName val="NT_LBH"/>
      <sheetName val="Activity_Costing_Breakup"/>
      <sheetName val="Unit_Rate(CIS)"/>
      <sheetName val="Conc_Analysis"/>
      <sheetName val="Basic_"/>
      <sheetName val="Back-UP_IRA_(CIS)"/>
      <sheetName val="Precast_IRA"/>
      <sheetName val="Precast_IRA_Backup"/>
      <sheetName val="Precast_RA"/>
      <sheetName val="Summary_year_Plan"/>
      <sheetName val="Desgn(zone_I)"/>
      <sheetName val="Project_Details__"/>
      <sheetName val="Top_Line_-_WWW"/>
      <sheetName val="Depreciation_Calc"/>
      <sheetName val="Staff_Acco_"/>
      <sheetName val="Trial_Bal"/>
      <sheetName val="Detailed_Summary_(5)"/>
      <sheetName val="Block_A_-_BOQ"/>
      <sheetName val="b_s_-p_l_-sch_"/>
      <sheetName val="M_S_"/>
      <sheetName val="Final_Summary"/>
      <sheetName val="Civil_Boq3"/>
      <sheetName val="SPT_vs_PHI2"/>
      <sheetName val="std_wt_2"/>
      <sheetName val="Material_2"/>
      <sheetName val="Chandrawal_-12"/>
      <sheetName val="Guide_VAT_ED_Credit2"/>
      <sheetName val="AMC_&amp;_O&amp;M2"/>
      <sheetName val="JTS_Costing2"/>
      <sheetName val="Pile_cap2"/>
      <sheetName val="BOQ_Direct_selling_cost2"/>
      <sheetName val="Staff_Forecast_spread2"/>
      <sheetName val="floor_slab-RS22"/>
      <sheetName val="General_Summary1"/>
      <sheetName val="+X_&amp;_-X_DIR_PRE1"/>
      <sheetName val="PIpe_Pushing2"/>
      <sheetName val="Break_up_Sheet1"/>
      <sheetName val="PRECAST_lightconc-II2"/>
      <sheetName val="d-safe_specs2"/>
      <sheetName val="Labour_productivity2"/>
      <sheetName val="13__Steel_-_Ratio1"/>
      <sheetName val="2_1_受電設備棟1"/>
      <sheetName val="2_2_受・防火水槽1"/>
      <sheetName val="2_3_排水処理設備棟1"/>
      <sheetName val="2_4_倉庫棟1"/>
      <sheetName val="2_5_守衛棟1"/>
      <sheetName val="Abstract_Sheet1"/>
      <sheetName val="Plant_Cost1"/>
      <sheetName val="DETAIL_SHEET1"/>
      <sheetName val="CABLE_DATA1"/>
      <sheetName val="INPUT_SHEET2"/>
      <sheetName val="Extra_Item1"/>
      <sheetName val="Fill_this_out_first___1"/>
      <sheetName val="Labour_&amp;_Plant1"/>
      <sheetName val="Project_Budget_Worksheet1"/>
      <sheetName val="TASKRSRC_(2)1"/>
      <sheetName val="organi_synthesis_lab1"/>
      <sheetName val="Legal_Risk_Analysis1"/>
      <sheetName val="V_O_4_-_PCC_Qty1"/>
      <sheetName val="Field_Values1"/>
      <sheetName val="TBAL9697_-group_wise__sdpl1"/>
      <sheetName val="BOQ_-II_ph_21"/>
      <sheetName val="PointNo_51"/>
      <sheetName val="1_01_(a)1"/>
      <sheetName val="d-safe_DELUXE1"/>
      <sheetName val="Site_wise_NADs1"/>
      <sheetName val="T1037_Entire_School1"/>
      <sheetName val="PC_Master_List1"/>
      <sheetName val="Balance_sheet1"/>
      <sheetName val="SC_revtrgt1"/>
      <sheetName val="Fin_Sum1"/>
      <sheetName val="BOQ_fire_proofing1"/>
      <sheetName val="RCC,Ret__Wall1"/>
      <sheetName val="_1"/>
      <sheetName val="RMZ_Summary1"/>
      <sheetName val="Employee_List1"/>
      <sheetName val="STAFFSCHED_1"/>
      <sheetName val="PRECAST_lightconc_II1"/>
      <sheetName val="Basement_Budget1"/>
      <sheetName val="IO_LIST1"/>
      <sheetName val="ORDER_BOOKING1"/>
      <sheetName val="except_wiring1"/>
      <sheetName val="3cd_Annexure1"/>
      <sheetName val="BOQ_(2)1"/>
      <sheetName val="Site_Dev_BOQ1"/>
      <sheetName val="1st_and_4th_flight1"/>
      <sheetName val="Cover_sheet1"/>
      <sheetName val="labour_coeff1"/>
      <sheetName val="Fee_Rate_Summary1"/>
      <sheetName val="Rate_analysis1"/>
      <sheetName val="Tender_Summary1"/>
      <sheetName val="10__&amp;_11__Rate_Code_&amp;_BQ1"/>
      <sheetName val="Scope_Reconciliation1"/>
      <sheetName val="Current_Bill_MB_ref1"/>
      <sheetName val="NT_LBH1"/>
      <sheetName val="Activity_Costing_Breakup1"/>
      <sheetName val="Unit_Rate(CIS)1"/>
      <sheetName val="Conc_Analysis1"/>
      <sheetName val="Basic_1"/>
      <sheetName val="Back-UP_IRA_(CIS)1"/>
      <sheetName val="Precast_IRA1"/>
      <sheetName val="Precast_IRA_Backup1"/>
      <sheetName val="Precast_RA1"/>
      <sheetName val="Summary_year_Plan1"/>
      <sheetName val="Desgn(zone_I)1"/>
      <sheetName val="Project_Details__1"/>
      <sheetName val="Top_Line_-_WWW1"/>
      <sheetName val="Depreciation_Calc1"/>
      <sheetName val="Staff_Acco_1"/>
      <sheetName val="Trial_Bal1"/>
      <sheetName val="Detailed_Summary_(5)1"/>
      <sheetName val="Block_A_-_BOQ1"/>
      <sheetName val="b_s_-p_l_-sch_1"/>
      <sheetName val="M_S_1"/>
      <sheetName val="Final_Summary1"/>
      <sheetName val="rev 01"/>
      <sheetName val="Table10"/>
      <sheetName val="Table11"/>
      <sheetName val="Table12"/>
      <sheetName val="Table9"/>
      <sheetName val="3"/>
      <sheetName val="sq ftg detail"/>
      <sheetName val="lookup"/>
      <sheetName val="Rising Main"/>
      <sheetName val=" WORKING"/>
      <sheetName val="Cashflow projection"/>
      <sheetName val="inWords"/>
      <sheetName val="RateAnalysis"/>
      <sheetName val="Purlin(7m)"/>
      <sheetName val="IS3370"/>
      <sheetName val="IS456"/>
      <sheetName val="DG3285"/>
      <sheetName val="FORM-W3"/>
      <sheetName val="Database"/>
      <sheetName val="AR"/>
      <sheetName val="Micro"/>
      <sheetName val="Macro"/>
      <sheetName val="Scaff-Rose"/>
      <sheetName val="wordsdata"/>
      <sheetName val="Final Bill of Material"/>
      <sheetName val="keyword"/>
      <sheetName val="Rob. elektr."/>
      <sheetName val="R.A"/>
      <sheetName val="Back_Cal_for OMC"/>
      <sheetName val="Assumptions"/>
      <sheetName val="SILICATE"/>
      <sheetName val="Civil_Boq4"/>
      <sheetName val="SPT_vs_PHI3"/>
      <sheetName val="std_wt_3"/>
      <sheetName val="Material_3"/>
      <sheetName val="Chandrawal_-13"/>
      <sheetName val="Guide_VAT_ED_Credit3"/>
      <sheetName val="AMC_&amp;_O&amp;M3"/>
      <sheetName val="JTS_Costing3"/>
      <sheetName val="Pile_cap3"/>
      <sheetName val="BOQ_Direct_selling_cost3"/>
      <sheetName val="Staff_Forecast_spread3"/>
      <sheetName val="floor_slab-RS23"/>
      <sheetName val="General_Summary2"/>
      <sheetName val="+X_&amp;_-X_DIR_PRE2"/>
      <sheetName val="PIpe_Pushing3"/>
      <sheetName val="Break_up_Sheet2"/>
      <sheetName val="PRECAST_lightconc-II3"/>
      <sheetName val="d-safe_specs3"/>
      <sheetName val="Labour_productivity3"/>
      <sheetName val="13__Steel_-_Ratio2"/>
      <sheetName val="2_1_受電設備棟2"/>
      <sheetName val="2_2_受・防火水槽2"/>
      <sheetName val="2_3_排水処理設備棟2"/>
      <sheetName val="2_4_倉庫棟2"/>
      <sheetName val="2_5_守衛棟2"/>
      <sheetName val="Abstract_Sheet2"/>
      <sheetName val="Plant_Cost2"/>
      <sheetName val="DETAIL_SHEET2"/>
      <sheetName val="CABLE_DATA2"/>
      <sheetName val="INPUT_SHEET3"/>
      <sheetName val="Extra_Item2"/>
      <sheetName val="Fill_this_out_first___2"/>
      <sheetName val="Labour_&amp;_Plant2"/>
      <sheetName val="Project_Budget_Worksheet2"/>
      <sheetName val="TASKRSRC_(2)2"/>
      <sheetName val="organi_synthesis_lab2"/>
      <sheetName val="Legal_Risk_Analysis2"/>
      <sheetName val="V_O_4_-_PCC_Qty2"/>
      <sheetName val="Field_Values2"/>
      <sheetName val="TBAL9697_-group_wise__sdpl2"/>
      <sheetName val="BOQ_-II_ph_22"/>
      <sheetName val="PointNo_52"/>
      <sheetName val="1_01_(a)2"/>
      <sheetName val="d-safe_DELUXE2"/>
      <sheetName val="Site_wise_NADs2"/>
      <sheetName val="T1037_Entire_School2"/>
      <sheetName val="PC_Master_List2"/>
      <sheetName val="Balance_sheet2"/>
      <sheetName val="SC_revtrgt2"/>
      <sheetName val="Fin_Sum2"/>
      <sheetName val="BOQ_fire_proofing2"/>
      <sheetName val="RCC,Ret__Wall2"/>
      <sheetName val="_2"/>
      <sheetName val="RMZ_Summary2"/>
      <sheetName val="Employee_List2"/>
      <sheetName val="STAFFSCHED_2"/>
      <sheetName val="PRECAST_lightconc_II2"/>
      <sheetName val="Basement_Budget2"/>
      <sheetName val="IO_LIST2"/>
      <sheetName val="ORDER_BOOKING2"/>
      <sheetName val="except_wiring2"/>
      <sheetName val="3cd_Annexure2"/>
      <sheetName val="BOQ_(2)2"/>
      <sheetName val="Site_Dev_BOQ2"/>
      <sheetName val="1st_and_4th_flight2"/>
      <sheetName val="Cover_sheet2"/>
      <sheetName val="Fee_Rate_Summary2"/>
      <sheetName val="Rate_analysis2"/>
      <sheetName val="labour_coeff2"/>
      <sheetName val="Tender_Summary2"/>
      <sheetName val="10__&amp;_11__Rate_Code_&amp;_BQ2"/>
      <sheetName val="Scope_Reconciliation2"/>
      <sheetName val="Current_Bill_MB_ref2"/>
      <sheetName val="NT_LBH2"/>
      <sheetName val="Activity_Costing_Breakup2"/>
      <sheetName val="Unit_Rate(CIS)2"/>
      <sheetName val="Conc_Analysis2"/>
      <sheetName val="Basic_2"/>
      <sheetName val="Back-UP_IRA_(CIS)2"/>
      <sheetName val="Precast_IRA2"/>
      <sheetName val="Precast_IRA_Backup2"/>
      <sheetName val="Precast_RA2"/>
      <sheetName val="Summary_year_Plan2"/>
      <sheetName val="Desgn(zone_I)2"/>
      <sheetName val="Project_Details__2"/>
      <sheetName val="Top_Line_-_WWW2"/>
      <sheetName val="Depreciation_Calc2"/>
      <sheetName val="Staff_Acco_2"/>
      <sheetName val="Trial_Bal2"/>
      <sheetName val="Detailed_Summary_(5)2"/>
      <sheetName val="Block_A_-_BOQ2"/>
      <sheetName val="b_s_-p_l_-sch_2"/>
      <sheetName val="M_S_2"/>
      <sheetName val="Final_Summary2"/>
      <sheetName val="final_abstract"/>
      <sheetName val="BOQ_Distribution"/>
      <sheetName val="@Risk_Inputs"/>
      <sheetName val="BS_Schdl-_1_&amp;_2"/>
      <sheetName val="rev_01"/>
      <sheetName val="Sheet_1"/>
      <sheetName val="Mat_&amp;_Lab_Rate"/>
      <sheetName val="CFForecast_detail"/>
      <sheetName val="BOQ_"/>
      <sheetName val="Risk_&amp;_Opportunities"/>
      <sheetName val="Intro_"/>
      <sheetName val="M_R_List_(2)"/>
      <sheetName val="E_&amp;_R"/>
      <sheetName val="PM_Action_"/>
      <sheetName val="PE_Status"/>
      <sheetName val="Major_Events_"/>
      <sheetName val="Crtitical_Issues"/>
      <sheetName val="Fault_Statistics"/>
      <sheetName val="Ageing_Pending__CLeared"/>
      <sheetName val="Fault_Cleared_After_24Hrs"/>
      <sheetName val="Global_factors"/>
      <sheetName val="R_A"/>
      <sheetName val="mem-property"/>
      <sheetName val="Analy_7-10"/>
      <sheetName val="RFP002"/>
      <sheetName val="Material Rate"/>
      <sheetName val="GUT"/>
      <sheetName val="Controls"/>
      <sheetName val="BOQ-Part1"/>
      <sheetName val="sq_ftg_detail"/>
      <sheetName val="9. Package split - Cost "/>
      <sheetName val="India F&amp;S Template"/>
      <sheetName val="OVER HEADS"/>
      <sheetName val="@Risk_Inputs1"/>
      <sheetName val="final_abstract1"/>
      <sheetName val="BS_Schdl-_1_&amp;_21"/>
      <sheetName val="PM_Action_1"/>
      <sheetName val="PE_Status1"/>
      <sheetName val="Major_Events_1"/>
      <sheetName val="Crtitical_Issues1"/>
      <sheetName val="Fault_Statistics1"/>
      <sheetName val="Ageing_Pending__CLeared1"/>
      <sheetName val="Fault_Cleared_After_24Hrs1"/>
      <sheetName val="BOQ_1"/>
      <sheetName val="Risk_&amp;_Opportunities1"/>
      <sheetName val="E_&amp;_R1"/>
      <sheetName val="Mat_&amp;_Lab_Rate1"/>
      <sheetName val="CFForecast_detail1"/>
      <sheetName val="Intro_1"/>
      <sheetName val="BOQ_Distribution1"/>
      <sheetName val="sq_ftg_detail1"/>
      <sheetName val="Sheet_11"/>
      <sheetName val="SPT_vs_PHI4"/>
      <sheetName val="std_wt_4"/>
      <sheetName val="Material_4"/>
      <sheetName val="Chandrawal_-14"/>
      <sheetName val="Guide_VAT_ED_Credit4"/>
      <sheetName val="AMC_&amp;_O&amp;M4"/>
      <sheetName val="JTS_Costing4"/>
      <sheetName val="Pile_cap4"/>
      <sheetName val="d-safe_specs4"/>
      <sheetName val="CABLE_DATA3"/>
      <sheetName val="@Risk_Inputs2"/>
      <sheetName val="final_abstract2"/>
      <sheetName val="BS_Schdl-_1_&amp;_22"/>
      <sheetName val="PM_Action_2"/>
      <sheetName val="PE_Status2"/>
      <sheetName val="Major_Events_2"/>
      <sheetName val="Crtitical_Issues2"/>
      <sheetName val="Fault_Statistics2"/>
      <sheetName val="Ageing_Pending__CLeared2"/>
      <sheetName val="Fault_Cleared_After_24Hrs2"/>
      <sheetName val="BOQ_2"/>
      <sheetName val="Risk_&amp;_Opportunities2"/>
      <sheetName val="E_&amp;_R2"/>
      <sheetName val="Mat_&amp;_Lab_Rate2"/>
      <sheetName val="CFForecast_detail2"/>
      <sheetName val="Intro_2"/>
      <sheetName val="BOQ_Distribution2"/>
      <sheetName val="sq_ftg_detail2"/>
      <sheetName val="Sheet_12"/>
      <sheetName val="Civil_Boq5"/>
      <sheetName val="SPT_vs_PHI5"/>
      <sheetName val="std_wt_5"/>
      <sheetName val="Material_5"/>
      <sheetName val="Chandrawal_-15"/>
      <sheetName val="Guide_VAT_ED_Credit5"/>
      <sheetName val="AMC_&amp;_O&amp;M5"/>
      <sheetName val="JTS_Costing5"/>
      <sheetName val="Pile_cap5"/>
      <sheetName val="BOQ_Direct_selling_cost4"/>
      <sheetName val="Staff_Forecast_spread4"/>
      <sheetName val="floor_slab-RS24"/>
      <sheetName val="General_Summary3"/>
      <sheetName val="+X_&amp;_-X_DIR_PRE3"/>
      <sheetName val="PIpe_Pushing4"/>
      <sheetName val="d-safe_specs5"/>
      <sheetName val="Break_up_Sheet3"/>
      <sheetName val="13__Steel_-_Ratio3"/>
      <sheetName val="PRECAST_lightconc-II4"/>
      <sheetName val="Labour_productivity4"/>
      <sheetName val="TASKRSRC_(2)3"/>
      <sheetName val="CABLE_DATA4"/>
      <sheetName val="INPUT_SHEET4"/>
      <sheetName val="Extra_Item3"/>
      <sheetName val="Fill_this_out_first___3"/>
      <sheetName val="Labour_&amp;_Plant3"/>
      <sheetName val="Project_Budget_Worksheet3"/>
      <sheetName val="Abstract_Sheet3"/>
      <sheetName val="Legal_Risk_Analysis3"/>
      <sheetName val="V_O_4_-_PCC_Qty3"/>
      <sheetName val="Field_Values3"/>
      <sheetName val="TBAL9697_-group_wise__sdpl3"/>
      <sheetName val="BOQ_-II_ph_23"/>
      <sheetName val="DETAIL_SHEET3"/>
      <sheetName val="organi_synthesis_lab3"/>
      <sheetName val="Fin_Sum3"/>
      <sheetName val="2_1_受電設備棟3"/>
      <sheetName val="2_2_受・防火水槽3"/>
      <sheetName val="2_3_排水処理設備棟3"/>
      <sheetName val="2_4_倉庫棟3"/>
      <sheetName val="2_5_守衛棟3"/>
      <sheetName val="PointNo_53"/>
      <sheetName val="1_01_(a)3"/>
      <sheetName val="T1037_Entire_School3"/>
      <sheetName val="RMZ_Summary3"/>
      <sheetName val="d-safe_DELUXE3"/>
      <sheetName val="Employee_List3"/>
      <sheetName val="Balance_sheet3"/>
      <sheetName val="BOQ_fire_proofing3"/>
      <sheetName val="RCC,Ret__Wall3"/>
      <sheetName val="Plant_Cost3"/>
      <sheetName val="STAFFSCHED_3"/>
      <sheetName val="PRECAST_lightconc_II3"/>
      <sheetName val="Basement_Budget3"/>
      <sheetName val="IO_LIST3"/>
      <sheetName val="PC_Master_List3"/>
      <sheetName val="ORDER_BOOKING3"/>
      <sheetName val="except_wiring3"/>
      <sheetName val="3cd_Annexure3"/>
      <sheetName val="labour_coeff3"/>
      <sheetName val="10__&amp;_11__Rate_Code_&amp;_BQ3"/>
      <sheetName val="Scope_Reconciliation3"/>
      <sheetName val="_3"/>
      <sheetName val="BOQ_(2)3"/>
      <sheetName val="Site_Dev_BOQ3"/>
      <sheetName val="Current_Bill_MB_ref3"/>
      <sheetName val="NT_LBH3"/>
      <sheetName val="Desgn(zone_I)3"/>
      <sheetName val="1st_and_4th_flight3"/>
      <sheetName val="Cover_sheet3"/>
      <sheetName val="Site_wise_NADs3"/>
      <sheetName val="Tender_Summary3"/>
      <sheetName val="Depreciation_Calc3"/>
      <sheetName val="Project_Details__3"/>
      <sheetName val="Top_Line_-_WWW3"/>
      <sheetName val="Activity_Costing_Breakup3"/>
      <sheetName val="Unit_Rate(CIS)3"/>
      <sheetName val="Conc_Analysis3"/>
      <sheetName val="Basic_3"/>
      <sheetName val="Back-UP_IRA_(CIS)3"/>
      <sheetName val="Precast_IRA3"/>
      <sheetName val="Precast_IRA_Backup3"/>
      <sheetName val="Precast_RA3"/>
      <sheetName val="Staff_Acco_3"/>
      <sheetName val="Block_A_-_BOQ3"/>
      <sheetName val="b_s_-p_l_-sch_3"/>
      <sheetName val="M_S_3"/>
      <sheetName val="Rate_analysis3"/>
      <sheetName val="Fee_Rate_Summary3"/>
      <sheetName val="@Risk_Inputs3"/>
      <sheetName val="final_abstract3"/>
      <sheetName val="BS_Schdl-_1_&amp;_23"/>
      <sheetName val="Summary_year_Plan3"/>
      <sheetName val="SC_revtrgt3"/>
      <sheetName val="PM_Action_3"/>
      <sheetName val="PE_Status3"/>
      <sheetName val="Major_Events_3"/>
      <sheetName val="Crtitical_Issues3"/>
      <sheetName val="Fault_Statistics3"/>
      <sheetName val="Ageing_Pending__CLeared3"/>
      <sheetName val="Fault_Cleared_After_24Hrs3"/>
      <sheetName val="BOQ_3"/>
      <sheetName val="Risk_&amp;_Opportunities3"/>
      <sheetName val="E_&amp;_R3"/>
      <sheetName val="Mat_&amp;_Lab_Rate3"/>
      <sheetName val="CFForecast_detail3"/>
      <sheetName val="Intro_3"/>
      <sheetName val="BOQ_Distribution3"/>
      <sheetName val="Trial_Bal3"/>
      <sheetName val="Detailed_Summary_(5)3"/>
      <sheetName val="Final_Summary3"/>
      <sheetName val="sq_ftg_detail3"/>
      <sheetName val="Sheet_13"/>
      <sheetName val="Civil_Boq6"/>
      <sheetName val="SPT_vs_PHI6"/>
      <sheetName val="std_wt_6"/>
      <sheetName val="Material_6"/>
      <sheetName val="Chandrawal_-16"/>
      <sheetName val="Guide_VAT_ED_Credit6"/>
      <sheetName val="AMC_&amp;_O&amp;M6"/>
      <sheetName val="JTS_Costing6"/>
      <sheetName val="Pile_cap6"/>
      <sheetName val="BOQ_Direct_selling_cost5"/>
      <sheetName val="Staff_Forecast_spread5"/>
      <sheetName val="floor_slab-RS25"/>
      <sheetName val="General_Summary4"/>
      <sheetName val="+X_&amp;_-X_DIR_PRE4"/>
      <sheetName val="PIpe_Pushing5"/>
      <sheetName val="d-safe_specs6"/>
      <sheetName val="Break_up_Sheet4"/>
      <sheetName val="13__Steel_-_Ratio4"/>
      <sheetName val="PRECAST_lightconc-II5"/>
      <sheetName val="Labour_productivity5"/>
      <sheetName val="TASKRSRC_(2)4"/>
      <sheetName val="CABLE_DATA5"/>
      <sheetName val="INPUT_SHEET5"/>
      <sheetName val="Extra_Item4"/>
      <sheetName val="Fill_this_out_first___4"/>
      <sheetName val="Labour_&amp;_Plant4"/>
      <sheetName val="Project_Budget_Worksheet4"/>
      <sheetName val="Abstract_Sheet4"/>
      <sheetName val="Legal_Risk_Analysis4"/>
      <sheetName val="V_O_4_-_PCC_Qty4"/>
      <sheetName val="Field_Values4"/>
      <sheetName val="TBAL9697_-group_wise__sdpl4"/>
      <sheetName val="BOQ_-II_ph_24"/>
      <sheetName val="DETAIL_SHEET4"/>
      <sheetName val="organi_synthesis_lab4"/>
      <sheetName val="Fin_Sum4"/>
      <sheetName val="2_1_受電設備棟4"/>
      <sheetName val="2_2_受・防火水槽4"/>
      <sheetName val="2_3_排水処理設備棟4"/>
      <sheetName val="2_4_倉庫棟4"/>
      <sheetName val="2_5_守衛棟4"/>
      <sheetName val="PointNo_54"/>
      <sheetName val="1_01_(a)4"/>
      <sheetName val="T1037_Entire_School4"/>
      <sheetName val="RMZ_Summary4"/>
      <sheetName val="d-safe_DELUXE4"/>
      <sheetName val="Employee_List4"/>
      <sheetName val="Balance_sheet4"/>
      <sheetName val="BOQ_fire_proofing4"/>
      <sheetName val="RCC,Ret__Wall4"/>
      <sheetName val="Plant_Cost4"/>
      <sheetName val="STAFFSCHED_4"/>
      <sheetName val="PRECAST_lightconc_II4"/>
      <sheetName val="Basement_Budget4"/>
      <sheetName val="IO_LIST4"/>
      <sheetName val="PC_Master_List4"/>
      <sheetName val="ORDER_BOOKING4"/>
      <sheetName val="except_wiring4"/>
      <sheetName val="3cd_Annexure4"/>
      <sheetName val="labour_coeff4"/>
      <sheetName val="10__&amp;_11__Rate_Code_&amp;_BQ4"/>
      <sheetName val="Scope_Reconciliation4"/>
      <sheetName val="_4"/>
      <sheetName val="BOQ_(2)4"/>
      <sheetName val="Site_Dev_BOQ4"/>
      <sheetName val="Current_Bill_MB_ref4"/>
      <sheetName val="NT_LBH4"/>
      <sheetName val="Desgn(zone_I)4"/>
      <sheetName val="1st_and_4th_flight4"/>
      <sheetName val="Cover_sheet4"/>
      <sheetName val="Site_wise_NADs4"/>
      <sheetName val="Tender_Summary4"/>
      <sheetName val="Depreciation_Calc4"/>
      <sheetName val="Project_Details__4"/>
      <sheetName val="Top_Line_-_WWW4"/>
      <sheetName val="Activity_Costing_Breakup4"/>
      <sheetName val="Unit_Rate(CIS)4"/>
      <sheetName val="Conc_Analysis4"/>
      <sheetName val="Basic_4"/>
      <sheetName val="Back-UP_IRA_(CIS)4"/>
      <sheetName val="Precast_IRA4"/>
      <sheetName val="Precast_IRA_Backup4"/>
      <sheetName val="Precast_RA4"/>
      <sheetName val="Staff_Acco_4"/>
      <sheetName val="Block_A_-_BOQ4"/>
      <sheetName val="b_s_-p_l_-sch_4"/>
      <sheetName val="M_S_4"/>
      <sheetName val="Rate_analysis4"/>
      <sheetName val="Fee_Rate_Summary4"/>
      <sheetName val="@Risk_Inputs4"/>
      <sheetName val="final_abstract4"/>
      <sheetName val="BS_Schdl-_1_&amp;_24"/>
      <sheetName val="Summary_year_Plan4"/>
      <sheetName val="SC_revtrgt4"/>
      <sheetName val="PM_Action_4"/>
      <sheetName val="PE_Status4"/>
      <sheetName val="Major_Events_4"/>
      <sheetName val="Crtitical_Issues4"/>
      <sheetName val="Fault_Statistics4"/>
      <sheetName val="Ageing_Pending__CLeared4"/>
      <sheetName val="Fault_Cleared_After_24Hrs4"/>
      <sheetName val="BOQ_4"/>
      <sheetName val="Risk_&amp;_Opportunities4"/>
      <sheetName val="E_&amp;_R4"/>
      <sheetName val="Mat_&amp;_Lab_Rate4"/>
      <sheetName val="CFForecast_detail4"/>
      <sheetName val="Intro_4"/>
      <sheetName val="BOQ_Distribution4"/>
      <sheetName val="Trial_Bal4"/>
      <sheetName val="Detailed_Summary_(5)4"/>
      <sheetName val="Final_Summary4"/>
      <sheetName val="sq_ftg_detail4"/>
      <sheetName val="Sheet_14"/>
      <sheetName val="Abstract_-_Single_Line"/>
      <sheetName val="Section_Catalogue"/>
      <sheetName val="Final_Bill_of_Material"/>
      <sheetName val="Civil_Boq7"/>
      <sheetName val="SPT_vs_PHI7"/>
      <sheetName val="std_wt_7"/>
      <sheetName val="Material_7"/>
      <sheetName val="Chandrawal_-17"/>
      <sheetName val="Guide_VAT_ED_Credit7"/>
      <sheetName val="AMC_&amp;_O&amp;M7"/>
      <sheetName val="JTS_Costing7"/>
      <sheetName val="Pile_cap7"/>
      <sheetName val="BOQ_Direct_selling_cost6"/>
      <sheetName val="Staff_Forecast_spread6"/>
      <sheetName val="floor_slab-RS26"/>
      <sheetName val="General_Summary5"/>
      <sheetName val="+X_&amp;_-X_DIR_PRE5"/>
      <sheetName val="PIpe_Pushing6"/>
      <sheetName val="d-safe_specs7"/>
      <sheetName val="Break_up_Sheet5"/>
      <sheetName val="13__Steel_-_Ratio5"/>
      <sheetName val="PRECAST_lightconc-II6"/>
      <sheetName val="Labour_productivity6"/>
      <sheetName val="TASKRSRC_(2)5"/>
      <sheetName val="CABLE_DATA6"/>
      <sheetName val="INPUT_SHEET6"/>
      <sheetName val="Extra_Item5"/>
      <sheetName val="Fill_this_out_first___5"/>
      <sheetName val="Labour_&amp;_Plant5"/>
      <sheetName val="Project_Budget_Worksheet5"/>
      <sheetName val="Abstract_Sheet5"/>
      <sheetName val="Legal_Risk_Analysis5"/>
      <sheetName val="V_O_4_-_PCC_Qty5"/>
      <sheetName val="Field_Values5"/>
      <sheetName val="TBAL9697_-group_wise__sdpl5"/>
      <sheetName val="BOQ_-II_ph_25"/>
      <sheetName val="DETAIL_SHEET5"/>
      <sheetName val="organi_synthesis_lab5"/>
      <sheetName val="Fin_Sum5"/>
      <sheetName val="2_1_受電設備棟5"/>
      <sheetName val="2_2_受・防火水槽5"/>
      <sheetName val="2_3_排水処理設備棟5"/>
      <sheetName val="2_4_倉庫棟5"/>
      <sheetName val="2_5_守衛棟5"/>
      <sheetName val="PointNo_55"/>
      <sheetName val="1_01_(a)5"/>
      <sheetName val="T1037_Entire_School5"/>
      <sheetName val="RMZ_Summary5"/>
      <sheetName val="d-safe_DELUXE5"/>
      <sheetName val="Employee_List5"/>
      <sheetName val="Balance_sheet5"/>
      <sheetName val="BOQ_fire_proofing5"/>
      <sheetName val="RCC,Ret__Wall5"/>
      <sheetName val="Plant_Cost5"/>
      <sheetName val="STAFFSCHED_5"/>
      <sheetName val="PRECAST_lightconc_II5"/>
      <sheetName val="Basement_Budget5"/>
      <sheetName val="IO_LIST5"/>
      <sheetName val="PC_Master_List5"/>
      <sheetName val="ORDER_BOOKING5"/>
      <sheetName val="except_wiring5"/>
      <sheetName val="3cd_Annexure5"/>
      <sheetName val="labour_coeff5"/>
      <sheetName val="10__&amp;_11__Rate_Code_&amp;_BQ5"/>
      <sheetName val="Scope_Reconciliation5"/>
      <sheetName val="_5"/>
      <sheetName val="BOQ_(2)5"/>
      <sheetName val="Site_Dev_BOQ5"/>
      <sheetName val="Current_Bill_MB_ref5"/>
      <sheetName val="NT_LBH5"/>
      <sheetName val="Desgn(zone_I)5"/>
      <sheetName val="1st_and_4th_flight5"/>
      <sheetName val="Cover_sheet5"/>
      <sheetName val="Site_wise_NADs5"/>
      <sheetName val="Tender_Summary5"/>
      <sheetName val="Depreciation_Calc5"/>
      <sheetName val="Project_Details__5"/>
      <sheetName val="Top_Line_-_WWW5"/>
      <sheetName val="Activity_Costing_Breakup5"/>
      <sheetName val="Unit_Rate(CIS)5"/>
      <sheetName val="Conc_Analysis5"/>
      <sheetName val="Basic_5"/>
      <sheetName val="Back-UP_IRA_(CIS)5"/>
      <sheetName val="Precast_IRA5"/>
      <sheetName val="Precast_IRA_Backup5"/>
      <sheetName val="Precast_RA5"/>
      <sheetName val="Staff_Acco_5"/>
      <sheetName val="Block_A_-_BOQ5"/>
      <sheetName val="b_s_-p_l_-sch_5"/>
      <sheetName val="M_S_5"/>
      <sheetName val="Rate_analysis5"/>
      <sheetName val="Fee_Rate_Summary5"/>
      <sheetName val="@Risk_Inputs5"/>
      <sheetName val="final_abstract5"/>
      <sheetName val="BS_Schdl-_1_&amp;_25"/>
      <sheetName val="Summary_year_Plan5"/>
      <sheetName val="SC_revtrgt5"/>
      <sheetName val="PM_Action_5"/>
      <sheetName val="PE_Status5"/>
      <sheetName val="Major_Events_5"/>
      <sheetName val="Crtitical_Issues5"/>
      <sheetName val="Fault_Statistics5"/>
      <sheetName val="Ageing_Pending__CLeared5"/>
      <sheetName val="Fault_Cleared_After_24Hrs5"/>
      <sheetName val="BOQ_5"/>
      <sheetName val="Risk_&amp;_Opportunities5"/>
      <sheetName val="E_&amp;_R5"/>
      <sheetName val="Mat_&amp;_Lab_Rate5"/>
      <sheetName val="CFForecast_detail5"/>
      <sheetName val="Intro_5"/>
      <sheetName val="BOQ_Distribution5"/>
      <sheetName val="Trial_Bal5"/>
      <sheetName val="Detailed_Summary_(5)5"/>
      <sheetName val="Final_Summary5"/>
      <sheetName val="sq_ftg_detail5"/>
      <sheetName val="Sheet_15"/>
      <sheetName val="Abstract_-_Single_Line1"/>
      <sheetName val="Section_Catalogue1"/>
      <sheetName val="M_R_List_(2)1"/>
      <sheetName val="Final_Bill_of_Material1"/>
      <sheetName val="Civil_Boq8"/>
      <sheetName val="SPT_vs_PHI8"/>
      <sheetName val="std_wt_8"/>
      <sheetName val="Material_8"/>
      <sheetName val="Chandrawal_-18"/>
      <sheetName val="Guide_VAT_ED_Credit8"/>
      <sheetName val="AMC_&amp;_O&amp;M8"/>
      <sheetName val="JTS_Costing8"/>
      <sheetName val="Pile_cap8"/>
      <sheetName val="BOQ_Direct_selling_cost7"/>
      <sheetName val="Staff_Forecast_spread7"/>
      <sheetName val="floor_slab-RS27"/>
      <sheetName val="General_Summary6"/>
      <sheetName val="+X_&amp;_-X_DIR_PRE6"/>
      <sheetName val="PIpe_Pushing7"/>
      <sheetName val="d-safe_specs8"/>
      <sheetName val="Break_up_Sheet6"/>
      <sheetName val="13__Steel_-_Ratio6"/>
      <sheetName val="PRECAST_lightconc-II7"/>
      <sheetName val="Labour_productivity7"/>
      <sheetName val="TASKRSRC_(2)6"/>
      <sheetName val="CABLE_DATA7"/>
      <sheetName val="INPUT_SHEET7"/>
      <sheetName val="Extra_Item6"/>
      <sheetName val="Fill_this_out_first___6"/>
      <sheetName val="Labour_&amp;_Plant6"/>
      <sheetName val="Project_Budget_Worksheet6"/>
      <sheetName val="Abstract_Sheet6"/>
      <sheetName val="Legal_Risk_Analysis6"/>
      <sheetName val="V_O_4_-_PCC_Qty6"/>
      <sheetName val="Field_Values6"/>
      <sheetName val="TBAL9697_-group_wise__sdpl6"/>
      <sheetName val="BOQ_-II_ph_26"/>
      <sheetName val="DETAIL_SHEET6"/>
      <sheetName val="organi_synthesis_lab6"/>
      <sheetName val="Fin_Sum6"/>
      <sheetName val="2_1_受電設備棟6"/>
      <sheetName val="2_2_受・防火水槽6"/>
      <sheetName val="2_3_排水処理設備棟6"/>
      <sheetName val="2_4_倉庫棟6"/>
      <sheetName val="2_5_守衛棟6"/>
      <sheetName val="PointNo_56"/>
      <sheetName val="1_01_(a)6"/>
      <sheetName val="T1037_Entire_School6"/>
      <sheetName val="RMZ_Summary6"/>
      <sheetName val="d-safe_DELUXE6"/>
      <sheetName val="Employee_List6"/>
      <sheetName val="Balance_sheet6"/>
      <sheetName val="BOQ_fire_proofing6"/>
      <sheetName val="RCC,Ret__Wall6"/>
      <sheetName val="Plant_Cost6"/>
      <sheetName val="STAFFSCHED_6"/>
      <sheetName val="PRECAST_lightconc_II6"/>
      <sheetName val="Basement_Budget6"/>
      <sheetName val="IO_LIST6"/>
      <sheetName val="PC_Master_List6"/>
      <sheetName val="ORDER_BOOKING6"/>
      <sheetName val="except_wiring6"/>
      <sheetName val="3cd_Annexure6"/>
      <sheetName val="labour_coeff6"/>
      <sheetName val="10__&amp;_11__Rate_Code_&amp;_BQ6"/>
      <sheetName val="Scope_Reconciliation6"/>
      <sheetName val="_6"/>
      <sheetName val="BOQ_(2)6"/>
      <sheetName val="Site_Dev_BOQ6"/>
      <sheetName val="Current_Bill_MB_ref6"/>
      <sheetName val="NT_LBH6"/>
      <sheetName val="Desgn(zone_I)6"/>
      <sheetName val="1st_and_4th_flight6"/>
      <sheetName val="Cover_sheet6"/>
      <sheetName val="Site_wise_NADs6"/>
      <sheetName val="Tender_Summary6"/>
      <sheetName val="Depreciation_Calc6"/>
      <sheetName val="Project_Details__6"/>
      <sheetName val="Top_Line_-_WWW6"/>
      <sheetName val="Activity_Costing_Breakup6"/>
      <sheetName val="Unit_Rate(CIS)6"/>
      <sheetName val="Conc_Analysis6"/>
      <sheetName val="Basic_6"/>
      <sheetName val="Back-UP_IRA_(CIS)6"/>
      <sheetName val="Precast_IRA6"/>
      <sheetName val="Precast_IRA_Backup6"/>
      <sheetName val="Precast_RA6"/>
      <sheetName val="Staff_Acco_6"/>
      <sheetName val="Block_A_-_BOQ6"/>
      <sheetName val="b_s_-p_l_-sch_6"/>
      <sheetName val="M_S_6"/>
      <sheetName val="Rate_analysis6"/>
      <sheetName val="Fee_Rate_Summary6"/>
      <sheetName val="@Risk_Inputs6"/>
      <sheetName val="final_abstract6"/>
      <sheetName val="BS_Schdl-_1_&amp;_26"/>
      <sheetName val="Summary_year_Plan6"/>
      <sheetName val="SC_revtrgt6"/>
      <sheetName val="PM_Action_6"/>
      <sheetName val="PE_Status6"/>
      <sheetName val="Major_Events_6"/>
      <sheetName val="Crtitical_Issues6"/>
      <sheetName val="Fault_Statistics6"/>
      <sheetName val="Ageing_Pending__CLeared6"/>
      <sheetName val="Fault_Cleared_After_24Hrs6"/>
      <sheetName val="BOQ_6"/>
      <sheetName val="Risk_&amp;_Opportunities6"/>
      <sheetName val="E_&amp;_R6"/>
      <sheetName val="Mat_&amp;_Lab_Rate6"/>
      <sheetName val="CFForecast_detail6"/>
      <sheetName val="Intro_6"/>
      <sheetName val="BOQ_Distribution6"/>
      <sheetName val="Trial_Bal6"/>
      <sheetName val="Detailed_Summary_(5)6"/>
      <sheetName val="Final_Summary6"/>
      <sheetName val="sq_ftg_detail6"/>
      <sheetName val="Sheet_16"/>
      <sheetName val="Abstract_-_Single_Line2"/>
      <sheetName val="Section_Catalogue2"/>
      <sheetName val="M_R_List_(2)2"/>
      <sheetName val="Final_Bill_of_Material2"/>
      <sheetName val="Data-Month"/>
      <sheetName val="Column Bracket"/>
      <sheetName val="Sqn_Abs _G_1"/>
      <sheetName val="Inter unit set off"/>
      <sheetName val="horizontal"/>
      <sheetName val="Sanitary_BOQ"/>
      <sheetName val="KH-Q1,Q2,01"/>
      <sheetName val="Cor_01Br6_8"/>
      <sheetName val="SALIENT"/>
      <sheetName val="PurchGroup"/>
      <sheetName val="CASH-FLOW"/>
      <sheetName val="ABB"/>
      <sheetName val="Basic Resources"/>
      <sheetName val="Tie Beams "/>
      <sheetName val="Control"/>
      <sheetName val="Pay Rec"/>
      <sheetName val="Certificate"/>
      <sheetName val="Advice"/>
      <sheetName val="civil"/>
      <sheetName val="INTSHEET"/>
      <sheetName val="INTSHEET3"/>
      <sheetName val="RANGE"/>
      <sheetName val="Indices"/>
      <sheetName val="Performance Report"/>
      <sheetName val="Generic Sum"/>
      <sheetName val="Equpt"/>
      <sheetName val="Cd"/>
      <sheetName val="Cs"/>
      <sheetName val="CPIPE"/>
      <sheetName val="CPIPE 1"/>
      <sheetName val="UNIT WT LIST"/>
      <sheetName val="Sheet7"/>
      <sheetName val="calcul"/>
      <sheetName val="Variables"/>
      <sheetName val="Sub-str."/>
      <sheetName val="Variation Statement"/>
      <sheetName val="Abstract"/>
      <sheetName val="FITZ MORT 94"/>
      <sheetName val="SSR _ NSSR Market final"/>
      <sheetName val="A"/>
      <sheetName val="Approved_MTD_Proj_#'s"/>
      <sheetName val="_WORKING"/>
      <sheetName val="Cashflow_projection"/>
      <sheetName val="Sub-str_"/>
      <sheetName val="Variation_Statement"/>
      <sheetName val="MA"/>
      <sheetName val="Linked Lead"/>
      <sheetName val="Lead (Final)"/>
      <sheetName val="Builtup Area"/>
      <sheetName val="Form 6"/>
      <sheetName val="parametry"/>
      <sheetName val="office"/>
      <sheetName val="Lab"/>
      <sheetName val="Material&amp;equipment"/>
      <sheetName val="Headings"/>
      <sheetName val="Basis"/>
      <sheetName val="LTG-STG"/>
      <sheetName val="Labor abs-NMR"/>
      <sheetName val="Sheet1 (2)"/>
      <sheetName val="strand"/>
      <sheetName val="Int(Ho con &amp; LH)"/>
      <sheetName val="BASIS -DEC 08"/>
      <sheetName val="seT"/>
      <sheetName val="Equip Codes"/>
      <sheetName val="Rate An"/>
      <sheetName val="Rev. 00 - 20.07.04"/>
      <sheetName val="S0"/>
      <sheetName val="REL"/>
      <sheetName val="DETAILED  BOQ"/>
      <sheetName val="sum-all"/>
      <sheetName val="syndicate codes"/>
      <sheetName val="Direct cost shed A-2 "/>
      <sheetName val="PCS DATA"/>
      <sheetName val="gen"/>
      <sheetName val="schedule nos"/>
      <sheetName val="30-3"/>
      <sheetName val="Legend"/>
      <sheetName val="Index"/>
      <sheetName val="Corbel"/>
      <sheetName val="CIF COST ITEM"/>
      <sheetName val="Measur"/>
      <sheetName val="Summary 0506"/>
      <sheetName val="Summary 0607- 31.MAR"/>
      <sheetName val="AREAS"/>
      <sheetName val="Beam at Ground flr lvl(Steel)"/>
      <sheetName val="Model"/>
      <sheetName val="cul-invSUBMITTED"/>
      <sheetName val="upa"/>
      <sheetName val="Basic Rates"/>
      <sheetName val="Working"/>
      <sheetName val="Mktg"/>
      <sheetName val="A-General"/>
      <sheetName val="Story Drift-Part 2"/>
      <sheetName val="S1BOQ"/>
      <sheetName val="2gii"/>
      <sheetName val="SSR &amp; NSSR Market final"/>
      <sheetName val="實際值-2006.02.06"/>
      <sheetName val="WP Financial Summary"/>
      <sheetName val="BACKUP DATA"/>
      <sheetName val="INV"/>
      <sheetName val="dyes"/>
      <sheetName val="UTILITY"/>
      <sheetName val="Rates"/>
      <sheetName val="Estimate"/>
      <sheetName val="num-word"/>
      <sheetName val="1612.01AL - INT AM&amp;NIEP"/>
      <sheetName val="SM DATA with National CBP price"/>
      <sheetName val="concrete"/>
      <sheetName val="beam-reinft-IIInd floor"/>
      <sheetName val="sheeet7"/>
      <sheetName val="sand"/>
      <sheetName val="stone"/>
      <sheetName val="v"/>
      <sheetName val="Road data"/>
      <sheetName val="MRATES"/>
      <sheetName val="r"/>
      <sheetName val="Main sheet"/>
      <sheetName val="data existing_do not delete"/>
      <sheetName val="#REF!"/>
      <sheetName val="ELECT"/>
      <sheetName val="7 Other Costs"/>
      <sheetName val="DB_ET200(R. A)"/>
      <sheetName val="石炭性状"/>
      <sheetName val="가격분석@1100(990104)"/>
      <sheetName val="Escalation"/>
      <sheetName val="NCCALC11"/>
      <sheetName val="공정율 기초 Data"/>
      <sheetName val="제출계산서"/>
      <sheetName val="공사내역"/>
      <sheetName val=" Pricing_110512.xlsx"/>
      <sheetName val="당초"/>
      <sheetName val="SIZING"/>
      <sheetName val="Testing"/>
      <sheetName val="CGL"/>
      <sheetName val="Curve_Detail"/>
      <sheetName val="SOR"/>
      <sheetName val="Sheet3 (2)"/>
      <sheetName val="Cable-data"/>
      <sheetName val="Delhi"/>
      <sheetName val="Financials"/>
      <sheetName val="Cover"/>
      <sheetName val="p1-costg"/>
      <sheetName val="Actuals"/>
      <sheetName val="Leg 1-1"/>
      <sheetName val="Proposal"/>
      <sheetName val="손익현황"/>
      <sheetName val="현황CODE"/>
      <sheetName val="SP&amp;ST 제출가"/>
      <sheetName val="BQ"/>
      <sheetName val="POWER"/>
      <sheetName val="Lookup definitions"/>
      <sheetName val="Mix Design"/>
      <sheetName val="std-rates"/>
      <sheetName val="00 to 01 Column"/>
      <sheetName val="prsch"/>
      <sheetName val="Rising_Main"/>
      <sheetName val="Rob__elektr_"/>
      <sheetName val="COMP_WALL"/>
      <sheetName val="Material_Rate"/>
      <sheetName val="SSR___NSSR_Market_final"/>
      <sheetName val="Column_Bracket"/>
      <sheetName val="Sqn_Abs__G_1"/>
      <sheetName val="Inter_unit_set_off"/>
      <sheetName val="India_F&amp;S_Template"/>
      <sheetName val="Cost Index"/>
      <sheetName val="PackSize"/>
      <sheetName val="PackagingType"/>
      <sheetName val="ProductHierarchy"/>
      <sheetName val="Sub-brand"/>
      <sheetName val="UOM"/>
      <sheetName val="Variant"/>
      <sheetName val="소상 &quot;1&quot;"/>
      <sheetName val="I-CO"/>
      <sheetName val="Design sheet"/>
      <sheetName val="GR.slab-reinft"/>
      <sheetName val="DI-ESTI"/>
      <sheetName val="#REF"/>
      <sheetName val="계정"/>
      <sheetName val="&lt;24-Staff RentTable&gt;"/>
      <sheetName val="leads"/>
      <sheetName val="Sheet5"/>
      <sheetName val="REVENUES &amp; BS"/>
      <sheetName val="bs BP 04 SA"/>
      <sheetName val="Basis Definition &amp; Lists"/>
      <sheetName val="STD"/>
      <sheetName val="Leg!l Risk Analysis"/>
      <sheetName val="Formulas"/>
      <sheetName val="Background"/>
      <sheetName val="Joineries"/>
      <sheetName val="Measurment"/>
      <sheetName val="Page 2"/>
      <sheetName val="March Analysts"/>
      <sheetName val="allocation"/>
      <sheetName val="Wing Wise Status"/>
      <sheetName val="Area Statement"/>
      <sheetName val="item"/>
      <sheetName val="PEDESB"/>
      <sheetName val="Budget-Breakup"/>
      <sheetName val="datas"/>
      <sheetName val="ICO_budzet_97"/>
      <sheetName val="MBQ"/>
      <sheetName val="drg study"/>
      <sheetName val="RA"/>
      <sheetName val="basic"/>
      <sheetName val="block"/>
      <sheetName val="BP"/>
      <sheetName val="Technicla manpower"/>
      <sheetName val="Mixer"/>
      <sheetName val="ANALYSIS(CIVIL)"/>
      <sheetName val="GRAND SUMMARY"/>
      <sheetName val="ANa=Str"/>
      <sheetName val="Str.S &amp; Roofing"/>
      <sheetName val="Cashflow_projection1"/>
      <sheetName val="Cashflow_projection2"/>
      <sheetName val="Cashflow_projection3"/>
      <sheetName val="Cashflow_projection4"/>
      <sheetName val="Cashflow_projection5"/>
      <sheetName val="Cashflow_projection6"/>
      <sheetName val="Civil_Boq9"/>
      <sheetName val="Abstract_Sheet7"/>
      <sheetName val="RCC,Ret__Wall7"/>
      <sheetName val="floor_slab-RS28"/>
      <sheetName val="General_Summary7"/>
      <sheetName val="BOQ_Direct_selling_cost8"/>
      <sheetName val="Legal_Risk_Analysis7"/>
      <sheetName val="PRECAST_lightconc-II8"/>
      <sheetName val="Staff_Forecast_spread8"/>
      <sheetName val="PIpe_Pushing8"/>
      <sheetName val="13__Steel_-_Ratio7"/>
      <sheetName val="+X_&amp;_-X_DIR_PRE7"/>
      <sheetName val="Break_up_Sheet7"/>
      <sheetName val="1_01_(a)7"/>
      <sheetName val="TASKRSRC_(2)7"/>
      <sheetName val="Labour_productivity8"/>
      <sheetName val="INPUT_SHEET8"/>
      <sheetName val="Extra_Item7"/>
      <sheetName val="Fill_this_out_first___7"/>
      <sheetName val="Labour_&amp;_Plant7"/>
      <sheetName val="Project_Budget_Worksheet7"/>
      <sheetName val="V_O_4_-_PCC_Qty7"/>
      <sheetName val="TBAL9697_-group_wise__sdpl7"/>
      <sheetName val="Field_Values7"/>
      <sheetName val="BOQ_-II_ph_27"/>
      <sheetName val="PRECAST_lightconc_II7"/>
      <sheetName val="2_1_受電設備棟7"/>
      <sheetName val="2_2_受・防火水槽7"/>
      <sheetName val="2_3_排水処理設備棟7"/>
      <sheetName val="2_4_倉庫棟7"/>
      <sheetName val="2_5_守衛棟7"/>
      <sheetName val="organi_synthesis_lab7"/>
      <sheetName val="Fin_Sum7"/>
      <sheetName val="Plant_Cost7"/>
      <sheetName val="PointNo_57"/>
      <sheetName val="BOQ_fire_proofing7"/>
      <sheetName val="Balance_sheet7"/>
      <sheetName val="DETAIL_SHEET7"/>
      <sheetName val="Cashflow_projection7"/>
      <sheetName val="d-safe_DELUXE7"/>
      <sheetName val="_7"/>
      <sheetName val="PC_Master_List7"/>
      <sheetName val="BOQ_(2)7"/>
      <sheetName val="T1037_Entire_School7"/>
      <sheetName val="Site_Dev_BOQ7"/>
      <sheetName val="RMZ_Summary7"/>
      <sheetName val="Employee_List7"/>
      <sheetName val="STAFFSCHED_7"/>
      <sheetName val="Basement_Budget7"/>
      <sheetName val="IO_LIST7"/>
      <sheetName val="except_wiring7"/>
      <sheetName val="3cd_Annexure7"/>
      <sheetName val="ORDER_BOOKING7"/>
      <sheetName val="1st_and_4th_flight7"/>
      <sheetName val="Scope_Reconciliation7"/>
      <sheetName val="labour_coeff7"/>
      <sheetName val="10__&amp;_11__Rate_Code_&amp;_BQ7"/>
      <sheetName val="Tender_Summary7"/>
      <sheetName val="Cover_sheet7"/>
      <sheetName val="Site_wise_NADs7"/>
      <sheetName val="Current_Bill_MB_ref7"/>
      <sheetName val="NT_LBH7"/>
      <sheetName val="Desgn(zone_I)7"/>
      <sheetName val="Rate_analysis7"/>
      <sheetName val="Fee_Rate_Summary7"/>
      <sheetName val="SC_revtrgt7"/>
      <sheetName val="M_S_7"/>
      <sheetName val="BOQ_Distribution7"/>
      <sheetName val="@Risk_Inputs7"/>
      <sheetName val="Depreciation_Calc7"/>
      <sheetName val="b_s_-p_l_-sch_7"/>
      <sheetName val="Activity_Costing_Breakup7"/>
      <sheetName val="Unit_Rate(CIS)7"/>
      <sheetName val="Conc_Analysis7"/>
      <sheetName val="Basic_7"/>
      <sheetName val="Back-UP_IRA_(CIS)7"/>
      <sheetName val="Precast_IRA7"/>
      <sheetName val="Precast_IRA_Backup7"/>
      <sheetName val="Precast_RA7"/>
      <sheetName val="Summary_year_Plan7"/>
      <sheetName val="Project_Details__7"/>
      <sheetName val="Top_Line_-_WWW7"/>
      <sheetName val="Staff_Acco_7"/>
      <sheetName val="Trial_Bal7"/>
      <sheetName val="Detailed_Summary_(5)7"/>
      <sheetName val="Block_A_-_BOQ7"/>
      <sheetName val="Civil_Boq10"/>
      <sheetName val="SPT_vs_PHI9"/>
      <sheetName val="Chandrawal_-19"/>
      <sheetName val="Guide_VAT_ED_Credit9"/>
      <sheetName val="AMC_&amp;_O&amp;M9"/>
      <sheetName val="JTS_Costing9"/>
      <sheetName val="std_wt_9"/>
      <sheetName val="Material_9"/>
      <sheetName val="Pile_cap9"/>
      <sheetName val="Abstract_Sheet8"/>
      <sheetName val="RCC,Ret__Wall8"/>
      <sheetName val="floor_slab-RS29"/>
      <sheetName val="General_Summary8"/>
      <sheetName val="BOQ_Direct_selling_cost9"/>
      <sheetName val="Legal_Risk_Analysis8"/>
      <sheetName val="PRECAST_lightconc-II9"/>
      <sheetName val="Staff_Forecast_spread9"/>
      <sheetName val="d-safe_specs9"/>
      <sheetName val="PIpe_Pushing9"/>
      <sheetName val="13__Steel_-_Ratio8"/>
      <sheetName val="+X_&amp;_-X_DIR_PRE8"/>
      <sheetName val="Break_up_Sheet8"/>
      <sheetName val="1_01_(a)8"/>
      <sheetName val="TASKRSRC_(2)8"/>
      <sheetName val="Labour_productivity9"/>
      <sheetName val="CABLE_DATA8"/>
      <sheetName val="INPUT_SHEET9"/>
      <sheetName val="Extra_Item8"/>
      <sheetName val="Fill_this_out_first___8"/>
      <sheetName val="Labour_&amp;_Plant8"/>
      <sheetName val="Project_Budget_Worksheet8"/>
      <sheetName val="V_O_4_-_PCC_Qty8"/>
      <sheetName val="TBAL9697_-group_wise__sdpl8"/>
      <sheetName val="Field_Values8"/>
      <sheetName val="BOQ_-II_ph_28"/>
      <sheetName val="PRECAST_lightconc_II8"/>
      <sheetName val="2_1_受電設備棟8"/>
      <sheetName val="2_2_受・防火水槽8"/>
      <sheetName val="2_3_排水処理設備棟8"/>
      <sheetName val="2_4_倉庫棟8"/>
      <sheetName val="2_5_守衛棟8"/>
      <sheetName val="organi_synthesis_lab8"/>
      <sheetName val="Fin_Sum8"/>
      <sheetName val="Plant_Cost8"/>
      <sheetName val="PointNo_58"/>
      <sheetName val="BOQ_fire_proofing8"/>
      <sheetName val="Balance_sheet8"/>
      <sheetName val="DETAIL_SHEET8"/>
      <sheetName val="Cashflow_projection8"/>
      <sheetName val="d-safe_DELUXE8"/>
      <sheetName val="_8"/>
      <sheetName val="PC_Master_List8"/>
      <sheetName val="BOQ_(2)8"/>
      <sheetName val="T1037_Entire_School8"/>
      <sheetName val="Site_Dev_BOQ8"/>
      <sheetName val="RMZ_Summary8"/>
      <sheetName val="Employee_List8"/>
      <sheetName val="STAFFSCHED_8"/>
      <sheetName val="Basement_Budget8"/>
      <sheetName val="IO_LIST8"/>
      <sheetName val="except_wiring8"/>
      <sheetName val="3cd_Annexure8"/>
      <sheetName val="ORDER_BOOKING8"/>
      <sheetName val="1st_and_4th_flight8"/>
      <sheetName val="Scope_Reconciliation8"/>
      <sheetName val="labour_coeff8"/>
      <sheetName val="10__&amp;_11__Rate_Code_&amp;_BQ8"/>
      <sheetName val="Tender_Summary8"/>
      <sheetName val="Cover_sheet8"/>
      <sheetName val="Site_wise_NADs8"/>
      <sheetName val="Current_Bill_MB_ref8"/>
      <sheetName val="NT_LBH8"/>
      <sheetName val="Desgn(zone_I)8"/>
      <sheetName val="Rate_analysis8"/>
      <sheetName val="Fee_Rate_Summary8"/>
      <sheetName val="SC_revtrgt8"/>
      <sheetName val="M_S_8"/>
      <sheetName val="BOQ_Distribution8"/>
      <sheetName val="@Risk_Inputs8"/>
      <sheetName val="Depreciation_Calc8"/>
      <sheetName val="b_s_-p_l_-sch_8"/>
      <sheetName val="Activity_Costing_Breakup8"/>
      <sheetName val="Unit_Rate(CIS)8"/>
      <sheetName val="Conc_Analysis8"/>
      <sheetName val="Basic_8"/>
      <sheetName val="Back-UP_IRA_(CIS)8"/>
      <sheetName val="Precast_IRA8"/>
      <sheetName val="Precast_IRA_Backup8"/>
      <sheetName val="Precast_RA8"/>
      <sheetName val="Summary_year_Plan8"/>
      <sheetName val="Project_Details__8"/>
      <sheetName val="Top_Line_-_WWW8"/>
      <sheetName val="Staff_Acco_8"/>
      <sheetName val="Trial_Bal8"/>
      <sheetName val="Detailed_Summary_(5)8"/>
      <sheetName val="Block_A_-_BOQ8"/>
      <sheetName val="WORK TABLE"/>
      <sheetName val="Input1"/>
      <sheetName val="NLD - Assum"/>
      <sheetName val="Civil Works"/>
      <sheetName val="PLAN_FEB97"/>
      <sheetName val="sheet6"/>
      <sheetName val="Code"/>
      <sheetName val="Material"/>
      <sheetName val="Plant &amp;  Machinery"/>
      <sheetName val="Statuses"/>
      <sheetName val="Accounts w Tax Ind"/>
      <sheetName val="Technology"/>
      <sheetName val="Basic Rate"/>
      <sheetName val="top sheet CORRE"/>
      <sheetName val="2A"/>
      <sheetName val="500 kVA DG BOQ"/>
      <sheetName val="intr stool brkup"/>
      <sheetName val="vb 9&amp;10"/>
      <sheetName val="Basement  Works"/>
      <sheetName val="Main Building"/>
      <sheetName val="BOQ LT"/>
      <sheetName val="NOPAT_VDF"/>
      <sheetName val="Invested capital_VDF"/>
      <sheetName val="Pivots"/>
      <sheetName val="Service Function"/>
      <sheetName val="Quote Sheet"/>
      <sheetName val="GM &amp; TA"/>
      <sheetName val="Summary - Flr wise"/>
      <sheetName val="grid"/>
      <sheetName val="TABLE2"/>
      <sheetName val="Drop Down List"/>
      <sheetName val="JAN"/>
      <sheetName val="Attributes"/>
      <sheetName val="BOQ_7"/>
      <sheetName val="Risk_&amp;_Opportunities7"/>
      <sheetName val="CFForecast_detail7"/>
      <sheetName val="E_&amp;_R7"/>
      <sheetName val="Approved_MTD_Proj_#'s1"/>
      <sheetName val="final_abstract7"/>
      <sheetName val="BS_Schdl-_1_&amp;_27"/>
      <sheetName val="Final_Summary7"/>
      <sheetName val="Sheet_17"/>
      <sheetName val="Mat_&amp;_Lab_Rate7"/>
      <sheetName val="PM_Action_7"/>
      <sheetName val="PE_Status7"/>
      <sheetName val="Major_Events_7"/>
      <sheetName val="Crtitical_Issues7"/>
      <sheetName val="Fault_Statistics7"/>
      <sheetName val="Ageing_Pending__CLeared7"/>
      <sheetName val="Fault_Cleared_After_24Hrs7"/>
      <sheetName val="Intro_7"/>
      <sheetName val="sq_ftg_detail7"/>
      <sheetName val="Section_Catalogue3"/>
      <sheetName val="_WORKING1"/>
      <sheetName val="Abstract_-_Single_Line3"/>
      <sheetName val="M_R_List_(2)3"/>
      <sheetName val="Final_Bill_of_Material3"/>
      <sheetName val="9__Package_split_-_Cost_"/>
      <sheetName val="Basic_Resources"/>
      <sheetName val="Variation_Statement1"/>
      <sheetName val="Form_6"/>
      <sheetName val="OVER_HEADS"/>
      <sheetName val="FITZ_MORT_94"/>
      <sheetName val="Sub-str_1"/>
      <sheetName val="Performance_Report"/>
      <sheetName val="Generic_Sum"/>
      <sheetName val="CPIPE_1"/>
      <sheetName val="Rate_An"/>
      <sheetName val="Tie_Beams_"/>
      <sheetName val="Labor_abs-NMR"/>
      <sheetName val="UNIT_WT_LIST"/>
      <sheetName val="Pay_Rec"/>
      <sheetName val="Int(Ho_con_&amp;_LH)"/>
      <sheetName val="schedule_nos"/>
      <sheetName val="syndicate_codes"/>
      <sheetName val="HPL"/>
      <sheetName val="Estimation"/>
      <sheetName val="Sheet18"/>
      <sheetName val="Back filling"/>
      <sheetName val="NT items summary"/>
      <sheetName val="Name List"/>
      <sheetName val="App Q"/>
      <sheetName val="LEVEL SHEET"/>
      <sheetName val="B1"/>
      <sheetName val="BLOCK WORK B2"/>
      <sheetName val="FT-05-02IsoBOM"/>
      <sheetName val=""/>
      <sheetName val="VI Floor Beam "/>
      <sheetName val="Data Base"/>
      <sheetName val="BFS"/>
      <sheetName val="Occ, Other Rev, Exp, Dispo"/>
      <sheetName val="1st floor slab"/>
      <sheetName val="Column_Quantity"/>
      <sheetName val="works - quote sheet"/>
      <sheetName val="sof"/>
      <sheetName val="OST_DATA"/>
      <sheetName val="Menu"/>
      <sheetName val="PCRPT01 341"/>
      <sheetName val="TBM-T6+5S(Alt1)"/>
      <sheetName val="Loads"/>
      <sheetName val="당진1,2호기전선관설치및접지4차공사내역서-을지"/>
      <sheetName val="細目"/>
      <sheetName val="EQT-ESTN"/>
      <sheetName val="PILE-C1"/>
      <sheetName val="1C Data"/>
      <sheetName val="Ref"/>
      <sheetName val="Lowside"/>
      <sheetName val="Rpr-Jan00"/>
      <sheetName val="T"/>
      <sheetName val="Intake"/>
      <sheetName val="BHANDUP"/>
      <sheetName val="Monthly Turnover (Final)"/>
      <sheetName val="Monthly Programme"/>
      <sheetName val="TS-TC"/>
      <sheetName val="ETC Plant Cost"/>
      <sheetName val="SAL"/>
      <sheetName val="CAMPO &amp; PC_BC"/>
      <sheetName val="TAT"/>
      <sheetName val="YLD"/>
      <sheetName val="ENCL9"/>
      <sheetName val="RS_4 Currency "/>
      <sheetName val="Ageing Analysis "/>
      <sheetName val="Summary "/>
      <sheetName val="THA"/>
      <sheetName val="Supplier No."/>
      <sheetName val="Ward areas"/>
      <sheetName val="Emp Details"/>
      <sheetName val="List of Rem Entries PY"/>
      <sheetName val="Mat. Rates"/>
      <sheetName val="Operations"/>
      <sheetName val="Beam_at_Ground_flr_lvl(Steel)"/>
      <sheetName val="Ward_areas"/>
      <sheetName val="Slab thickness entry"/>
      <sheetName val="Excess Calc"/>
      <sheetName val="rate"/>
      <sheetName val="PROCTOR"/>
      <sheetName val="6000"/>
      <sheetName val="Payment ScheduleCost"/>
      <sheetName val="Anl"/>
      <sheetName val="rev_011"/>
      <sheetName val="Global_factors1"/>
      <sheetName val="Back_Cal_for_OMC"/>
      <sheetName val="R_A1"/>
      <sheetName val="BOQ_LT"/>
      <sheetName val="Rev__00_-_20_07_04"/>
      <sheetName val="CIF_COST_ITEM"/>
      <sheetName val="WP_Financial_Summary"/>
      <sheetName val="BACKUP_DATA"/>
      <sheetName val="Equip_Codes"/>
      <sheetName val="1612_01AL_-_INT_AM&amp;NIEP"/>
      <sheetName val="SM_DATA_with_National_CBP_price"/>
      <sheetName val="BASIS_-DEC_08"/>
      <sheetName val="Page_2"/>
      <sheetName val="DB_ET200(R__A)"/>
      <sheetName val="SP&amp;ST_제출가"/>
      <sheetName val="공정율_기초_Data"/>
      <sheetName val="_Pricing_110512_xlsx"/>
      <sheetName val="TCS"/>
      <sheetName val="M+MC"/>
      <sheetName val="MPR_PA_1"/>
      <sheetName val="Central Loop-DPR"/>
      <sheetName val="Steel Structure"/>
      <sheetName val="UNIT FLATS"/>
      <sheetName val="47 BOQ"/>
      <sheetName val="Final Bill"/>
      <sheetName val="std_wt__x0010_"/>
      <sheetName val="DsnConcept"/>
      <sheetName val="PS1"/>
      <sheetName val="BR2(5)"/>
      <sheetName val="Detail-Singly"/>
      <sheetName val="Pier"/>
      <sheetName val="bASICDATA"/>
      <sheetName val="LMR PF"/>
    </sheetNames>
    <sheetDataSet>
      <sheetData sheetId="0">
        <row r="3">
          <cell r="D3" t="str">
            <v>Gujarat rehabilitation work of Mathak village for TWRI</v>
          </cell>
        </row>
      </sheetData>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ow r="3">
          <cell r="D3" t="str">
            <v>Gujarat rehabilitation work of Mathak village for TWRI</v>
          </cell>
        </row>
      </sheetData>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ow r="3">
          <cell r="D3" t="str">
            <v>Gujarat rehabilitation work of Mathak village for TWRI</v>
          </cell>
        </row>
      </sheetData>
      <sheetData sheetId="282">
        <row r="3">
          <cell r="D3" t="str">
            <v>Gujarat rehabilitation work of Mathak village for TWRI</v>
          </cell>
        </row>
      </sheetData>
      <sheetData sheetId="283">
        <row r="3">
          <cell r="D3" t="str">
            <v>Gujarat rehabilitation work of Mathak village for TWRI</v>
          </cell>
        </row>
      </sheetData>
      <sheetData sheetId="284">
        <row r="3">
          <cell r="D3" t="str">
            <v>Gujarat rehabilitation work of Mathak village for TWRI</v>
          </cell>
        </row>
      </sheetData>
      <sheetData sheetId="285">
        <row r="3">
          <cell r="D3" t="str">
            <v>Gujarat rehabilitation work of Mathak village for TWRI</v>
          </cell>
        </row>
      </sheetData>
      <sheetData sheetId="286"/>
      <sheetData sheetId="287">
        <row r="3">
          <cell r="D3" t="str">
            <v>Gujarat rehabilitation work of Mathak village for TWRI</v>
          </cell>
        </row>
      </sheetData>
      <sheetData sheetId="288">
        <row r="3">
          <cell r="D3" t="str">
            <v>Gujarat rehabilitation work of Mathak village for TWRI</v>
          </cell>
        </row>
      </sheetData>
      <sheetData sheetId="289">
        <row r="3">
          <cell r="D3" t="str">
            <v>Gujarat rehabilitation work of Mathak village for TWRI</v>
          </cell>
        </row>
      </sheetData>
      <sheetData sheetId="290">
        <row r="3">
          <cell r="D3" t="str">
            <v>Gujarat rehabilitation work of Mathak village for TWRI</v>
          </cell>
        </row>
      </sheetData>
      <sheetData sheetId="291">
        <row r="3">
          <cell r="D3" t="str">
            <v>Gujarat rehabilitation work of Mathak village for TWRI</v>
          </cell>
        </row>
      </sheetData>
      <sheetData sheetId="292">
        <row r="3">
          <cell r="D3" t="str">
            <v>Gujarat rehabilitation work of Mathak village for TWRI</v>
          </cell>
        </row>
      </sheetData>
      <sheetData sheetId="293">
        <row r="3">
          <cell r="D3" t="str">
            <v>Gujarat rehabilitation work of Mathak village for TWRI</v>
          </cell>
        </row>
      </sheetData>
      <sheetData sheetId="294">
        <row r="3">
          <cell r="D3" t="str">
            <v>Gujarat rehabilitation work of Mathak village for TWRI</v>
          </cell>
        </row>
      </sheetData>
      <sheetData sheetId="295">
        <row r="3">
          <cell r="D3" t="str">
            <v>Gujarat rehabilitation work of Mathak village for TWRI</v>
          </cell>
        </row>
      </sheetData>
      <sheetData sheetId="296">
        <row r="3">
          <cell r="D3" t="str">
            <v>Gujarat rehabilitation work of Mathak village for TWRI</v>
          </cell>
        </row>
      </sheetData>
      <sheetData sheetId="297">
        <row r="3">
          <cell r="D3" t="str">
            <v>Gujarat rehabilitation work of Mathak village for TWRI</v>
          </cell>
        </row>
      </sheetData>
      <sheetData sheetId="298">
        <row r="3">
          <cell r="D3" t="str">
            <v>Gujarat rehabilitation work of Mathak village for TWRI</v>
          </cell>
        </row>
      </sheetData>
      <sheetData sheetId="299">
        <row r="3">
          <cell r="D3" t="str">
            <v>Gujarat rehabilitation work of Mathak village for TWRI</v>
          </cell>
        </row>
      </sheetData>
      <sheetData sheetId="300">
        <row r="3">
          <cell r="D3" t="str">
            <v>Gujarat rehabilitation work of Mathak village for TWRI</v>
          </cell>
        </row>
      </sheetData>
      <sheetData sheetId="301">
        <row r="3">
          <cell r="D3" t="str">
            <v>Gujarat rehabilitation work of Mathak village for TWRI</v>
          </cell>
        </row>
      </sheetData>
      <sheetData sheetId="302">
        <row r="3">
          <cell r="D3" t="str">
            <v>Gujarat rehabilitation work of Mathak village for TWRI</v>
          </cell>
        </row>
      </sheetData>
      <sheetData sheetId="303">
        <row r="3">
          <cell r="D3" t="str">
            <v>Gujarat rehabilitation work of Mathak village for TWRI</v>
          </cell>
        </row>
      </sheetData>
      <sheetData sheetId="304">
        <row r="3">
          <cell r="D3" t="str">
            <v>Gujarat rehabilitation work of Mathak village for TWRI</v>
          </cell>
        </row>
      </sheetData>
      <sheetData sheetId="305"/>
      <sheetData sheetId="306">
        <row r="3">
          <cell r="D3" t="str">
            <v>Gujarat rehabilitation work of Mathak village for TWRI</v>
          </cell>
        </row>
      </sheetData>
      <sheetData sheetId="307">
        <row r="3">
          <cell r="D3" t="str">
            <v>Gujarat rehabilitation work of Mathak village for TWRI</v>
          </cell>
        </row>
      </sheetData>
      <sheetData sheetId="308">
        <row r="3">
          <cell r="D3" t="str">
            <v>Gujarat rehabilitation work of Mathak village for TWRI</v>
          </cell>
        </row>
      </sheetData>
      <sheetData sheetId="309">
        <row r="3">
          <cell r="D3" t="str">
            <v>Gujarat rehabilitation work of Mathak village for TWRI</v>
          </cell>
        </row>
      </sheetData>
      <sheetData sheetId="310">
        <row r="3">
          <cell r="D3" t="str">
            <v>Gujarat rehabilitation work of Mathak village for TWRI</v>
          </cell>
        </row>
      </sheetData>
      <sheetData sheetId="311">
        <row r="3">
          <cell r="D3" t="str">
            <v>Gujarat rehabilitation work of Mathak village for TWRI</v>
          </cell>
        </row>
      </sheetData>
      <sheetData sheetId="312">
        <row r="3">
          <cell r="D3" t="str">
            <v>Gujarat rehabilitation work of Mathak village for TWRI</v>
          </cell>
        </row>
      </sheetData>
      <sheetData sheetId="313">
        <row r="3">
          <cell r="D3" t="str">
            <v>Gujarat rehabilitation work of Mathak village for TWRI</v>
          </cell>
        </row>
      </sheetData>
      <sheetData sheetId="314">
        <row r="3">
          <cell r="D3" t="str">
            <v>Gujarat rehabilitation work of Mathak village for TWRI</v>
          </cell>
        </row>
      </sheetData>
      <sheetData sheetId="315">
        <row r="3">
          <cell r="D3" t="str">
            <v>Gujarat rehabilitation work of Mathak village for TWRI</v>
          </cell>
        </row>
      </sheetData>
      <sheetData sheetId="316"/>
      <sheetData sheetId="317">
        <row r="3">
          <cell r="D3" t="str">
            <v>Gujarat rehabilitation work of Mathak village for TWRI</v>
          </cell>
        </row>
      </sheetData>
      <sheetData sheetId="318">
        <row r="3">
          <cell r="D3" t="str">
            <v>Gujarat rehabilitation work of Mathak village for TWRI</v>
          </cell>
        </row>
      </sheetData>
      <sheetData sheetId="319">
        <row r="3">
          <cell r="D3" t="str">
            <v>Gujarat rehabilitation work of Mathak village for TWRI</v>
          </cell>
        </row>
      </sheetData>
      <sheetData sheetId="320">
        <row r="3">
          <cell r="D3" t="str">
            <v>Gujarat rehabilitation work of Mathak village for TWRI</v>
          </cell>
        </row>
      </sheetData>
      <sheetData sheetId="321">
        <row r="3">
          <cell r="D3" t="str">
            <v>Gujarat rehabilitation work of Mathak village for TWRI</v>
          </cell>
        </row>
      </sheetData>
      <sheetData sheetId="322">
        <row r="3">
          <cell r="D3" t="str">
            <v>Gujarat rehabilitation work of Mathak village for TWRI</v>
          </cell>
        </row>
      </sheetData>
      <sheetData sheetId="323">
        <row r="3">
          <cell r="D3" t="str">
            <v>Gujarat rehabilitation work of Mathak village for TWRI</v>
          </cell>
        </row>
      </sheetData>
      <sheetData sheetId="324"/>
      <sheetData sheetId="325"/>
      <sheetData sheetId="326">
        <row r="3">
          <cell r="D3" t="str">
            <v>Gujarat rehabilitation work of Mathak village for TWRI</v>
          </cell>
        </row>
      </sheetData>
      <sheetData sheetId="327">
        <row r="3">
          <cell r="D3" t="str">
            <v>Gujarat rehabilitation work of Mathak village for TWRI</v>
          </cell>
        </row>
      </sheetData>
      <sheetData sheetId="328">
        <row r="3">
          <cell r="D3" t="str">
            <v>Gujarat rehabilitation work of Mathak village for TWRI</v>
          </cell>
        </row>
      </sheetData>
      <sheetData sheetId="329">
        <row r="3">
          <cell r="D3" t="str">
            <v>Gujarat rehabilitation work of Mathak village for TWRI</v>
          </cell>
        </row>
      </sheetData>
      <sheetData sheetId="330">
        <row r="3">
          <cell r="D3" t="str">
            <v>Gujarat rehabilitation work of Mathak village for TWRI</v>
          </cell>
        </row>
      </sheetData>
      <sheetData sheetId="331">
        <row r="3">
          <cell r="D3" t="str">
            <v>Gujarat rehabilitation work of Mathak village for TWRI</v>
          </cell>
        </row>
      </sheetData>
      <sheetData sheetId="332">
        <row r="3">
          <cell r="D3" t="str">
            <v>Gujarat rehabilitation work of Mathak village for TWRI</v>
          </cell>
        </row>
      </sheetData>
      <sheetData sheetId="333">
        <row r="3">
          <cell r="D3" t="str">
            <v>Gujarat rehabilitation work of Mathak village for TWRI</v>
          </cell>
        </row>
      </sheetData>
      <sheetData sheetId="334">
        <row r="3">
          <cell r="D3" t="str">
            <v>Gujarat rehabilitation work of Mathak village for TWRI</v>
          </cell>
        </row>
      </sheetData>
      <sheetData sheetId="335">
        <row r="3">
          <cell r="D3" t="str">
            <v>Gujarat rehabilitation work of Mathak village for TWRI</v>
          </cell>
        </row>
      </sheetData>
      <sheetData sheetId="336">
        <row r="3">
          <cell r="D3" t="str">
            <v>Gujarat rehabilitation work of Mathak village for TWRI</v>
          </cell>
        </row>
      </sheetData>
      <sheetData sheetId="337"/>
      <sheetData sheetId="338"/>
      <sheetData sheetId="339"/>
      <sheetData sheetId="340">
        <row r="3">
          <cell r="D3" t="str">
            <v>Gujarat rehabilitation work of Mathak village for TWRI</v>
          </cell>
        </row>
      </sheetData>
      <sheetData sheetId="341">
        <row r="3">
          <cell r="D3" t="str">
            <v>Gujarat rehabilitation work of Mathak village for TWRI</v>
          </cell>
        </row>
      </sheetData>
      <sheetData sheetId="342"/>
      <sheetData sheetId="343">
        <row r="3">
          <cell r="D3" t="str">
            <v>Gujarat rehabilitation work of Mathak village for TWRI</v>
          </cell>
        </row>
      </sheetData>
      <sheetData sheetId="344"/>
      <sheetData sheetId="345"/>
      <sheetData sheetId="346"/>
      <sheetData sheetId="347"/>
      <sheetData sheetId="348"/>
      <sheetData sheetId="349"/>
      <sheetData sheetId="350"/>
      <sheetData sheetId="351">
        <row r="3">
          <cell r="D3" t="str">
            <v>Gujarat rehabilitation work of Mathak village for TWRI</v>
          </cell>
        </row>
      </sheetData>
      <sheetData sheetId="352"/>
      <sheetData sheetId="353">
        <row r="3">
          <cell r="D3" t="str">
            <v>Gujarat rehabilitation work of Mathak village for TWRI</v>
          </cell>
        </row>
      </sheetData>
      <sheetData sheetId="354"/>
      <sheetData sheetId="355"/>
      <sheetData sheetId="356"/>
      <sheetData sheetId="357">
        <row r="3">
          <cell r="D3" t="str">
            <v>Gujarat rehabilitation work of Mathak village for TWRI</v>
          </cell>
        </row>
      </sheetData>
      <sheetData sheetId="358">
        <row r="3">
          <cell r="D3" t="str">
            <v>Gujarat rehabilitation work of Mathak village for TWRI</v>
          </cell>
        </row>
      </sheetData>
      <sheetData sheetId="359">
        <row r="3">
          <cell r="D3" t="str">
            <v>Gujarat rehabilitation work of Mathak village for TWRI</v>
          </cell>
        </row>
      </sheetData>
      <sheetData sheetId="360">
        <row r="3">
          <cell r="D3" t="str">
            <v>Gujarat rehabilitation work of Mathak village for TWRI</v>
          </cell>
        </row>
      </sheetData>
      <sheetData sheetId="361">
        <row r="3">
          <cell r="D3" t="str">
            <v>Gujarat rehabilitation work of Mathak village for TWRI</v>
          </cell>
        </row>
      </sheetData>
      <sheetData sheetId="362"/>
      <sheetData sheetId="363"/>
      <sheetData sheetId="364">
        <row r="3">
          <cell r="D3" t="str">
            <v>Gujarat rehabilitation work of Mathak village for TWRI</v>
          </cell>
        </row>
      </sheetData>
      <sheetData sheetId="365">
        <row r="3">
          <cell r="D3" t="str">
            <v>Gujarat rehabilitation work of Mathak village for TWRI</v>
          </cell>
        </row>
      </sheetData>
      <sheetData sheetId="366"/>
      <sheetData sheetId="367">
        <row r="3">
          <cell r="D3" t="str">
            <v>Gujarat rehabilitation work of Mathak village for TWRI</v>
          </cell>
        </row>
      </sheetData>
      <sheetData sheetId="368">
        <row r="3">
          <cell r="D3" t="str">
            <v>Gujarat rehabilitation work of Mathak village for TWRI</v>
          </cell>
        </row>
      </sheetData>
      <sheetData sheetId="369"/>
      <sheetData sheetId="370"/>
      <sheetData sheetId="371">
        <row r="3">
          <cell r="D3" t="str">
            <v>Gujarat rehabilitation work of Mathak village for TWRI</v>
          </cell>
        </row>
      </sheetData>
      <sheetData sheetId="372">
        <row r="3">
          <cell r="D3" t="str">
            <v>Gujarat rehabilitation work of Mathak village for TWRI</v>
          </cell>
        </row>
      </sheetData>
      <sheetData sheetId="373">
        <row r="3">
          <cell r="D3" t="str">
            <v>Gujarat rehabilitation work of Mathak village for TWRI</v>
          </cell>
        </row>
      </sheetData>
      <sheetData sheetId="374">
        <row r="3">
          <cell r="D3" t="str">
            <v>Gujarat rehabilitation work of Mathak village for TWRI</v>
          </cell>
        </row>
      </sheetData>
      <sheetData sheetId="375">
        <row r="3">
          <cell r="D3" t="str">
            <v>Gujarat rehabilitation work of Mathak village for TWRI</v>
          </cell>
        </row>
      </sheetData>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sheetData sheetId="478"/>
      <sheetData sheetId="479"/>
      <sheetData sheetId="480"/>
      <sheetData sheetId="481"/>
      <sheetData sheetId="482"/>
      <sheetData sheetId="483"/>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3">
          <cell r="D3" t="str">
            <v>Gujarat rehabilitation work of Mathak village for TWRI</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row r="3">
          <cell r="D3" t="str">
            <v>Gujarat rehabilitation work of Mathak village for TWRI</v>
          </cell>
        </row>
      </sheetData>
      <sheetData sheetId="543">
        <row r="3">
          <cell r="D3" t="str">
            <v>Gujarat rehabilitation work of Mathak village for TWRI</v>
          </cell>
        </row>
      </sheetData>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3">
          <cell r="D3" t="str">
            <v>Gujarat rehabilitation work of Mathak village for TWRI</v>
          </cell>
        </row>
      </sheetData>
      <sheetData sheetId="565">
        <row r="3">
          <cell r="D3" t="str">
            <v>Gujarat rehabilitation work of Mathak village for TWRI</v>
          </cell>
        </row>
      </sheetData>
      <sheetData sheetId="566"/>
      <sheetData sheetId="567"/>
      <sheetData sheetId="568"/>
      <sheetData sheetId="569">
        <row r="3">
          <cell r="D3" t="str">
            <v>Gujarat rehabilitation work of Mathak village for TWRI</v>
          </cell>
        </row>
      </sheetData>
      <sheetData sheetId="570"/>
      <sheetData sheetId="571"/>
      <sheetData sheetId="572"/>
      <sheetData sheetId="573"/>
      <sheetData sheetId="574"/>
      <sheetData sheetId="575"/>
      <sheetData sheetId="576"/>
      <sheetData sheetId="577"/>
      <sheetData sheetId="578"/>
      <sheetData sheetId="579"/>
      <sheetData sheetId="580" refreshError="1"/>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refreshError="1"/>
      <sheetData sheetId="595" refreshError="1"/>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sheetData sheetId="630"/>
      <sheetData sheetId="631"/>
      <sheetData sheetId="632"/>
      <sheetData sheetId="633">
        <row r="3">
          <cell r="D3" t="str">
            <v>Gujarat rehabilitation work of Mathak village for TWRI</v>
          </cell>
        </row>
      </sheetData>
      <sheetData sheetId="634">
        <row r="3">
          <cell r="D3" t="str">
            <v>Gujarat rehabilitation work of Mathak village for TWRI</v>
          </cell>
        </row>
      </sheetData>
      <sheetData sheetId="635">
        <row r="3">
          <cell r="D3" t="str">
            <v>Gujarat rehabilitation work of Mathak village for TWRI</v>
          </cell>
        </row>
      </sheetData>
      <sheetData sheetId="636"/>
      <sheetData sheetId="637"/>
      <sheetData sheetId="638"/>
      <sheetData sheetId="639"/>
      <sheetData sheetId="640"/>
      <sheetData sheetId="641"/>
      <sheetData sheetId="642"/>
      <sheetData sheetId="643">
        <row r="3">
          <cell r="D3" t="str">
            <v>Gujarat rehabilitation work of Mathak village for TWRI</v>
          </cell>
        </row>
      </sheetData>
      <sheetData sheetId="644">
        <row r="3">
          <cell r="D3" t="str">
            <v>Gujarat rehabilitation work of Mathak village for TWRI</v>
          </cell>
        </row>
      </sheetData>
      <sheetData sheetId="645"/>
      <sheetData sheetId="646">
        <row r="3">
          <cell r="D3" t="str">
            <v>Gujarat rehabilitation work of Mathak village for TWRI</v>
          </cell>
        </row>
      </sheetData>
      <sheetData sheetId="647">
        <row r="3">
          <cell r="D3" t="str">
            <v>Gujarat rehabilitation work of Mathak village for TWRI</v>
          </cell>
        </row>
      </sheetData>
      <sheetData sheetId="648">
        <row r="3">
          <cell r="D3" t="str">
            <v>Gujarat rehabilitation work of Mathak village for TWRI</v>
          </cell>
        </row>
      </sheetData>
      <sheetData sheetId="649"/>
      <sheetData sheetId="650">
        <row r="3">
          <cell r="D3" t="str">
            <v>Gujarat rehabilitation work of Mathak village for TWRI</v>
          </cell>
        </row>
      </sheetData>
      <sheetData sheetId="651">
        <row r="3">
          <cell r="D3" t="str">
            <v>Gujarat rehabilitation work of Mathak village for TWRI</v>
          </cell>
        </row>
      </sheetData>
      <sheetData sheetId="652">
        <row r="3">
          <cell r="D3" t="str">
            <v>Gujarat rehabilitation work of Mathak village for TWRI</v>
          </cell>
        </row>
      </sheetData>
      <sheetData sheetId="653"/>
      <sheetData sheetId="654">
        <row r="3">
          <cell r="D3" t="str">
            <v>Gujarat rehabilitation work of Mathak village for TWRI</v>
          </cell>
        </row>
      </sheetData>
      <sheetData sheetId="655">
        <row r="3">
          <cell r="D3" t="str">
            <v>Gujarat rehabilitation work of Mathak village for TWRI</v>
          </cell>
        </row>
      </sheetData>
      <sheetData sheetId="656">
        <row r="3">
          <cell r="D3" t="str">
            <v>Gujarat rehabilitation work of Mathak village for TWRI</v>
          </cell>
        </row>
      </sheetData>
      <sheetData sheetId="657"/>
      <sheetData sheetId="658">
        <row r="3">
          <cell r="D3" t="str">
            <v>Gujarat rehabilitation work of Mathak village for TWRI</v>
          </cell>
        </row>
      </sheetData>
      <sheetData sheetId="659">
        <row r="3">
          <cell r="D3" t="str">
            <v>Gujarat rehabilitation work of Mathak village for TWRI</v>
          </cell>
        </row>
      </sheetData>
      <sheetData sheetId="660">
        <row r="3">
          <cell r="D3" t="str">
            <v>Gujarat rehabilitation work of Mathak village for TWRI</v>
          </cell>
        </row>
      </sheetData>
      <sheetData sheetId="661">
        <row r="3">
          <cell r="D3" t="str">
            <v>Gujarat rehabilitation work of Mathak village for TWRI</v>
          </cell>
        </row>
      </sheetData>
      <sheetData sheetId="662">
        <row r="3">
          <cell r="D3" t="str">
            <v>Gujarat rehabilitation work of Mathak village for TWRI</v>
          </cell>
        </row>
      </sheetData>
      <sheetData sheetId="663">
        <row r="3">
          <cell r="D3" t="str">
            <v>Gujarat rehabilitation work of Mathak village for TWRI</v>
          </cell>
        </row>
      </sheetData>
      <sheetData sheetId="664">
        <row r="3">
          <cell r="D3" t="str">
            <v>Gujarat rehabilitation work of Mathak village for TWRI</v>
          </cell>
        </row>
      </sheetData>
      <sheetData sheetId="665">
        <row r="3">
          <cell r="D3" t="str">
            <v>Gujarat rehabilitation work of Mathak village for TWRI</v>
          </cell>
        </row>
      </sheetData>
      <sheetData sheetId="666">
        <row r="3">
          <cell r="D3" t="str">
            <v>Gujarat rehabilitation work of Mathak village for TWRI</v>
          </cell>
        </row>
      </sheetData>
      <sheetData sheetId="667">
        <row r="3">
          <cell r="D3" t="str">
            <v>Gujarat rehabilitation work of Mathak village for TWRI</v>
          </cell>
        </row>
      </sheetData>
      <sheetData sheetId="668"/>
      <sheetData sheetId="669">
        <row r="3">
          <cell r="D3" t="str">
            <v>Gujarat rehabilitation work of Mathak village for TWRI</v>
          </cell>
        </row>
      </sheetData>
      <sheetData sheetId="670">
        <row r="3">
          <cell r="D3" t="str">
            <v>Gujarat rehabilitation work of Mathak village for TWRI</v>
          </cell>
        </row>
      </sheetData>
      <sheetData sheetId="671">
        <row r="3">
          <cell r="D3" t="str">
            <v>Gujarat rehabilitation work of Mathak village for TWRI</v>
          </cell>
        </row>
      </sheetData>
      <sheetData sheetId="672">
        <row r="3">
          <cell r="D3" t="str">
            <v>Gujarat rehabilitation work of Mathak village for TWRI</v>
          </cell>
        </row>
      </sheetData>
      <sheetData sheetId="673">
        <row r="3">
          <cell r="D3" t="str">
            <v>Gujarat rehabilitation work of Mathak village for TWRI</v>
          </cell>
        </row>
      </sheetData>
      <sheetData sheetId="674">
        <row r="3">
          <cell r="D3" t="str">
            <v>Gujarat rehabilitation work of Mathak village for TWRI</v>
          </cell>
        </row>
      </sheetData>
      <sheetData sheetId="675">
        <row r="3">
          <cell r="D3" t="str">
            <v>Gujarat rehabilitation work of Mathak village for TWRI</v>
          </cell>
        </row>
      </sheetData>
      <sheetData sheetId="676"/>
      <sheetData sheetId="677">
        <row r="3">
          <cell r="D3" t="str">
            <v>Gujarat rehabilitation work of Mathak village for TWRI</v>
          </cell>
        </row>
      </sheetData>
      <sheetData sheetId="678">
        <row r="3">
          <cell r="D3" t="str">
            <v>Gujarat rehabilitation work of Mathak village for TWRI</v>
          </cell>
        </row>
      </sheetData>
      <sheetData sheetId="679"/>
      <sheetData sheetId="680">
        <row r="3">
          <cell r="D3" t="str">
            <v>Gujarat rehabilitation work of Mathak village for TWRI</v>
          </cell>
        </row>
      </sheetData>
      <sheetData sheetId="681">
        <row r="3">
          <cell r="D3" t="str">
            <v>Gujarat rehabilitation work of Mathak village for TWRI</v>
          </cell>
        </row>
      </sheetData>
      <sheetData sheetId="682">
        <row r="3">
          <cell r="D3" t="str">
            <v>Gujarat rehabilitation work of Mathak village for TWRI</v>
          </cell>
        </row>
      </sheetData>
      <sheetData sheetId="683">
        <row r="3">
          <cell r="D3" t="str">
            <v>Gujarat rehabilitation work of Mathak village for TWRI</v>
          </cell>
        </row>
      </sheetData>
      <sheetData sheetId="684"/>
      <sheetData sheetId="685">
        <row r="3">
          <cell r="D3" t="str">
            <v>Gujarat rehabilitation work of Mathak village for TWRI</v>
          </cell>
        </row>
      </sheetData>
      <sheetData sheetId="686">
        <row r="3">
          <cell r="D3" t="str">
            <v>Gujarat rehabilitation work of Mathak village for TWRI</v>
          </cell>
        </row>
      </sheetData>
      <sheetData sheetId="687">
        <row r="3">
          <cell r="D3" t="str">
            <v>Gujarat rehabilitation work of Mathak village for TWRI</v>
          </cell>
        </row>
      </sheetData>
      <sheetData sheetId="688">
        <row r="3">
          <cell r="D3" t="str">
            <v>Gujarat rehabilitation work of Mathak village for TWRI</v>
          </cell>
        </row>
      </sheetData>
      <sheetData sheetId="689">
        <row r="3">
          <cell r="D3" t="str">
            <v>Gujarat rehabilitation work of Mathak village for TWRI</v>
          </cell>
        </row>
      </sheetData>
      <sheetData sheetId="690">
        <row r="3">
          <cell r="D3" t="str">
            <v>Gujarat rehabilitation work of Mathak village for TWRI</v>
          </cell>
        </row>
      </sheetData>
      <sheetData sheetId="691">
        <row r="3">
          <cell r="D3" t="str">
            <v>Gujarat rehabilitation work of Mathak village for TWRI</v>
          </cell>
        </row>
      </sheetData>
      <sheetData sheetId="692">
        <row r="3">
          <cell r="D3" t="str">
            <v>Gujarat rehabilitation work of Mathak village for TWRI</v>
          </cell>
        </row>
      </sheetData>
      <sheetData sheetId="693">
        <row r="3">
          <cell r="D3" t="str">
            <v>Gujarat rehabilitation work of Mathak village for TWRI</v>
          </cell>
        </row>
      </sheetData>
      <sheetData sheetId="694">
        <row r="3">
          <cell r="D3" t="str">
            <v>Gujarat rehabilitation work of Mathak village for TWRI</v>
          </cell>
        </row>
      </sheetData>
      <sheetData sheetId="695">
        <row r="3">
          <cell r="D3" t="str">
            <v>Gujarat rehabilitation work of Mathak village for TWRI</v>
          </cell>
        </row>
      </sheetData>
      <sheetData sheetId="696">
        <row r="3">
          <cell r="D3" t="str">
            <v>Gujarat rehabilitation work of Mathak village for TWRI</v>
          </cell>
        </row>
      </sheetData>
      <sheetData sheetId="697">
        <row r="3">
          <cell r="D3" t="str">
            <v>Gujarat rehabilitation work of Mathak village for TWRI</v>
          </cell>
        </row>
      </sheetData>
      <sheetData sheetId="698"/>
      <sheetData sheetId="699">
        <row r="3">
          <cell r="D3" t="str">
            <v>Gujarat rehabilitation work of Mathak village for TWRI</v>
          </cell>
        </row>
      </sheetData>
      <sheetData sheetId="700">
        <row r="3">
          <cell r="D3" t="str">
            <v>Gujarat rehabilitation work of Mathak village for TWRI</v>
          </cell>
        </row>
      </sheetData>
      <sheetData sheetId="701">
        <row r="3">
          <cell r="D3" t="str">
            <v>Gujarat rehabilitation work of Mathak village for TWRI</v>
          </cell>
        </row>
      </sheetData>
      <sheetData sheetId="702">
        <row r="3">
          <cell r="D3" t="str">
            <v>Gujarat rehabilitation work of Mathak village for TWRI</v>
          </cell>
        </row>
      </sheetData>
      <sheetData sheetId="703"/>
      <sheetData sheetId="704">
        <row r="3">
          <cell r="D3" t="str">
            <v>Gujarat rehabilitation work of Mathak village for TWRI</v>
          </cell>
        </row>
      </sheetData>
      <sheetData sheetId="705">
        <row r="3">
          <cell r="D3" t="str">
            <v>Gujarat rehabilitation work of Mathak village for TWRI</v>
          </cell>
        </row>
      </sheetData>
      <sheetData sheetId="706"/>
      <sheetData sheetId="707"/>
      <sheetData sheetId="708"/>
      <sheetData sheetId="709">
        <row r="3">
          <cell r="D3" t="str">
            <v>Gujarat rehabilitation work of Mathak village for TWRI</v>
          </cell>
        </row>
      </sheetData>
      <sheetData sheetId="710">
        <row r="3">
          <cell r="D3" t="str">
            <v>Gujarat rehabilitation work of Mathak village for TWRI</v>
          </cell>
        </row>
      </sheetData>
      <sheetData sheetId="711">
        <row r="3">
          <cell r="D3" t="str">
            <v>Gujarat rehabilitation work of Mathak village for TWRI</v>
          </cell>
        </row>
      </sheetData>
      <sheetData sheetId="712">
        <row r="3">
          <cell r="D3" t="str">
            <v>Gujarat rehabilitation work of Mathak village for TWRI</v>
          </cell>
        </row>
      </sheetData>
      <sheetData sheetId="713">
        <row r="3">
          <cell r="D3" t="str">
            <v>Gujarat rehabilitation work of Mathak village for TWRI</v>
          </cell>
        </row>
      </sheetData>
      <sheetData sheetId="714">
        <row r="3">
          <cell r="D3" t="str">
            <v>Gujarat rehabilitation work of Mathak village for TWRI</v>
          </cell>
        </row>
      </sheetData>
      <sheetData sheetId="715">
        <row r="3">
          <cell r="D3" t="str">
            <v>Gujarat rehabilitation work of Mathak village for TWRI</v>
          </cell>
        </row>
      </sheetData>
      <sheetData sheetId="716">
        <row r="3">
          <cell r="D3" t="str">
            <v>Gujarat rehabilitation work of Mathak village for TWRI</v>
          </cell>
        </row>
      </sheetData>
      <sheetData sheetId="717">
        <row r="3">
          <cell r="D3" t="str">
            <v>Gujarat rehabilitation work of Mathak village for TWRI</v>
          </cell>
        </row>
      </sheetData>
      <sheetData sheetId="718">
        <row r="3">
          <cell r="D3" t="str">
            <v>Gujarat rehabilitation work of Mathak village for TWRI</v>
          </cell>
        </row>
      </sheetData>
      <sheetData sheetId="719">
        <row r="3">
          <cell r="D3" t="str">
            <v>Gujarat rehabilitation work of Mathak village for TWRI</v>
          </cell>
        </row>
      </sheetData>
      <sheetData sheetId="720"/>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row r="3">
          <cell r="D3" t="str">
            <v>Gujarat rehabilitation work of Mathak village for TWRI</v>
          </cell>
        </row>
      </sheetData>
      <sheetData sheetId="782">
        <row r="3">
          <cell r="D3" t="str">
            <v>Gujarat rehabilitation work of Mathak village for TWRI</v>
          </cell>
        </row>
      </sheetData>
      <sheetData sheetId="783">
        <row r="3">
          <cell r="D3" t="str">
            <v>Gujarat rehabilitation work of Mathak village for TWRI</v>
          </cell>
        </row>
      </sheetData>
      <sheetData sheetId="784">
        <row r="3">
          <cell r="D3" t="str">
            <v>Gujarat rehabilitation work of Mathak village for TWRI</v>
          </cell>
        </row>
      </sheetData>
      <sheetData sheetId="785">
        <row r="3">
          <cell r="D3" t="str">
            <v>Gujarat rehabilitation work of Mathak village for TWRI</v>
          </cell>
        </row>
      </sheetData>
      <sheetData sheetId="786">
        <row r="3">
          <cell r="D3" t="str">
            <v>Gujarat rehabilitation work of Mathak village for TWRI</v>
          </cell>
        </row>
      </sheetData>
      <sheetData sheetId="787">
        <row r="3">
          <cell r="D3" t="str">
            <v>Gujarat rehabilitation work of Mathak village for TWRI</v>
          </cell>
        </row>
      </sheetData>
      <sheetData sheetId="788">
        <row r="3">
          <cell r="D3" t="str">
            <v>Gujarat rehabilitation work of Mathak village for TWRI</v>
          </cell>
        </row>
      </sheetData>
      <sheetData sheetId="789">
        <row r="3">
          <cell r="D3" t="str">
            <v>Gujarat rehabilitation work of Mathak village for TWRI</v>
          </cell>
        </row>
      </sheetData>
      <sheetData sheetId="790">
        <row r="3">
          <cell r="D3" t="str">
            <v>Gujarat rehabilitation work of Mathak village for TWRI</v>
          </cell>
        </row>
      </sheetData>
      <sheetData sheetId="791">
        <row r="3">
          <cell r="D3" t="str">
            <v>Gujarat rehabilitation work of Mathak village for TWRI</v>
          </cell>
        </row>
      </sheetData>
      <sheetData sheetId="792">
        <row r="3">
          <cell r="D3" t="str">
            <v>Gujarat rehabilitation work of Mathak village for TWRI</v>
          </cell>
        </row>
      </sheetData>
      <sheetData sheetId="793">
        <row r="3">
          <cell r="D3" t="str">
            <v>Gujarat rehabilitation work of Mathak village for TWRI</v>
          </cell>
        </row>
      </sheetData>
      <sheetData sheetId="794"/>
      <sheetData sheetId="795">
        <row r="3">
          <cell r="D3" t="str">
            <v>Gujarat rehabilitation work of Mathak village for TWRI</v>
          </cell>
        </row>
      </sheetData>
      <sheetData sheetId="796"/>
      <sheetData sheetId="797">
        <row r="3">
          <cell r="D3" t="str">
            <v>Gujarat rehabilitation work of Mathak village for TWRI</v>
          </cell>
        </row>
      </sheetData>
      <sheetData sheetId="798">
        <row r="3">
          <cell r="D3" t="str">
            <v>Gujarat rehabilitation work of Mathak village for TWRI</v>
          </cell>
        </row>
      </sheetData>
      <sheetData sheetId="799">
        <row r="3">
          <cell r="D3" t="str">
            <v>Gujarat rehabilitation work of Mathak village for TWRI</v>
          </cell>
        </row>
      </sheetData>
      <sheetData sheetId="800">
        <row r="3">
          <cell r="D3" t="str">
            <v>Gujarat rehabilitation work of Mathak village for TWRI</v>
          </cell>
        </row>
      </sheetData>
      <sheetData sheetId="801">
        <row r="3">
          <cell r="D3" t="str">
            <v>Gujarat rehabilitation work of Mathak village for TWRI</v>
          </cell>
        </row>
      </sheetData>
      <sheetData sheetId="802"/>
      <sheetData sheetId="803">
        <row r="3">
          <cell r="D3" t="str">
            <v>Gujarat rehabilitation work of Mathak village for TWRI</v>
          </cell>
        </row>
      </sheetData>
      <sheetData sheetId="804">
        <row r="3">
          <cell r="D3" t="str">
            <v>Gujarat rehabilitation work of Mathak village for TWRI</v>
          </cell>
        </row>
      </sheetData>
      <sheetData sheetId="805"/>
      <sheetData sheetId="806">
        <row r="3">
          <cell r="D3" t="str">
            <v>Gujarat rehabilitation work of Mathak village for TWRI</v>
          </cell>
        </row>
      </sheetData>
      <sheetData sheetId="807"/>
      <sheetData sheetId="808">
        <row r="3">
          <cell r="D3" t="str">
            <v>Gujarat rehabilitation work of Mathak village for TWRI</v>
          </cell>
        </row>
      </sheetData>
      <sheetData sheetId="809">
        <row r="3">
          <cell r="D3" t="str">
            <v>Gujarat rehabilitation work of Mathak village for TWRI</v>
          </cell>
        </row>
      </sheetData>
      <sheetData sheetId="810">
        <row r="3">
          <cell r="D3" t="str">
            <v>Gujarat rehabilitation work of Mathak village for TWRI</v>
          </cell>
        </row>
      </sheetData>
      <sheetData sheetId="811">
        <row r="3">
          <cell r="D3" t="str">
            <v>Gujarat rehabilitation work of Mathak village for TWRI</v>
          </cell>
        </row>
      </sheetData>
      <sheetData sheetId="812">
        <row r="3">
          <cell r="D3" t="str">
            <v>Gujarat rehabilitation work of Mathak village for TWRI</v>
          </cell>
        </row>
      </sheetData>
      <sheetData sheetId="813"/>
      <sheetData sheetId="814">
        <row r="3">
          <cell r="D3" t="str">
            <v>Gujarat rehabilitation work of Mathak village for TWRI</v>
          </cell>
        </row>
      </sheetData>
      <sheetData sheetId="815"/>
      <sheetData sheetId="816"/>
      <sheetData sheetId="817"/>
      <sheetData sheetId="818"/>
      <sheetData sheetId="819"/>
      <sheetData sheetId="820">
        <row r="3">
          <cell r="D3" t="str">
            <v>Gujarat rehabilitation work of Mathak village for TWRI</v>
          </cell>
        </row>
      </sheetData>
      <sheetData sheetId="821"/>
      <sheetData sheetId="822">
        <row r="3">
          <cell r="D3" t="str">
            <v>Gujarat rehabilitation work of Mathak village for TWRI</v>
          </cell>
        </row>
      </sheetData>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sheetData sheetId="1270"/>
      <sheetData sheetId="1271"/>
      <sheetData sheetId="1272"/>
      <sheetData sheetId="1273"/>
      <sheetData sheetId="1274"/>
      <sheetData sheetId="1275"/>
      <sheetData sheetId="1276"/>
      <sheetData sheetId="1277"/>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sheetData sheetId="1640"/>
      <sheetData sheetId="1641"/>
      <sheetData sheetId="1642"/>
      <sheetData sheetId="1643"/>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Set>
  </externalBook>
</externalLink>
</file>

<file path=xl/persons/person.xml><?xml version="1.0" encoding="utf-8"?>
<personList xmlns="http://schemas.microsoft.com/office/spreadsheetml/2018/threadedcomments" xmlns:x="http://schemas.openxmlformats.org/spreadsheetml/2006/main">
  <person displayName="Aakash Agarwal" id="{77D897F9-1417-47F2-B2D7-4A5CA3DEA925}" userId="S::aakash.agarwal@tsmg.com::67ec77e7-bc8e-451e-be65-ffb7ba8847a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68" dT="2025-03-28T06:34:19.66" personId="{77D897F9-1417-47F2-B2D7-4A5CA3DEA925}" id="{36FAA5CF-AFAD-4EA2-8019-9F2CA479BF53}">
    <text>HSD Fuel rate</text>
  </threadedComment>
  <threadedComment ref="L68" dT="2025-03-28T06:34:52.98" personId="{77D897F9-1417-47F2-B2D7-4A5CA3DEA925}" id="{18D2362A-4E7E-41FE-88FC-6709A3CB9141}">
    <text>Litres per hour</text>
  </threadedComment>
  <threadedComment ref="P68" dT="2025-03-28T06:36:55.71" personId="{77D897F9-1417-47F2-B2D7-4A5CA3DEA925}" id="{62442426-661A-4C4B-86FE-FE8AD7D5F1A6}">
    <text>Fuel Cost per month</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24162-4625-4E05-B6D2-54858A98FAB7}">
  <sheetPr>
    <tabColor theme="4" tint="0.39997558519241921"/>
  </sheetPr>
  <dimension ref="A1:M104"/>
  <sheetViews>
    <sheetView showGridLines="0" tabSelected="1" zoomScale="75" zoomScaleNormal="80" workbookViewId="0">
      <selection activeCell="I6" sqref="I6"/>
    </sheetView>
  </sheetViews>
  <sheetFormatPr defaultColWidth="9.28515625" defaultRowHeight="15" outlineLevelRow="1" x14ac:dyDescent="0.25"/>
  <cols>
    <col min="1" max="1" width="5.140625" style="52" customWidth="1"/>
    <col min="2" max="2" width="50.42578125" style="8" customWidth="1"/>
    <col min="3" max="3" width="24.5703125" style="8" customWidth="1"/>
    <col min="4" max="5" width="21.28515625" style="8" bestFit="1" customWidth="1"/>
    <col min="6" max="7" width="26.28515625" style="8" bestFit="1" customWidth="1"/>
    <col min="8" max="8" width="21" style="8" bestFit="1" customWidth="1"/>
    <col min="9" max="9" width="54.42578125" style="8" customWidth="1"/>
    <col min="10" max="10" width="38.5703125" style="8" customWidth="1"/>
    <col min="11" max="11" width="19.28515625" style="8" bestFit="1" customWidth="1"/>
    <col min="12" max="12" width="16.7109375" style="8" customWidth="1"/>
    <col min="13" max="13" width="15.7109375" style="8" customWidth="1"/>
    <col min="14" max="14" width="22.42578125" style="8" customWidth="1"/>
    <col min="15" max="15" width="15.7109375" style="8" customWidth="1"/>
    <col min="16" max="18" width="9.28515625" style="8"/>
    <col min="19" max="19" width="15.42578125" style="8" bestFit="1" customWidth="1"/>
    <col min="20" max="16384" width="9.28515625" style="8"/>
  </cols>
  <sheetData>
    <row r="1" spans="1:13" x14ac:dyDescent="0.25">
      <c r="G1" s="18" t="s">
        <v>28</v>
      </c>
    </row>
    <row r="2" spans="1:13" s="22" customFormat="1" x14ac:dyDescent="0.25">
      <c r="A2" s="61"/>
      <c r="B2" s="19" t="s">
        <v>386</v>
      </c>
      <c r="C2" s="20"/>
      <c r="D2" s="20"/>
      <c r="E2" s="20"/>
      <c r="F2" s="20"/>
      <c r="G2" s="20"/>
      <c r="H2" s="20"/>
      <c r="I2" s="21"/>
      <c r="J2" s="21"/>
      <c r="K2" s="20"/>
      <c r="L2" s="20"/>
      <c r="M2" s="20"/>
    </row>
    <row r="5" spans="1:13" x14ac:dyDescent="0.25">
      <c r="B5" s="114" t="s">
        <v>332</v>
      </c>
    </row>
    <row r="6" spans="1:13" x14ac:dyDescent="0.25">
      <c r="B6" s="8" t="s">
        <v>44</v>
      </c>
      <c r="C6" s="8" t="s">
        <v>1</v>
      </c>
      <c r="D6" s="27">
        <v>37000</v>
      </c>
    </row>
    <row r="7" spans="1:13" x14ac:dyDescent="0.25">
      <c r="B7" s="8" t="s">
        <v>24</v>
      </c>
      <c r="C7" s="8" t="s">
        <v>14</v>
      </c>
      <c r="D7" s="127">
        <v>0.03</v>
      </c>
      <c r="E7" s="28" t="s">
        <v>388</v>
      </c>
    </row>
    <row r="8" spans="1:13" x14ac:dyDescent="0.25">
      <c r="B8" s="23" t="s">
        <v>45</v>
      </c>
      <c r="C8" s="23" t="s">
        <v>1</v>
      </c>
      <c r="D8" s="128">
        <f>D6*(1+D7)</f>
        <v>38110</v>
      </c>
    </row>
    <row r="10" spans="1:13" x14ac:dyDescent="0.25">
      <c r="B10" s="8" t="s">
        <v>338</v>
      </c>
      <c r="C10" s="8" t="s">
        <v>14</v>
      </c>
      <c r="D10" s="89">
        <v>2.5000000000000001E-2</v>
      </c>
    </row>
    <row r="12" spans="1:13" x14ac:dyDescent="0.25">
      <c r="A12" s="62">
        <v>1</v>
      </c>
      <c r="B12" s="24" t="s">
        <v>23</v>
      </c>
      <c r="C12" s="25"/>
      <c r="D12" s="25"/>
      <c r="E12" s="25"/>
      <c r="F12" s="25"/>
      <c r="G12" s="26"/>
      <c r="H12" s="26"/>
      <c r="I12" s="25"/>
      <c r="J12" s="25"/>
      <c r="K12" s="25"/>
    </row>
    <row r="14" spans="1:13" x14ac:dyDescent="0.25">
      <c r="B14" s="17"/>
      <c r="D14" s="36" t="s">
        <v>239</v>
      </c>
      <c r="E14" s="36" t="s">
        <v>330</v>
      </c>
    </row>
    <row r="15" spans="1:13" x14ac:dyDescent="0.25">
      <c r="B15" s="8" t="s">
        <v>351</v>
      </c>
      <c r="C15" s="28" t="s">
        <v>40</v>
      </c>
      <c r="D15" s="27">
        <f>D8*20%</f>
        <v>7622</v>
      </c>
      <c r="E15" s="27">
        <f>61700*(1.05)</f>
        <v>64785</v>
      </c>
      <c r="G15" s="58"/>
      <c r="I15" s="86"/>
    </row>
    <row r="16" spans="1:13" x14ac:dyDescent="0.25">
      <c r="B16" s="8" t="s">
        <v>353</v>
      </c>
      <c r="C16" s="28" t="s">
        <v>40</v>
      </c>
      <c r="D16" s="27">
        <f>D8*80%</f>
        <v>30488</v>
      </c>
      <c r="E16" s="27">
        <f>61700*(1.05)</f>
        <v>64785</v>
      </c>
    </row>
    <row r="17" spans="1:11" x14ac:dyDescent="0.25">
      <c r="B17" s="8" t="s">
        <v>352</v>
      </c>
      <c r="C17" s="28" t="s">
        <v>40</v>
      </c>
      <c r="D17" s="27">
        <v>0</v>
      </c>
      <c r="E17" s="27">
        <v>0</v>
      </c>
    </row>
    <row r="18" spans="1:11" x14ac:dyDescent="0.25">
      <c r="C18" s="28"/>
      <c r="D18" s="37">
        <f>SUM(D15:D17)</f>
        <v>38110</v>
      </c>
      <c r="E18" s="37">
        <f>SUMPRODUCT(D15:D17,E15:E17)/SUM(D15:D17)</f>
        <v>64785</v>
      </c>
    </row>
    <row r="20" spans="1:11" x14ac:dyDescent="0.25">
      <c r="A20" s="62">
        <v>2</v>
      </c>
      <c r="B20" s="24" t="s">
        <v>5</v>
      </c>
      <c r="C20" s="25"/>
      <c r="D20" s="25"/>
      <c r="E20" s="25"/>
      <c r="F20" s="25"/>
      <c r="G20" s="25"/>
      <c r="H20" s="25"/>
      <c r="I20" s="26"/>
      <c r="J20" s="26"/>
      <c r="K20" s="25"/>
    </row>
    <row r="23" spans="1:11" x14ac:dyDescent="0.25">
      <c r="B23" s="17" t="s">
        <v>222</v>
      </c>
      <c r="C23" s="36" t="s">
        <v>221</v>
      </c>
      <c r="E23" s="36" t="s">
        <v>239</v>
      </c>
    </row>
    <row r="24" spans="1:11" x14ac:dyDescent="0.25">
      <c r="A24" s="52" t="s">
        <v>84</v>
      </c>
      <c r="B24" s="8" t="s">
        <v>217</v>
      </c>
      <c r="C24" s="77" t="s">
        <v>223</v>
      </c>
      <c r="D24" s="76" t="s">
        <v>224</v>
      </c>
      <c r="E24" s="27">
        <f>D18*80%</f>
        <v>30488</v>
      </c>
    </row>
    <row r="25" spans="1:11" x14ac:dyDescent="0.25">
      <c r="A25" s="52" t="s">
        <v>85</v>
      </c>
      <c r="B25" s="8" t="s">
        <v>218</v>
      </c>
      <c r="C25" s="77" t="s">
        <v>423</v>
      </c>
      <c r="D25" s="76" t="s">
        <v>224</v>
      </c>
      <c r="E25" s="27">
        <f>D18*0%</f>
        <v>0</v>
      </c>
    </row>
    <row r="26" spans="1:11" x14ac:dyDescent="0.25">
      <c r="A26" s="52" t="s">
        <v>86</v>
      </c>
      <c r="B26" s="8" t="s">
        <v>219</v>
      </c>
      <c r="C26" s="77" t="s">
        <v>223</v>
      </c>
      <c r="D26" s="76" t="s">
        <v>224</v>
      </c>
      <c r="E26" s="27">
        <f>D18*20%</f>
        <v>7622</v>
      </c>
      <c r="G26" s="149">
        <v>0.14000000000000001</v>
      </c>
    </row>
    <row r="27" spans="1:11" x14ac:dyDescent="0.25">
      <c r="A27" s="52" t="s">
        <v>87</v>
      </c>
      <c r="B27" s="8" t="s">
        <v>62</v>
      </c>
      <c r="C27" s="77" t="s">
        <v>223</v>
      </c>
      <c r="D27" s="76" t="s">
        <v>224</v>
      </c>
      <c r="E27" s="27">
        <f>D18</f>
        <v>38110</v>
      </c>
    </row>
    <row r="28" spans="1:11" x14ac:dyDescent="0.25">
      <c r="C28" s="76"/>
      <c r="D28" s="76"/>
      <c r="E28" s="57"/>
      <c r="F28" s="8" t="s">
        <v>425</v>
      </c>
      <c r="G28" s="149">
        <v>0.06</v>
      </c>
    </row>
    <row r="29" spans="1:11" x14ac:dyDescent="0.25">
      <c r="A29" s="8"/>
    </row>
    <row r="30" spans="1:11" x14ac:dyDescent="0.25">
      <c r="A30" s="62">
        <v>3</v>
      </c>
      <c r="B30" s="24" t="s">
        <v>9</v>
      </c>
      <c r="C30" s="25"/>
      <c r="D30" s="25"/>
      <c r="E30" s="25"/>
      <c r="F30" s="25"/>
      <c r="G30" s="26"/>
      <c r="H30" s="26"/>
      <c r="I30" s="25"/>
      <c r="J30" s="25"/>
      <c r="K30" s="25"/>
    </row>
    <row r="31" spans="1:11" x14ac:dyDescent="0.25">
      <c r="C31" s="31"/>
      <c r="H31" s="87"/>
      <c r="I31" s="80"/>
      <c r="J31" s="80"/>
      <c r="K31" s="115"/>
    </row>
    <row r="32" spans="1:11" x14ac:dyDescent="0.25">
      <c r="B32" s="129" t="s">
        <v>367</v>
      </c>
      <c r="C32" s="31"/>
      <c r="H32" s="87"/>
      <c r="I32" s="80"/>
      <c r="J32" s="80"/>
      <c r="K32" s="115"/>
    </row>
    <row r="33" spans="1:13" x14ac:dyDescent="0.25">
      <c r="B33" s="28"/>
      <c r="C33" s="31"/>
      <c r="H33" s="87"/>
      <c r="I33" s="80"/>
      <c r="J33" s="80"/>
      <c r="K33" s="115"/>
    </row>
    <row r="34" spans="1:13" x14ac:dyDescent="0.25">
      <c r="B34" s="17" t="s">
        <v>222</v>
      </c>
      <c r="C34" s="36" t="s">
        <v>221</v>
      </c>
      <c r="H34" s="87"/>
      <c r="I34" s="80"/>
      <c r="J34" s="80"/>
      <c r="K34" s="115"/>
    </row>
    <row r="35" spans="1:13" x14ac:dyDescent="0.25">
      <c r="A35" s="52" t="s">
        <v>84</v>
      </c>
      <c r="B35" s="8" t="s">
        <v>217</v>
      </c>
      <c r="C35" s="37" t="str">
        <f>C24</f>
        <v>Yes</v>
      </c>
      <c r="H35" s="87"/>
      <c r="I35" s="80"/>
      <c r="J35" s="80"/>
      <c r="K35" s="115"/>
    </row>
    <row r="36" spans="1:13" x14ac:dyDescent="0.25">
      <c r="A36" s="52" t="s">
        <v>85</v>
      </c>
      <c r="B36" s="8" t="s">
        <v>218</v>
      </c>
      <c r="C36" s="37" t="str">
        <f>C25</f>
        <v>No</v>
      </c>
      <c r="D36" s="76"/>
      <c r="H36" s="87"/>
      <c r="I36" s="80"/>
      <c r="J36" s="80"/>
      <c r="K36" s="115"/>
    </row>
    <row r="37" spans="1:13" x14ac:dyDescent="0.25">
      <c r="A37" s="52" t="s">
        <v>86</v>
      </c>
      <c r="B37" s="8" t="s">
        <v>219</v>
      </c>
      <c r="C37" s="37" t="str">
        <f>C26</f>
        <v>Yes</v>
      </c>
      <c r="D37" s="76"/>
      <c r="H37" s="87"/>
      <c r="I37" s="80"/>
      <c r="J37" s="80"/>
      <c r="K37" s="115"/>
    </row>
    <row r="38" spans="1:13" x14ac:dyDescent="0.25">
      <c r="A38" s="52" t="s">
        <v>87</v>
      </c>
      <c r="B38" s="8" t="s">
        <v>62</v>
      </c>
      <c r="C38" s="37" t="str">
        <f>C27</f>
        <v>Yes</v>
      </c>
      <c r="D38" s="76"/>
      <c r="H38" s="87"/>
      <c r="I38" s="80"/>
      <c r="J38" s="80"/>
      <c r="K38" s="115"/>
    </row>
    <row r="39" spans="1:13" x14ac:dyDescent="0.25">
      <c r="F39" s="8" t="s">
        <v>425</v>
      </c>
      <c r="G39" s="8" t="s">
        <v>426</v>
      </c>
      <c r="H39" s="8" t="s">
        <v>427</v>
      </c>
    </row>
    <row r="40" spans="1:13" x14ac:dyDescent="0.25">
      <c r="A40" s="62">
        <v>4</v>
      </c>
      <c r="B40" s="24" t="s">
        <v>16</v>
      </c>
      <c r="C40" s="25"/>
      <c r="D40" s="25"/>
      <c r="E40" s="25"/>
      <c r="F40" s="25"/>
      <c r="G40" s="25"/>
      <c r="H40" s="25"/>
      <c r="I40" s="26"/>
      <c r="J40" s="26"/>
      <c r="K40" s="25"/>
      <c r="L40" s="25"/>
      <c r="M40" s="25"/>
    </row>
    <row r="42" spans="1:13" outlineLevel="1" x14ac:dyDescent="0.25">
      <c r="A42" s="63">
        <f>MAX($A$1:A41)+0.1</f>
        <v>4.0999999999999996</v>
      </c>
      <c r="B42" s="41" t="s">
        <v>333</v>
      </c>
      <c r="C42" s="88" t="s">
        <v>223</v>
      </c>
      <c r="D42" s="76" t="s">
        <v>224</v>
      </c>
    </row>
    <row r="43" spans="1:13" outlineLevel="1" x14ac:dyDescent="0.25"/>
    <row r="44" spans="1:13" outlineLevel="1" x14ac:dyDescent="0.25">
      <c r="D44" s="42"/>
    </row>
    <row r="45" spans="1:13" outlineLevel="1" x14ac:dyDescent="0.25">
      <c r="A45" s="63">
        <f>MAX($A$1:A42)+0.1</f>
        <v>4.1999999999999993</v>
      </c>
      <c r="B45" s="41" t="s">
        <v>334</v>
      </c>
      <c r="C45" s="88" t="s">
        <v>223</v>
      </c>
      <c r="D45" s="76" t="s">
        <v>224</v>
      </c>
    </row>
    <row r="46" spans="1:13" outlineLevel="1" x14ac:dyDescent="0.25">
      <c r="B46" s="31"/>
      <c r="C46" s="31"/>
    </row>
    <row r="47" spans="1:13" outlineLevel="1" x14ac:dyDescent="0.25">
      <c r="A47" s="63">
        <f>MAX($A$1:A46)+0.1</f>
        <v>4.2999999999999989</v>
      </c>
      <c r="B47" s="41" t="s">
        <v>15</v>
      </c>
      <c r="C47" s="31"/>
    </row>
    <row r="48" spans="1:13" outlineLevel="1" x14ac:dyDescent="0.25">
      <c r="A48" s="63" t="s">
        <v>277</v>
      </c>
      <c r="B48" s="41" t="s">
        <v>250</v>
      </c>
    </row>
    <row r="49" spans="1:6" outlineLevel="1" x14ac:dyDescent="0.25">
      <c r="A49" s="92"/>
      <c r="B49" s="91"/>
      <c r="C49" s="31"/>
    </row>
    <row r="50" spans="1:6" outlineLevel="1" x14ac:dyDescent="0.25">
      <c r="A50" s="92" t="s">
        <v>41</v>
      </c>
      <c r="B50" s="41" t="s">
        <v>270</v>
      </c>
      <c r="C50" s="31"/>
      <c r="D50" s="36"/>
    </row>
    <row r="51" spans="1:6" outlineLevel="1" x14ac:dyDescent="0.25">
      <c r="A51" s="92"/>
      <c r="B51" s="109" t="s">
        <v>314</v>
      </c>
      <c r="C51" s="31" t="s">
        <v>269</v>
      </c>
      <c r="D51" s="38">
        <v>0.6</v>
      </c>
    </row>
    <row r="52" spans="1:6" outlineLevel="1" x14ac:dyDescent="0.25">
      <c r="A52" s="92"/>
      <c r="B52" s="109" t="s">
        <v>315</v>
      </c>
      <c r="C52" s="31" t="s">
        <v>269</v>
      </c>
      <c r="D52" s="38">
        <v>0.25</v>
      </c>
    </row>
    <row r="53" spans="1:6" outlineLevel="1" x14ac:dyDescent="0.25">
      <c r="A53" s="92"/>
      <c r="B53" s="109" t="s">
        <v>316</v>
      </c>
      <c r="C53" s="31" t="s">
        <v>269</v>
      </c>
      <c r="D53" s="38">
        <v>0.15</v>
      </c>
    </row>
    <row r="54" spans="1:6" outlineLevel="1" x14ac:dyDescent="0.25">
      <c r="A54" s="92"/>
      <c r="B54" s="91"/>
      <c r="C54" s="31"/>
      <c r="D54" s="96">
        <f>SUM(D51:D53)</f>
        <v>1</v>
      </c>
    </row>
    <row r="55" spans="1:6" outlineLevel="1" x14ac:dyDescent="0.25">
      <c r="A55" s="92"/>
      <c r="B55" s="91"/>
      <c r="C55" s="31"/>
      <c r="E55" s="98"/>
      <c r="F55" s="80"/>
    </row>
    <row r="56" spans="1:6" outlineLevel="1" x14ac:dyDescent="0.25">
      <c r="A56" s="63" t="s">
        <v>251</v>
      </c>
      <c r="B56" s="41" t="s">
        <v>62</v>
      </c>
      <c r="C56" s="31"/>
      <c r="D56" s="42"/>
    </row>
    <row r="57" spans="1:6" outlineLevel="1" x14ac:dyDescent="0.25">
      <c r="A57" s="92"/>
      <c r="B57" s="41"/>
      <c r="C57" s="31"/>
      <c r="D57" s="42"/>
    </row>
    <row r="58" spans="1:6" outlineLevel="1" x14ac:dyDescent="0.25">
      <c r="A58" s="92" t="s">
        <v>41</v>
      </c>
      <c r="B58" s="41" t="s">
        <v>335</v>
      </c>
      <c r="C58" s="77" t="s">
        <v>223</v>
      </c>
      <c r="D58" s="76" t="s">
        <v>224</v>
      </c>
    </row>
    <row r="59" spans="1:6" outlineLevel="1" x14ac:dyDescent="0.25">
      <c r="A59" s="92"/>
      <c r="B59" s="41"/>
      <c r="C59" s="31"/>
    </row>
    <row r="60" spans="1:6" outlineLevel="1" x14ac:dyDescent="0.25">
      <c r="A60" s="92" t="s">
        <v>41</v>
      </c>
      <c r="B60" s="41" t="s">
        <v>336</v>
      </c>
      <c r="C60" s="77" t="s">
        <v>223</v>
      </c>
      <c r="D60" s="76" t="s">
        <v>224</v>
      </c>
    </row>
    <row r="61" spans="1:6" outlineLevel="1" x14ac:dyDescent="0.25">
      <c r="A61" s="92"/>
      <c r="B61" s="41"/>
      <c r="C61" s="31"/>
    </row>
    <row r="62" spans="1:6" outlineLevel="1" x14ac:dyDescent="0.25">
      <c r="A62" s="92" t="s">
        <v>41</v>
      </c>
      <c r="B62" s="41" t="s">
        <v>337</v>
      </c>
      <c r="C62" s="31"/>
      <c r="D62" s="36"/>
    </row>
    <row r="63" spans="1:6" outlineLevel="1" x14ac:dyDescent="0.25">
      <c r="A63" s="92" t="s">
        <v>30</v>
      </c>
      <c r="B63" s="8" t="s">
        <v>279</v>
      </c>
      <c r="C63" s="31" t="s">
        <v>269</v>
      </c>
      <c r="D63" s="38">
        <v>0.8</v>
      </c>
    </row>
    <row r="64" spans="1:6" outlineLevel="1" x14ac:dyDescent="0.25">
      <c r="A64" s="92" t="s">
        <v>31</v>
      </c>
      <c r="B64" s="91" t="s">
        <v>280</v>
      </c>
      <c r="C64" s="31" t="s">
        <v>269</v>
      </c>
      <c r="D64" s="38">
        <v>0.2</v>
      </c>
    </row>
    <row r="65" spans="1:11" outlineLevel="1" x14ac:dyDescent="0.25">
      <c r="A65" s="92"/>
      <c r="B65" s="91" t="s">
        <v>282</v>
      </c>
      <c r="C65" s="31"/>
      <c r="D65" s="96">
        <f>SUM(D63:D64)</f>
        <v>1</v>
      </c>
    </row>
    <row r="66" spans="1:11" outlineLevel="1" x14ac:dyDescent="0.25">
      <c r="A66" s="92"/>
      <c r="C66" s="31"/>
    </row>
    <row r="67" spans="1:11" outlineLevel="1" x14ac:dyDescent="0.25">
      <c r="A67" s="92"/>
      <c r="B67" s="41"/>
      <c r="C67" s="31"/>
      <c r="D67" s="42"/>
    </row>
    <row r="68" spans="1:11" outlineLevel="1" x14ac:dyDescent="0.25">
      <c r="A68" s="92" t="s">
        <v>41</v>
      </c>
      <c r="B68" s="41" t="s">
        <v>285</v>
      </c>
      <c r="C68" s="31"/>
      <c r="D68" s="36" t="s">
        <v>366</v>
      </c>
      <c r="E68" s="36" t="s">
        <v>362</v>
      </c>
      <c r="F68" s="36" t="s">
        <v>365</v>
      </c>
      <c r="G68" s="36" t="s">
        <v>364</v>
      </c>
    </row>
    <row r="69" spans="1:11" outlineLevel="1" x14ac:dyDescent="0.25">
      <c r="A69" s="92"/>
      <c r="B69" s="91" t="s">
        <v>361</v>
      </c>
      <c r="C69" s="31" t="s">
        <v>40</v>
      </c>
      <c r="D69" s="77" t="s">
        <v>223</v>
      </c>
      <c r="E69" s="27">
        <v>1</v>
      </c>
      <c r="F69" s="27">
        <v>30</v>
      </c>
      <c r="G69" s="126">
        <f>IFERROR(E69*F69,"")</f>
        <v>30</v>
      </c>
    </row>
    <row r="70" spans="1:11" outlineLevel="1" x14ac:dyDescent="0.25">
      <c r="A70" s="92"/>
      <c r="B70" s="91" t="s">
        <v>358</v>
      </c>
      <c r="C70" s="31" t="s">
        <v>40</v>
      </c>
      <c r="D70" s="77" t="s">
        <v>223</v>
      </c>
      <c r="E70" s="27">
        <v>1</v>
      </c>
      <c r="F70" s="27">
        <v>50</v>
      </c>
      <c r="G70" s="126">
        <f t="shared" ref="G70:G71" si="0">IFERROR(E70*F70,"")</f>
        <v>50</v>
      </c>
    </row>
    <row r="71" spans="1:11" outlineLevel="1" x14ac:dyDescent="0.25">
      <c r="A71" s="92"/>
      <c r="B71" s="91" t="s">
        <v>360</v>
      </c>
      <c r="C71" s="31" t="s">
        <v>40</v>
      </c>
      <c r="D71" s="77" t="s">
        <v>223</v>
      </c>
      <c r="E71" s="27">
        <v>1</v>
      </c>
      <c r="F71" s="27">
        <v>50</v>
      </c>
      <c r="G71" s="126">
        <f t="shared" si="0"/>
        <v>50</v>
      </c>
    </row>
    <row r="72" spans="1:11" outlineLevel="1" x14ac:dyDescent="0.25">
      <c r="A72" s="92"/>
      <c r="B72" s="41"/>
      <c r="C72" s="31"/>
      <c r="F72" s="126">
        <f>SUM(F69:F71)</f>
        <v>130</v>
      </c>
      <c r="G72" s="126">
        <f>SUM(G69:G71)</f>
        <v>130</v>
      </c>
    </row>
    <row r="73" spans="1:11" outlineLevel="1" x14ac:dyDescent="0.25">
      <c r="A73" s="92"/>
      <c r="B73" s="41"/>
      <c r="C73" s="31"/>
      <c r="F73" s="135"/>
      <c r="G73" s="135"/>
    </row>
    <row r="76" spans="1:11" outlineLevel="1" x14ac:dyDescent="0.25">
      <c r="A76" s="92"/>
      <c r="B76" s="41"/>
      <c r="C76" s="31"/>
    </row>
    <row r="77" spans="1:11" x14ac:dyDescent="0.25">
      <c r="A77" s="62">
        <v>5</v>
      </c>
      <c r="B77" s="24" t="s">
        <v>19</v>
      </c>
      <c r="C77" s="25"/>
      <c r="D77" s="25"/>
      <c r="E77" s="25"/>
      <c r="F77" s="25"/>
      <c r="G77" s="26"/>
      <c r="H77" s="26"/>
      <c r="I77" s="25"/>
      <c r="J77" s="25"/>
      <c r="K77" s="25"/>
    </row>
    <row r="79" spans="1:11" x14ac:dyDescent="0.25">
      <c r="B79" s="8" t="s">
        <v>342</v>
      </c>
      <c r="C79" s="8" t="s">
        <v>14</v>
      </c>
      <c r="D79" s="122">
        <v>0.02</v>
      </c>
    </row>
    <row r="80" spans="1:11" x14ac:dyDescent="0.25">
      <c r="B80" s="8" t="s">
        <v>21</v>
      </c>
      <c r="C80" s="8" t="s">
        <v>14</v>
      </c>
      <c r="D80" s="122">
        <v>0.02</v>
      </c>
      <c r="F80" s="8" t="s">
        <v>428</v>
      </c>
    </row>
    <row r="81" spans="1:11" x14ac:dyDescent="0.25">
      <c r="B81" s="46" t="s">
        <v>22</v>
      </c>
      <c r="C81" s="47" t="s">
        <v>14</v>
      </c>
      <c r="D81" s="130">
        <f>D79+D80</f>
        <v>0.04</v>
      </c>
      <c r="E81" s="79"/>
    </row>
    <row r="84" spans="1:11" x14ac:dyDescent="0.25">
      <c r="A84" s="62">
        <v>6</v>
      </c>
      <c r="B84" s="24" t="s">
        <v>159</v>
      </c>
      <c r="C84" s="25"/>
      <c r="D84" s="25"/>
      <c r="E84" s="25"/>
      <c r="F84" s="25"/>
      <c r="G84" s="26"/>
      <c r="H84" s="26"/>
      <c r="I84" s="25"/>
      <c r="J84" s="25"/>
      <c r="K84" s="25"/>
    </row>
    <row r="86" spans="1:11" x14ac:dyDescent="0.25">
      <c r="B86" s="8" t="s">
        <v>44</v>
      </c>
      <c r="C86" s="8" t="s">
        <v>1</v>
      </c>
      <c r="D86" s="37">
        <f>D6</f>
        <v>37000</v>
      </c>
    </row>
    <row r="87" spans="1:11" x14ac:dyDescent="0.25">
      <c r="B87" s="110" t="s">
        <v>303</v>
      </c>
      <c r="C87" s="8" t="s">
        <v>1</v>
      </c>
      <c r="D87" s="27">
        <v>5000</v>
      </c>
    </row>
    <row r="88" spans="1:11" x14ac:dyDescent="0.25">
      <c r="B88" s="110" t="s">
        <v>304</v>
      </c>
      <c r="C88" s="8" t="s">
        <v>1</v>
      </c>
      <c r="D88" s="27">
        <v>0</v>
      </c>
    </row>
    <row r="89" spans="1:11" x14ac:dyDescent="0.25">
      <c r="B89" s="110"/>
    </row>
    <row r="90" spans="1:11" x14ac:dyDescent="0.25">
      <c r="B90" s="8" t="s">
        <v>63</v>
      </c>
      <c r="C90" s="31" t="s">
        <v>64</v>
      </c>
      <c r="D90" s="27">
        <v>500</v>
      </c>
    </row>
    <row r="91" spans="1:11" x14ac:dyDescent="0.25">
      <c r="A91" s="31"/>
    </row>
    <row r="92" spans="1:11" x14ac:dyDescent="0.25">
      <c r="A92" s="62">
        <v>7</v>
      </c>
      <c r="B92" s="24" t="s">
        <v>383</v>
      </c>
      <c r="C92" s="25"/>
      <c r="D92" s="25"/>
      <c r="E92" s="25"/>
      <c r="F92" s="25"/>
      <c r="G92" s="26"/>
      <c r="H92" s="26"/>
      <c r="I92" s="25"/>
      <c r="J92" s="25"/>
      <c r="K92" s="25"/>
    </row>
    <row r="93" spans="1:11" x14ac:dyDescent="0.25">
      <c r="A93" s="31"/>
    </row>
    <row r="94" spans="1:11" x14ac:dyDescent="0.25">
      <c r="A94" s="31"/>
      <c r="B94" s="2" t="s">
        <v>384</v>
      </c>
      <c r="C94" s="8" t="s">
        <v>385</v>
      </c>
      <c r="D94" s="38">
        <v>0.05</v>
      </c>
    </row>
    <row r="95" spans="1:11" x14ac:dyDescent="0.25">
      <c r="D95" s="57"/>
      <c r="E95" s="57"/>
    </row>
    <row r="97" spans="1:11" x14ac:dyDescent="0.25">
      <c r="A97" s="62">
        <v>8</v>
      </c>
      <c r="B97" s="24" t="s">
        <v>414</v>
      </c>
      <c r="C97" s="25"/>
      <c r="D97" s="25"/>
      <c r="E97" s="25"/>
      <c r="F97" s="25"/>
      <c r="G97" s="26"/>
      <c r="H97" s="26"/>
      <c r="I97" s="25"/>
      <c r="J97" s="25"/>
      <c r="K97" s="25"/>
    </row>
    <row r="98" spans="1:11" x14ac:dyDescent="0.25">
      <c r="A98" s="145"/>
      <c r="B98" s="146"/>
      <c r="C98" s="147"/>
      <c r="D98" s="147"/>
      <c r="E98" s="147"/>
      <c r="F98" s="147"/>
      <c r="G98" s="148"/>
      <c r="H98" s="148"/>
      <c r="I98" s="147"/>
      <c r="J98" s="147"/>
      <c r="K98" s="147"/>
    </row>
    <row r="99" spans="1:11" x14ac:dyDescent="0.25">
      <c r="B99" s="8" t="s">
        <v>412</v>
      </c>
      <c r="C99" s="8" t="s">
        <v>14</v>
      </c>
      <c r="D99" s="38">
        <v>0.03</v>
      </c>
    </row>
    <row r="100" spans="1:11" x14ac:dyDescent="0.25">
      <c r="B100" s="8" t="s">
        <v>413</v>
      </c>
      <c r="C100" s="31" t="s">
        <v>271</v>
      </c>
      <c r="D100" s="27">
        <v>180</v>
      </c>
    </row>
    <row r="102" spans="1:11" x14ac:dyDescent="0.25">
      <c r="A102" s="62">
        <v>9</v>
      </c>
      <c r="B102" s="24" t="s">
        <v>415</v>
      </c>
      <c r="C102" s="25"/>
      <c r="D102" s="25"/>
      <c r="E102" s="25"/>
      <c r="F102" s="25"/>
      <c r="G102" s="26"/>
      <c r="H102" s="26"/>
      <c r="I102" s="25"/>
      <c r="J102" s="25"/>
      <c r="K102" s="25"/>
    </row>
    <row r="103" spans="1:11" x14ac:dyDescent="0.25">
      <c r="A103" s="145"/>
      <c r="B103" s="146"/>
      <c r="C103" s="147"/>
      <c r="D103" s="147"/>
      <c r="E103" s="147"/>
      <c r="F103" s="147"/>
      <c r="G103" s="148"/>
      <c r="H103" s="148"/>
      <c r="I103" s="147"/>
      <c r="J103" s="147"/>
      <c r="K103" s="147"/>
    </row>
    <row r="104" spans="1:11" x14ac:dyDescent="0.25">
      <c r="B104" s="2" t="s">
        <v>418</v>
      </c>
      <c r="C104" s="31" t="s">
        <v>0</v>
      </c>
      <c r="D104" s="27">
        <v>26000</v>
      </c>
    </row>
  </sheetData>
  <dataValidations count="1">
    <dataValidation type="list" allowBlank="1" showInputMessage="1" showErrorMessage="1" sqref="C24:C27 C42 C45 C58 C60 D69:D71" xr:uid="{0631C8F2-9A24-4FC9-A6B4-69F71E0113BC}">
      <formula1>"Yes,No"</formula1>
    </dataValidation>
  </dataValidations>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51961-363D-4B93-B25B-77D44A532B6E}">
  <sheetPr>
    <tabColor theme="4" tint="-0.249977111117893"/>
  </sheetPr>
  <dimension ref="A2:M54"/>
  <sheetViews>
    <sheetView showGridLines="0" zoomScale="75" zoomScaleNormal="94" workbookViewId="0">
      <pane ySplit="10" topLeftCell="A11" activePane="bottomLeft" state="frozen"/>
      <selection pane="bottomLeft" activeCell="H38" sqref="H38"/>
    </sheetView>
  </sheetViews>
  <sheetFormatPr defaultRowHeight="15" outlineLevelRow="2" x14ac:dyDescent="0.25"/>
  <cols>
    <col min="2" max="2" width="52.7109375" customWidth="1"/>
    <col min="3" max="3" width="17.85546875" bestFit="1" customWidth="1"/>
    <col min="4" max="4" width="13" customWidth="1"/>
    <col min="7" max="7" width="20" bestFit="1" customWidth="1"/>
    <col min="8" max="8" width="10.85546875" bestFit="1" customWidth="1"/>
  </cols>
  <sheetData>
    <row r="2" spans="1:13" s="22" customFormat="1" x14ac:dyDescent="0.25">
      <c r="A2" s="61"/>
      <c r="B2" s="19" t="s">
        <v>355</v>
      </c>
      <c r="C2" s="20"/>
      <c r="D2" s="20"/>
      <c r="E2" s="20"/>
      <c r="F2" s="20"/>
      <c r="G2" s="20"/>
      <c r="H2" s="20"/>
      <c r="I2" s="21"/>
      <c r="J2" s="21"/>
      <c r="K2" s="20"/>
      <c r="L2" s="20"/>
      <c r="M2" s="20"/>
    </row>
    <row r="3" spans="1:13" s="54" customFormat="1" ht="16.5" thickBot="1" x14ac:dyDescent="0.3">
      <c r="A3" s="103"/>
    </row>
    <row r="4" spans="1:13" ht="15.75" thickTop="1" x14ac:dyDescent="0.25">
      <c r="C4" s="139"/>
      <c r="D4" s="139"/>
    </row>
    <row r="5" spans="1:13" x14ac:dyDescent="0.25">
      <c r="B5" t="s">
        <v>320</v>
      </c>
      <c r="C5" s="121">
        <f>Input!D6</f>
        <v>37000</v>
      </c>
      <c r="D5" s="106" t="s">
        <v>1</v>
      </c>
    </row>
    <row r="6" spans="1:13" x14ac:dyDescent="0.25">
      <c r="C6" s="106"/>
      <c r="D6" s="106"/>
    </row>
    <row r="7" spans="1:13" x14ac:dyDescent="0.25">
      <c r="C7" s="16" t="s">
        <v>2</v>
      </c>
      <c r="D7" s="16" t="s">
        <v>0</v>
      </c>
    </row>
    <row r="8" spans="1:13" x14ac:dyDescent="0.25">
      <c r="A8" s="1">
        <v>1</v>
      </c>
      <c r="B8" s="1" t="s">
        <v>356</v>
      </c>
      <c r="C8" s="111">
        <f>SUM(C13,C28,C32,C33)</f>
        <v>4560230961.4813442</v>
      </c>
      <c r="D8" s="111">
        <f>SUM(D13,D28,D32,D33)</f>
        <v>123200</v>
      </c>
    </row>
    <row r="9" spans="1:13" x14ac:dyDescent="0.25">
      <c r="A9" s="112"/>
      <c r="B9" s="112"/>
      <c r="C9" s="113"/>
      <c r="D9" s="113"/>
    </row>
    <row r="11" spans="1:13" x14ac:dyDescent="0.25">
      <c r="A11" s="5" t="s">
        <v>30</v>
      </c>
      <c r="B11" s="6" t="s">
        <v>161</v>
      </c>
      <c r="C11" s="9"/>
      <c r="D11" s="9"/>
    </row>
    <row r="13" spans="1:13" outlineLevel="1" x14ac:dyDescent="0.25">
      <c r="B13" s="3" t="s">
        <v>376</v>
      </c>
      <c r="C13" s="102">
        <f>SUM(C14,C15:C19,C23,C26)</f>
        <v>3394730961.4813442</v>
      </c>
      <c r="D13" s="102">
        <f>SUM(D14,D15:D19,D23,D26)</f>
        <v>91700</v>
      </c>
      <c r="H13" s="140"/>
    </row>
    <row r="14" spans="1:13" outlineLevel="1" x14ac:dyDescent="0.25">
      <c r="A14" s="4" t="s">
        <v>41</v>
      </c>
      <c r="B14" t="s">
        <v>379</v>
      </c>
      <c r="C14" s="12">
        <f>'Calculation Sheet'!F20-'Calculation Sheet'!F23</f>
        <v>2438094395.625</v>
      </c>
      <c r="D14" s="12">
        <f>IFERROR(ROUND(C14/C5,-2),"")</f>
        <v>65900</v>
      </c>
      <c r="G14" s="55"/>
      <c r="H14" s="140"/>
      <c r="I14" s="55"/>
    </row>
    <row r="15" spans="1:13" outlineLevel="1" x14ac:dyDescent="0.25">
      <c r="A15" s="4" t="s">
        <v>41</v>
      </c>
      <c r="B15" t="s">
        <v>29</v>
      </c>
      <c r="C15" s="12">
        <f>'Calculation Sheet'!I34</f>
        <v>89664361.111111104</v>
      </c>
      <c r="D15" s="12">
        <f>ROUND(C15/$C$5,-2)</f>
        <v>2400</v>
      </c>
      <c r="E15" s="55"/>
      <c r="H15" s="140"/>
      <c r="I15" s="55"/>
    </row>
    <row r="16" spans="1:13" outlineLevel="1" x14ac:dyDescent="0.25">
      <c r="A16" s="4" t="s">
        <v>41</v>
      </c>
      <c r="B16" t="s">
        <v>17</v>
      </c>
      <c r="C16" s="12">
        <f>'Calculation Sheet'!J149</f>
        <v>275575038.63247865</v>
      </c>
      <c r="D16" s="12">
        <f>ROUND(C16/$C$5,-2)</f>
        <v>7400</v>
      </c>
      <c r="E16" s="55"/>
      <c r="H16" s="140"/>
    </row>
    <row r="17" spans="1:8" outlineLevel="1" x14ac:dyDescent="0.25">
      <c r="A17" s="4" t="s">
        <v>41</v>
      </c>
      <c r="B17" t="s">
        <v>38</v>
      </c>
      <c r="C17" s="13">
        <f>SUM(C14,C15:C16,C18:C19,C26)*'Calculation Sheet'!$D$291</f>
        <v>128887740.66476206</v>
      </c>
      <c r="D17" s="12">
        <f>ROUND(C17/$C$5,-2)</f>
        <v>3500</v>
      </c>
      <c r="E17" s="55"/>
      <c r="H17" s="140"/>
    </row>
    <row r="18" spans="1:8" outlineLevel="1" x14ac:dyDescent="0.25">
      <c r="A18" s="4" t="s">
        <v>41</v>
      </c>
      <c r="B18" t="s">
        <v>266</v>
      </c>
      <c r="C18" s="12">
        <f>IFERROR(SUMPRODUCT('Calculation Sheet'!$E$29:$E$33,'Calculation Sheet'!$F$225:$F$229),0)+IFERROR(('Calculation Sheet'!E232*'Calculation Sheet'!E233)*C5,0)</f>
        <v>48859721.250461549</v>
      </c>
      <c r="D18" s="12">
        <f>ROUND(C18/$C$5,-2)</f>
        <v>1300</v>
      </c>
      <c r="E18" s="55"/>
      <c r="H18" s="140"/>
    </row>
    <row r="19" spans="1:8" outlineLevel="1" x14ac:dyDescent="0.25">
      <c r="A19" s="4" t="s">
        <v>41</v>
      </c>
      <c r="B19" t="s">
        <v>297</v>
      </c>
      <c r="C19" s="12">
        <f>SUM(C20:C22)</f>
        <v>170200000</v>
      </c>
      <c r="D19" s="12">
        <f>ROUND(C19/$C$5,-2)</f>
        <v>4600</v>
      </c>
      <c r="E19" s="55"/>
      <c r="H19" s="140"/>
    </row>
    <row r="20" spans="1:8" outlineLevel="1" x14ac:dyDescent="0.25">
      <c r="B20" s="7" t="s">
        <v>298</v>
      </c>
      <c r="C20" s="12">
        <f>D20*$C$5</f>
        <v>81400000</v>
      </c>
      <c r="D20" s="12">
        <f>ROUND('Calculation Sheet'!D251,-2)</f>
        <v>2200</v>
      </c>
      <c r="E20" s="55"/>
      <c r="H20" s="140"/>
    </row>
    <row r="21" spans="1:8" outlineLevel="1" x14ac:dyDescent="0.25">
      <c r="B21" s="7" t="s">
        <v>299</v>
      </c>
      <c r="C21" s="12">
        <f>D21*$C$5</f>
        <v>77700000</v>
      </c>
      <c r="D21" s="12">
        <f>ROUND('Calculation Sheet'!D282,-2)</f>
        <v>2100</v>
      </c>
      <c r="E21" s="55"/>
      <c r="H21" s="140"/>
    </row>
    <row r="22" spans="1:8" outlineLevel="1" x14ac:dyDescent="0.25">
      <c r="B22" s="7" t="s">
        <v>300</v>
      </c>
      <c r="C22" s="12">
        <f>D22*$C$5</f>
        <v>11100000</v>
      </c>
      <c r="D22" s="12">
        <f>ROUND('Calculation Sheet'!D284,-2)</f>
        <v>300</v>
      </c>
      <c r="E22" s="55"/>
      <c r="H22" s="140"/>
    </row>
    <row r="23" spans="1:8" outlineLevel="1" x14ac:dyDescent="0.25">
      <c r="A23" s="4" t="s">
        <v>41</v>
      </c>
      <c r="B23" t="s">
        <v>374</v>
      </c>
      <c r="C23" s="12">
        <f>SUM(C24:C25)</f>
        <v>43649704.197530866</v>
      </c>
      <c r="D23" s="12">
        <f>ROUND(SUM(D24:D25),-2)</f>
        <v>1200</v>
      </c>
      <c r="E23" s="55"/>
      <c r="H23" s="140"/>
    </row>
    <row r="24" spans="1:8" outlineLevel="2" x14ac:dyDescent="0.25">
      <c r="B24" s="141" t="s">
        <v>380</v>
      </c>
      <c r="C24" s="12">
        <f>SUMPRODUCT('Calculation Sheet'!$E$29:$E$32,'Calculation Sheet'!$D$325:$D$328)</f>
        <v>3199358.0246913582</v>
      </c>
      <c r="D24" s="12">
        <f>C24/$C$5</f>
        <v>86.46913580246914</v>
      </c>
      <c r="H24" s="140"/>
    </row>
    <row r="25" spans="1:8" outlineLevel="2" x14ac:dyDescent="0.25">
      <c r="B25" s="141" t="s">
        <v>381</v>
      </c>
      <c r="C25" s="12">
        <f>SUMPRODUCT('Calculation Sheet'!$E29:$E32,'Calculation Sheet'!$D$355:$D$358)+SUM('Calculation Sheet'!F342:F349)</f>
        <v>40450346.172839507</v>
      </c>
      <c r="D25" s="12">
        <f>C25/$C$5</f>
        <v>1093.2525992659325</v>
      </c>
      <c r="H25" s="140"/>
    </row>
    <row r="26" spans="1:8" outlineLevel="1" x14ac:dyDescent="0.25">
      <c r="A26" s="4" t="s">
        <v>41</v>
      </c>
      <c r="B26" t="s">
        <v>416</v>
      </c>
      <c r="C26" s="12">
        <f>D26*$C$5</f>
        <v>199800000</v>
      </c>
      <c r="D26" s="12">
        <f>ROUND('Calculation Sheet'!D381,-2)</f>
        <v>5400</v>
      </c>
      <c r="E26" s="55"/>
      <c r="H26" s="140"/>
    </row>
    <row r="27" spans="1:8" outlineLevel="1" x14ac:dyDescent="0.25">
      <c r="A27" s="4"/>
      <c r="C27" s="144"/>
      <c r="D27" s="144"/>
      <c r="E27" s="55"/>
      <c r="H27" s="140"/>
    </row>
    <row r="28" spans="1:8" x14ac:dyDescent="0.25">
      <c r="A28" s="5" t="s">
        <v>31</v>
      </c>
      <c r="B28" s="6" t="s">
        <v>160</v>
      </c>
      <c r="C28" s="10">
        <f>C29</f>
        <v>166500000</v>
      </c>
      <c r="D28" s="10">
        <f>D29</f>
        <v>4500</v>
      </c>
      <c r="H28" s="140"/>
    </row>
    <row r="29" spans="1:8" outlineLevel="1" x14ac:dyDescent="0.25">
      <c r="B29" t="s">
        <v>162</v>
      </c>
      <c r="C29" s="12">
        <f>C5*'Calculation Sheet'!D310</f>
        <v>166500000</v>
      </c>
      <c r="D29" s="14">
        <f>ROUND('Calculation Sheet'!D310,-2)</f>
        <v>4500</v>
      </c>
      <c r="E29" s="55"/>
    </row>
    <row r="30" spans="1:8" outlineLevel="1" x14ac:dyDescent="0.25">
      <c r="C30" s="12"/>
      <c r="D30" s="14"/>
      <c r="E30" s="55"/>
    </row>
    <row r="31" spans="1:8" x14ac:dyDescent="0.25">
      <c r="A31" s="5" t="s">
        <v>31</v>
      </c>
      <c r="B31" s="6" t="s">
        <v>424</v>
      </c>
      <c r="C31" s="10">
        <f>C32</f>
        <v>962000000</v>
      </c>
      <c r="D31" s="10">
        <f>D32</f>
        <v>26000</v>
      </c>
      <c r="H31" s="140"/>
    </row>
    <row r="32" spans="1:8" x14ac:dyDescent="0.25">
      <c r="A32" s="138" t="s">
        <v>375</v>
      </c>
      <c r="B32" t="s">
        <v>415</v>
      </c>
      <c r="C32" s="12">
        <f>D32*$C$5</f>
        <v>962000000</v>
      </c>
      <c r="D32" s="12">
        <f>Input!D104</f>
        <v>26000</v>
      </c>
      <c r="E32" s="55"/>
    </row>
    <row r="33" spans="1:5" x14ac:dyDescent="0.25">
      <c r="A33" s="138" t="s">
        <v>417</v>
      </c>
      <c r="B33" t="s">
        <v>39</v>
      </c>
      <c r="C33" s="12">
        <f>D33*$C$5</f>
        <v>37000000</v>
      </c>
      <c r="D33" s="12">
        <v>1000</v>
      </c>
      <c r="E33" s="55"/>
    </row>
    <row r="34" spans="1:5" ht="15.75" thickBot="1" x14ac:dyDescent="0.3">
      <c r="C34" s="4"/>
    </row>
    <row r="35" spans="1:5" ht="15.75" thickBot="1" x14ac:dyDescent="0.3">
      <c r="B35" s="11" t="s">
        <v>3</v>
      </c>
      <c r="C35" s="15">
        <f>SUM(C13,C28,C32,C33)</f>
        <v>4560230961.4813442</v>
      </c>
      <c r="D35" s="15">
        <f>SUM(D13,D28,D32,D33)</f>
        <v>123200</v>
      </c>
    </row>
    <row r="36" spans="1:5" x14ac:dyDescent="0.25">
      <c r="B36" s="68" t="s">
        <v>378</v>
      </c>
      <c r="C36" s="55">
        <f>C14</f>
        <v>2438094395.625</v>
      </c>
      <c r="D36" s="55">
        <f>D14</f>
        <v>65900</v>
      </c>
    </row>
    <row r="37" spans="1:5" x14ac:dyDescent="0.25">
      <c r="B37" s="68" t="s">
        <v>377</v>
      </c>
      <c r="C37" s="55">
        <f>C35-C36</f>
        <v>2122136565.8563442</v>
      </c>
      <c r="D37" s="55">
        <f>SUM(D15:D19,D23,D26,D29,D32,D33)</f>
        <v>57300</v>
      </c>
    </row>
    <row r="39" spans="1:5" ht="15.75" thickBot="1" x14ac:dyDescent="0.3">
      <c r="B39" t="s">
        <v>318</v>
      </c>
      <c r="C39" s="142">
        <f>Input!$D$94</f>
        <v>0.05</v>
      </c>
      <c r="E39" t="s">
        <v>387</v>
      </c>
    </row>
    <row r="40" spans="1:5" ht="15.75" thickBot="1" x14ac:dyDescent="0.3">
      <c r="B40" s="11" t="s">
        <v>319</v>
      </c>
      <c r="C40" s="108">
        <f>C36+C37*(1+$C$39)</f>
        <v>4666337789.7741613</v>
      </c>
      <c r="D40" s="108">
        <f>D36+D37*(1+$C$39)</f>
        <v>126065</v>
      </c>
    </row>
    <row r="41" spans="1:5" x14ac:dyDescent="0.25">
      <c r="B41" s="107" t="s">
        <v>341</v>
      </c>
      <c r="C41" s="55">
        <f>C40-C36</f>
        <v>2228243394.1491613</v>
      </c>
      <c r="D41" s="55">
        <f>D40-D36</f>
        <v>60165</v>
      </c>
    </row>
    <row r="42" spans="1:5" ht="15.75" thickBot="1" x14ac:dyDescent="0.3">
      <c r="D42" s="55"/>
    </row>
    <row r="43" spans="1:5" ht="15.75" thickBot="1" x14ac:dyDescent="0.3">
      <c r="B43" s="11" t="s">
        <v>343</v>
      </c>
      <c r="C43" s="108">
        <f>C40-SUM(C36:C37)</f>
        <v>106106828.29281712</v>
      </c>
      <c r="D43" s="108">
        <f>D40-SUM(D36:D37)</f>
        <v>2865</v>
      </c>
    </row>
    <row r="46" spans="1:5" x14ac:dyDescent="0.25">
      <c r="B46" s="137" t="s">
        <v>382</v>
      </c>
    </row>
    <row r="47" spans="1:5" x14ac:dyDescent="0.25">
      <c r="A47" s="4" t="s">
        <v>41</v>
      </c>
      <c r="B47" s="3" t="s">
        <v>368</v>
      </c>
      <c r="C47" s="136">
        <f>SUM(C48:C50)</f>
        <v>125669198.14814815</v>
      </c>
      <c r="D47" s="136">
        <f>IFERROR(SUM(D48:D50),0)</f>
        <v>3396.4648148148149</v>
      </c>
    </row>
    <row r="48" spans="1:5" x14ac:dyDescent="0.25">
      <c r="B48" s="68" t="s">
        <v>297</v>
      </c>
      <c r="C48" s="55">
        <f>C21</f>
        <v>77700000</v>
      </c>
      <c r="D48" s="55">
        <f>D21</f>
        <v>2100</v>
      </c>
    </row>
    <row r="49" spans="2:4" x14ac:dyDescent="0.25">
      <c r="B49" s="68" t="s">
        <v>9</v>
      </c>
      <c r="C49" s="55">
        <f>'Calculation Sheet'!J146</f>
        <v>38618133.333333336</v>
      </c>
      <c r="D49" s="55">
        <f>C49/C5</f>
        <v>1043.7333333333333</v>
      </c>
    </row>
    <row r="50" spans="2:4" x14ac:dyDescent="0.25">
      <c r="B50" s="68" t="s">
        <v>29</v>
      </c>
      <c r="C50" s="55">
        <f>'Calculation Sheet'!I32</f>
        <v>9351064.8148148134</v>
      </c>
      <c r="D50" s="132">
        <f>IFERROR(C50/C5,0)</f>
        <v>252.73148148148144</v>
      </c>
    </row>
    <row r="51" spans="2:4" x14ac:dyDescent="0.25">
      <c r="C51" s="133"/>
      <c r="D51" s="133"/>
    </row>
    <row r="54" spans="2:4" x14ac:dyDescent="0.25">
      <c r="D54" s="55"/>
    </row>
  </sheetData>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BD2D7-21E7-4711-BE56-BD6EAF1FC8A4}">
  <sheetPr>
    <tabColor theme="3" tint="0.89999084444715716"/>
  </sheetPr>
  <dimension ref="A1:T381"/>
  <sheetViews>
    <sheetView showGridLines="0" topLeftCell="A111" zoomScale="75" zoomScaleNormal="75" workbookViewId="0">
      <selection activeCell="D378" sqref="D378"/>
    </sheetView>
  </sheetViews>
  <sheetFormatPr defaultColWidth="9.28515625" defaultRowHeight="15" outlineLevelRow="1" x14ac:dyDescent="0.25"/>
  <cols>
    <col min="1" max="1" width="9.28515625" style="52"/>
    <col min="2" max="2" width="52.7109375" style="8" bestFit="1" customWidth="1"/>
    <col min="3" max="3" width="15.7109375" style="8" bestFit="1" customWidth="1"/>
    <col min="4" max="5" width="21.28515625" style="8" bestFit="1" customWidth="1"/>
    <col min="6" max="7" width="26.28515625" style="8" bestFit="1" customWidth="1"/>
    <col min="8" max="8" width="21" style="8" bestFit="1" customWidth="1"/>
    <col min="9" max="9" width="54.42578125" style="8" customWidth="1"/>
    <col min="10" max="10" width="38.5703125" style="8" customWidth="1"/>
    <col min="11" max="11" width="28.85546875" style="8" bestFit="1" customWidth="1"/>
    <col min="12" max="12" width="16.7109375" style="8" customWidth="1"/>
    <col min="13" max="13" width="15.7109375" style="8" customWidth="1"/>
    <col min="14" max="14" width="22.42578125" style="8" customWidth="1"/>
    <col min="15" max="15" width="15.7109375" style="8" customWidth="1"/>
    <col min="16" max="18" width="9.28515625" style="8"/>
    <col min="19" max="19" width="15.42578125" style="8" bestFit="1" customWidth="1"/>
    <col min="20" max="16384" width="9.28515625" style="8"/>
  </cols>
  <sheetData>
    <row r="1" spans="1:13" x14ac:dyDescent="0.25">
      <c r="G1" s="18" t="s">
        <v>28</v>
      </c>
    </row>
    <row r="2" spans="1:13" s="22" customFormat="1" x14ac:dyDescent="0.25">
      <c r="A2" s="61"/>
      <c r="B2" s="19" t="s">
        <v>354</v>
      </c>
      <c r="C2" s="20"/>
      <c r="D2" s="20"/>
      <c r="E2" s="20"/>
      <c r="F2" s="20"/>
      <c r="G2" s="20"/>
      <c r="H2" s="20"/>
      <c r="I2" s="21"/>
      <c r="J2" s="21"/>
      <c r="K2" s="20"/>
      <c r="L2" s="20"/>
      <c r="M2" s="20"/>
    </row>
    <row r="5" spans="1:13" x14ac:dyDescent="0.25">
      <c r="B5" s="114" t="s">
        <v>332</v>
      </c>
    </row>
    <row r="6" spans="1:13" x14ac:dyDescent="0.25">
      <c r="B6" s="8" t="s">
        <v>44</v>
      </c>
      <c r="C6" s="8" t="s">
        <v>1</v>
      </c>
      <c r="D6" s="27">
        <f>Input!D6</f>
        <v>37000</v>
      </c>
    </row>
    <row r="7" spans="1:13" x14ac:dyDescent="0.25">
      <c r="B7" s="8" t="s">
        <v>24</v>
      </c>
      <c r="C7" s="8" t="s">
        <v>14</v>
      </c>
      <c r="D7" s="127">
        <f>Input!D7</f>
        <v>0.03</v>
      </c>
    </row>
    <row r="8" spans="1:13" x14ac:dyDescent="0.25">
      <c r="B8" s="23" t="s">
        <v>45</v>
      </c>
      <c r="C8" s="23" t="s">
        <v>1</v>
      </c>
      <c r="D8" s="128">
        <f>D6*(1+D7)</f>
        <v>38110</v>
      </c>
    </row>
    <row r="11" spans="1:13" x14ac:dyDescent="0.25">
      <c r="B11" s="8" t="s">
        <v>52</v>
      </c>
      <c r="C11" s="8" t="s">
        <v>51</v>
      </c>
      <c r="D11" s="37">
        <v>25</v>
      </c>
    </row>
    <row r="12" spans="1:13" x14ac:dyDescent="0.25">
      <c r="B12" s="8" t="s">
        <v>53</v>
      </c>
      <c r="C12" s="8" t="s">
        <v>54</v>
      </c>
      <c r="D12" s="37">
        <v>20</v>
      </c>
    </row>
    <row r="14" spans="1:13" x14ac:dyDescent="0.25">
      <c r="A14" s="62">
        <v>1</v>
      </c>
      <c r="B14" s="24" t="s">
        <v>23</v>
      </c>
      <c r="C14" s="25"/>
      <c r="D14" s="25"/>
      <c r="E14" s="25"/>
      <c r="F14" s="25"/>
      <c r="G14" s="26"/>
      <c r="H14" s="26"/>
      <c r="I14" s="25"/>
      <c r="J14" s="25"/>
      <c r="K14" s="25"/>
    </row>
    <row r="15" spans="1:13" outlineLevel="1" x14ac:dyDescent="0.25"/>
    <row r="16" spans="1:13" outlineLevel="1" x14ac:dyDescent="0.25">
      <c r="B16" s="17"/>
      <c r="D16" s="36" t="s">
        <v>239</v>
      </c>
      <c r="E16" s="36" t="s">
        <v>330</v>
      </c>
      <c r="F16" s="36" t="s">
        <v>331</v>
      </c>
    </row>
    <row r="17" spans="1:12" outlineLevel="1" x14ac:dyDescent="0.25">
      <c r="B17" s="8" t="s">
        <v>351</v>
      </c>
      <c r="C17" s="28" t="s">
        <v>40</v>
      </c>
      <c r="D17" s="27">
        <f>Input!D15</f>
        <v>7622</v>
      </c>
      <c r="E17" s="27">
        <f>Input!E15</f>
        <v>64785</v>
      </c>
      <c r="F17" s="37">
        <f>D17*E17</f>
        <v>493791270</v>
      </c>
      <c r="G17" s="58"/>
      <c r="I17" s="86"/>
    </row>
    <row r="18" spans="1:12" outlineLevel="1" x14ac:dyDescent="0.25">
      <c r="B18" s="8" t="s">
        <v>353</v>
      </c>
      <c r="C18" s="28" t="s">
        <v>40</v>
      </c>
      <c r="D18" s="27">
        <f>Input!D16</f>
        <v>30488</v>
      </c>
      <c r="E18" s="27">
        <f>Input!E16</f>
        <v>64785</v>
      </c>
      <c r="F18" s="37">
        <f>D18*E18</f>
        <v>1975165080</v>
      </c>
    </row>
    <row r="19" spans="1:12" outlineLevel="1" x14ac:dyDescent="0.25">
      <c r="B19" s="8" t="s">
        <v>352</v>
      </c>
      <c r="C19" s="28" t="s">
        <v>40</v>
      </c>
      <c r="D19" s="27">
        <f>Input!D17</f>
        <v>0</v>
      </c>
      <c r="E19" s="27">
        <f>Input!E17</f>
        <v>0</v>
      </c>
      <c r="F19" s="37">
        <f>D19*E19</f>
        <v>0</v>
      </c>
    </row>
    <row r="20" spans="1:12" outlineLevel="1" x14ac:dyDescent="0.25">
      <c r="C20" s="28"/>
      <c r="D20" s="37">
        <f>SUM(D17:D19)</f>
        <v>38110</v>
      </c>
      <c r="E20" s="37">
        <f>SUMPRODUCT(D17:D19,E17:E19)/SUM(D17:D19)</f>
        <v>64785</v>
      </c>
      <c r="F20" s="37">
        <f>SUM(F17:F19)</f>
        <v>2468956350</v>
      </c>
    </row>
    <row r="21" spans="1:12" outlineLevel="1" x14ac:dyDescent="0.25">
      <c r="C21" s="28"/>
      <c r="D21" s="57"/>
      <c r="E21" s="57"/>
      <c r="F21" s="57"/>
    </row>
    <row r="22" spans="1:12" outlineLevel="1" x14ac:dyDescent="0.25">
      <c r="D22" s="36" t="s">
        <v>239</v>
      </c>
      <c r="E22" s="36" t="s">
        <v>330</v>
      </c>
      <c r="F22" s="36" t="s">
        <v>331</v>
      </c>
    </row>
    <row r="23" spans="1:12" outlineLevel="1" x14ac:dyDescent="0.25">
      <c r="B23" s="8" t="s">
        <v>339</v>
      </c>
      <c r="C23" s="28" t="s">
        <v>1</v>
      </c>
      <c r="D23" s="119">
        <f>Input!D10*D20</f>
        <v>952.75</v>
      </c>
      <c r="E23" s="37">
        <f>E20*50%</f>
        <v>32392.5</v>
      </c>
      <c r="F23" s="37">
        <f>D23*E23</f>
        <v>30861954.375</v>
      </c>
    </row>
    <row r="25" spans="1:12" x14ac:dyDescent="0.25">
      <c r="A25" s="62">
        <v>2</v>
      </c>
      <c r="B25" s="24" t="s">
        <v>5</v>
      </c>
      <c r="C25" s="25"/>
      <c r="D25" s="25"/>
      <c r="E25" s="25"/>
      <c r="F25" s="25"/>
      <c r="G25" s="25"/>
      <c r="H25" s="25"/>
      <c r="I25" s="26"/>
      <c r="J25" s="26"/>
      <c r="K25" s="25"/>
    </row>
    <row r="26" spans="1:12" outlineLevel="1" x14ac:dyDescent="0.25">
      <c r="G26" s="36" t="s">
        <v>244</v>
      </c>
    </row>
    <row r="27" spans="1:12" outlineLevel="1" x14ac:dyDescent="0.25">
      <c r="G27" s="38">
        <v>0.75</v>
      </c>
    </row>
    <row r="28" spans="1:12" outlineLevel="1" x14ac:dyDescent="0.25">
      <c r="B28" s="17" t="s">
        <v>222</v>
      </c>
      <c r="C28" s="36" t="s">
        <v>221</v>
      </c>
      <c r="E28" s="36" t="s">
        <v>239</v>
      </c>
      <c r="F28" s="36" t="s">
        <v>240</v>
      </c>
      <c r="G28" s="36" t="s">
        <v>241</v>
      </c>
      <c r="H28" s="36" t="s">
        <v>242</v>
      </c>
      <c r="I28" s="36" t="s">
        <v>311</v>
      </c>
    </row>
    <row r="29" spans="1:12" outlineLevel="1" x14ac:dyDescent="0.25">
      <c r="A29" s="52" t="s">
        <v>84</v>
      </c>
      <c r="B29" s="8" t="s">
        <v>217</v>
      </c>
      <c r="C29" s="77" t="str">
        <f>Input!C24</f>
        <v>Yes</v>
      </c>
      <c r="D29" s="76" t="s">
        <v>224</v>
      </c>
      <c r="E29" s="27">
        <f>Input!E24</f>
        <v>30488</v>
      </c>
      <c r="F29" s="37">
        <v>1500</v>
      </c>
      <c r="G29" s="37">
        <f>F29*$G$27</f>
        <v>1125</v>
      </c>
      <c r="H29" s="85">
        <f>IFERROR(IF(C29="Yes",E29/G29,""),"")</f>
        <v>27.100444444444445</v>
      </c>
      <c r="I29" s="37">
        <f>IFERROR(H29*H69*D38,"")</f>
        <v>49966444.444444455</v>
      </c>
    </row>
    <row r="30" spans="1:12" outlineLevel="1" x14ac:dyDescent="0.25">
      <c r="A30" s="52" t="s">
        <v>85</v>
      </c>
      <c r="B30" s="8" t="s">
        <v>218</v>
      </c>
      <c r="C30" s="77" t="str">
        <f>Input!C25</f>
        <v>No</v>
      </c>
      <c r="D30" s="76" t="s">
        <v>224</v>
      </c>
      <c r="E30" s="27">
        <f>Input!E25</f>
        <v>0</v>
      </c>
      <c r="F30" s="37">
        <v>1000</v>
      </c>
      <c r="G30" s="37">
        <f>F30*$G$27</f>
        <v>750</v>
      </c>
      <c r="H30" s="85" t="str">
        <f t="shared" ref="H30:H33" si="0">IFERROR(IF(C30="Yes",E30/G30,""),"")</f>
        <v/>
      </c>
      <c r="I30" s="37" t="str">
        <f>IFERROR(H30*H90*D38,"")</f>
        <v/>
      </c>
    </row>
    <row r="31" spans="1:12" outlineLevel="1" x14ac:dyDescent="0.25">
      <c r="A31" s="52" t="s">
        <v>86</v>
      </c>
      <c r="B31" s="8" t="s">
        <v>219</v>
      </c>
      <c r="C31" s="77" t="str">
        <f>Input!C26</f>
        <v>Yes</v>
      </c>
      <c r="D31" s="76" t="s">
        <v>224</v>
      </c>
      <c r="E31" s="27">
        <f>Input!E26</f>
        <v>7622</v>
      </c>
      <c r="F31" s="37">
        <v>750</v>
      </c>
      <c r="G31" s="37">
        <f t="shared" ref="G31:G33" si="1">F31*$G$27</f>
        <v>562.5</v>
      </c>
      <c r="H31" s="85">
        <f t="shared" si="0"/>
        <v>13.550222222222223</v>
      </c>
      <c r="I31" s="37">
        <f>IFERROR(H31*H112*D38,"")</f>
        <v>15526296.296296295</v>
      </c>
      <c r="K31" s="17" t="s">
        <v>349</v>
      </c>
      <c r="L31" s="17" t="s">
        <v>350</v>
      </c>
    </row>
    <row r="32" spans="1:12" outlineLevel="1" x14ac:dyDescent="0.25">
      <c r="A32" s="52" t="s">
        <v>87</v>
      </c>
      <c r="B32" s="8" t="s">
        <v>62</v>
      </c>
      <c r="C32" s="77" t="str">
        <f>Input!C27</f>
        <v>Yes</v>
      </c>
      <c r="D32" s="76" t="s">
        <v>224</v>
      </c>
      <c r="E32" s="27">
        <f>IFERROR(Input!E27*SUM(Input!E69:E71)/3,"")</f>
        <v>38110</v>
      </c>
      <c r="F32" s="37">
        <v>1500</v>
      </c>
      <c r="G32" s="37">
        <f t="shared" si="1"/>
        <v>1125</v>
      </c>
      <c r="H32" s="85">
        <f t="shared" si="0"/>
        <v>33.875555555555557</v>
      </c>
      <c r="I32" s="37">
        <f>IFERROR(H32*H125*D38,"")</f>
        <v>9351064.8148148134</v>
      </c>
      <c r="K32" s="88">
        <v>0.25</v>
      </c>
      <c r="L32" s="120">
        <v>1.1000000000000001</v>
      </c>
    </row>
    <row r="33" spans="1:20" outlineLevel="1" x14ac:dyDescent="0.25">
      <c r="A33" s="52" t="s">
        <v>88</v>
      </c>
      <c r="B33" s="8" t="s">
        <v>205</v>
      </c>
      <c r="C33" s="77" t="s">
        <v>223</v>
      </c>
      <c r="D33" s="76" t="s">
        <v>224</v>
      </c>
      <c r="E33" s="27">
        <f>D8</f>
        <v>38110</v>
      </c>
      <c r="F33" s="37">
        <f>SUM(F29:F31)</f>
        <v>3250</v>
      </c>
      <c r="G33" s="37">
        <f t="shared" si="1"/>
        <v>2437.5</v>
      </c>
      <c r="H33" s="85">
        <f t="shared" si="0"/>
        <v>15.634871794871795</v>
      </c>
      <c r="I33" s="37">
        <f>IFERROR(H33*H134*D38,"")</f>
        <v>14820555.555555554</v>
      </c>
      <c r="K33" s="88">
        <v>0.5</v>
      </c>
      <c r="L33" s="120">
        <v>1.0660000000000001</v>
      </c>
    </row>
    <row r="34" spans="1:20" outlineLevel="1" x14ac:dyDescent="0.25">
      <c r="C34" s="76"/>
      <c r="D34" s="76"/>
      <c r="E34" s="57"/>
      <c r="F34" s="57"/>
      <c r="G34" s="57"/>
      <c r="H34" s="87" t="s">
        <v>7</v>
      </c>
      <c r="I34" s="60">
        <f>SUM(I29:I33)</f>
        <v>89664361.111111104</v>
      </c>
      <c r="K34" s="88">
        <v>0.75</v>
      </c>
      <c r="L34" s="120">
        <v>1.0329999999999999</v>
      </c>
    </row>
    <row r="35" spans="1:20" outlineLevel="1" x14ac:dyDescent="0.25">
      <c r="B35" s="8" t="s">
        <v>344</v>
      </c>
      <c r="C35" s="8" t="s">
        <v>348</v>
      </c>
      <c r="D35" s="37">
        <f>SUM(F29:F31)</f>
        <v>3250</v>
      </c>
      <c r="E35" s="57"/>
      <c r="F35" s="57"/>
      <c r="G35" s="57"/>
      <c r="H35" s="87"/>
      <c r="I35" s="80"/>
      <c r="K35" s="88">
        <v>0.9</v>
      </c>
      <c r="L35" s="120">
        <v>1</v>
      </c>
    </row>
    <row r="36" spans="1:20" outlineLevel="1" x14ac:dyDescent="0.25">
      <c r="B36" s="8" t="s">
        <v>345</v>
      </c>
      <c r="C36" s="8" t="s">
        <v>348</v>
      </c>
      <c r="D36" s="27">
        <v>3250</v>
      </c>
      <c r="E36" s="57"/>
      <c r="F36" s="57"/>
      <c r="G36" s="57"/>
      <c r="H36" s="87"/>
      <c r="I36" s="80"/>
      <c r="K36" s="88">
        <v>1</v>
      </c>
      <c r="L36" s="120">
        <v>1</v>
      </c>
    </row>
    <row r="37" spans="1:20" outlineLevel="1" x14ac:dyDescent="0.25">
      <c r="B37" s="8" t="s">
        <v>347</v>
      </c>
      <c r="C37" s="8" t="s">
        <v>14</v>
      </c>
      <c r="D37" s="88">
        <f>D36/D35</f>
        <v>1</v>
      </c>
      <c r="E37" s="57"/>
      <c r="F37" s="57"/>
      <c r="G37" s="57"/>
      <c r="H37" s="87"/>
      <c r="I37" s="80"/>
      <c r="K37" s="88">
        <v>1.1000000000000001</v>
      </c>
      <c r="L37" s="120">
        <v>1</v>
      </c>
    </row>
    <row r="38" spans="1:20" outlineLevel="1" x14ac:dyDescent="0.25">
      <c r="B38" s="8" t="s">
        <v>346</v>
      </c>
      <c r="C38" s="8" t="s">
        <v>14</v>
      </c>
      <c r="D38" s="85">
        <f>IF($D$37&lt;=K32,L32,IF($D$37&lt;=K33,L33,IF($D$37&lt;=K34,L34,IF($D$37&lt;=K35,L35,IF($D$37&lt;=K36,L36,IF($D$37&lt;=K37,L37,IF($D$37&lt;=K38,L38,IF($D$37&lt;=K39,L39,L40))))))))</f>
        <v>1</v>
      </c>
      <c r="K38" s="88">
        <v>1.25</v>
      </c>
      <c r="L38" s="120">
        <v>0.96660000000000001</v>
      </c>
    </row>
    <row r="39" spans="1:20" ht="15.75" outlineLevel="1" thickBot="1" x14ac:dyDescent="0.3">
      <c r="K39" s="88">
        <v>1.5</v>
      </c>
      <c r="L39" s="120">
        <v>0.93332999999999999</v>
      </c>
    </row>
    <row r="40" spans="1:20" ht="15.75" outlineLevel="1" thickBot="1" x14ac:dyDescent="0.3">
      <c r="B40" s="33" t="s">
        <v>262</v>
      </c>
      <c r="C40" s="34" t="s">
        <v>2</v>
      </c>
      <c r="D40" s="35">
        <f>H136</f>
        <v>4213541.666666666</v>
      </c>
      <c r="E40" s="78"/>
      <c r="G40" s="33" t="s">
        <v>262</v>
      </c>
      <c r="H40" s="123">
        <f>100%/8/12</f>
        <v>1.0416666666666666E-2</v>
      </c>
      <c r="I40" s="28" t="s">
        <v>305</v>
      </c>
      <c r="K40" s="88">
        <v>1.75</v>
      </c>
      <c r="L40" s="120">
        <v>0.9</v>
      </c>
    </row>
    <row r="41" spans="1:20" x14ac:dyDescent="0.25">
      <c r="E41" s="84"/>
    </row>
    <row r="42" spans="1:20" outlineLevel="1" x14ac:dyDescent="0.25">
      <c r="A42" s="104">
        <v>2.1</v>
      </c>
      <c r="B42" s="43" t="s">
        <v>228</v>
      </c>
      <c r="C42" s="44"/>
      <c r="D42" s="83" t="str">
        <f>$C$29</f>
        <v>Yes</v>
      </c>
    </row>
    <row r="43" spans="1:20" outlineLevel="1" x14ac:dyDescent="0.25"/>
    <row r="44" spans="1:20" outlineLevel="1" x14ac:dyDescent="0.25">
      <c r="A44" s="63">
        <f>MAX($A$1:A41)+0.1</f>
        <v>2.1</v>
      </c>
      <c r="B44" s="17" t="s">
        <v>163</v>
      </c>
      <c r="D44" s="36" t="s">
        <v>226</v>
      </c>
      <c r="E44" s="36" t="s">
        <v>225</v>
      </c>
      <c r="F44" s="36" t="s">
        <v>8</v>
      </c>
      <c r="G44" s="36" t="s">
        <v>6</v>
      </c>
      <c r="H44" s="36" t="s">
        <v>37</v>
      </c>
      <c r="I44" s="64" t="s">
        <v>306</v>
      </c>
      <c r="J44" s="28"/>
      <c r="K44" s="64" t="s">
        <v>307</v>
      </c>
    </row>
    <row r="45" spans="1:20" outlineLevel="1" x14ac:dyDescent="0.25">
      <c r="A45" s="69" t="s">
        <v>84</v>
      </c>
      <c r="B45" s="70" t="s">
        <v>59</v>
      </c>
      <c r="C45" s="71"/>
      <c r="D45" s="72"/>
      <c r="E45" s="72"/>
      <c r="F45" s="72"/>
      <c r="G45" s="72"/>
      <c r="H45" s="72"/>
      <c r="I45" s="72"/>
      <c r="K45" s="17" t="s">
        <v>32</v>
      </c>
      <c r="L45" s="17" t="s">
        <v>33</v>
      </c>
      <c r="M45" s="17" t="s">
        <v>34</v>
      </c>
      <c r="N45" s="17" t="s">
        <v>35</v>
      </c>
      <c r="O45" s="17" t="s">
        <v>254</v>
      </c>
      <c r="P45" s="17" t="s">
        <v>42</v>
      </c>
      <c r="Q45" s="17" t="s">
        <v>253</v>
      </c>
      <c r="S45" s="36" t="s">
        <v>259</v>
      </c>
      <c r="T45" s="36" t="s">
        <v>260</v>
      </c>
    </row>
    <row r="46" spans="1:20" ht="25.5" outlineLevel="1" x14ac:dyDescent="0.25">
      <c r="B46" s="2" t="s">
        <v>60</v>
      </c>
      <c r="D46" s="37">
        <v>1</v>
      </c>
      <c r="E46" s="32">
        <f>D46</f>
        <v>1</v>
      </c>
      <c r="F46" s="116">
        <v>4000000</v>
      </c>
      <c r="G46" s="37">
        <f>IF($C$29="Yes",E46*F46,"")</f>
        <v>4000000</v>
      </c>
      <c r="H46" s="37">
        <f>IFERROR(G46*$H$40,"")</f>
        <v>41666.666666666664</v>
      </c>
      <c r="I46" s="101" t="s">
        <v>111</v>
      </c>
      <c r="J46" s="2"/>
      <c r="K46" s="67">
        <v>3.6</v>
      </c>
      <c r="L46" s="67">
        <v>0.8</v>
      </c>
      <c r="M46" s="27">
        <f>E46*K46*L46</f>
        <v>2.8800000000000003</v>
      </c>
      <c r="N46" s="27">
        <f>$D$11*$D$12</f>
        <v>500</v>
      </c>
      <c r="O46" s="38">
        <v>0.6</v>
      </c>
      <c r="P46" s="27">
        <f>M46*N46*O46*$S$46</f>
        <v>12096.000000000002</v>
      </c>
      <c r="Q46" s="27">
        <f>P46/$G$29</f>
        <v>10.752000000000002</v>
      </c>
      <c r="S46" s="27">
        <v>14</v>
      </c>
      <c r="T46" s="45">
        <v>90</v>
      </c>
    </row>
    <row r="47" spans="1:20" ht="25.5" outlineLevel="1" x14ac:dyDescent="0.25">
      <c r="B47" s="2" t="s">
        <v>61</v>
      </c>
      <c r="D47" s="37">
        <v>4</v>
      </c>
      <c r="E47" s="32">
        <f>D47</f>
        <v>4</v>
      </c>
      <c r="F47" s="116">
        <v>2000000</v>
      </c>
      <c r="G47" s="37">
        <f t="shared" ref="G47" si="2">IF($C$29="Yes",E47*F47,"")</f>
        <v>8000000</v>
      </c>
      <c r="H47" s="37">
        <f t="shared" ref="H47:H68" si="3">IFERROR(G47*$H$40,"")</f>
        <v>83333.333333333328</v>
      </c>
      <c r="I47" s="101" t="s">
        <v>110</v>
      </c>
      <c r="J47" s="2"/>
      <c r="K47" s="67">
        <v>2.4</v>
      </c>
      <c r="L47" s="67">
        <v>0.8</v>
      </c>
      <c r="M47" s="27">
        <f>E47*K47*L47</f>
        <v>7.68</v>
      </c>
      <c r="N47" s="27">
        <f>$D$11*$D$12</f>
        <v>500</v>
      </c>
      <c r="O47" s="38">
        <v>0.6</v>
      </c>
      <c r="P47" s="27">
        <f>M47*N47*O47*$S$46</f>
        <v>32256</v>
      </c>
      <c r="Q47" s="27">
        <f>P47/$G$29</f>
        <v>28.672000000000001</v>
      </c>
    </row>
    <row r="48" spans="1:20" outlineLevel="1" x14ac:dyDescent="0.25">
      <c r="A48" s="69" t="s">
        <v>85</v>
      </c>
      <c r="B48" s="73" t="s">
        <v>46</v>
      </c>
      <c r="C48" s="71"/>
      <c r="D48" s="72"/>
      <c r="E48" s="72"/>
      <c r="F48" s="72"/>
      <c r="G48" s="72"/>
      <c r="H48" s="72"/>
      <c r="I48" s="72"/>
      <c r="J48" s="2"/>
    </row>
    <row r="49" spans="1:17" ht="51" outlineLevel="1" x14ac:dyDescent="0.25">
      <c r="B49" s="2" t="s">
        <v>57</v>
      </c>
      <c r="D49" s="37">
        <v>2</v>
      </c>
      <c r="E49" s="32">
        <f>D49</f>
        <v>2</v>
      </c>
      <c r="F49" s="37">
        <v>4000000</v>
      </c>
      <c r="G49" s="37">
        <f>IF($C$29="Yes",E49*F49,"")</f>
        <v>8000000</v>
      </c>
      <c r="H49" s="37">
        <f t="shared" si="3"/>
        <v>83333.333333333328</v>
      </c>
      <c r="I49" s="101" t="s">
        <v>114</v>
      </c>
      <c r="J49" s="2"/>
      <c r="K49" s="67">
        <v>12</v>
      </c>
      <c r="L49" s="67">
        <v>0.8</v>
      </c>
      <c r="M49" s="27">
        <f>E49*K49*L49</f>
        <v>19.200000000000003</v>
      </c>
      <c r="N49" s="27">
        <f>$D$11*$D$12</f>
        <v>500</v>
      </c>
      <c r="O49" s="38">
        <v>0.6</v>
      </c>
      <c r="P49" s="27">
        <f>M49*N49*O49*$S$46</f>
        <v>80640.000000000015</v>
      </c>
      <c r="Q49" s="27">
        <f>P49/$G$29</f>
        <v>71.680000000000007</v>
      </c>
    </row>
    <row r="50" spans="1:17" ht="38.25" outlineLevel="1" x14ac:dyDescent="0.25">
      <c r="B50" s="2" t="s">
        <v>71</v>
      </c>
      <c r="D50" s="37">
        <v>1</v>
      </c>
      <c r="E50" s="32">
        <f t="shared" ref="E50:E52" si="4">D50</f>
        <v>1</v>
      </c>
      <c r="F50" s="116">
        <v>20000000</v>
      </c>
      <c r="G50" s="37">
        <f t="shared" ref="G50:G68" si="5">IF($C$29="Yes",E50*F50,"")</f>
        <v>20000000</v>
      </c>
      <c r="H50" s="37">
        <f t="shared" si="3"/>
        <v>208333.33333333331</v>
      </c>
      <c r="I50" s="101" t="s">
        <v>134</v>
      </c>
      <c r="J50" s="2"/>
      <c r="K50" s="67">
        <v>12</v>
      </c>
      <c r="L50" s="67">
        <v>0.8</v>
      </c>
      <c r="M50" s="27">
        <f>E50*K50*L50</f>
        <v>9.6000000000000014</v>
      </c>
      <c r="N50" s="27">
        <f>$D$11*$D$12</f>
        <v>500</v>
      </c>
      <c r="O50" s="38">
        <v>0.6</v>
      </c>
      <c r="P50" s="27">
        <f t="shared" ref="P50:P52" si="6">M50*N50*O50*$S$46</f>
        <v>40320.000000000007</v>
      </c>
      <c r="Q50" s="27">
        <f t="shared" ref="Q50:Q68" si="7">P50/$G$29</f>
        <v>35.840000000000003</v>
      </c>
    </row>
    <row r="51" spans="1:17" ht="25.5" outlineLevel="1" x14ac:dyDescent="0.25">
      <c r="B51" s="2" t="s">
        <v>73</v>
      </c>
      <c r="D51" s="37">
        <v>1</v>
      </c>
      <c r="E51" s="32">
        <f t="shared" si="4"/>
        <v>1</v>
      </c>
      <c r="F51" s="116">
        <v>7500000</v>
      </c>
      <c r="G51" s="37">
        <f t="shared" si="5"/>
        <v>7500000</v>
      </c>
      <c r="H51" s="37">
        <f t="shared" si="3"/>
        <v>78125</v>
      </c>
      <c r="I51" s="101" t="s">
        <v>135</v>
      </c>
      <c r="J51" s="2"/>
      <c r="K51" s="67">
        <v>8</v>
      </c>
      <c r="L51" s="67">
        <v>0.8</v>
      </c>
      <c r="M51" s="27">
        <f>E51*K51*L51</f>
        <v>6.4</v>
      </c>
      <c r="N51" s="27">
        <f>$D$11*$D$12</f>
        <v>500</v>
      </c>
      <c r="O51" s="38">
        <v>0.6</v>
      </c>
      <c r="P51" s="27">
        <f t="shared" si="6"/>
        <v>26880</v>
      </c>
      <c r="Q51" s="27">
        <f t="shared" si="7"/>
        <v>23.893333333333334</v>
      </c>
    </row>
    <row r="52" spans="1:17" ht="25.5" outlineLevel="1" x14ac:dyDescent="0.25">
      <c r="B52" s="2" t="s">
        <v>81</v>
      </c>
      <c r="D52" s="37">
        <v>1</v>
      </c>
      <c r="E52" s="32">
        <f t="shared" si="4"/>
        <v>1</v>
      </c>
      <c r="F52" s="116">
        <v>1500000</v>
      </c>
      <c r="G52" s="37">
        <f t="shared" si="5"/>
        <v>1500000</v>
      </c>
      <c r="H52" s="37">
        <f t="shared" si="3"/>
        <v>15625</v>
      </c>
      <c r="I52" s="101" t="s">
        <v>136</v>
      </c>
      <c r="J52" s="2"/>
      <c r="K52" s="67">
        <v>6</v>
      </c>
      <c r="L52" s="67">
        <v>0.8</v>
      </c>
      <c r="M52" s="27">
        <f>E52*K52*L52</f>
        <v>4.8000000000000007</v>
      </c>
      <c r="N52" s="27">
        <f>$D$11*$D$12</f>
        <v>500</v>
      </c>
      <c r="O52" s="38">
        <v>0.6</v>
      </c>
      <c r="P52" s="27">
        <f t="shared" si="6"/>
        <v>20160.000000000004</v>
      </c>
      <c r="Q52" s="27">
        <f t="shared" si="7"/>
        <v>17.920000000000002</v>
      </c>
    </row>
    <row r="53" spans="1:17" outlineLevel="1" x14ac:dyDescent="0.25">
      <c r="A53" s="69" t="s">
        <v>86</v>
      </c>
      <c r="B53" s="73" t="s">
        <v>47</v>
      </c>
      <c r="C53" s="71"/>
      <c r="D53" s="74"/>
      <c r="E53" s="74"/>
      <c r="F53" s="74"/>
      <c r="G53" s="72"/>
      <c r="H53" s="72"/>
      <c r="I53" s="72"/>
      <c r="J53" s="2"/>
    </row>
    <row r="54" spans="1:17" ht="49.9" customHeight="1" outlineLevel="1" x14ac:dyDescent="0.25">
      <c r="B54" s="2" t="s">
        <v>77</v>
      </c>
      <c r="D54" s="37">
        <v>1</v>
      </c>
      <c r="E54" s="32">
        <f>D54</f>
        <v>1</v>
      </c>
      <c r="F54" s="116">
        <v>9000000</v>
      </c>
      <c r="G54" s="37">
        <f t="shared" si="5"/>
        <v>9000000</v>
      </c>
      <c r="H54" s="37">
        <f t="shared" si="3"/>
        <v>93750</v>
      </c>
      <c r="I54" s="150" t="s">
        <v>130</v>
      </c>
      <c r="J54" s="2"/>
      <c r="K54" s="67">
        <v>12</v>
      </c>
      <c r="L54" s="67">
        <v>0.8</v>
      </c>
      <c r="M54" s="27">
        <f>E54*K54*L54</f>
        <v>9.6000000000000014</v>
      </c>
      <c r="N54" s="27">
        <f>$D$11*$D$12</f>
        <v>500</v>
      </c>
      <c r="O54" s="38">
        <v>0.6</v>
      </c>
      <c r="P54" s="27">
        <f t="shared" ref="P54" si="8">M54*N54*O54*$S$46</f>
        <v>40320.000000000007</v>
      </c>
      <c r="Q54" s="27">
        <f t="shared" si="7"/>
        <v>35.840000000000003</v>
      </c>
    </row>
    <row r="55" spans="1:17" outlineLevel="1" x14ac:dyDescent="0.25">
      <c r="B55" s="2" t="s">
        <v>78</v>
      </c>
      <c r="D55" s="37">
        <v>2</v>
      </c>
      <c r="E55" s="32">
        <f t="shared" ref="E55:E69" si="9">D55</f>
        <v>2</v>
      </c>
      <c r="F55" s="116">
        <v>7500000</v>
      </c>
      <c r="G55" s="37">
        <f t="shared" si="5"/>
        <v>15000000</v>
      </c>
      <c r="H55" s="37">
        <f t="shared" si="3"/>
        <v>156250</v>
      </c>
      <c r="I55" s="151"/>
      <c r="J55" s="2"/>
      <c r="K55" s="67">
        <v>12</v>
      </c>
      <c r="L55" s="67">
        <v>0.8</v>
      </c>
      <c r="M55" s="27">
        <f t="shared" ref="M55:M58" si="10">E55*K55*L55</f>
        <v>19.200000000000003</v>
      </c>
      <c r="N55" s="27">
        <f t="shared" ref="N55:N68" si="11">$D$11*$D$12</f>
        <v>500</v>
      </c>
      <c r="O55" s="38">
        <v>0.6</v>
      </c>
      <c r="P55" s="27">
        <f t="shared" ref="P55:P58" si="12">M55*N55*O55*$S$46</f>
        <v>80640.000000000015</v>
      </c>
      <c r="Q55" s="27">
        <f t="shared" si="7"/>
        <v>71.680000000000007</v>
      </c>
    </row>
    <row r="56" spans="1:17" ht="51" outlineLevel="1" x14ac:dyDescent="0.25">
      <c r="B56" s="2" t="s">
        <v>79</v>
      </c>
      <c r="D56" s="37">
        <v>1</v>
      </c>
      <c r="E56" s="32">
        <f t="shared" si="9"/>
        <v>1</v>
      </c>
      <c r="F56" s="116">
        <v>2000000</v>
      </c>
      <c r="G56" s="37">
        <f t="shared" si="5"/>
        <v>2000000</v>
      </c>
      <c r="H56" s="37">
        <f t="shared" si="3"/>
        <v>20833.333333333332</v>
      </c>
      <c r="I56" s="101" t="s">
        <v>131</v>
      </c>
      <c r="J56" s="2"/>
      <c r="K56" s="67">
        <v>3.6</v>
      </c>
      <c r="L56" s="67">
        <v>0.8</v>
      </c>
      <c r="M56" s="27">
        <f t="shared" si="10"/>
        <v>2.8800000000000003</v>
      </c>
      <c r="N56" s="27">
        <f t="shared" si="11"/>
        <v>500</v>
      </c>
      <c r="O56" s="38">
        <v>0.6</v>
      </c>
      <c r="P56" s="27">
        <f t="shared" si="12"/>
        <v>12096.000000000002</v>
      </c>
      <c r="Q56" s="27">
        <f t="shared" si="7"/>
        <v>10.752000000000002</v>
      </c>
    </row>
    <row r="57" spans="1:17" ht="38.25" outlineLevel="1" x14ac:dyDescent="0.25">
      <c r="B57" s="2" t="s">
        <v>80</v>
      </c>
      <c r="D57" s="37">
        <v>1</v>
      </c>
      <c r="E57" s="32">
        <f t="shared" si="9"/>
        <v>1</v>
      </c>
      <c r="F57" s="116">
        <v>5000000</v>
      </c>
      <c r="G57" s="37">
        <f t="shared" si="5"/>
        <v>5000000</v>
      </c>
      <c r="H57" s="37">
        <f t="shared" si="3"/>
        <v>52083.333333333328</v>
      </c>
      <c r="I57" s="101" t="s">
        <v>132</v>
      </c>
      <c r="J57" s="2"/>
      <c r="K57" s="67">
        <v>3.6</v>
      </c>
      <c r="L57" s="67">
        <v>0.8</v>
      </c>
      <c r="M57" s="27">
        <f t="shared" si="10"/>
        <v>2.8800000000000003</v>
      </c>
      <c r="N57" s="27">
        <f t="shared" si="11"/>
        <v>500</v>
      </c>
      <c r="O57" s="38">
        <v>0.6</v>
      </c>
      <c r="P57" s="27">
        <f t="shared" si="12"/>
        <v>12096.000000000002</v>
      </c>
      <c r="Q57" s="27">
        <f t="shared" si="7"/>
        <v>10.752000000000002</v>
      </c>
    </row>
    <row r="58" spans="1:17" ht="38.25" outlineLevel="1" x14ac:dyDescent="0.25">
      <c r="B58" s="2" t="s">
        <v>76</v>
      </c>
      <c r="D58" s="37">
        <v>1</v>
      </c>
      <c r="E58" s="32">
        <f t="shared" si="9"/>
        <v>1</v>
      </c>
      <c r="F58" s="116">
        <v>30000000</v>
      </c>
      <c r="G58" s="37">
        <f t="shared" si="5"/>
        <v>30000000</v>
      </c>
      <c r="H58" s="37">
        <f t="shared" si="3"/>
        <v>312500</v>
      </c>
      <c r="I58" s="101" t="s">
        <v>133</v>
      </c>
      <c r="J58" s="2"/>
      <c r="K58" s="67">
        <v>12</v>
      </c>
      <c r="L58" s="67">
        <v>0.8</v>
      </c>
      <c r="M58" s="27">
        <f t="shared" si="10"/>
        <v>9.6000000000000014</v>
      </c>
      <c r="N58" s="27">
        <f t="shared" si="11"/>
        <v>500</v>
      </c>
      <c r="O58" s="38">
        <v>0.6</v>
      </c>
      <c r="P58" s="27">
        <f t="shared" si="12"/>
        <v>40320.000000000007</v>
      </c>
      <c r="Q58" s="27">
        <f t="shared" si="7"/>
        <v>35.840000000000003</v>
      </c>
    </row>
    <row r="59" spans="1:17" outlineLevel="1" x14ac:dyDescent="0.25">
      <c r="A59" s="69" t="s">
        <v>87</v>
      </c>
      <c r="B59" s="70" t="s">
        <v>48</v>
      </c>
      <c r="C59" s="71"/>
      <c r="D59" s="74"/>
      <c r="E59" s="74"/>
      <c r="F59" s="74"/>
      <c r="G59" s="72"/>
      <c r="H59" s="72"/>
      <c r="I59" s="72"/>
      <c r="J59" s="2"/>
    </row>
    <row r="60" spans="1:17" ht="25.5" outlineLevel="1" x14ac:dyDescent="0.25">
      <c r="B60" s="2" t="s">
        <v>90</v>
      </c>
      <c r="D60" s="116">
        <v>1</v>
      </c>
      <c r="E60" s="32">
        <f t="shared" si="9"/>
        <v>1</v>
      </c>
      <c r="F60" s="116">
        <v>5000000</v>
      </c>
      <c r="G60" s="37">
        <f t="shared" si="5"/>
        <v>5000000</v>
      </c>
      <c r="H60" s="37">
        <f t="shared" si="3"/>
        <v>52083.333333333328</v>
      </c>
      <c r="I60" s="101" t="s">
        <v>137</v>
      </c>
      <c r="J60" s="2"/>
      <c r="K60" s="67">
        <v>12</v>
      </c>
      <c r="L60" s="67">
        <v>0.8</v>
      </c>
      <c r="M60" s="27">
        <f t="shared" ref="M60" si="13">E60*K60*L60</f>
        <v>9.6000000000000014</v>
      </c>
      <c r="N60" s="27">
        <f t="shared" si="11"/>
        <v>500</v>
      </c>
      <c r="O60" s="38">
        <v>0.6</v>
      </c>
      <c r="P60" s="27">
        <f t="shared" ref="P60" si="14">M60*N60*O60*$S$46</f>
        <v>40320.000000000007</v>
      </c>
      <c r="Q60" s="27">
        <f t="shared" si="7"/>
        <v>35.840000000000003</v>
      </c>
    </row>
    <row r="61" spans="1:17" outlineLevel="1" x14ac:dyDescent="0.25">
      <c r="A61" s="69" t="s">
        <v>88</v>
      </c>
      <c r="B61" s="73" t="s">
        <v>49</v>
      </c>
      <c r="C61" s="71"/>
      <c r="D61" s="74"/>
      <c r="E61" s="74"/>
      <c r="F61" s="74"/>
      <c r="G61" s="72"/>
      <c r="H61" s="72"/>
      <c r="I61" s="72"/>
      <c r="J61" s="2"/>
    </row>
    <row r="62" spans="1:17" ht="25.5" outlineLevel="1" x14ac:dyDescent="0.25">
      <c r="B62" s="2" t="s">
        <v>74</v>
      </c>
      <c r="D62" s="116">
        <v>1</v>
      </c>
      <c r="E62" s="32">
        <f t="shared" si="9"/>
        <v>1</v>
      </c>
      <c r="F62" s="116">
        <v>40000000</v>
      </c>
      <c r="G62" s="37">
        <f t="shared" si="5"/>
        <v>40000000</v>
      </c>
      <c r="H62" s="37">
        <f t="shared" si="3"/>
        <v>416666.66666666663</v>
      </c>
      <c r="I62" s="101" t="s">
        <v>138</v>
      </c>
      <c r="J62" s="2"/>
      <c r="K62" s="67">
        <v>4</v>
      </c>
      <c r="L62" s="67">
        <v>0.8</v>
      </c>
      <c r="M62" s="27">
        <f t="shared" ref="M62" si="15">E62*K62*L62</f>
        <v>3.2</v>
      </c>
      <c r="N62" s="27">
        <f t="shared" si="11"/>
        <v>500</v>
      </c>
      <c r="O62" s="38">
        <v>0.6</v>
      </c>
      <c r="P62" s="27">
        <f t="shared" ref="P62" si="16">M62*N62*O62*$S$46</f>
        <v>13440</v>
      </c>
      <c r="Q62" s="27">
        <f t="shared" si="7"/>
        <v>11.946666666666667</v>
      </c>
    </row>
    <row r="63" spans="1:17" outlineLevel="1" x14ac:dyDescent="0.25">
      <c r="B63" s="2" t="s">
        <v>75</v>
      </c>
      <c r="D63" s="116">
        <v>40</v>
      </c>
      <c r="E63" s="32">
        <f t="shared" si="9"/>
        <v>40</v>
      </c>
      <c r="F63" s="116">
        <v>150000</v>
      </c>
      <c r="G63" s="37">
        <f t="shared" si="5"/>
        <v>6000000</v>
      </c>
      <c r="H63" s="37">
        <f t="shared" si="3"/>
        <v>62500</v>
      </c>
      <c r="I63" s="101" t="s">
        <v>120</v>
      </c>
      <c r="J63" s="2"/>
      <c r="K63" s="67">
        <v>2.4</v>
      </c>
      <c r="L63" s="67">
        <v>0.8</v>
      </c>
      <c r="M63" s="27">
        <f t="shared" ref="M63" si="17">E63*K63*L63</f>
        <v>76.800000000000011</v>
      </c>
      <c r="N63" s="27">
        <f t="shared" si="11"/>
        <v>500</v>
      </c>
      <c r="O63" s="38">
        <v>0.6</v>
      </c>
      <c r="P63" s="27">
        <f t="shared" ref="P63" si="18">M63*N63*O63*$S$46</f>
        <v>322560.00000000006</v>
      </c>
      <c r="Q63" s="27">
        <f t="shared" si="7"/>
        <v>286.72000000000003</v>
      </c>
    </row>
    <row r="64" spans="1:17" outlineLevel="1" x14ac:dyDescent="0.25">
      <c r="A64" s="69" t="s">
        <v>89</v>
      </c>
      <c r="B64" s="70" t="s">
        <v>50</v>
      </c>
      <c r="C64" s="71"/>
      <c r="D64" s="74"/>
      <c r="E64" s="74"/>
      <c r="F64" s="74"/>
      <c r="G64" s="72"/>
      <c r="H64" s="72"/>
      <c r="I64" s="72"/>
      <c r="J64" s="2"/>
    </row>
    <row r="65" spans="1:17" ht="63.75" outlineLevel="1" x14ac:dyDescent="0.25">
      <c r="B65" s="2" t="s">
        <v>58</v>
      </c>
      <c r="D65" s="116">
        <v>1</v>
      </c>
      <c r="E65" s="32">
        <f t="shared" si="9"/>
        <v>1</v>
      </c>
      <c r="F65" s="116">
        <v>5000000</v>
      </c>
      <c r="G65" s="37">
        <f t="shared" si="5"/>
        <v>5000000</v>
      </c>
      <c r="H65" s="37">
        <f t="shared" si="3"/>
        <v>52083.333333333328</v>
      </c>
      <c r="I65" s="101" t="s">
        <v>139</v>
      </c>
      <c r="J65" s="2"/>
      <c r="K65" s="67">
        <v>4</v>
      </c>
      <c r="L65" s="67">
        <v>0.8</v>
      </c>
      <c r="M65" s="27">
        <f t="shared" ref="M65" si="19">E65*K65*L65</f>
        <v>3.2</v>
      </c>
      <c r="N65" s="27">
        <f t="shared" si="11"/>
        <v>500</v>
      </c>
      <c r="O65" s="38">
        <v>0.6</v>
      </c>
      <c r="P65" s="27">
        <f t="shared" ref="P65" si="20">M65*N65*O65*$S$46</f>
        <v>13440</v>
      </c>
      <c r="Q65" s="27">
        <f t="shared" si="7"/>
        <v>11.946666666666667</v>
      </c>
    </row>
    <row r="66" spans="1:17" outlineLevel="1" x14ac:dyDescent="0.25">
      <c r="A66" s="69" t="s">
        <v>91</v>
      </c>
      <c r="B66" s="70" t="s">
        <v>92</v>
      </c>
      <c r="C66" s="71"/>
      <c r="D66" s="74"/>
      <c r="E66" s="74"/>
      <c r="F66" s="74"/>
      <c r="G66" s="72"/>
      <c r="H66" s="72"/>
      <c r="I66" s="72"/>
      <c r="J66" s="2"/>
    </row>
    <row r="67" spans="1:17" ht="51" outlineLevel="1" x14ac:dyDescent="0.25">
      <c r="B67" s="2" t="s">
        <v>82</v>
      </c>
      <c r="D67" s="116">
        <v>1</v>
      </c>
      <c r="E67" s="32">
        <f t="shared" si="9"/>
        <v>1</v>
      </c>
      <c r="F67" s="116">
        <v>4000000</v>
      </c>
      <c r="G67" s="37">
        <f t="shared" si="5"/>
        <v>4000000</v>
      </c>
      <c r="H67" s="37">
        <f t="shared" si="3"/>
        <v>41666.666666666664</v>
      </c>
      <c r="I67" s="101" t="s">
        <v>104</v>
      </c>
      <c r="J67" s="2"/>
      <c r="K67" s="67">
        <v>40</v>
      </c>
      <c r="L67" s="67">
        <v>0.8</v>
      </c>
      <c r="M67" s="27">
        <f t="shared" ref="M67" si="21">E67*K67*L67</f>
        <v>32</v>
      </c>
      <c r="N67" s="27">
        <f t="shared" si="11"/>
        <v>500</v>
      </c>
      <c r="O67" s="38">
        <v>0.6</v>
      </c>
      <c r="P67" s="27">
        <f t="shared" ref="P67" si="22">M67*N67*O67*$S$46</f>
        <v>134400</v>
      </c>
      <c r="Q67" s="27">
        <f t="shared" si="7"/>
        <v>119.46666666666667</v>
      </c>
    </row>
    <row r="68" spans="1:17" ht="63.75" outlineLevel="1" x14ac:dyDescent="0.25">
      <c r="B68" s="2" t="s">
        <v>83</v>
      </c>
      <c r="D68" s="116">
        <v>20</v>
      </c>
      <c r="E68" s="32">
        <f t="shared" si="9"/>
        <v>20</v>
      </c>
      <c r="F68" s="116">
        <v>350000</v>
      </c>
      <c r="G68" s="37">
        <f t="shared" si="5"/>
        <v>7000000</v>
      </c>
      <c r="H68" s="37">
        <f t="shared" si="3"/>
        <v>72916.666666666657</v>
      </c>
      <c r="I68" s="101" t="s">
        <v>140</v>
      </c>
      <c r="J68" s="2"/>
      <c r="K68" s="93">
        <f>T46</f>
        <v>90</v>
      </c>
      <c r="L68" s="93">
        <v>0.1</v>
      </c>
      <c r="M68" s="45">
        <f t="shared" ref="M68" si="23">E68*K68*L68</f>
        <v>180</v>
      </c>
      <c r="N68" s="45">
        <f t="shared" si="11"/>
        <v>500</v>
      </c>
      <c r="O68" s="94">
        <v>0.4</v>
      </c>
      <c r="P68" s="45">
        <f>M68*N68*O68</f>
        <v>36000</v>
      </c>
      <c r="Q68" s="45">
        <f t="shared" si="7"/>
        <v>32</v>
      </c>
    </row>
    <row r="69" spans="1:17" outlineLevel="1" x14ac:dyDescent="0.25">
      <c r="B69" s="39" t="s">
        <v>93</v>
      </c>
      <c r="C69" s="39"/>
      <c r="D69" s="40">
        <f>SUM(D46:D68)</f>
        <v>80</v>
      </c>
      <c r="E69" s="40">
        <f t="shared" si="9"/>
        <v>80</v>
      </c>
      <c r="F69" s="40"/>
      <c r="G69" s="40">
        <f>SUM(G46:G68)</f>
        <v>177000000</v>
      </c>
      <c r="H69" s="40">
        <f>SUM(H46:H68)</f>
        <v>1843750.0000000002</v>
      </c>
      <c r="I69" s="58"/>
      <c r="J69" s="2"/>
      <c r="K69" s="39" t="s">
        <v>93</v>
      </c>
      <c r="Q69" s="40">
        <f>SUM(Q46:Q68)</f>
        <v>851.54133333333357</v>
      </c>
    </row>
    <row r="70" spans="1:17" outlineLevel="1" x14ac:dyDescent="0.25">
      <c r="I70" s="58"/>
      <c r="J70" s="2"/>
    </row>
    <row r="71" spans="1:17" outlineLevel="1" x14ac:dyDescent="0.25">
      <c r="A71" s="104">
        <v>2.2000000000000002</v>
      </c>
      <c r="B71" s="43" t="s">
        <v>229</v>
      </c>
      <c r="C71" s="44"/>
      <c r="D71" s="82" t="str">
        <f>$C$30</f>
        <v>No</v>
      </c>
      <c r="I71" s="58"/>
      <c r="J71" s="2"/>
    </row>
    <row r="72" spans="1:17" outlineLevel="1" x14ac:dyDescent="0.25">
      <c r="I72" s="58"/>
      <c r="J72" s="2"/>
    </row>
    <row r="73" spans="1:17" outlineLevel="1" x14ac:dyDescent="0.25">
      <c r="A73" s="63">
        <f>MAX($A$1:A70)+0.1</f>
        <v>2.2000000000000002</v>
      </c>
      <c r="B73" s="17" t="s">
        <v>227</v>
      </c>
      <c r="D73" s="36" t="s">
        <v>226</v>
      </c>
      <c r="E73" s="36" t="s">
        <v>225</v>
      </c>
      <c r="F73" s="36" t="s">
        <v>8</v>
      </c>
      <c r="G73" s="36" t="s">
        <v>6</v>
      </c>
      <c r="H73" s="36" t="s">
        <v>37</v>
      </c>
      <c r="I73" s="64" t="s">
        <v>306</v>
      </c>
      <c r="J73" s="2"/>
    </row>
    <row r="74" spans="1:17" outlineLevel="1" x14ac:dyDescent="0.25">
      <c r="A74" s="69" t="s">
        <v>84</v>
      </c>
      <c r="B74" s="70" t="s">
        <v>59</v>
      </c>
      <c r="C74" s="71"/>
      <c r="D74" s="72"/>
      <c r="E74" s="72"/>
      <c r="F74" s="72"/>
      <c r="G74" s="72"/>
      <c r="H74" s="72"/>
      <c r="I74" s="72"/>
      <c r="J74" s="2"/>
    </row>
    <row r="75" spans="1:17" ht="25.5" outlineLevel="1" x14ac:dyDescent="0.25">
      <c r="B75" s="8" t="s">
        <v>94</v>
      </c>
      <c r="D75" s="116">
        <v>2</v>
      </c>
      <c r="E75" s="32">
        <f>D75</f>
        <v>2</v>
      </c>
      <c r="F75" s="116">
        <v>6500000</v>
      </c>
      <c r="G75" s="37" t="str">
        <f>IF($C$30="Yes",E75*F75,"")</f>
        <v/>
      </c>
      <c r="H75" s="37" t="str">
        <f>IFERROR(G75*$H$40,"")</f>
        <v/>
      </c>
      <c r="I75" s="101" t="s">
        <v>113</v>
      </c>
      <c r="J75" s="2"/>
      <c r="K75" s="67">
        <v>4</v>
      </c>
      <c r="L75" s="67">
        <v>0.8</v>
      </c>
      <c r="M75" s="27">
        <f t="shared" ref="M75" si="24">E75*K75*L75</f>
        <v>6.4</v>
      </c>
      <c r="N75" s="27">
        <f t="shared" ref="N75:N89" si="25">$D$11*$D$12</f>
        <v>500</v>
      </c>
      <c r="O75" s="38">
        <v>0.6</v>
      </c>
      <c r="P75" s="27">
        <f>M75*N75*O75*$S$46</f>
        <v>26880</v>
      </c>
      <c r="Q75" s="27">
        <f t="shared" ref="Q75:Q89" si="26">P75/$G$29</f>
        <v>23.893333333333334</v>
      </c>
    </row>
    <row r="76" spans="1:17" outlineLevel="1" x14ac:dyDescent="0.25">
      <c r="A76" s="69" t="s">
        <v>85</v>
      </c>
      <c r="B76" s="73" t="s">
        <v>46</v>
      </c>
      <c r="C76" s="71"/>
      <c r="D76" s="72"/>
      <c r="E76" s="72"/>
      <c r="F76" s="72"/>
      <c r="G76" s="72"/>
      <c r="H76" s="72"/>
      <c r="I76" s="72"/>
      <c r="J76" s="2"/>
    </row>
    <row r="77" spans="1:17" ht="51" outlineLevel="1" x14ac:dyDescent="0.25">
      <c r="B77" s="8" t="s">
        <v>72</v>
      </c>
      <c r="D77" s="116">
        <v>1</v>
      </c>
      <c r="E77" s="32">
        <f>D77</f>
        <v>1</v>
      </c>
      <c r="F77" s="116">
        <v>4000000</v>
      </c>
      <c r="G77" s="37" t="str">
        <f>IF($C$30="Yes",E77*F77,"")</f>
        <v/>
      </c>
      <c r="H77" s="37" t="str">
        <f>IFERROR(G77*$H$40,"")</f>
        <v/>
      </c>
      <c r="I77" s="101" t="s">
        <v>114</v>
      </c>
      <c r="J77" s="2"/>
      <c r="K77" s="67">
        <f>K49</f>
        <v>12</v>
      </c>
      <c r="L77" s="67">
        <v>0.8</v>
      </c>
      <c r="M77" s="27">
        <f t="shared" ref="M77" si="27">E77*K77*L77</f>
        <v>9.6000000000000014</v>
      </c>
      <c r="N77" s="27">
        <f t="shared" si="25"/>
        <v>500</v>
      </c>
      <c r="O77" s="38">
        <v>0.6</v>
      </c>
      <c r="P77" s="27">
        <f>M77*N77*O77*$S$46</f>
        <v>40320.000000000007</v>
      </c>
      <c r="Q77" s="27">
        <f t="shared" si="26"/>
        <v>35.840000000000003</v>
      </c>
    </row>
    <row r="78" spans="1:17" outlineLevel="1" x14ac:dyDescent="0.25">
      <c r="A78" s="69" t="s">
        <v>86</v>
      </c>
      <c r="B78" s="73" t="s">
        <v>47</v>
      </c>
      <c r="C78" s="71"/>
      <c r="D78" s="74"/>
      <c r="E78" s="74"/>
      <c r="F78" s="74"/>
      <c r="G78" s="72"/>
      <c r="H78" s="72"/>
      <c r="I78" s="72"/>
      <c r="J78" s="2"/>
    </row>
    <row r="79" spans="1:17" ht="25.5" outlineLevel="1" x14ac:dyDescent="0.25">
      <c r="B79" s="8" t="s">
        <v>95</v>
      </c>
      <c r="D79" s="116">
        <v>1</v>
      </c>
      <c r="E79" s="32">
        <f>D79</f>
        <v>1</v>
      </c>
      <c r="F79" s="116">
        <v>9000000</v>
      </c>
      <c r="G79" s="37" t="str">
        <f>IF($C$30="Yes",E79*F79,"")</f>
        <v/>
      </c>
      <c r="H79" s="37" t="str">
        <f>IFERROR(G79*$H$40,"")</f>
        <v/>
      </c>
      <c r="I79" s="101" t="s">
        <v>115</v>
      </c>
      <c r="J79" s="2"/>
      <c r="K79" s="67">
        <f>K54</f>
        <v>12</v>
      </c>
      <c r="L79" s="67">
        <v>0.8</v>
      </c>
      <c r="M79" s="27">
        <f t="shared" ref="M79" si="28">E79*K79*L79</f>
        <v>9.6000000000000014</v>
      </c>
      <c r="N79" s="27">
        <f t="shared" si="25"/>
        <v>500</v>
      </c>
      <c r="O79" s="38">
        <v>0.6</v>
      </c>
      <c r="P79" s="27">
        <f t="shared" ref="P79" si="29">M79*N79*O79*$S$46</f>
        <v>40320.000000000007</v>
      </c>
      <c r="Q79" s="27">
        <f t="shared" si="26"/>
        <v>35.840000000000003</v>
      </c>
    </row>
    <row r="80" spans="1:17" outlineLevel="1" x14ac:dyDescent="0.25">
      <c r="A80" s="69" t="s">
        <v>87</v>
      </c>
      <c r="B80" s="70" t="s">
        <v>48</v>
      </c>
      <c r="C80" s="71"/>
      <c r="D80" s="74"/>
      <c r="E80" s="74"/>
      <c r="F80" s="74"/>
      <c r="G80" s="72"/>
      <c r="H80" s="72"/>
      <c r="I80" s="72"/>
      <c r="J80" s="2"/>
    </row>
    <row r="81" spans="1:17" ht="25.5" outlineLevel="1" x14ac:dyDescent="0.25">
      <c r="B81" s="8" t="s">
        <v>96</v>
      </c>
      <c r="D81" s="116">
        <v>1</v>
      </c>
      <c r="E81" s="32">
        <f>D81</f>
        <v>1</v>
      </c>
      <c r="F81" s="116">
        <v>10000000</v>
      </c>
      <c r="G81" s="37" t="str">
        <f>IF($C$30="Yes",E81*F81,"")</f>
        <v/>
      </c>
      <c r="H81" s="37" t="str">
        <f>IFERROR(G81*$H$40,"")</f>
        <v/>
      </c>
      <c r="I81" s="101" t="s">
        <v>116</v>
      </c>
      <c r="J81" s="2"/>
      <c r="K81" s="67">
        <v>3.6</v>
      </c>
      <c r="L81" s="67">
        <v>0.8</v>
      </c>
      <c r="M81" s="27">
        <f t="shared" ref="M81" si="30">E81*K81*L81</f>
        <v>2.8800000000000003</v>
      </c>
      <c r="N81" s="27">
        <f t="shared" si="25"/>
        <v>500</v>
      </c>
      <c r="O81" s="38">
        <v>0.6</v>
      </c>
      <c r="P81" s="27">
        <f t="shared" ref="P81" si="31">M81*N81*O81*$S$46</f>
        <v>12096.000000000002</v>
      </c>
      <c r="Q81" s="27">
        <f t="shared" si="26"/>
        <v>10.752000000000002</v>
      </c>
    </row>
    <row r="82" spans="1:17" outlineLevel="1" x14ac:dyDescent="0.25">
      <c r="A82" s="69" t="s">
        <v>88</v>
      </c>
      <c r="B82" s="73" t="s">
        <v>49</v>
      </c>
      <c r="C82" s="71"/>
      <c r="D82" s="74"/>
      <c r="E82" s="74"/>
      <c r="F82" s="74"/>
      <c r="G82" s="72"/>
      <c r="H82" s="72"/>
      <c r="I82" s="72"/>
      <c r="J82" s="2"/>
    </row>
    <row r="83" spans="1:17" outlineLevel="1" x14ac:dyDescent="0.25">
      <c r="B83" s="8" t="s">
        <v>75</v>
      </c>
      <c r="D83" s="116">
        <v>20</v>
      </c>
      <c r="E83" s="32">
        <f t="shared" ref="E83:E89" si="32">D83</f>
        <v>20</v>
      </c>
      <c r="F83" s="116">
        <v>150000</v>
      </c>
      <c r="G83" s="37" t="str">
        <f>IF($C$30="Yes",E83*F83,"")</f>
        <v/>
      </c>
      <c r="H83" s="37" t="str">
        <f>IFERROR(G83*$H$40,"")</f>
        <v/>
      </c>
      <c r="I83" s="101" t="s">
        <v>120</v>
      </c>
      <c r="J83" s="2"/>
      <c r="K83" s="67">
        <f>K63</f>
        <v>2.4</v>
      </c>
      <c r="L83" s="67">
        <v>0.8</v>
      </c>
      <c r="M83" s="27">
        <f t="shared" ref="M83" si="33">E83*K83*L83</f>
        <v>38.400000000000006</v>
      </c>
      <c r="N83" s="27">
        <f t="shared" si="25"/>
        <v>500</v>
      </c>
      <c r="O83" s="38">
        <v>0.6</v>
      </c>
      <c r="P83" s="27">
        <f t="shared" ref="P83" si="34">M83*N83*O83*$S$46</f>
        <v>161280.00000000003</v>
      </c>
      <c r="Q83" s="27">
        <f t="shared" si="26"/>
        <v>143.36000000000001</v>
      </c>
    </row>
    <row r="84" spans="1:17" ht="25.5" outlineLevel="1" x14ac:dyDescent="0.25">
      <c r="B84" s="8" t="s">
        <v>117</v>
      </c>
      <c r="D84" s="116">
        <v>1</v>
      </c>
      <c r="E84" s="32">
        <f t="shared" si="32"/>
        <v>1</v>
      </c>
      <c r="F84" s="116">
        <v>10000000</v>
      </c>
      <c r="G84" s="37" t="str">
        <f t="shared" ref="G84:G89" si="35">IF($C$30="Yes",E84*F84,"")</f>
        <v/>
      </c>
      <c r="H84" s="37" t="str">
        <f t="shared" ref="H84:H89" si="36">IFERROR(G84*$H$40,"")</f>
        <v/>
      </c>
      <c r="I84" s="101" t="s">
        <v>118</v>
      </c>
      <c r="J84" s="2"/>
      <c r="K84" s="67">
        <v>16</v>
      </c>
      <c r="L84" s="67">
        <v>0.8</v>
      </c>
      <c r="M84" s="27">
        <f t="shared" ref="M84:M86" si="37">E84*K84*L84</f>
        <v>12.8</v>
      </c>
      <c r="N84" s="27">
        <f t="shared" si="25"/>
        <v>500</v>
      </c>
      <c r="O84" s="38">
        <v>0.6</v>
      </c>
      <c r="P84" s="27">
        <f t="shared" ref="P84:P86" si="38">M84*N84*O84*$S$46</f>
        <v>53760</v>
      </c>
      <c r="Q84" s="27">
        <f t="shared" si="26"/>
        <v>47.786666666666669</v>
      </c>
    </row>
    <row r="85" spans="1:17" ht="25.5" outlineLevel="1" x14ac:dyDescent="0.25">
      <c r="B85" s="8" t="s">
        <v>119</v>
      </c>
      <c r="D85" s="116">
        <v>1</v>
      </c>
      <c r="E85" s="32">
        <f t="shared" si="32"/>
        <v>1</v>
      </c>
      <c r="F85" s="116">
        <v>30000000</v>
      </c>
      <c r="G85" s="37" t="str">
        <f t="shared" si="35"/>
        <v/>
      </c>
      <c r="H85" s="37" t="str">
        <f t="shared" si="36"/>
        <v/>
      </c>
      <c r="I85" s="101" t="s">
        <v>121</v>
      </c>
      <c r="J85" s="2"/>
      <c r="K85" s="67">
        <v>16</v>
      </c>
      <c r="L85" s="67">
        <v>0.8</v>
      </c>
      <c r="M85" s="27">
        <f t="shared" si="37"/>
        <v>12.8</v>
      </c>
      <c r="N85" s="27">
        <f t="shared" si="25"/>
        <v>500</v>
      </c>
      <c r="O85" s="38">
        <v>0.6</v>
      </c>
      <c r="P85" s="27">
        <f t="shared" si="38"/>
        <v>53760</v>
      </c>
      <c r="Q85" s="27">
        <f t="shared" si="26"/>
        <v>47.786666666666669</v>
      </c>
    </row>
    <row r="86" spans="1:17" ht="25.5" outlineLevel="1" x14ac:dyDescent="0.25">
      <c r="B86" s="8" t="s">
        <v>122</v>
      </c>
      <c r="D86" s="116">
        <v>1</v>
      </c>
      <c r="E86" s="32">
        <f t="shared" si="32"/>
        <v>1</v>
      </c>
      <c r="F86" s="116">
        <v>5000000</v>
      </c>
      <c r="G86" s="37" t="str">
        <f t="shared" si="35"/>
        <v/>
      </c>
      <c r="H86" s="37" t="str">
        <f t="shared" si="36"/>
        <v/>
      </c>
      <c r="I86" s="101" t="s">
        <v>123</v>
      </c>
      <c r="J86" s="2"/>
      <c r="K86" s="67">
        <v>16</v>
      </c>
      <c r="L86" s="67">
        <v>0.8</v>
      </c>
      <c r="M86" s="27">
        <f t="shared" si="37"/>
        <v>12.8</v>
      </c>
      <c r="N86" s="27">
        <f t="shared" si="25"/>
        <v>500</v>
      </c>
      <c r="O86" s="38">
        <v>0.6</v>
      </c>
      <c r="P86" s="27">
        <f t="shared" si="38"/>
        <v>53760</v>
      </c>
      <c r="Q86" s="27">
        <f t="shared" si="26"/>
        <v>47.786666666666669</v>
      </c>
    </row>
    <row r="87" spans="1:17" outlineLevel="1" x14ac:dyDescent="0.25">
      <c r="A87" s="69" t="s">
        <v>89</v>
      </c>
      <c r="B87" s="70" t="s">
        <v>92</v>
      </c>
      <c r="C87" s="71"/>
      <c r="D87" s="74"/>
      <c r="E87" s="74"/>
      <c r="F87" s="74"/>
      <c r="G87" s="72"/>
      <c r="H87" s="72"/>
      <c r="I87" s="72"/>
      <c r="J87" s="2"/>
    </row>
    <row r="88" spans="1:17" ht="51" outlineLevel="1" x14ac:dyDescent="0.25">
      <c r="B88" s="8" t="s">
        <v>97</v>
      </c>
      <c r="D88" s="116">
        <v>1</v>
      </c>
      <c r="E88" s="32">
        <f t="shared" si="32"/>
        <v>1</v>
      </c>
      <c r="F88" s="116">
        <v>2000000</v>
      </c>
      <c r="G88" s="37" t="str">
        <f t="shared" si="35"/>
        <v/>
      </c>
      <c r="H88" s="37" t="str">
        <f t="shared" si="36"/>
        <v/>
      </c>
      <c r="I88" s="101" t="s">
        <v>104</v>
      </c>
      <c r="J88" s="2"/>
      <c r="K88" s="67">
        <v>30</v>
      </c>
      <c r="L88" s="67">
        <v>0.8</v>
      </c>
      <c r="M88" s="27">
        <f t="shared" ref="M88" si="39">E88*K88*L88</f>
        <v>24</v>
      </c>
      <c r="N88" s="27">
        <f t="shared" si="25"/>
        <v>500</v>
      </c>
      <c r="O88" s="38">
        <v>0.6</v>
      </c>
      <c r="P88" s="27">
        <f t="shared" ref="P88" si="40">M88*N88*O88*$S$46</f>
        <v>100800</v>
      </c>
      <c r="Q88" s="27">
        <f t="shared" si="26"/>
        <v>89.6</v>
      </c>
    </row>
    <row r="89" spans="1:17" ht="38.25" outlineLevel="1" x14ac:dyDescent="0.25">
      <c r="B89" s="8" t="s">
        <v>98</v>
      </c>
      <c r="D89" s="116">
        <v>1</v>
      </c>
      <c r="E89" s="32">
        <f t="shared" si="32"/>
        <v>1</v>
      </c>
      <c r="F89" s="116">
        <v>5000000</v>
      </c>
      <c r="G89" s="37" t="str">
        <f t="shared" si="35"/>
        <v/>
      </c>
      <c r="H89" s="37" t="str">
        <f t="shared" si="36"/>
        <v/>
      </c>
      <c r="I89" s="101" t="s">
        <v>112</v>
      </c>
      <c r="J89" s="2"/>
      <c r="K89" s="67">
        <v>2</v>
      </c>
      <c r="L89" s="67">
        <v>0.8</v>
      </c>
      <c r="M89" s="27">
        <f t="shared" ref="M89" si="41">E89*K89*L89</f>
        <v>1.6</v>
      </c>
      <c r="N89" s="27">
        <f t="shared" si="25"/>
        <v>500</v>
      </c>
      <c r="O89" s="38">
        <v>0.6</v>
      </c>
      <c r="P89" s="27">
        <f t="shared" ref="P89" si="42">M89*N89*O89*$S$46</f>
        <v>6720</v>
      </c>
      <c r="Q89" s="27">
        <f t="shared" si="26"/>
        <v>5.9733333333333336</v>
      </c>
    </row>
    <row r="90" spans="1:17" outlineLevel="1" x14ac:dyDescent="0.25">
      <c r="B90" s="39" t="s">
        <v>99</v>
      </c>
      <c r="C90" s="39"/>
      <c r="D90" s="40">
        <f>SUM(D74:D89)</f>
        <v>30</v>
      </c>
      <c r="E90" s="40">
        <f>SUM(E74:E89)</f>
        <v>30</v>
      </c>
      <c r="F90" s="40"/>
      <c r="G90" s="40">
        <f>SUM(G74:G89)</f>
        <v>0</v>
      </c>
      <c r="H90" s="40">
        <f>SUM(H74:H89)</f>
        <v>0</v>
      </c>
      <c r="I90" s="58"/>
      <c r="J90" s="2"/>
      <c r="K90" s="39" t="s">
        <v>99</v>
      </c>
      <c r="Q90" s="40">
        <f>SUM(Q75:Q89)</f>
        <v>488.61866666666674</v>
      </c>
    </row>
    <row r="91" spans="1:17" outlineLevel="1" x14ac:dyDescent="0.25">
      <c r="I91" s="58"/>
      <c r="J91" s="2"/>
    </row>
    <row r="92" spans="1:17" outlineLevel="1" x14ac:dyDescent="0.25">
      <c r="A92" s="104">
        <v>2.2999999999999998</v>
      </c>
      <c r="B92" s="43" t="s">
        <v>230</v>
      </c>
      <c r="C92" s="44"/>
      <c r="D92" s="82" t="str">
        <f>$C$31</f>
        <v>Yes</v>
      </c>
      <c r="I92" s="58"/>
      <c r="J92" s="2"/>
    </row>
    <row r="93" spans="1:17" outlineLevel="1" x14ac:dyDescent="0.25">
      <c r="I93" s="58"/>
      <c r="J93" s="2"/>
    </row>
    <row r="94" spans="1:17" outlineLevel="1" x14ac:dyDescent="0.25">
      <c r="A94" s="63">
        <f>MAX($A$1:A91)+0.1</f>
        <v>2.3000000000000003</v>
      </c>
      <c r="B94" s="17" t="s">
        <v>142</v>
      </c>
      <c r="D94" s="36" t="s">
        <v>226</v>
      </c>
      <c r="E94" s="36" t="s">
        <v>225</v>
      </c>
      <c r="F94" s="36" t="s">
        <v>8</v>
      </c>
      <c r="G94" s="36" t="s">
        <v>6</v>
      </c>
      <c r="H94" s="36" t="s">
        <v>37</v>
      </c>
      <c r="I94" s="64" t="s">
        <v>306</v>
      </c>
      <c r="J94" s="2"/>
    </row>
    <row r="95" spans="1:17" outlineLevel="1" x14ac:dyDescent="0.25">
      <c r="A95" s="69" t="s">
        <v>84</v>
      </c>
      <c r="B95" s="70" t="s">
        <v>59</v>
      </c>
      <c r="C95" s="71"/>
      <c r="D95" s="72"/>
      <c r="E95" s="72"/>
      <c r="F95" s="72"/>
      <c r="G95" s="72"/>
      <c r="H95" s="72"/>
      <c r="I95" s="72"/>
      <c r="J95" s="2"/>
    </row>
    <row r="96" spans="1:17" ht="25.5" outlineLevel="1" x14ac:dyDescent="0.25">
      <c r="B96" s="8" t="s">
        <v>60</v>
      </c>
      <c r="D96" s="116">
        <v>1</v>
      </c>
      <c r="E96" s="32">
        <f t="shared" ref="E96:E111" si="43">D96</f>
        <v>1</v>
      </c>
      <c r="F96" s="116">
        <v>4000000</v>
      </c>
      <c r="G96" s="37">
        <f>IF($C$31="Yes",E96*F96,"")</f>
        <v>4000000</v>
      </c>
      <c r="H96" s="37">
        <f t="shared" ref="H96" si="44">IFERROR(G96*$H$40,"")</f>
        <v>41666.666666666664</v>
      </c>
      <c r="I96" s="101" t="s">
        <v>110</v>
      </c>
      <c r="J96" s="2"/>
      <c r="K96" s="67">
        <f>K46</f>
        <v>3.6</v>
      </c>
      <c r="L96" s="67">
        <v>0.8</v>
      </c>
      <c r="M96" s="27">
        <f t="shared" ref="M96" si="45">E96*K96*L96</f>
        <v>2.8800000000000003</v>
      </c>
      <c r="N96" s="27">
        <f t="shared" ref="N96:N111" si="46">$D$11*$D$12</f>
        <v>500</v>
      </c>
      <c r="O96" s="38">
        <v>0.6</v>
      </c>
      <c r="P96" s="27">
        <f t="shared" ref="P96" si="47">M96*N96*O96*$S$46</f>
        <v>12096.000000000002</v>
      </c>
      <c r="Q96" s="27">
        <f t="shared" ref="Q96:Q111" si="48">P96/$G$29</f>
        <v>10.752000000000002</v>
      </c>
    </row>
    <row r="97" spans="1:17" ht="25.5" outlineLevel="1" x14ac:dyDescent="0.25">
      <c r="B97" s="8" t="s">
        <v>61</v>
      </c>
      <c r="D97" s="116">
        <v>4</v>
      </c>
      <c r="E97" s="32">
        <f t="shared" si="43"/>
        <v>4</v>
      </c>
      <c r="F97" s="116">
        <v>2000000</v>
      </c>
      <c r="G97" s="37">
        <f>IF($C$31="Yes",E97*F97,"")</f>
        <v>8000000</v>
      </c>
      <c r="H97" s="37">
        <f t="shared" ref="H97" si="49">IFERROR(G97*$H$40,"")</f>
        <v>83333.333333333328</v>
      </c>
      <c r="I97" s="101" t="s">
        <v>111</v>
      </c>
      <c r="J97" s="2"/>
      <c r="K97" s="67">
        <f>K47</f>
        <v>2.4</v>
      </c>
      <c r="L97" s="67">
        <v>0.8</v>
      </c>
      <c r="M97" s="27">
        <f t="shared" ref="M97" si="50">E97*K97*L97</f>
        <v>7.68</v>
      </c>
      <c r="N97" s="27">
        <f t="shared" si="46"/>
        <v>500</v>
      </c>
      <c r="O97" s="38">
        <v>0.6</v>
      </c>
      <c r="P97" s="27">
        <f t="shared" ref="P97" si="51">M97*N97*O97*$S$46</f>
        <v>32256</v>
      </c>
      <c r="Q97" s="27">
        <f t="shared" si="48"/>
        <v>28.672000000000001</v>
      </c>
    </row>
    <row r="98" spans="1:17" outlineLevel="1" x14ac:dyDescent="0.25">
      <c r="A98" s="69" t="s">
        <v>85</v>
      </c>
      <c r="B98" s="73" t="s">
        <v>46</v>
      </c>
      <c r="C98" s="71"/>
      <c r="D98" s="72"/>
      <c r="E98" s="72"/>
      <c r="F98" s="72"/>
      <c r="G98" s="72"/>
      <c r="H98" s="72"/>
      <c r="I98" s="72"/>
      <c r="J98" s="2"/>
    </row>
    <row r="99" spans="1:17" ht="25.5" outlineLevel="1" x14ac:dyDescent="0.25">
      <c r="B99" s="8" t="s">
        <v>108</v>
      </c>
      <c r="D99" s="116">
        <v>1</v>
      </c>
      <c r="E99" s="32">
        <f t="shared" si="43"/>
        <v>1</v>
      </c>
      <c r="F99" s="116">
        <v>5000000</v>
      </c>
      <c r="G99" s="37">
        <f>IF($C$31="Yes",E99*F99,"")</f>
        <v>5000000</v>
      </c>
      <c r="H99" s="37">
        <f t="shared" ref="H99" si="52">IFERROR(G99*$H$40,"")</f>
        <v>52083.333333333328</v>
      </c>
      <c r="I99" s="101" t="s">
        <v>109</v>
      </c>
      <c r="J99" s="2"/>
      <c r="K99" s="67">
        <v>3</v>
      </c>
      <c r="L99" s="67">
        <v>0.8</v>
      </c>
      <c r="M99" s="27">
        <f t="shared" ref="M99" si="53">E99*K99*L99</f>
        <v>2.4000000000000004</v>
      </c>
      <c r="N99" s="27">
        <f t="shared" si="46"/>
        <v>500</v>
      </c>
      <c r="O99" s="38">
        <v>0.6</v>
      </c>
      <c r="P99" s="27">
        <f t="shared" ref="P99" si="54">M99*N99*O99*$S$46</f>
        <v>10080.000000000002</v>
      </c>
      <c r="Q99" s="27">
        <f t="shared" si="48"/>
        <v>8.9600000000000009</v>
      </c>
    </row>
    <row r="100" spans="1:17" outlineLevel="1" x14ac:dyDescent="0.25">
      <c r="A100" s="69" t="s">
        <v>86</v>
      </c>
      <c r="B100" s="73" t="s">
        <v>47</v>
      </c>
      <c r="C100" s="71"/>
      <c r="D100" s="74"/>
      <c r="E100" s="74"/>
      <c r="F100" s="74"/>
      <c r="G100" s="72"/>
      <c r="H100" s="72"/>
      <c r="I100" s="72"/>
      <c r="J100" s="2"/>
    </row>
    <row r="101" spans="1:17" ht="38.25" outlineLevel="1" x14ac:dyDescent="0.25">
      <c r="B101" s="8" t="s">
        <v>107</v>
      </c>
      <c r="D101" s="116">
        <v>2</v>
      </c>
      <c r="E101" s="32">
        <f t="shared" si="43"/>
        <v>2</v>
      </c>
      <c r="F101" s="116">
        <v>25000000</v>
      </c>
      <c r="G101" s="37">
        <f>IF($C$31="Yes",E101*F101,"")</f>
        <v>50000000</v>
      </c>
      <c r="H101" s="37">
        <f t="shared" ref="H101" si="55">IFERROR(G101*$H$40,"")</f>
        <v>520833.33333333331</v>
      </c>
      <c r="I101" s="101" t="s">
        <v>309</v>
      </c>
      <c r="J101" s="2"/>
      <c r="K101" s="67">
        <f>K54</f>
        <v>12</v>
      </c>
      <c r="L101" s="67">
        <v>0.8</v>
      </c>
      <c r="M101" s="27">
        <f t="shared" ref="M101" si="56">E101*K101*L101</f>
        <v>19.200000000000003</v>
      </c>
      <c r="N101" s="27">
        <f t="shared" si="46"/>
        <v>500</v>
      </c>
      <c r="O101" s="38">
        <v>0.6</v>
      </c>
      <c r="P101" s="27">
        <f t="shared" ref="P101" si="57">M101*N101*O101*$S$46</f>
        <v>80640.000000000015</v>
      </c>
      <c r="Q101" s="27">
        <f t="shared" si="48"/>
        <v>71.680000000000007</v>
      </c>
    </row>
    <row r="102" spans="1:17" outlineLevel="1" x14ac:dyDescent="0.25">
      <c r="A102" s="69" t="s">
        <v>87</v>
      </c>
      <c r="B102" s="70" t="s">
        <v>48</v>
      </c>
      <c r="C102" s="71"/>
      <c r="D102" s="74"/>
      <c r="E102" s="74"/>
      <c r="F102" s="74"/>
      <c r="G102" s="72"/>
      <c r="H102" s="72"/>
      <c r="I102" s="72"/>
      <c r="J102" s="2"/>
    </row>
    <row r="103" spans="1:17" ht="76.5" outlineLevel="1" x14ac:dyDescent="0.25">
      <c r="B103" s="8" t="s">
        <v>101</v>
      </c>
      <c r="D103" s="116">
        <v>1</v>
      </c>
      <c r="E103" s="32">
        <f t="shared" si="43"/>
        <v>1</v>
      </c>
      <c r="F103" s="116">
        <v>10000000</v>
      </c>
      <c r="G103" s="37">
        <f>IF($C$31="Yes",E103*F103,"")</f>
        <v>10000000</v>
      </c>
      <c r="H103" s="37">
        <f t="shared" ref="H103" si="58">IFERROR(G103*$H$40,"")</f>
        <v>104166.66666666666</v>
      </c>
      <c r="I103" s="101" t="s">
        <v>100</v>
      </c>
      <c r="J103" s="2"/>
      <c r="K103" s="67">
        <v>3</v>
      </c>
      <c r="L103" s="67">
        <v>0.8</v>
      </c>
      <c r="M103" s="27">
        <f t="shared" ref="M103" si="59">E103*K103*L103</f>
        <v>2.4000000000000004</v>
      </c>
      <c r="N103" s="27">
        <f t="shared" si="46"/>
        <v>500</v>
      </c>
      <c r="O103" s="38">
        <v>0.6</v>
      </c>
      <c r="P103" s="27">
        <f t="shared" ref="P103" si="60">M103*N103*O103*$S$46</f>
        <v>10080.000000000002</v>
      </c>
      <c r="Q103" s="27">
        <f t="shared" si="48"/>
        <v>8.9600000000000009</v>
      </c>
    </row>
    <row r="104" spans="1:17" ht="63.75" outlineLevel="1" x14ac:dyDescent="0.25">
      <c r="B104" s="8" t="s">
        <v>102</v>
      </c>
      <c r="D104" s="116">
        <v>1</v>
      </c>
      <c r="E104" s="32">
        <f t="shared" si="43"/>
        <v>1</v>
      </c>
      <c r="F104" s="116">
        <v>10000000</v>
      </c>
      <c r="G104" s="37">
        <f>IF($C$31="Yes",E104*F104,"")</f>
        <v>10000000</v>
      </c>
      <c r="H104" s="37">
        <f t="shared" ref="H104" si="61">IFERROR(G104*$H$40,"")</f>
        <v>104166.66666666666</v>
      </c>
      <c r="I104" s="101" t="s">
        <v>103</v>
      </c>
      <c r="J104" s="2"/>
      <c r="K104" s="67">
        <v>3</v>
      </c>
      <c r="L104" s="67">
        <v>0.8</v>
      </c>
      <c r="M104" s="27">
        <f t="shared" ref="M104" si="62">E104*K104*L104</f>
        <v>2.4000000000000004</v>
      </c>
      <c r="N104" s="27">
        <f t="shared" si="46"/>
        <v>500</v>
      </c>
      <c r="O104" s="38">
        <v>0.6</v>
      </c>
      <c r="P104" s="27">
        <f t="shared" ref="P104" si="63">M104*N104*O104*$S$46</f>
        <v>10080.000000000002</v>
      </c>
      <c r="Q104" s="27">
        <f t="shared" si="48"/>
        <v>8.9600000000000009</v>
      </c>
    </row>
    <row r="105" spans="1:17" outlineLevel="1" x14ac:dyDescent="0.25">
      <c r="A105" s="69" t="s">
        <v>88</v>
      </c>
      <c r="B105" s="73" t="s">
        <v>49</v>
      </c>
      <c r="C105" s="71"/>
      <c r="D105" s="74"/>
      <c r="E105" s="74"/>
      <c r="F105" s="74"/>
      <c r="G105" s="72"/>
      <c r="H105" s="72"/>
      <c r="I105" s="72"/>
      <c r="J105" s="2"/>
    </row>
    <row r="106" spans="1:17" outlineLevel="1" x14ac:dyDescent="0.25">
      <c r="B106" s="8" t="s">
        <v>75</v>
      </c>
      <c r="D106" s="116">
        <v>20</v>
      </c>
      <c r="E106" s="32">
        <f t="shared" si="43"/>
        <v>20</v>
      </c>
      <c r="F106" s="116">
        <v>150000</v>
      </c>
      <c r="G106" s="37">
        <f>IF($C$31="Yes",E106*F106,"")</f>
        <v>3000000</v>
      </c>
      <c r="H106" s="37">
        <f t="shared" ref="H106" si="64">IFERROR(G106*$H$40,"")</f>
        <v>31250</v>
      </c>
      <c r="I106" s="101" t="s">
        <v>310</v>
      </c>
      <c r="J106" s="2"/>
      <c r="K106" s="67">
        <v>3</v>
      </c>
      <c r="L106" s="67">
        <v>0.8</v>
      </c>
      <c r="M106" s="27">
        <f t="shared" ref="M106" si="65">E106*K106*L106</f>
        <v>48</v>
      </c>
      <c r="N106" s="27">
        <f t="shared" si="46"/>
        <v>500</v>
      </c>
      <c r="O106" s="38">
        <v>0.6</v>
      </c>
      <c r="P106" s="27">
        <f t="shared" ref="P106" si="66">M106*N106*O106*$S$46</f>
        <v>201600</v>
      </c>
      <c r="Q106" s="27">
        <f t="shared" si="48"/>
        <v>179.2</v>
      </c>
    </row>
    <row r="107" spans="1:17" outlineLevel="1" x14ac:dyDescent="0.25">
      <c r="A107" s="69" t="s">
        <v>89</v>
      </c>
      <c r="B107" s="70" t="s">
        <v>50</v>
      </c>
      <c r="C107" s="71"/>
      <c r="D107" s="74"/>
      <c r="E107" s="74"/>
      <c r="F107" s="74"/>
      <c r="G107" s="72"/>
      <c r="H107" s="72"/>
      <c r="I107" s="72"/>
      <c r="J107" s="2"/>
    </row>
    <row r="108" spans="1:17" ht="51" outlineLevel="1" x14ac:dyDescent="0.25">
      <c r="B108" s="2" t="s">
        <v>105</v>
      </c>
      <c r="D108" s="116">
        <v>1</v>
      </c>
      <c r="E108" s="32">
        <f t="shared" si="43"/>
        <v>1</v>
      </c>
      <c r="F108" s="116">
        <v>9000000</v>
      </c>
      <c r="G108" s="37">
        <f>IF($C$31="Yes",E108*F108,"")</f>
        <v>9000000</v>
      </c>
      <c r="H108" s="37">
        <f t="shared" ref="H108" si="67">IFERROR(G108*$H$40,"")</f>
        <v>93750</v>
      </c>
      <c r="I108" s="101" t="s">
        <v>106</v>
      </c>
      <c r="J108" s="2"/>
      <c r="K108" s="67">
        <v>3</v>
      </c>
      <c r="L108" s="67">
        <v>0.8</v>
      </c>
      <c r="M108" s="27">
        <f t="shared" ref="M108" si="68">E108*K108*L108</f>
        <v>2.4000000000000004</v>
      </c>
      <c r="N108" s="27">
        <f t="shared" si="46"/>
        <v>500</v>
      </c>
      <c r="O108" s="38">
        <v>0.6</v>
      </c>
      <c r="P108" s="27">
        <f t="shared" ref="P108" si="69">M108*N108*O108*$S$46</f>
        <v>10080.000000000002</v>
      </c>
      <c r="Q108" s="27">
        <f t="shared" si="48"/>
        <v>8.9600000000000009</v>
      </c>
    </row>
    <row r="109" spans="1:17" outlineLevel="1" x14ac:dyDescent="0.25">
      <c r="A109" s="69" t="s">
        <v>91</v>
      </c>
      <c r="B109" s="70" t="s">
        <v>92</v>
      </c>
      <c r="C109" s="71"/>
      <c r="D109" s="74"/>
      <c r="E109" s="74"/>
      <c r="F109" s="74"/>
      <c r="G109" s="72"/>
      <c r="H109" s="72"/>
      <c r="I109" s="72"/>
      <c r="J109" s="2"/>
    </row>
    <row r="110" spans="1:17" ht="51" outlineLevel="1" x14ac:dyDescent="0.25">
      <c r="B110" s="8" t="s">
        <v>82</v>
      </c>
      <c r="D110" s="116">
        <v>1</v>
      </c>
      <c r="E110" s="32">
        <f t="shared" si="43"/>
        <v>1</v>
      </c>
      <c r="F110" s="116">
        <v>4000000</v>
      </c>
      <c r="G110" s="37">
        <f t="shared" ref="G110:G111" si="70">IF($C$31="Yes",E110*F110,"")</f>
        <v>4000000</v>
      </c>
      <c r="H110" s="37">
        <f t="shared" ref="H110" si="71">IFERROR(G110*$H$40,"")</f>
        <v>41666.666666666664</v>
      </c>
      <c r="I110" s="101" t="s">
        <v>104</v>
      </c>
      <c r="J110" s="2"/>
      <c r="K110" s="67">
        <f>K67</f>
        <v>40</v>
      </c>
      <c r="L110" s="67">
        <v>0.8</v>
      </c>
      <c r="M110" s="27">
        <f t="shared" ref="M110:M111" si="72">E110*K110*L110</f>
        <v>32</v>
      </c>
      <c r="N110" s="27">
        <f t="shared" si="46"/>
        <v>500</v>
      </c>
      <c r="O110" s="38">
        <v>0.6</v>
      </c>
      <c r="P110" s="27">
        <f t="shared" ref="P110" si="73">M110*N110*O110*$S$46</f>
        <v>134400</v>
      </c>
      <c r="Q110" s="27">
        <f t="shared" si="48"/>
        <v>119.46666666666667</v>
      </c>
    </row>
    <row r="111" spans="1:17" ht="63.75" outlineLevel="1" x14ac:dyDescent="0.25">
      <c r="B111" s="8" t="s">
        <v>83</v>
      </c>
      <c r="D111" s="116">
        <v>20</v>
      </c>
      <c r="E111" s="32">
        <f t="shared" si="43"/>
        <v>20</v>
      </c>
      <c r="F111" s="116">
        <v>350000</v>
      </c>
      <c r="G111" s="37">
        <f t="shared" si="70"/>
        <v>7000000</v>
      </c>
      <c r="H111" s="37">
        <f t="shared" ref="H111" si="74">IFERROR(G111*$H$40,"")</f>
        <v>72916.666666666657</v>
      </c>
      <c r="I111" s="101" t="s">
        <v>140</v>
      </c>
      <c r="J111" s="2"/>
      <c r="K111" s="93">
        <f>$T$46</f>
        <v>90</v>
      </c>
      <c r="L111" s="93">
        <f>L68</f>
        <v>0.1</v>
      </c>
      <c r="M111" s="45">
        <f t="shared" si="72"/>
        <v>180</v>
      </c>
      <c r="N111" s="45">
        <f t="shared" si="46"/>
        <v>500</v>
      </c>
      <c r="O111" s="94">
        <f>O68</f>
        <v>0.4</v>
      </c>
      <c r="P111" s="45">
        <f>M111*N111*O111</f>
        <v>36000</v>
      </c>
      <c r="Q111" s="45">
        <f t="shared" si="48"/>
        <v>32</v>
      </c>
    </row>
    <row r="112" spans="1:17" outlineLevel="1" x14ac:dyDescent="0.25">
      <c r="B112" s="39" t="s">
        <v>255</v>
      </c>
      <c r="C112" s="39"/>
      <c r="D112" s="40">
        <f>SUM(D96:D111)</f>
        <v>52</v>
      </c>
      <c r="E112" s="40">
        <f>SUM(E96:E111)</f>
        <v>52</v>
      </c>
      <c r="F112" s="40"/>
      <c r="G112" s="40">
        <f>SUM(G96:G111)</f>
        <v>110000000</v>
      </c>
      <c r="H112" s="40">
        <f>SUM(H96:H111)</f>
        <v>1145833.3333333333</v>
      </c>
      <c r="J112" s="2"/>
      <c r="K112" s="39" t="s">
        <v>255</v>
      </c>
      <c r="Q112" s="40">
        <f>SUM(Q96:Q111)</f>
        <v>477.6106666666667</v>
      </c>
    </row>
    <row r="113" spans="1:17" outlineLevel="1" x14ac:dyDescent="0.25"/>
    <row r="114" spans="1:17" outlineLevel="1" x14ac:dyDescent="0.25">
      <c r="A114" s="104">
        <v>2.4</v>
      </c>
      <c r="B114" s="43" t="s">
        <v>231</v>
      </c>
      <c r="C114" s="44"/>
      <c r="D114" s="82" t="str">
        <f>$C$32</f>
        <v>Yes</v>
      </c>
    </row>
    <row r="115" spans="1:17" outlineLevel="1" x14ac:dyDescent="0.25"/>
    <row r="116" spans="1:17" outlineLevel="1" x14ac:dyDescent="0.25">
      <c r="A116" s="63">
        <f>MAX($A$1:A113)+0.1</f>
        <v>2.4000000000000004</v>
      </c>
      <c r="B116" s="17" t="s">
        <v>220</v>
      </c>
      <c r="D116" s="36" t="s">
        <v>226</v>
      </c>
      <c r="E116" s="36" t="s">
        <v>225</v>
      </c>
      <c r="F116" s="36" t="s">
        <v>8</v>
      </c>
      <c r="G116" s="36" t="s">
        <v>6</v>
      </c>
      <c r="H116" s="36" t="s">
        <v>37</v>
      </c>
      <c r="I116" s="64" t="s">
        <v>306</v>
      </c>
    </row>
    <row r="117" spans="1:17" outlineLevel="1" x14ac:dyDescent="0.25">
      <c r="A117" s="69" t="s">
        <v>84</v>
      </c>
      <c r="B117" s="70" t="s">
        <v>59</v>
      </c>
      <c r="C117" s="71"/>
      <c r="D117" s="72"/>
      <c r="E117" s="72"/>
      <c r="F117" s="72"/>
      <c r="G117" s="72"/>
      <c r="H117" s="72"/>
      <c r="I117" s="72"/>
    </row>
    <row r="118" spans="1:17" ht="25.5" outlineLevel="1" x14ac:dyDescent="0.25">
      <c r="B118" s="8" t="s">
        <v>60</v>
      </c>
      <c r="D118" s="116">
        <v>2</v>
      </c>
      <c r="E118" s="32">
        <f t="shared" ref="E118:E124" si="75">D118</f>
        <v>2</v>
      </c>
      <c r="F118" s="116">
        <v>4000000</v>
      </c>
      <c r="G118" s="37">
        <f>IF($C$32="Yes",E118*F118,"")</f>
        <v>8000000</v>
      </c>
      <c r="H118" s="37">
        <f t="shared" ref="H118" si="76">IFERROR(G118*$H$40,"")</f>
        <v>83333.333333333328</v>
      </c>
      <c r="I118" s="101" t="s">
        <v>110</v>
      </c>
      <c r="K118" s="67">
        <f>K46</f>
        <v>3.6</v>
      </c>
      <c r="L118" s="67">
        <v>0.8</v>
      </c>
      <c r="M118" s="27">
        <f t="shared" ref="M118" si="77">E118*K118*L118</f>
        <v>5.7600000000000007</v>
      </c>
      <c r="N118" s="27">
        <f t="shared" ref="N118:N124" si="78">$D$11*$D$12</f>
        <v>500</v>
      </c>
      <c r="O118" s="38">
        <v>0.6</v>
      </c>
      <c r="P118" s="27">
        <f t="shared" ref="P118" si="79">M118*N118*O118*$S$46</f>
        <v>24192.000000000004</v>
      </c>
      <c r="Q118" s="27">
        <f t="shared" ref="Q118:Q124" si="80">P118/$G$29</f>
        <v>21.504000000000005</v>
      </c>
    </row>
    <row r="119" spans="1:17" ht="25.5" outlineLevel="1" x14ac:dyDescent="0.25">
      <c r="B119" s="8" t="s">
        <v>61</v>
      </c>
      <c r="D119" s="116">
        <v>2</v>
      </c>
      <c r="E119" s="32">
        <f t="shared" si="75"/>
        <v>2</v>
      </c>
      <c r="F119" s="116">
        <v>2000000</v>
      </c>
      <c r="G119" s="37">
        <f>IF($C$32="Yes",E119*F119,"")</f>
        <v>4000000</v>
      </c>
      <c r="H119" s="37">
        <f t="shared" ref="H119" si="81">IFERROR(G119*$H$40,"")</f>
        <v>41666.666666666664</v>
      </c>
      <c r="I119" s="101" t="s">
        <v>111</v>
      </c>
      <c r="K119" s="67">
        <f>K47</f>
        <v>2.4</v>
      </c>
      <c r="L119" s="67">
        <v>0.8</v>
      </c>
      <c r="M119" s="27">
        <f t="shared" ref="M119" si="82">E119*K119*L119</f>
        <v>3.84</v>
      </c>
      <c r="N119" s="27">
        <f t="shared" si="78"/>
        <v>500</v>
      </c>
      <c r="O119" s="38">
        <v>0.6</v>
      </c>
      <c r="P119" s="27">
        <f t="shared" ref="P119" si="83">M119*N119*O119*$S$46</f>
        <v>16128</v>
      </c>
      <c r="Q119" s="27">
        <f t="shared" si="80"/>
        <v>14.336</v>
      </c>
    </row>
    <row r="120" spans="1:17" outlineLevel="1" x14ac:dyDescent="0.25">
      <c r="A120" s="69" t="s">
        <v>85</v>
      </c>
      <c r="B120" s="70" t="s">
        <v>128</v>
      </c>
      <c r="C120" s="71"/>
      <c r="D120" s="74"/>
      <c r="E120" s="74"/>
      <c r="F120" s="74"/>
      <c r="G120" s="72"/>
      <c r="H120" s="72"/>
      <c r="I120" s="72"/>
    </row>
    <row r="121" spans="1:17" ht="63.75" outlineLevel="1" x14ac:dyDescent="0.25">
      <c r="B121" s="8" t="s">
        <v>125</v>
      </c>
      <c r="D121" s="116">
        <v>1</v>
      </c>
      <c r="E121" s="32">
        <f t="shared" si="75"/>
        <v>1</v>
      </c>
      <c r="F121" s="116">
        <v>5000000</v>
      </c>
      <c r="G121" s="37">
        <f>IF($C$32="Yes",E121*F121,"")</f>
        <v>5000000</v>
      </c>
      <c r="H121" s="37">
        <f t="shared" ref="H121" si="84">IFERROR(G121*$H$40,"")</f>
        <v>52083.333333333328</v>
      </c>
      <c r="I121" s="101" t="s">
        <v>127</v>
      </c>
      <c r="K121" s="67">
        <v>3.6</v>
      </c>
      <c r="L121" s="67">
        <v>0.8</v>
      </c>
      <c r="M121" s="27">
        <f t="shared" ref="M121" si="85">E121*K121*L121</f>
        <v>2.8800000000000003</v>
      </c>
      <c r="N121" s="27">
        <f t="shared" si="78"/>
        <v>500</v>
      </c>
      <c r="O121" s="38">
        <v>0.6</v>
      </c>
      <c r="P121" s="27">
        <f t="shared" ref="P121" si="86">M121*N121*O121*$S$46</f>
        <v>12096.000000000002</v>
      </c>
      <c r="Q121" s="27">
        <f t="shared" si="80"/>
        <v>10.752000000000002</v>
      </c>
    </row>
    <row r="122" spans="1:17" ht="76.5" outlineLevel="1" x14ac:dyDescent="0.25">
      <c r="B122" s="8" t="s">
        <v>126</v>
      </c>
      <c r="D122" s="116">
        <v>1</v>
      </c>
      <c r="E122" s="32">
        <f t="shared" si="75"/>
        <v>1</v>
      </c>
      <c r="F122" s="116">
        <v>7500000</v>
      </c>
      <c r="G122" s="37">
        <f>IF($C$32="Yes",E122*F122,"")</f>
        <v>7500000</v>
      </c>
      <c r="H122" s="37">
        <f t="shared" ref="H122" si="87">IFERROR(G122*$H$40,"")</f>
        <v>78125</v>
      </c>
      <c r="I122" s="101" t="s">
        <v>129</v>
      </c>
      <c r="K122" s="67">
        <v>3.6</v>
      </c>
      <c r="L122" s="67">
        <v>0.8</v>
      </c>
      <c r="M122" s="27">
        <f t="shared" ref="M122" si="88">E122*K122*L122</f>
        <v>2.8800000000000003</v>
      </c>
      <c r="N122" s="27">
        <f t="shared" si="78"/>
        <v>500</v>
      </c>
      <c r="O122" s="38">
        <v>0.6</v>
      </c>
      <c r="P122" s="27">
        <f t="shared" ref="P122" si="89">M122*N122*O122*$S$46</f>
        <v>12096.000000000002</v>
      </c>
      <c r="Q122" s="27">
        <f t="shared" si="80"/>
        <v>10.752000000000002</v>
      </c>
    </row>
    <row r="123" spans="1:17" outlineLevel="1" x14ac:dyDescent="0.25">
      <c r="A123" s="69" t="s">
        <v>86</v>
      </c>
      <c r="B123" s="70" t="s">
        <v>92</v>
      </c>
      <c r="C123" s="71"/>
      <c r="D123" s="74"/>
      <c r="E123" s="74"/>
      <c r="F123" s="74"/>
      <c r="G123" s="72"/>
      <c r="H123" s="72"/>
      <c r="I123" s="72"/>
    </row>
    <row r="124" spans="1:17" outlineLevel="1" x14ac:dyDescent="0.25">
      <c r="B124" s="8" t="s">
        <v>97</v>
      </c>
      <c r="D124" s="116">
        <v>1</v>
      </c>
      <c r="E124" s="32">
        <f t="shared" si="75"/>
        <v>1</v>
      </c>
      <c r="F124" s="116">
        <v>2000000</v>
      </c>
      <c r="G124" s="37">
        <f>IF($C$32="Yes",E124*F124,"")</f>
        <v>2000000</v>
      </c>
      <c r="H124" s="37">
        <f t="shared" ref="H124" si="90">IFERROR(G124*$H$40,"")</f>
        <v>20833.333333333332</v>
      </c>
      <c r="I124" s="101"/>
      <c r="K124" s="67">
        <f>K88</f>
        <v>30</v>
      </c>
      <c r="L124" s="67">
        <v>0.8</v>
      </c>
      <c r="M124" s="27">
        <f t="shared" ref="M124" si="91">E124*K124*L124</f>
        <v>24</v>
      </c>
      <c r="N124" s="27">
        <f t="shared" si="78"/>
        <v>500</v>
      </c>
      <c r="O124" s="38">
        <v>0.6</v>
      </c>
      <c r="P124" s="27">
        <f t="shared" ref="P124" si="92">M124*N124*O124*$S$46</f>
        <v>100800</v>
      </c>
      <c r="Q124" s="27">
        <f t="shared" si="80"/>
        <v>89.6</v>
      </c>
    </row>
    <row r="125" spans="1:17" outlineLevel="1" x14ac:dyDescent="0.25">
      <c r="B125" s="39" t="s">
        <v>256</v>
      </c>
      <c r="C125" s="39"/>
      <c r="D125" s="40">
        <f>SUM(D117:D124)</f>
        <v>7</v>
      </c>
      <c r="E125" s="40">
        <f>SUM(E117:E124)</f>
        <v>7</v>
      </c>
      <c r="F125" s="40"/>
      <c r="G125" s="40">
        <f>SUM(G117:G124)</f>
        <v>26500000</v>
      </c>
      <c r="H125" s="40">
        <f>SUM(H117:H124)</f>
        <v>276041.66666666663</v>
      </c>
      <c r="I125" s="101"/>
      <c r="K125" s="39" t="s">
        <v>256</v>
      </c>
      <c r="Q125" s="40">
        <f>SUM(Q118:Q124)</f>
        <v>146.94400000000002</v>
      </c>
    </row>
    <row r="126" spans="1:17" outlineLevel="1" x14ac:dyDescent="0.25"/>
    <row r="127" spans="1:17" outlineLevel="1" x14ac:dyDescent="0.25">
      <c r="A127" s="105">
        <f>MAX($A$1:A126)+0.1</f>
        <v>2.5000000000000004</v>
      </c>
      <c r="B127" s="43" t="s">
        <v>205</v>
      </c>
      <c r="C127" s="44"/>
      <c r="D127" s="82" t="str">
        <f>C33</f>
        <v>Yes</v>
      </c>
    </row>
    <row r="128" spans="1:17" outlineLevel="1" x14ac:dyDescent="0.25">
      <c r="A128" s="8"/>
      <c r="D128" s="36" t="s">
        <v>226</v>
      </c>
      <c r="E128" s="36" t="s">
        <v>225</v>
      </c>
      <c r="F128" s="36" t="s">
        <v>8</v>
      </c>
      <c r="G128" s="36" t="s">
        <v>6</v>
      </c>
      <c r="H128" s="36" t="s">
        <v>37</v>
      </c>
      <c r="I128" s="64" t="s">
        <v>306</v>
      </c>
    </row>
    <row r="129" spans="1:17" ht="63.75" outlineLevel="1" x14ac:dyDescent="0.25">
      <c r="B129" s="8" t="s">
        <v>258</v>
      </c>
      <c r="D129" s="117">
        <v>1</v>
      </c>
      <c r="E129" s="75">
        <f t="shared" ref="E129:E133" si="93">D129</f>
        <v>1</v>
      </c>
      <c r="F129" s="117">
        <v>50000000</v>
      </c>
      <c r="G129" s="37">
        <f>IF($C$33="Yes",E129*F129,"")</f>
        <v>50000000</v>
      </c>
      <c r="H129" s="37">
        <f>IFERROR(G129*$H$40,"")</f>
        <v>520833.33333333331</v>
      </c>
      <c r="I129" s="101" t="s">
        <v>206</v>
      </c>
      <c r="K129" s="67">
        <v>12</v>
      </c>
      <c r="L129" s="67">
        <v>0.8</v>
      </c>
      <c r="M129" s="27">
        <f t="shared" ref="M129" si="94">E129*K129*L129</f>
        <v>9.6000000000000014</v>
      </c>
      <c r="N129" s="27">
        <f t="shared" ref="N129:N133" si="95">$D$11*$D$12</f>
        <v>500</v>
      </c>
      <c r="O129" s="38">
        <v>0.9</v>
      </c>
      <c r="P129" s="27">
        <f t="shared" ref="P129" si="96">M129*N129*O129*$S$46</f>
        <v>60480.000000000015</v>
      </c>
      <c r="Q129" s="27">
        <f>P129/SUM($G$29:$G$31)</f>
        <v>24.812307692307698</v>
      </c>
    </row>
    <row r="130" spans="1:17" ht="25.15" customHeight="1" outlineLevel="1" x14ac:dyDescent="0.25">
      <c r="B130" s="8" t="s">
        <v>207</v>
      </c>
      <c r="D130" s="116">
        <v>2</v>
      </c>
      <c r="E130" s="32">
        <f t="shared" si="93"/>
        <v>2</v>
      </c>
      <c r="F130" s="116">
        <v>3000000</v>
      </c>
      <c r="G130" s="37">
        <f t="shared" ref="G130:G133" si="97">IF($C$33="Yes",E130*F130,"")</f>
        <v>6000000</v>
      </c>
      <c r="H130" s="37">
        <f t="shared" ref="H130:H133" si="98">IFERROR(G130*$H$40,"")</f>
        <v>62500</v>
      </c>
      <c r="I130" s="150" t="s">
        <v>209</v>
      </c>
      <c r="K130" s="93">
        <f>$T$46</f>
        <v>90</v>
      </c>
      <c r="L130" s="93">
        <v>3.5</v>
      </c>
      <c r="M130" s="45">
        <f t="shared" ref="M130" si="99">E130*K130*L130</f>
        <v>630</v>
      </c>
      <c r="N130" s="45">
        <f t="shared" si="95"/>
        <v>500</v>
      </c>
      <c r="O130" s="94">
        <v>0.25</v>
      </c>
      <c r="P130" s="45">
        <f>M130*N130*O130</f>
        <v>78750</v>
      </c>
      <c r="Q130" s="45">
        <f t="shared" ref="Q130:Q133" si="100">P130/SUM($G$29:$G$31)</f>
        <v>32.307692307692307</v>
      </c>
    </row>
    <row r="131" spans="1:17" outlineLevel="1" x14ac:dyDescent="0.25">
      <c r="B131" s="8" t="s">
        <v>208</v>
      </c>
      <c r="D131" s="116">
        <v>2</v>
      </c>
      <c r="E131" s="32">
        <f t="shared" si="93"/>
        <v>2</v>
      </c>
      <c r="F131" s="116">
        <v>5000000</v>
      </c>
      <c r="G131" s="37">
        <f t="shared" si="97"/>
        <v>10000000</v>
      </c>
      <c r="H131" s="37">
        <f t="shared" si="98"/>
        <v>104166.66666666666</v>
      </c>
      <c r="I131" s="151"/>
      <c r="K131" s="93">
        <f>$T$46</f>
        <v>90</v>
      </c>
      <c r="L131" s="93">
        <v>5</v>
      </c>
      <c r="M131" s="45">
        <f t="shared" ref="M131" si="101">E131*K131*L131</f>
        <v>900</v>
      </c>
      <c r="N131" s="45">
        <f t="shared" si="95"/>
        <v>500</v>
      </c>
      <c r="O131" s="94">
        <v>0.25</v>
      </c>
      <c r="P131" s="45">
        <f>M131*N131*O131</f>
        <v>112500</v>
      </c>
      <c r="Q131" s="45">
        <f t="shared" si="100"/>
        <v>46.153846153846153</v>
      </c>
    </row>
    <row r="132" spans="1:17" outlineLevel="1" x14ac:dyDescent="0.25">
      <c r="B132" s="8" t="s">
        <v>261</v>
      </c>
      <c r="D132" s="116">
        <v>2</v>
      </c>
      <c r="E132" s="32">
        <f t="shared" si="93"/>
        <v>2</v>
      </c>
      <c r="F132" s="116">
        <v>5000000</v>
      </c>
      <c r="G132" s="37">
        <f t="shared" si="97"/>
        <v>10000000</v>
      </c>
      <c r="H132" s="37">
        <f t="shared" si="98"/>
        <v>104166.66666666666</v>
      </c>
      <c r="I132" s="101" t="s">
        <v>210</v>
      </c>
      <c r="K132" s="93">
        <f t="shared" ref="K132:K133" si="102">$T$46</f>
        <v>90</v>
      </c>
      <c r="L132" s="93">
        <v>5</v>
      </c>
      <c r="M132" s="45">
        <f t="shared" ref="M132:M133" si="103">E132*K132*L132</f>
        <v>900</v>
      </c>
      <c r="N132" s="45">
        <f t="shared" si="95"/>
        <v>500</v>
      </c>
      <c r="O132" s="94">
        <v>0.25</v>
      </c>
      <c r="P132" s="45">
        <f>M132*N132*O132</f>
        <v>112500</v>
      </c>
      <c r="Q132" s="45">
        <f t="shared" si="100"/>
        <v>46.153846153846153</v>
      </c>
    </row>
    <row r="133" spans="1:17" outlineLevel="1" x14ac:dyDescent="0.25">
      <c r="B133" s="8" t="s">
        <v>204</v>
      </c>
      <c r="D133" s="116">
        <v>1</v>
      </c>
      <c r="E133" s="32">
        <f t="shared" si="93"/>
        <v>1</v>
      </c>
      <c r="F133" s="116">
        <v>15000000</v>
      </c>
      <c r="G133" s="37">
        <f t="shared" si="97"/>
        <v>15000000</v>
      </c>
      <c r="H133" s="37">
        <f t="shared" si="98"/>
        <v>156250</v>
      </c>
      <c r="I133" s="101" t="s">
        <v>308</v>
      </c>
      <c r="K133" s="93">
        <f t="shared" si="102"/>
        <v>90</v>
      </c>
      <c r="L133" s="93">
        <v>80</v>
      </c>
      <c r="M133" s="45">
        <f t="shared" si="103"/>
        <v>7200</v>
      </c>
      <c r="N133" s="45">
        <f t="shared" si="95"/>
        <v>500</v>
      </c>
      <c r="O133" s="94">
        <v>0.01</v>
      </c>
      <c r="P133" s="45">
        <f>M133*N133*O133</f>
        <v>36000</v>
      </c>
      <c r="Q133" s="45">
        <f t="shared" si="100"/>
        <v>14.76923076923077</v>
      </c>
    </row>
    <row r="134" spans="1:17" outlineLevel="1" x14ac:dyDescent="0.25">
      <c r="B134" s="39" t="s">
        <v>257</v>
      </c>
      <c r="C134" s="39"/>
      <c r="D134" s="40">
        <f>SUM(D129:D133)</f>
        <v>8</v>
      </c>
      <c r="E134" s="40">
        <f>SUM(E129:E133)</f>
        <v>8</v>
      </c>
      <c r="F134" s="40"/>
      <c r="G134" s="40">
        <f>SUM(G129:G133)</f>
        <v>91000000</v>
      </c>
      <c r="H134" s="40">
        <f>SUM(H129:H133)</f>
        <v>947916.66666666651</v>
      </c>
      <c r="I134" s="101"/>
      <c r="K134" s="39" t="s">
        <v>257</v>
      </c>
      <c r="Q134" s="40">
        <f>SUM(Q129:Q133)</f>
        <v>164.1969230769231</v>
      </c>
    </row>
    <row r="135" spans="1:17" outlineLevel="1" x14ac:dyDescent="0.25"/>
    <row r="136" spans="1:17" outlineLevel="1" x14ac:dyDescent="0.25">
      <c r="B136" s="17" t="s">
        <v>232</v>
      </c>
      <c r="D136" s="40">
        <f>SUM(D69,D90,D112,D125,D134)</f>
        <v>177</v>
      </c>
      <c r="E136" s="40">
        <f>SUM(E69,E90,E112,E125,E134)</f>
        <v>177</v>
      </c>
      <c r="F136" s="40"/>
      <c r="G136" s="40">
        <f>SUM(G69,G90,G112,G125,G134)</f>
        <v>404500000</v>
      </c>
      <c r="H136" s="40">
        <f>SUM(H69,H90,H112,H125,H134)</f>
        <v>4213541.666666666</v>
      </c>
      <c r="I136" s="101"/>
    </row>
    <row r="137" spans="1:17" outlineLevel="1" x14ac:dyDescent="0.25"/>
    <row r="138" spans="1:17" outlineLevel="1" x14ac:dyDescent="0.25">
      <c r="A138" s="8"/>
    </row>
    <row r="139" spans="1:17" x14ac:dyDescent="0.25">
      <c r="A139" s="62">
        <v>3</v>
      </c>
      <c r="B139" s="24" t="s">
        <v>9</v>
      </c>
      <c r="C139" s="25"/>
      <c r="D139" s="25"/>
      <c r="E139" s="25"/>
      <c r="F139" s="25"/>
      <c r="G139" s="26"/>
      <c r="H139" s="26"/>
      <c r="I139" s="25"/>
      <c r="J139" s="25"/>
      <c r="K139" s="25"/>
    </row>
    <row r="140" spans="1:17" outlineLevel="1" x14ac:dyDescent="0.25">
      <c r="C140" s="31"/>
      <c r="G140" s="53" t="s">
        <v>244</v>
      </c>
    </row>
    <row r="141" spans="1:17" outlineLevel="1" x14ac:dyDescent="0.25">
      <c r="C141" s="31"/>
      <c r="G141" s="88">
        <f>G27</f>
        <v>0.75</v>
      </c>
    </row>
    <row r="142" spans="1:17" outlineLevel="1" x14ac:dyDescent="0.25">
      <c r="B142" s="17" t="s">
        <v>222</v>
      </c>
      <c r="C142" s="36" t="s">
        <v>221</v>
      </c>
      <c r="E142" s="36" t="s">
        <v>239</v>
      </c>
      <c r="F142" s="36" t="s">
        <v>240</v>
      </c>
      <c r="G142" s="36" t="s">
        <v>241</v>
      </c>
      <c r="H142" s="36" t="s">
        <v>242</v>
      </c>
      <c r="I142" s="36" t="s">
        <v>245</v>
      </c>
      <c r="J142" s="64" t="s">
        <v>312</v>
      </c>
    </row>
    <row r="143" spans="1:17" outlineLevel="1" x14ac:dyDescent="0.25">
      <c r="A143" s="52" t="s">
        <v>84</v>
      </c>
      <c r="B143" s="8" t="s">
        <v>217</v>
      </c>
      <c r="C143" s="37" t="str">
        <f>Input!C35</f>
        <v>Yes</v>
      </c>
      <c r="D143" s="76"/>
      <c r="E143" s="37">
        <f t="shared" ref="E143:F146" si="104">E29</f>
        <v>30488</v>
      </c>
      <c r="F143" s="37">
        <f t="shared" si="104"/>
        <v>1500</v>
      </c>
      <c r="G143" s="37">
        <f>F143*$G$141</f>
        <v>1125</v>
      </c>
      <c r="H143" s="85">
        <f>IFERROR(E143/G143,"")</f>
        <v>27.100444444444445</v>
      </c>
      <c r="I143" s="37">
        <f>G152</f>
        <v>5600000</v>
      </c>
      <c r="J143" s="37">
        <f>IFERROR(H143*I143,"")</f>
        <v>151762488.8888889</v>
      </c>
      <c r="K143" s="115"/>
    </row>
    <row r="144" spans="1:17" outlineLevel="1" x14ac:dyDescent="0.25">
      <c r="A144" s="52" t="s">
        <v>85</v>
      </c>
      <c r="B144" s="8" t="s">
        <v>218</v>
      </c>
      <c r="C144" s="37" t="str">
        <f>Input!C36</f>
        <v>No</v>
      </c>
      <c r="D144" s="76"/>
      <c r="E144" s="37">
        <f t="shared" si="104"/>
        <v>0</v>
      </c>
      <c r="F144" s="37">
        <f t="shared" si="104"/>
        <v>1000</v>
      </c>
      <c r="G144" s="37">
        <f>F144*$G$141</f>
        <v>750</v>
      </c>
      <c r="H144" s="85">
        <f t="shared" ref="H144:H147" si="105">IFERROR(E144/G144,"")</f>
        <v>0</v>
      </c>
      <c r="I144" s="37">
        <f>G168</f>
        <v>0</v>
      </c>
      <c r="J144" s="37">
        <f t="shared" ref="J144:J147" si="106">IFERROR(H144*I144,"")</f>
        <v>0</v>
      </c>
      <c r="K144" s="115"/>
    </row>
    <row r="145" spans="1:11" outlineLevel="1" x14ac:dyDescent="0.25">
      <c r="A145" s="52" t="s">
        <v>86</v>
      </c>
      <c r="B145" s="8" t="s">
        <v>219</v>
      </c>
      <c r="C145" s="37" t="str">
        <f>Input!C37</f>
        <v>Yes</v>
      </c>
      <c r="D145" s="76"/>
      <c r="E145" s="37">
        <f t="shared" si="104"/>
        <v>7622</v>
      </c>
      <c r="F145" s="37">
        <f t="shared" si="104"/>
        <v>750</v>
      </c>
      <c r="G145" s="37">
        <f>F145*$G$141</f>
        <v>562.5</v>
      </c>
      <c r="H145" s="85">
        <f t="shared" si="105"/>
        <v>13.550222222222223</v>
      </c>
      <c r="I145" s="37">
        <f>G186</f>
        <v>2800000</v>
      </c>
      <c r="J145" s="37">
        <f t="shared" si="106"/>
        <v>37940622.222222224</v>
      </c>
      <c r="K145" s="115"/>
    </row>
    <row r="146" spans="1:11" outlineLevel="1" x14ac:dyDescent="0.25">
      <c r="A146" s="52" t="s">
        <v>87</v>
      </c>
      <c r="B146" s="8" t="s">
        <v>62</v>
      </c>
      <c r="C146" s="37" t="str">
        <f>Input!C38</f>
        <v>Yes</v>
      </c>
      <c r="D146" s="76"/>
      <c r="E146" s="37">
        <f t="shared" si="104"/>
        <v>38110</v>
      </c>
      <c r="F146" s="37">
        <f t="shared" si="104"/>
        <v>1500</v>
      </c>
      <c r="G146" s="37">
        <f>F146*$G$141</f>
        <v>1125</v>
      </c>
      <c r="H146" s="85">
        <f t="shared" si="105"/>
        <v>33.875555555555557</v>
      </c>
      <c r="I146" s="37">
        <f>G200</f>
        <v>1140000</v>
      </c>
      <c r="J146" s="37">
        <f t="shared" si="106"/>
        <v>38618133.333333336</v>
      </c>
      <c r="K146" s="115"/>
    </row>
    <row r="147" spans="1:11" outlineLevel="1" x14ac:dyDescent="0.25">
      <c r="A147" s="52" t="s">
        <v>88</v>
      </c>
      <c r="B147" s="8" t="s">
        <v>321</v>
      </c>
      <c r="C147" s="77" t="s">
        <v>223</v>
      </c>
      <c r="D147" s="76" t="s">
        <v>224</v>
      </c>
      <c r="E147" s="37">
        <f>IF(C147="Yes",E33,"")</f>
        <v>38110</v>
      </c>
      <c r="F147" s="37">
        <f>IF(C147="Yes",F33,"")</f>
        <v>3250</v>
      </c>
      <c r="G147" s="37">
        <f>IF(C147="Yes",G33,"")</f>
        <v>2437.5</v>
      </c>
      <c r="H147" s="85">
        <f t="shared" si="105"/>
        <v>15.634871794871795</v>
      </c>
      <c r="I147" s="37">
        <f>IF(C147="Yes",SUM(G206,G210,G215),"")</f>
        <v>1420000</v>
      </c>
      <c r="J147" s="37">
        <f t="shared" si="106"/>
        <v>22201517.948717948</v>
      </c>
      <c r="K147" s="115"/>
    </row>
    <row r="148" spans="1:11" outlineLevel="1" x14ac:dyDescent="0.25">
      <c r="B148" s="8" t="s">
        <v>340</v>
      </c>
      <c r="C148" s="118">
        <v>0.1</v>
      </c>
      <c r="D148" s="76"/>
      <c r="E148" s="57"/>
      <c r="F148" s="57"/>
      <c r="G148" s="57"/>
      <c r="I148" s="37">
        <f>SUM(I143:I147)*$C$148</f>
        <v>1096000</v>
      </c>
      <c r="J148" s="37">
        <f>SUM(J143:J147)*$C$148</f>
        <v>25052276.23931624</v>
      </c>
    </row>
    <row r="149" spans="1:11" outlineLevel="1" x14ac:dyDescent="0.25">
      <c r="C149" s="31"/>
      <c r="H149" s="87" t="s">
        <v>7</v>
      </c>
      <c r="I149" s="80">
        <f>SUM(I143:I148)</f>
        <v>12056000</v>
      </c>
      <c r="J149" s="80">
        <f>SUM(J143:J148)</f>
        <v>275575038.63247865</v>
      </c>
      <c r="K149" s="115"/>
    </row>
    <row r="150" spans="1:11" outlineLevel="1" x14ac:dyDescent="0.25">
      <c r="A150" s="63">
        <f>MAX($A$1:A140)+0.1</f>
        <v>3.1</v>
      </c>
      <c r="B150" s="41" t="s">
        <v>165</v>
      </c>
      <c r="C150" s="31"/>
    </row>
    <row r="151" spans="1:11" outlineLevel="1" x14ac:dyDescent="0.25">
      <c r="D151" s="36" t="s">
        <v>226</v>
      </c>
      <c r="E151" s="36" t="s">
        <v>225</v>
      </c>
      <c r="F151" s="36" t="s">
        <v>26</v>
      </c>
      <c r="G151" s="36" t="s">
        <v>25</v>
      </c>
      <c r="I151" s="81" t="s">
        <v>243</v>
      </c>
      <c r="J151" s="36" t="s">
        <v>43</v>
      </c>
    </row>
    <row r="152" spans="1:11" outlineLevel="1" x14ac:dyDescent="0.25">
      <c r="B152" s="43" t="s">
        <v>164</v>
      </c>
      <c r="C152" s="44"/>
      <c r="D152" s="45">
        <f>SUM(D153:D167)</f>
        <v>167</v>
      </c>
      <c r="E152" s="45">
        <f>SUM(E153:E167)</f>
        <v>167</v>
      </c>
      <c r="F152" s="45"/>
      <c r="G152" s="45">
        <f>SUM(G153:G167)</f>
        <v>5600000</v>
      </c>
      <c r="I152" s="52" t="s">
        <v>167</v>
      </c>
      <c r="J152" s="27">
        <v>40000</v>
      </c>
    </row>
    <row r="153" spans="1:11" outlineLevel="1" x14ac:dyDescent="0.25">
      <c r="B153" s="31" t="s">
        <v>195</v>
      </c>
      <c r="C153" s="8" t="s">
        <v>167</v>
      </c>
      <c r="D153" s="37">
        <f>SUM(D46:D47)</f>
        <v>5</v>
      </c>
      <c r="E153" s="27">
        <f>SUM(E46:E47)</f>
        <v>5</v>
      </c>
      <c r="F153" s="37">
        <f t="shared" ref="F153:F167" si="107">_xlfn.XLOOKUP(C153,$I$152:$I$160,$J$152:$J$160)</f>
        <v>40000</v>
      </c>
      <c r="G153" s="37">
        <f>IF($C$29="Yes",E153*F153,"")</f>
        <v>200000</v>
      </c>
      <c r="I153" s="52" t="s">
        <v>168</v>
      </c>
      <c r="J153" s="27">
        <v>30000</v>
      </c>
    </row>
    <row r="154" spans="1:11" outlineLevel="1" x14ac:dyDescent="0.25">
      <c r="B154" s="31" t="s">
        <v>169</v>
      </c>
      <c r="C154" s="8" t="s">
        <v>167</v>
      </c>
      <c r="D154" s="37">
        <f>SUM(D49:D52)</f>
        <v>5</v>
      </c>
      <c r="E154" s="27">
        <f>SUM(E49:E52)</f>
        <v>5</v>
      </c>
      <c r="F154" s="37">
        <f t="shared" si="107"/>
        <v>40000</v>
      </c>
      <c r="G154" s="37">
        <f t="shared" ref="G154:G167" si="108">IF($C$29="Yes",E154*F154,"")</f>
        <v>200000</v>
      </c>
      <c r="I154" s="52" t="s">
        <v>178</v>
      </c>
      <c r="J154" s="27">
        <v>35000</v>
      </c>
    </row>
    <row r="155" spans="1:11" outlineLevel="1" x14ac:dyDescent="0.25">
      <c r="B155" s="31" t="s">
        <v>170</v>
      </c>
      <c r="C155" s="8" t="s">
        <v>168</v>
      </c>
      <c r="D155" s="37">
        <f>SUM(D49:D52)*2</f>
        <v>10</v>
      </c>
      <c r="E155" s="27">
        <f>SUM(E49:E52)*2</f>
        <v>10</v>
      </c>
      <c r="F155" s="37">
        <f t="shared" si="107"/>
        <v>30000</v>
      </c>
      <c r="G155" s="37">
        <f t="shared" si="108"/>
        <v>300000</v>
      </c>
      <c r="H155" s="131"/>
      <c r="I155" s="52" t="s">
        <v>200</v>
      </c>
      <c r="J155" s="27">
        <v>80000</v>
      </c>
    </row>
    <row r="156" spans="1:11" outlineLevel="1" x14ac:dyDescent="0.25">
      <c r="B156" s="31" t="s">
        <v>171</v>
      </c>
      <c r="C156" s="8" t="s">
        <v>167</v>
      </c>
      <c r="D156" s="37">
        <f>SUM(D$54:D$58)</f>
        <v>6</v>
      </c>
      <c r="E156" s="27">
        <f>SUM(E$54:E$58)</f>
        <v>6</v>
      </c>
      <c r="F156" s="37">
        <f t="shared" si="107"/>
        <v>40000</v>
      </c>
      <c r="G156" s="37">
        <f t="shared" si="108"/>
        <v>240000</v>
      </c>
      <c r="I156" s="52" t="s">
        <v>201</v>
      </c>
      <c r="J156" s="27">
        <v>150000</v>
      </c>
    </row>
    <row r="157" spans="1:11" outlineLevel="1" x14ac:dyDescent="0.25">
      <c r="B157" s="31" t="s">
        <v>172</v>
      </c>
      <c r="C157" s="8" t="s">
        <v>168</v>
      </c>
      <c r="D157" s="37">
        <f>SUM(D$54:D$58)*2</f>
        <v>12</v>
      </c>
      <c r="E157" s="27">
        <f>SUM(E$54:E$58)*2</f>
        <v>12</v>
      </c>
      <c r="F157" s="37">
        <f t="shared" si="107"/>
        <v>30000</v>
      </c>
      <c r="G157" s="37">
        <f t="shared" si="108"/>
        <v>360000</v>
      </c>
      <c r="I157" s="52" t="s">
        <v>202</v>
      </c>
      <c r="J157" s="27">
        <v>100000</v>
      </c>
    </row>
    <row r="158" spans="1:11" outlineLevel="1" x14ac:dyDescent="0.25">
      <c r="B158" s="31" t="s">
        <v>166</v>
      </c>
      <c r="C158" s="8" t="s">
        <v>167</v>
      </c>
      <c r="D158" s="37">
        <f>D60</f>
        <v>1</v>
      </c>
      <c r="E158" s="27">
        <f>E60</f>
        <v>1</v>
      </c>
      <c r="F158" s="37">
        <f t="shared" si="107"/>
        <v>40000</v>
      </c>
      <c r="G158" s="37">
        <f t="shared" si="108"/>
        <v>40000</v>
      </c>
    </row>
    <row r="159" spans="1:11" outlineLevel="1" x14ac:dyDescent="0.25">
      <c r="B159" s="31" t="s">
        <v>173</v>
      </c>
      <c r="C159" s="8" t="s">
        <v>168</v>
      </c>
      <c r="D159" s="37">
        <f>D60*2</f>
        <v>2</v>
      </c>
      <c r="E159" s="27">
        <f>E60*2</f>
        <v>2</v>
      </c>
      <c r="F159" s="37">
        <f t="shared" si="107"/>
        <v>30000</v>
      </c>
      <c r="G159" s="37">
        <f t="shared" si="108"/>
        <v>60000</v>
      </c>
    </row>
    <row r="160" spans="1:11" outlineLevel="1" x14ac:dyDescent="0.25">
      <c r="B160" s="31" t="s">
        <v>174</v>
      </c>
      <c r="C160" s="8" t="s">
        <v>167</v>
      </c>
      <c r="D160" s="37">
        <f>D62</f>
        <v>1</v>
      </c>
      <c r="E160" s="27">
        <f>E62</f>
        <v>1</v>
      </c>
      <c r="F160" s="37">
        <f t="shared" si="107"/>
        <v>40000</v>
      </c>
      <c r="G160" s="37">
        <f t="shared" si="108"/>
        <v>40000</v>
      </c>
    </row>
    <row r="161" spans="2:7" outlineLevel="1" x14ac:dyDescent="0.25">
      <c r="B161" s="31" t="s">
        <v>175</v>
      </c>
      <c r="C161" s="8" t="s">
        <v>168</v>
      </c>
      <c r="D161" s="37">
        <f>D62*2</f>
        <v>2</v>
      </c>
      <c r="E161" s="27">
        <f>E62*2</f>
        <v>2</v>
      </c>
      <c r="F161" s="37">
        <f t="shared" si="107"/>
        <v>30000</v>
      </c>
      <c r="G161" s="37">
        <f t="shared" si="108"/>
        <v>60000</v>
      </c>
    </row>
    <row r="162" spans="2:7" outlineLevel="1" x14ac:dyDescent="0.25">
      <c r="B162" s="31" t="s">
        <v>177</v>
      </c>
      <c r="C162" s="8" t="s">
        <v>178</v>
      </c>
      <c r="D162" s="37">
        <f>D63</f>
        <v>40</v>
      </c>
      <c r="E162" s="27">
        <f>E63</f>
        <v>40</v>
      </c>
      <c r="F162" s="37">
        <f t="shared" si="107"/>
        <v>35000</v>
      </c>
      <c r="G162" s="37">
        <f t="shared" si="108"/>
        <v>1400000</v>
      </c>
    </row>
    <row r="163" spans="2:7" outlineLevel="1" x14ac:dyDescent="0.25">
      <c r="B163" s="31" t="s">
        <v>176</v>
      </c>
      <c r="C163" s="8" t="s">
        <v>168</v>
      </c>
      <c r="D163" s="37">
        <f>D63*1</f>
        <v>40</v>
      </c>
      <c r="E163" s="27">
        <f>E63*1</f>
        <v>40</v>
      </c>
      <c r="F163" s="37">
        <f t="shared" si="107"/>
        <v>30000</v>
      </c>
      <c r="G163" s="37">
        <f t="shared" si="108"/>
        <v>1200000</v>
      </c>
    </row>
    <row r="164" spans="2:7" outlineLevel="1" x14ac:dyDescent="0.25">
      <c r="B164" s="31" t="s">
        <v>234</v>
      </c>
      <c r="C164" s="8" t="s">
        <v>167</v>
      </c>
      <c r="D164" s="37">
        <f>D65</f>
        <v>1</v>
      </c>
      <c r="E164" s="27">
        <f>E65</f>
        <v>1</v>
      </c>
      <c r="F164" s="37">
        <f t="shared" si="107"/>
        <v>40000</v>
      </c>
      <c r="G164" s="37">
        <f t="shared" si="108"/>
        <v>40000</v>
      </c>
    </row>
    <row r="165" spans="2:7" outlineLevel="1" x14ac:dyDescent="0.25">
      <c r="B165" s="31" t="s">
        <v>235</v>
      </c>
      <c r="C165" s="8" t="s">
        <v>168</v>
      </c>
      <c r="D165" s="37">
        <f>D65*2</f>
        <v>2</v>
      </c>
      <c r="E165" s="27">
        <f>E65*2</f>
        <v>2</v>
      </c>
      <c r="F165" s="37">
        <f t="shared" si="107"/>
        <v>30000</v>
      </c>
      <c r="G165" s="37">
        <f t="shared" si="108"/>
        <v>60000</v>
      </c>
    </row>
    <row r="166" spans="2:7" outlineLevel="1" x14ac:dyDescent="0.25">
      <c r="B166" s="31" t="s">
        <v>236</v>
      </c>
      <c r="C166" s="8" t="s">
        <v>167</v>
      </c>
      <c r="D166" s="37">
        <f>D68</f>
        <v>20</v>
      </c>
      <c r="E166" s="27">
        <f>E68</f>
        <v>20</v>
      </c>
      <c r="F166" s="37">
        <f t="shared" si="107"/>
        <v>40000</v>
      </c>
      <c r="G166" s="37">
        <f t="shared" si="108"/>
        <v>800000</v>
      </c>
    </row>
    <row r="167" spans="2:7" outlineLevel="1" x14ac:dyDescent="0.25">
      <c r="B167" s="31" t="s">
        <v>237</v>
      </c>
      <c r="C167" s="8" t="s">
        <v>168</v>
      </c>
      <c r="D167" s="37">
        <f>D68</f>
        <v>20</v>
      </c>
      <c r="E167" s="27">
        <f>E68</f>
        <v>20</v>
      </c>
      <c r="F167" s="37">
        <f t="shared" si="107"/>
        <v>30000</v>
      </c>
      <c r="G167" s="37">
        <f t="shared" si="108"/>
        <v>600000</v>
      </c>
    </row>
    <row r="168" spans="2:7" outlineLevel="1" collapsed="1" x14ac:dyDescent="0.25">
      <c r="B168" s="43" t="s">
        <v>179</v>
      </c>
      <c r="C168" s="44"/>
      <c r="D168" s="45">
        <f>SUM(D169:D185)</f>
        <v>63</v>
      </c>
      <c r="E168" s="45">
        <f>SUM(E169:E185)</f>
        <v>63</v>
      </c>
      <c r="F168" s="45"/>
      <c r="G168" s="45">
        <f>SUM(G169:G185)</f>
        <v>0</v>
      </c>
    </row>
    <row r="169" spans="2:7" outlineLevel="1" x14ac:dyDescent="0.25">
      <c r="B169" s="31" t="s">
        <v>195</v>
      </c>
      <c r="C169" s="8" t="s">
        <v>167</v>
      </c>
      <c r="D169" s="37">
        <f>D75</f>
        <v>2</v>
      </c>
      <c r="E169" s="27">
        <f>E75</f>
        <v>2</v>
      </c>
      <c r="F169" s="37">
        <f t="shared" ref="F169:F185" si="109">_xlfn.XLOOKUP(C169,$I$152:$I$160,$J$152:$J$160)</f>
        <v>40000</v>
      </c>
      <c r="G169" s="37" t="str">
        <f>IF($C$30="Yes",E169*F169,"")</f>
        <v/>
      </c>
    </row>
    <row r="170" spans="2:7" outlineLevel="1" x14ac:dyDescent="0.25">
      <c r="B170" s="31" t="s">
        <v>169</v>
      </c>
      <c r="C170" s="8" t="s">
        <v>167</v>
      </c>
      <c r="D170" s="37">
        <f>D77</f>
        <v>1</v>
      </c>
      <c r="E170" s="27">
        <f>E77</f>
        <v>1</v>
      </c>
      <c r="F170" s="37">
        <f t="shared" si="109"/>
        <v>40000</v>
      </c>
      <c r="G170" s="37" t="str">
        <f t="shared" ref="G170:G185" si="110">IF($C$30="Yes",E170*F170,"")</f>
        <v/>
      </c>
    </row>
    <row r="171" spans="2:7" outlineLevel="1" x14ac:dyDescent="0.25">
      <c r="B171" s="31" t="s">
        <v>170</v>
      </c>
      <c r="C171" s="8" t="s">
        <v>168</v>
      </c>
      <c r="D171" s="37">
        <f>D77*2</f>
        <v>2</v>
      </c>
      <c r="E171" s="27">
        <f>E77*2</f>
        <v>2</v>
      </c>
      <c r="F171" s="37">
        <f t="shared" si="109"/>
        <v>30000</v>
      </c>
      <c r="G171" s="37" t="str">
        <f t="shared" si="110"/>
        <v/>
      </c>
    </row>
    <row r="172" spans="2:7" outlineLevel="1" x14ac:dyDescent="0.25">
      <c r="B172" s="31" t="s">
        <v>171</v>
      </c>
      <c r="C172" s="8" t="s">
        <v>167</v>
      </c>
      <c r="D172" s="37">
        <f>D79</f>
        <v>1</v>
      </c>
      <c r="E172" s="27">
        <f>E79</f>
        <v>1</v>
      </c>
      <c r="F172" s="37">
        <f t="shared" si="109"/>
        <v>40000</v>
      </c>
      <c r="G172" s="37" t="str">
        <f t="shared" si="110"/>
        <v/>
      </c>
    </row>
    <row r="173" spans="2:7" outlineLevel="1" x14ac:dyDescent="0.25">
      <c r="B173" s="31" t="s">
        <v>172</v>
      </c>
      <c r="C173" s="8" t="s">
        <v>168</v>
      </c>
      <c r="D173" s="37">
        <f>D79*2</f>
        <v>2</v>
      </c>
      <c r="E173" s="27">
        <f>E79*2</f>
        <v>2</v>
      </c>
      <c r="F173" s="37">
        <f t="shared" si="109"/>
        <v>30000</v>
      </c>
      <c r="G173" s="37" t="str">
        <f t="shared" si="110"/>
        <v/>
      </c>
    </row>
    <row r="174" spans="2:7" outlineLevel="1" x14ac:dyDescent="0.25">
      <c r="B174" s="31" t="s">
        <v>166</v>
      </c>
      <c r="C174" s="8" t="s">
        <v>167</v>
      </c>
      <c r="D174" s="37">
        <f>D81</f>
        <v>1</v>
      </c>
      <c r="E174" s="27">
        <f>E81</f>
        <v>1</v>
      </c>
      <c r="F174" s="37">
        <f t="shared" si="109"/>
        <v>40000</v>
      </c>
      <c r="G174" s="37" t="str">
        <f t="shared" si="110"/>
        <v/>
      </c>
    </row>
    <row r="175" spans="2:7" outlineLevel="1" x14ac:dyDescent="0.25">
      <c r="B175" s="31" t="s">
        <v>173</v>
      </c>
      <c r="C175" s="8" t="s">
        <v>168</v>
      </c>
      <c r="D175" s="37">
        <f>D81*2</f>
        <v>2</v>
      </c>
      <c r="E175" s="27">
        <f>E81*2</f>
        <v>2</v>
      </c>
      <c r="F175" s="37">
        <f t="shared" si="109"/>
        <v>30000</v>
      </c>
      <c r="G175" s="37" t="str">
        <f t="shared" si="110"/>
        <v/>
      </c>
    </row>
    <row r="176" spans="2:7" outlineLevel="1" x14ac:dyDescent="0.25">
      <c r="B176" s="31" t="s">
        <v>177</v>
      </c>
      <c r="C176" s="8" t="s">
        <v>178</v>
      </c>
      <c r="D176" s="37">
        <f>D83</f>
        <v>20</v>
      </c>
      <c r="E176" s="27">
        <f>E83</f>
        <v>20</v>
      </c>
      <c r="F176" s="37">
        <f t="shared" si="109"/>
        <v>35000</v>
      </c>
      <c r="G176" s="37" t="str">
        <f t="shared" si="110"/>
        <v/>
      </c>
    </row>
    <row r="177" spans="2:7" outlineLevel="1" x14ac:dyDescent="0.25">
      <c r="B177" s="31" t="s">
        <v>176</v>
      </c>
      <c r="C177" s="8" t="s">
        <v>168</v>
      </c>
      <c r="D177" s="37">
        <f>D83</f>
        <v>20</v>
      </c>
      <c r="E177" s="27">
        <f>E83</f>
        <v>20</v>
      </c>
      <c r="F177" s="37">
        <f t="shared" si="109"/>
        <v>30000</v>
      </c>
      <c r="G177" s="37" t="str">
        <f t="shared" si="110"/>
        <v/>
      </c>
    </row>
    <row r="178" spans="2:7" outlineLevel="1" x14ac:dyDescent="0.25">
      <c r="B178" s="31" t="s">
        <v>180</v>
      </c>
      <c r="C178" s="8" t="s">
        <v>167</v>
      </c>
      <c r="D178" s="37">
        <f>D84</f>
        <v>1</v>
      </c>
      <c r="E178" s="27">
        <f>E84</f>
        <v>1</v>
      </c>
      <c r="F178" s="37">
        <f t="shared" si="109"/>
        <v>40000</v>
      </c>
      <c r="G178" s="37" t="str">
        <f t="shared" si="110"/>
        <v/>
      </c>
    </row>
    <row r="179" spans="2:7" outlineLevel="1" x14ac:dyDescent="0.25">
      <c r="B179" s="31" t="s">
        <v>181</v>
      </c>
      <c r="C179" s="8" t="s">
        <v>168</v>
      </c>
      <c r="D179" s="37">
        <f>D84*2</f>
        <v>2</v>
      </c>
      <c r="E179" s="27">
        <f>E84*2</f>
        <v>2</v>
      </c>
      <c r="F179" s="37">
        <f t="shared" si="109"/>
        <v>30000</v>
      </c>
      <c r="G179" s="37" t="str">
        <f t="shared" si="110"/>
        <v/>
      </c>
    </row>
    <row r="180" spans="2:7" outlineLevel="1" x14ac:dyDescent="0.25">
      <c r="B180" s="31" t="s">
        <v>182</v>
      </c>
      <c r="C180" s="8" t="s">
        <v>167</v>
      </c>
      <c r="D180" s="37">
        <f>D85</f>
        <v>1</v>
      </c>
      <c r="E180" s="27">
        <f>E85</f>
        <v>1</v>
      </c>
      <c r="F180" s="37">
        <f t="shared" si="109"/>
        <v>40000</v>
      </c>
      <c r="G180" s="37" t="str">
        <f t="shared" si="110"/>
        <v/>
      </c>
    </row>
    <row r="181" spans="2:7" outlineLevel="1" x14ac:dyDescent="0.25">
      <c r="B181" s="31" t="s">
        <v>183</v>
      </c>
      <c r="C181" s="8" t="s">
        <v>168</v>
      </c>
      <c r="D181" s="37">
        <f>D85*2</f>
        <v>2</v>
      </c>
      <c r="E181" s="27">
        <f>E85*2</f>
        <v>2</v>
      </c>
      <c r="F181" s="37">
        <f t="shared" si="109"/>
        <v>30000</v>
      </c>
      <c r="G181" s="37" t="str">
        <f t="shared" si="110"/>
        <v/>
      </c>
    </row>
    <row r="182" spans="2:7" outlineLevel="1" x14ac:dyDescent="0.25">
      <c r="B182" s="31" t="s">
        <v>184</v>
      </c>
      <c r="C182" s="8" t="s">
        <v>167</v>
      </c>
      <c r="D182" s="37">
        <f>D86</f>
        <v>1</v>
      </c>
      <c r="E182" s="27">
        <f>E86</f>
        <v>1</v>
      </c>
      <c r="F182" s="37">
        <f t="shared" si="109"/>
        <v>40000</v>
      </c>
      <c r="G182" s="37" t="str">
        <f t="shared" si="110"/>
        <v/>
      </c>
    </row>
    <row r="183" spans="2:7" outlineLevel="1" x14ac:dyDescent="0.25">
      <c r="B183" s="31" t="s">
        <v>185</v>
      </c>
      <c r="C183" s="8" t="s">
        <v>168</v>
      </c>
      <c r="D183" s="37">
        <f>D86*2</f>
        <v>2</v>
      </c>
      <c r="E183" s="27">
        <f>E86*2</f>
        <v>2</v>
      </c>
      <c r="F183" s="37">
        <f t="shared" si="109"/>
        <v>30000</v>
      </c>
      <c r="G183" s="37" t="str">
        <f t="shared" si="110"/>
        <v/>
      </c>
    </row>
    <row r="184" spans="2:7" outlineLevel="1" x14ac:dyDescent="0.25">
      <c r="B184" s="31" t="s">
        <v>186</v>
      </c>
      <c r="C184" s="8" t="s">
        <v>167</v>
      </c>
      <c r="D184" s="37">
        <f>D89</f>
        <v>1</v>
      </c>
      <c r="E184" s="27">
        <f>E89</f>
        <v>1</v>
      </c>
      <c r="F184" s="37">
        <f t="shared" si="109"/>
        <v>40000</v>
      </c>
      <c r="G184" s="37" t="str">
        <f t="shared" si="110"/>
        <v/>
      </c>
    </row>
    <row r="185" spans="2:7" outlineLevel="1" x14ac:dyDescent="0.25">
      <c r="B185" s="31" t="s">
        <v>187</v>
      </c>
      <c r="C185" s="8" t="s">
        <v>168</v>
      </c>
      <c r="D185" s="37">
        <f>D89*2</f>
        <v>2</v>
      </c>
      <c r="E185" s="27">
        <f>E89*2</f>
        <v>2</v>
      </c>
      <c r="F185" s="37">
        <f t="shared" si="109"/>
        <v>30000</v>
      </c>
      <c r="G185" s="37" t="str">
        <f t="shared" si="110"/>
        <v/>
      </c>
    </row>
    <row r="186" spans="2:7" outlineLevel="1" x14ac:dyDescent="0.25">
      <c r="B186" s="43" t="s">
        <v>188</v>
      </c>
      <c r="C186" s="44"/>
      <c r="D186" s="45">
        <f>SUM(D187:D199)</f>
        <v>83</v>
      </c>
      <c r="E186" s="45">
        <f>SUM(E187:E199)</f>
        <v>83</v>
      </c>
      <c r="F186" s="45"/>
      <c r="G186" s="45">
        <f>SUM(G187:G199)</f>
        <v>2800000</v>
      </c>
    </row>
    <row r="187" spans="2:7" outlineLevel="1" x14ac:dyDescent="0.25">
      <c r="B187" s="31" t="s">
        <v>195</v>
      </c>
      <c r="C187" s="8" t="s">
        <v>167</v>
      </c>
      <c r="D187" s="37">
        <f>SUM(D96:D97)</f>
        <v>5</v>
      </c>
      <c r="E187" s="27">
        <f>SUM(E96:E97)</f>
        <v>5</v>
      </c>
      <c r="F187" s="37">
        <f t="shared" ref="F187:F199" si="111">_xlfn.XLOOKUP(C187,$I$152:$I$160,$J$152:$J$160)</f>
        <v>40000</v>
      </c>
      <c r="G187" s="37">
        <f>IF($C$31="Yes",E187*F187,"")</f>
        <v>200000</v>
      </c>
    </row>
    <row r="188" spans="2:7" outlineLevel="1" x14ac:dyDescent="0.25">
      <c r="B188" s="31" t="s">
        <v>169</v>
      </c>
      <c r="C188" s="8" t="s">
        <v>167</v>
      </c>
      <c r="D188" s="37">
        <f>D99</f>
        <v>1</v>
      </c>
      <c r="E188" s="27">
        <f>E99</f>
        <v>1</v>
      </c>
      <c r="F188" s="37">
        <f t="shared" si="111"/>
        <v>40000</v>
      </c>
      <c r="G188" s="37">
        <f t="shared" ref="G188:G199" si="112">IF($C$31="Yes",E188*F188,"")</f>
        <v>40000</v>
      </c>
    </row>
    <row r="189" spans="2:7" outlineLevel="1" x14ac:dyDescent="0.25">
      <c r="B189" s="31" t="s">
        <v>170</v>
      </c>
      <c r="C189" s="8" t="s">
        <v>168</v>
      </c>
      <c r="D189" s="37">
        <f>D99*2</f>
        <v>2</v>
      </c>
      <c r="E189" s="27">
        <f>E99*2</f>
        <v>2</v>
      </c>
      <c r="F189" s="37">
        <f t="shared" si="111"/>
        <v>30000</v>
      </c>
      <c r="G189" s="37">
        <f t="shared" si="112"/>
        <v>60000</v>
      </c>
    </row>
    <row r="190" spans="2:7" outlineLevel="1" x14ac:dyDescent="0.25">
      <c r="B190" s="31" t="s">
        <v>171</v>
      </c>
      <c r="C190" s="8" t="s">
        <v>167</v>
      </c>
      <c r="D190" s="37">
        <f>D101</f>
        <v>2</v>
      </c>
      <c r="E190" s="27">
        <f>E101</f>
        <v>2</v>
      </c>
      <c r="F190" s="37">
        <f t="shared" si="111"/>
        <v>40000</v>
      </c>
      <c r="G190" s="37">
        <f t="shared" si="112"/>
        <v>80000</v>
      </c>
    </row>
    <row r="191" spans="2:7" outlineLevel="1" x14ac:dyDescent="0.25">
      <c r="B191" s="31" t="s">
        <v>172</v>
      </c>
      <c r="C191" s="8" t="s">
        <v>168</v>
      </c>
      <c r="D191" s="37">
        <f>D101*2</f>
        <v>4</v>
      </c>
      <c r="E191" s="27">
        <f>E101*2</f>
        <v>4</v>
      </c>
      <c r="F191" s="37">
        <f t="shared" si="111"/>
        <v>30000</v>
      </c>
      <c r="G191" s="37">
        <f t="shared" si="112"/>
        <v>120000</v>
      </c>
    </row>
    <row r="192" spans="2:7" outlineLevel="1" x14ac:dyDescent="0.25">
      <c r="B192" s="31" t="s">
        <v>189</v>
      </c>
      <c r="C192" s="8" t="s">
        <v>167</v>
      </c>
      <c r="D192" s="37">
        <f>D103</f>
        <v>1</v>
      </c>
      <c r="E192" s="27">
        <f>E103</f>
        <v>1</v>
      </c>
      <c r="F192" s="37">
        <f t="shared" si="111"/>
        <v>40000</v>
      </c>
      <c r="G192" s="37">
        <f t="shared" si="112"/>
        <v>40000</v>
      </c>
    </row>
    <row r="193" spans="2:8" outlineLevel="1" x14ac:dyDescent="0.25">
      <c r="B193" s="31" t="s">
        <v>190</v>
      </c>
      <c r="C193" s="8" t="s">
        <v>168</v>
      </c>
      <c r="D193" s="37">
        <f>D103*2</f>
        <v>2</v>
      </c>
      <c r="E193" s="27">
        <f>E103*2</f>
        <v>2</v>
      </c>
      <c r="F193" s="37">
        <f t="shared" si="111"/>
        <v>30000</v>
      </c>
      <c r="G193" s="37">
        <f t="shared" si="112"/>
        <v>60000</v>
      </c>
    </row>
    <row r="194" spans="2:8" outlineLevel="1" x14ac:dyDescent="0.25">
      <c r="B194" s="31" t="s">
        <v>191</v>
      </c>
      <c r="C194" s="8" t="s">
        <v>167</v>
      </c>
      <c r="D194" s="37">
        <f>D103</f>
        <v>1</v>
      </c>
      <c r="E194" s="27">
        <f>E103</f>
        <v>1</v>
      </c>
      <c r="F194" s="37">
        <f t="shared" si="111"/>
        <v>40000</v>
      </c>
      <c r="G194" s="37">
        <f t="shared" si="112"/>
        <v>40000</v>
      </c>
    </row>
    <row r="195" spans="2:8" outlineLevel="1" x14ac:dyDescent="0.25">
      <c r="B195" s="31" t="s">
        <v>192</v>
      </c>
      <c r="C195" s="8" t="s">
        <v>168</v>
      </c>
      <c r="D195" s="37">
        <f>D104*2</f>
        <v>2</v>
      </c>
      <c r="E195" s="27">
        <f>E104*2</f>
        <v>2</v>
      </c>
      <c r="F195" s="37">
        <f t="shared" si="111"/>
        <v>30000</v>
      </c>
      <c r="G195" s="37">
        <f t="shared" si="112"/>
        <v>60000</v>
      </c>
    </row>
    <row r="196" spans="2:8" outlineLevel="1" x14ac:dyDescent="0.25">
      <c r="B196" s="31" t="s">
        <v>177</v>
      </c>
      <c r="C196" s="8" t="s">
        <v>167</v>
      </c>
      <c r="D196" s="37">
        <f>D106</f>
        <v>20</v>
      </c>
      <c r="E196" s="27">
        <f>E106</f>
        <v>20</v>
      </c>
      <c r="F196" s="37">
        <f t="shared" si="111"/>
        <v>40000</v>
      </c>
      <c r="G196" s="37">
        <f t="shared" si="112"/>
        <v>800000</v>
      </c>
    </row>
    <row r="197" spans="2:8" outlineLevel="1" x14ac:dyDescent="0.25">
      <c r="B197" s="31" t="s">
        <v>176</v>
      </c>
      <c r="C197" s="8" t="s">
        <v>168</v>
      </c>
      <c r="D197" s="37">
        <f>D106*2</f>
        <v>40</v>
      </c>
      <c r="E197" s="27">
        <f>E106*2</f>
        <v>40</v>
      </c>
      <c r="F197" s="37">
        <f t="shared" si="111"/>
        <v>30000</v>
      </c>
      <c r="G197" s="37">
        <f t="shared" si="112"/>
        <v>1200000</v>
      </c>
    </row>
    <row r="198" spans="2:8" outlineLevel="1" x14ac:dyDescent="0.25">
      <c r="B198" s="31" t="s">
        <v>193</v>
      </c>
      <c r="C198" s="8" t="s">
        <v>167</v>
      </c>
      <c r="D198" s="37">
        <f>D108</f>
        <v>1</v>
      </c>
      <c r="E198" s="27">
        <f>E108</f>
        <v>1</v>
      </c>
      <c r="F198" s="37">
        <f t="shared" si="111"/>
        <v>40000</v>
      </c>
      <c r="G198" s="37">
        <f t="shared" si="112"/>
        <v>40000</v>
      </c>
    </row>
    <row r="199" spans="2:8" outlineLevel="1" x14ac:dyDescent="0.25">
      <c r="B199" s="31" t="s">
        <v>194</v>
      </c>
      <c r="C199" s="8" t="s">
        <v>168</v>
      </c>
      <c r="D199" s="37">
        <f>D108*2</f>
        <v>2</v>
      </c>
      <c r="E199" s="27">
        <f>E108*2</f>
        <v>2</v>
      </c>
      <c r="F199" s="37">
        <f t="shared" si="111"/>
        <v>30000</v>
      </c>
      <c r="G199" s="37">
        <f t="shared" si="112"/>
        <v>60000</v>
      </c>
    </row>
    <row r="200" spans="2:8" outlineLevel="1" collapsed="1" x14ac:dyDescent="0.25">
      <c r="B200" s="43" t="s">
        <v>124</v>
      </c>
      <c r="C200" s="44"/>
      <c r="D200" s="45">
        <f>SUM(D201:D205)</f>
        <v>32</v>
      </c>
      <c r="E200" s="45">
        <f>SUM(E201:E205)</f>
        <v>32</v>
      </c>
      <c r="F200" s="45"/>
      <c r="G200" s="45">
        <f>SUM(G201:G205)</f>
        <v>1140000</v>
      </c>
    </row>
    <row r="201" spans="2:8" outlineLevel="1" x14ac:dyDescent="0.25">
      <c r="B201" s="31" t="s">
        <v>195</v>
      </c>
      <c r="C201" s="8" t="s">
        <v>167</v>
      </c>
      <c r="D201" s="37">
        <v>4</v>
      </c>
      <c r="E201" s="27">
        <f>SUM(E118:E119)</f>
        <v>4</v>
      </c>
      <c r="F201" s="37">
        <f>_xlfn.XLOOKUP(C201,$I$152:$I$160,$J$152:$J$160)</f>
        <v>40000</v>
      </c>
      <c r="G201" s="37">
        <f>IF($C$32="Yes",E201*F201,"")</f>
        <v>160000</v>
      </c>
      <c r="H201" s="53" t="s">
        <v>373</v>
      </c>
    </row>
    <row r="202" spans="2:8" outlineLevel="1" x14ac:dyDescent="0.25">
      <c r="B202" s="31" t="s">
        <v>196</v>
      </c>
      <c r="C202" s="8" t="s">
        <v>167</v>
      </c>
      <c r="D202" s="37">
        <f>ROUNDUP($G$146*H202/30,0)</f>
        <v>4</v>
      </c>
      <c r="E202" s="27">
        <f>D202</f>
        <v>4</v>
      </c>
      <c r="F202" s="37">
        <f>_xlfn.XLOOKUP(C202,$I$152:$I$160,$J$152:$J$160)</f>
        <v>40000</v>
      </c>
      <c r="G202" s="37">
        <f t="shared" ref="G202:G205" si="113">IF($C$32="Yes",E202*F202,"")</f>
        <v>160000</v>
      </c>
      <c r="H202" s="134">
        <v>0.1</v>
      </c>
    </row>
    <row r="203" spans="2:8" outlineLevel="1" x14ac:dyDescent="0.25">
      <c r="B203" s="31" t="s">
        <v>197</v>
      </c>
      <c r="C203" s="8" t="s">
        <v>168</v>
      </c>
      <c r="D203" s="37">
        <f>ROUNDUP($G$146*H203/30,0)</f>
        <v>4</v>
      </c>
      <c r="E203" s="27">
        <f t="shared" ref="E203:E205" si="114">D203</f>
        <v>4</v>
      </c>
      <c r="F203" s="37">
        <f>_xlfn.XLOOKUP(C203,$I$152:$I$160,$J$152:$J$160)</f>
        <v>30000</v>
      </c>
      <c r="G203" s="37">
        <f t="shared" si="113"/>
        <v>120000</v>
      </c>
      <c r="H203" s="134">
        <v>0.1</v>
      </c>
    </row>
    <row r="204" spans="2:8" outlineLevel="1" x14ac:dyDescent="0.25">
      <c r="B204" s="31" t="s">
        <v>198</v>
      </c>
      <c r="C204" s="8" t="s">
        <v>167</v>
      </c>
      <c r="D204" s="37">
        <f>ROUNDUP($G$146*H204/30,0)</f>
        <v>10</v>
      </c>
      <c r="E204" s="27">
        <f t="shared" si="114"/>
        <v>10</v>
      </c>
      <c r="F204" s="37">
        <f>_xlfn.XLOOKUP(C204,$I$152:$I$160,$J$152:$J$160)</f>
        <v>40000</v>
      </c>
      <c r="G204" s="37">
        <f t="shared" si="113"/>
        <v>400000</v>
      </c>
      <c r="H204" s="134">
        <v>0.25</v>
      </c>
    </row>
    <row r="205" spans="2:8" outlineLevel="1" x14ac:dyDescent="0.25">
      <c r="B205" s="31" t="s">
        <v>199</v>
      </c>
      <c r="C205" s="8" t="s">
        <v>168</v>
      </c>
      <c r="D205" s="37">
        <f>ROUNDUP($G$146*H205/30,0)</f>
        <v>10</v>
      </c>
      <c r="E205" s="27">
        <f t="shared" si="114"/>
        <v>10</v>
      </c>
      <c r="F205" s="37">
        <f>_xlfn.XLOOKUP(C205,$I$152:$I$160,$J$152:$J$160)</f>
        <v>30000</v>
      </c>
      <c r="G205" s="37">
        <f t="shared" si="113"/>
        <v>300000</v>
      </c>
      <c r="H205" s="134">
        <v>0.25</v>
      </c>
    </row>
    <row r="206" spans="2:8" outlineLevel="1" x14ac:dyDescent="0.25">
      <c r="B206" s="43" t="s">
        <v>203</v>
      </c>
      <c r="C206" s="44"/>
      <c r="D206" s="45">
        <f>SUM(D207:D209)</f>
        <v>7</v>
      </c>
      <c r="E206" s="45">
        <f>SUM(E207:E209)</f>
        <v>7</v>
      </c>
      <c r="F206" s="45"/>
      <c r="G206" s="45">
        <f>SUM(G207:G209)</f>
        <v>720000</v>
      </c>
    </row>
    <row r="207" spans="2:8" outlineLevel="1" x14ac:dyDescent="0.25">
      <c r="B207" s="31" t="s">
        <v>200</v>
      </c>
      <c r="C207" s="8" t="s">
        <v>200</v>
      </c>
      <c r="D207" s="37">
        <v>4</v>
      </c>
      <c r="E207" s="27">
        <v>4</v>
      </c>
      <c r="F207" s="37">
        <f>_xlfn.XLOOKUP(C207,$I$152:$I$160,$J$152:$J$160)</f>
        <v>80000</v>
      </c>
      <c r="G207" s="37">
        <f>IF($C$147="Yes",E207*F207,"")</f>
        <v>320000</v>
      </c>
    </row>
    <row r="208" spans="2:8" outlineLevel="1" x14ac:dyDescent="0.25">
      <c r="B208" s="31" t="s">
        <v>202</v>
      </c>
      <c r="C208" s="8" t="s">
        <v>202</v>
      </c>
      <c r="D208" s="37">
        <v>1</v>
      </c>
      <c r="E208" s="27">
        <v>1</v>
      </c>
      <c r="F208" s="37">
        <f>_xlfn.XLOOKUP(C208,$I$152:$I$160,$J$152:$J$160)</f>
        <v>100000</v>
      </c>
      <c r="G208" s="37">
        <f t="shared" ref="G208:G209" si="115">IF($C$147="Yes",E208*F208,"")</f>
        <v>100000</v>
      </c>
    </row>
    <row r="209" spans="1:13" outlineLevel="1" x14ac:dyDescent="0.25">
      <c r="B209" s="31" t="s">
        <v>201</v>
      </c>
      <c r="C209" s="8" t="s">
        <v>201</v>
      </c>
      <c r="D209" s="37">
        <v>2</v>
      </c>
      <c r="E209" s="27">
        <v>2</v>
      </c>
      <c r="F209" s="37">
        <f>_xlfn.XLOOKUP(C209,$I$152:$I$160,$J$152:$J$160)</f>
        <v>150000</v>
      </c>
      <c r="G209" s="37">
        <f t="shared" si="115"/>
        <v>300000</v>
      </c>
    </row>
    <row r="210" spans="1:13" outlineLevel="1" x14ac:dyDescent="0.25">
      <c r="B210" s="43" t="s">
        <v>238</v>
      </c>
      <c r="C210" s="44"/>
      <c r="D210" s="45">
        <f>SUM(D211:D214)</f>
        <v>12</v>
      </c>
      <c r="E210" s="45">
        <f>SUM(E211:E214)</f>
        <v>12</v>
      </c>
      <c r="F210" s="45"/>
      <c r="G210" s="45">
        <f>SUM(G211:G214)</f>
        <v>420000</v>
      </c>
    </row>
    <row r="211" spans="1:13" outlineLevel="1" x14ac:dyDescent="0.25">
      <c r="B211" s="31" t="s">
        <v>211</v>
      </c>
      <c r="C211" s="8" t="s">
        <v>167</v>
      </c>
      <c r="D211" s="37">
        <f t="shared" ref="D211:E213" si="116">D130</f>
        <v>2</v>
      </c>
      <c r="E211" s="27">
        <f t="shared" si="116"/>
        <v>2</v>
      </c>
      <c r="F211" s="37">
        <f>_xlfn.XLOOKUP(C211,$I$152:$I$160,$J$152:$J$160)</f>
        <v>40000</v>
      </c>
      <c r="G211" s="37">
        <f>IF($C$147="Yes",E211*F211,"")</f>
        <v>80000</v>
      </c>
    </row>
    <row r="212" spans="1:13" outlineLevel="1" x14ac:dyDescent="0.25">
      <c r="B212" s="31" t="s">
        <v>212</v>
      </c>
      <c r="C212" s="8" t="s">
        <v>167</v>
      </c>
      <c r="D212" s="37">
        <f t="shared" si="116"/>
        <v>2</v>
      </c>
      <c r="E212" s="27">
        <f t="shared" si="116"/>
        <v>2</v>
      </c>
      <c r="F212" s="37">
        <f>_xlfn.XLOOKUP(C212,$I$152:$I$160,$J$152:$J$160)</f>
        <v>40000</v>
      </c>
      <c r="G212" s="37">
        <f t="shared" ref="G212:G214" si="117">IF($C$147="Yes",E212*F212,"")</f>
        <v>80000</v>
      </c>
    </row>
    <row r="213" spans="1:13" outlineLevel="1" x14ac:dyDescent="0.25">
      <c r="B213" s="31" t="s">
        <v>213</v>
      </c>
      <c r="C213" s="8" t="s">
        <v>167</v>
      </c>
      <c r="D213" s="37">
        <f t="shared" si="116"/>
        <v>2</v>
      </c>
      <c r="E213" s="27">
        <f t="shared" si="116"/>
        <v>2</v>
      </c>
      <c r="F213" s="37">
        <f>_xlfn.XLOOKUP(C213,$I$152:$I$160,$J$152:$J$160)</f>
        <v>40000</v>
      </c>
      <c r="G213" s="37">
        <f t="shared" si="117"/>
        <v>80000</v>
      </c>
    </row>
    <row r="214" spans="1:13" outlineLevel="1" x14ac:dyDescent="0.25">
      <c r="B214" s="31" t="s">
        <v>214</v>
      </c>
      <c r="C214" s="8" t="s">
        <v>168</v>
      </c>
      <c r="D214" s="37">
        <v>6</v>
      </c>
      <c r="E214" s="27">
        <v>6</v>
      </c>
      <c r="F214" s="37">
        <f>_xlfn.XLOOKUP(C214,$I$152:$I$160,$J$152:$J$160)</f>
        <v>30000</v>
      </c>
      <c r="G214" s="37">
        <f t="shared" si="117"/>
        <v>180000</v>
      </c>
    </row>
    <row r="215" spans="1:13" outlineLevel="1" x14ac:dyDescent="0.25">
      <c r="B215" s="43" t="s">
        <v>55</v>
      </c>
      <c r="C215" s="44"/>
      <c r="D215" s="45">
        <f>SUM(D216:D217)</f>
        <v>8</v>
      </c>
      <c r="E215" s="45">
        <f>SUM(E216:E217)</f>
        <v>8</v>
      </c>
      <c r="F215" s="45"/>
      <c r="G215" s="45">
        <f>SUM(G216:G217)</f>
        <v>280000</v>
      </c>
    </row>
    <row r="216" spans="1:13" outlineLevel="1" x14ac:dyDescent="0.25">
      <c r="B216" s="31" t="s">
        <v>216</v>
      </c>
      <c r="C216" s="8" t="s">
        <v>167</v>
      </c>
      <c r="D216" s="37">
        <v>4</v>
      </c>
      <c r="E216" s="27">
        <v>4</v>
      </c>
      <c r="F216" s="37">
        <f>_xlfn.XLOOKUP(C216,$I$152:$I$160,$J$152:$J$160)</f>
        <v>40000</v>
      </c>
      <c r="G216" s="37">
        <f t="shared" ref="G216:G217" si="118">IF($C$147="Yes",E216*F216,"")</f>
        <v>160000</v>
      </c>
    </row>
    <row r="217" spans="1:13" outlineLevel="1" x14ac:dyDescent="0.25">
      <c r="B217" s="31" t="s">
        <v>215</v>
      </c>
      <c r="C217" s="8" t="s">
        <v>168</v>
      </c>
      <c r="D217" s="37">
        <v>4</v>
      </c>
      <c r="E217" s="27">
        <v>4</v>
      </c>
      <c r="F217" s="37">
        <f>_xlfn.XLOOKUP(C217,$I$152:$I$160,$J$152:$J$160)</f>
        <v>30000</v>
      </c>
      <c r="G217" s="37">
        <f t="shared" si="118"/>
        <v>120000</v>
      </c>
    </row>
    <row r="218" spans="1:13" outlineLevel="1" x14ac:dyDescent="0.25">
      <c r="B218" s="46" t="s">
        <v>7</v>
      </c>
      <c r="C218" s="47"/>
      <c r="D218" s="48">
        <f>SUM(D152,D168,D186,D200,D206,D210,D215)</f>
        <v>372</v>
      </c>
      <c r="E218" s="48">
        <f>SUM(E152,E168,E186,E200,E206,E210,E215)</f>
        <v>372</v>
      </c>
      <c r="F218" s="49"/>
      <c r="G218" s="48">
        <f>SUM(G152,G168,G186,G200,G206,G210,G215)</f>
        <v>10960000</v>
      </c>
    </row>
    <row r="219" spans="1:13" outlineLevel="1" x14ac:dyDescent="0.25">
      <c r="C219" s="31"/>
      <c r="G219" s="50"/>
    </row>
    <row r="220" spans="1:13" outlineLevel="1" x14ac:dyDescent="0.25">
      <c r="A220" s="63">
        <f>MAX($A$1:A219)+0.1</f>
        <v>3.2</v>
      </c>
      <c r="B220" s="31" t="s">
        <v>18</v>
      </c>
      <c r="C220" s="31" t="s">
        <v>14</v>
      </c>
      <c r="D220" s="51">
        <f>C148</f>
        <v>0.1</v>
      </c>
    </row>
    <row r="222" spans="1:13" x14ac:dyDescent="0.25">
      <c r="A222" s="62">
        <v>4</v>
      </c>
      <c r="B222" s="24" t="s">
        <v>16</v>
      </c>
      <c r="C222" s="25"/>
      <c r="D222" s="25"/>
      <c r="E222" s="25"/>
      <c r="F222" s="25"/>
      <c r="G222" s="25"/>
      <c r="H222" s="25"/>
      <c r="I222" s="26"/>
      <c r="J222" s="26"/>
      <c r="K222" s="25"/>
      <c r="L222" s="25"/>
      <c r="M222" s="25"/>
    </row>
    <row r="223" spans="1:13" outlineLevel="1" x14ac:dyDescent="0.25"/>
    <row r="224" spans="1:13" outlineLevel="1" x14ac:dyDescent="0.25">
      <c r="A224" s="63">
        <f>MAX($A$1:A223)+0.1</f>
        <v>4.0999999999999996</v>
      </c>
      <c r="B224" s="41" t="s">
        <v>252</v>
      </c>
      <c r="D224" s="36" t="s">
        <v>325</v>
      </c>
      <c r="E224" s="36" t="s">
        <v>226</v>
      </c>
      <c r="F224" s="36" t="s">
        <v>225</v>
      </c>
    </row>
    <row r="225" spans="1:6" outlineLevel="1" x14ac:dyDescent="0.25">
      <c r="A225" s="63"/>
      <c r="B225" s="91" t="s">
        <v>217</v>
      </c>
      <c r="C225" s="8" t="s">
        <v>0</v>
      </c>
      <c r="D225" s="37" t="str">
        <f>IF(Input!$C$42="Yes",C29,"")</f>
        <v>Yes</v>
      </c>
      <c r="E225" s="37">
        <f>Q69</f>
        <v>851.54133333333357</v>
      </c>
      <c r="F225" s="27">
        <f>IF(D225="yes",E225,"")</f>
        <v>851.54133333333357</v>
      </c>
    </row>
    <row r="226" spans="1:6" outlineLevel="1" x14ac:dyDescent="0.25">
      <c r="A226" s="63"/>
      <c r="B226" s="91" t="s">
        <v>218</v>
      </c>
      <c r="C226" s="8" t="s">
        <v>0</v>
      </c>
      <c r="D226" s="37" t="str">
        <f>IF(Input!$C$42="Yes",C30,"")</f>
        <v>No</v>
      </c>
      <c r="E226" s="37">
        <f>Q90</f>
        <v>488.61866666666674</v>
      </c>
      <c r="F226" s="27" t="str">
        <f t="shared" ref="F226:F229" si="119">IF(D226="yes",E226,"")</f>
        <v/>
      </c>
    </row>
    <row r="227" spans="1:6" outlineLevel="1" x14ac:dyDescent="0.25">
      <c r="A227" s="63"/>
      <c r="B227" s="91" t="s">
        <v>219</v>
      </c>
      <c r="C227" s="8" t="s">
        <v>0</v>
      </c>
      <c r="D227" s="37" t="str">
        <f>IF(Input!$C$42="Yes",C31,"")</f>
        <v>Yes</v>
      </c>
      <c r="E227" s="37">
        <f>Q112</f>
        <v>477.6106666666667</v>
      </c>
      <c r="F227" s="27">
        <f t="shared" si="119"/>
        <v>477.6106666666667</v>
      </c>
    </row>
    <row r="228" spans="1:6" outlineLevel="1" x14ac:dyDescent="0.25">
      <c r="A228" s="63"/>
      <c r="B228" s="91" t="s">
        <v>62</v>
      </c>
      <c r="C228" s="8" t="s">
        <v>0</v>
      </c>
      <c r="D228" s="37" t="str">
        <f>IF(Input!$C$42="Yes",C32,"")</f>
        <v>Yes</v>
      </c>
      <c r="E228" s="37">
        <f>Q125</f>
        <v>146.94400000000002</v>
      </c>
      <c r="F228" s="27">
        <f t="shared" si="119"/>
        <v>146.94400000000002</v>
      </c>
    </row>
    <row r="229" spans="1:6" outlineLevel="1" x14ac:dyDescent="0.25">
      <c r="A229" s="63"/>
      <c r="B229" s="91" t="s">
        <v>205</v>
      </c>
      <c r="C229" s="8" t="s">
        <v>0</v>
      </c>
      <c r="D229" s="37" t="str">
        <f>IF(Input!$C$42="Yes",C33,"")</f>
        <v>Yes</v>
      </c>
      <c r="E229" s="37">
        <f>Q134</f>
        <v>164.1969230769231</v>
      </c>
      <c r="F229" s="27">
        <f t="shared" si="119"/>
        <v>164.1969230769231</v>
      </c>
    </row>
    <row r="230" spans="1:6" outlineLevel="1" x14ac:dyDescent="0.25"/>
    <row r="231" spans="1:6" outlineLevel="1" x14ac:dyDescent="0.25">
      <c r="D231" s="36" t="s">
        <v>226</v>
      </c>
      <c r="E231" s="36" t="s">
        <v>225</v>
      </c>
    </row>
    <row r="232" spans="1:6" outlineLevel="1" x14ac:dyDescent="0.25">
      <c r="A232" s="63">
        <f>MAX($A$1:A229)+0.1</f>
        <v>4.1999999999999993</v>
      </c>
      <c r="B232" s="41" t="s">
        <v>263</v>
      </c>
      <c r="C232" s="8" t="s">
        <v>267</v>
      </c>
      <c r="D232" s="95">
        <v>1</v>
      </c>
      <c r="E232" s="67">
        <f>IF(Input!$C$45="Yes",D232,"")</f>
        <v>1</v>
      </c>
      <c r="F232" s="28" t="s">
        <v>313</v>
      </c>
    </row>
    <row r="233" spans="1:6" outlineLevel="1" x14ac:dyDescent="0.25">
      <c r="A233" s="63"/>
      <c r="B233" s="91" t="s">
        <v>264</v>
      </c>
      <c r="C233" s="8" t="s">
        <v>265</v>
      </c>
      <c r="D233" s="37">
        <v>200</v>
      </c>
      <c r="E233" s="67">
        <f>IF(Input!$C$45="Yes",D233,"")</f>
        <v>200</v>
      </c>
    </row>
    <row r="234" spans="1:6" outlineLevel="1" x14ac:dyDescent="0.25">
      <c r="B234" s="31"/>
      <c r="C234" s="31"/>
      <c r="D234" s="42"/>
    </row>
    <row r="235" spans="1:6" outlineLevel="1" x14ac:dyDescent="0.25">
      <c r="A235" s="63">
        <f>MAX($A$1:A234)+0.1</f>
        <v>4.2999999999999989</v>
      </c>
      <c r="B235" s="41" t="s">
        <v>15</v>
      </c>
      <c r="C235" s="31"/>
      <c r="D235" s="42"/>
    </row>
    <row r="236" spans="1:6" outlineLevel="1" x14ac:dyDescent="0.25">
      <c r="A236" s="63" t="s">
        <v>277</v>
      </c>
      <c r="B236" s="41" t="s">
        <v>250</v>
      </c>
    </row>
    <row r="237" spans="1:6" outlineLevel="1" x14ac:dyDescent="0.25">
      <c r="A237" s="92"/>
      <c r="B237" s="91"/>
      <c r="C237" s="31"/>
    </row>
    <row r="238" spans="1:6" outlineLevel="1" x14ac:dyDescent="0.25">
      <c r="A238" s="92" t="s">
        <v>41</v>
      </c>
      <c r="B238" s="41" t="s">
        <v>270</v>
      </c>
      <c r="C238" s="31"/>
      <c r="D238" s="36" t="s">
        <v>269</v>
      </c>
      <c r="E238" s="36" t="s">
        <v>268</v>
      </c>
      <c r="F238" s="36" t="s">
        <v>275</v>
      </c>
    </row>
    <row r="239" spans="1:6" outlineLevel="1" x14ac:dyDescent="0.25">
      <c r="A239" s="92"/>
      <c r="B239" s="109" t="s">
        <v>314</v>
      </c>
      <c r="C239" s="31"/>
      <c r="D239" s="38">
        <f>Input!D51</f>
        <v>0.6</v>
      </c>
      <c r="E239" s="37">
        <v>8</v>
      </c>
      <c r="F239" s="37">
        <f>D239*$D$8*E239</f>
        <v>182928</v>
      </c>
    </row>
    <row r="240" spans="1:6" outlineLevel="1" x14ac:dyDescent="0.25">
      <c r="A240" s="92"/>
      <c r="B240" s="109" t="s">
        <v>315</v>
      </c>
      <c r="C240" s="31"/>
      <c r="D240" s="38">
        <f>Input!D52</f>
        <v>0.25</v>
      </c>
      <c r="E240" s="37">
        <v>15</v>
      </c>
      <c r="F240" s="37">
        <f>D240*$D$8*E240</f>
        <v>142912.5</v>
      </c>
    </row>
    <row r="241" spans="1:6" outlineLevel="1" x14ac:dyDescent="0.25">
      <c r="A241" s="92"/>
      <c r="B241" s="109" t="s">
        <v>316</v>
      </c>
      <c r="C241" s="31"/>
      <c r="D241" s="38">
        <f>Input!D53</f>
        <v>0.15</v>
      </c>
      <c r="E241" s="37">
        <v>25</v>
      </c>
      <c r="F241" s="37">
        <f>D241*$D$8*E241</f>
        <v>142912.5</v>
      </c>
    </row>
    <row r="242" spans="1:6" outlineLevel="1" x14ac:dyDescent="0.25">
      <c r="A242" s="92"/>
      <c r="B242" s="91"/>
      <c r="C242" s="31"/>
      <c r="D242" s="96">
        <f>SUM(D239:D241)</f>
        <v>1</v>
      </c>
      <c r="F242" s="60">
        <f>SUM(F239:F241)</f>
        <v>468753</v>
      </c>
    </row>
    <row r="243" spans="1:6" outlineLevel="1" x14ac:dyDescent="0.25">
      <c r="A243" s="92"/>
      <c r="B243" s="91"/>
      <c r="C243" s="31"/>
      <c r="E243" s="98"/>
      <c r="F243" s="80"/>
    </row>
    <row r="244" spans="1:6" outlineLevel="1" x14ac:dyDescent="0.25">
      <c r="A244" s="92"/>
      <c r="B244" s="91" t="s">
        <v>272</v>
      </c>
      <c r="C244" s="31" t="s">
        <v>271</v>
      </c>
      <c r="D244" s="97">
        <v>150</v>
      </c>
    </row>
    <row r="245" spans="1:6" outlineLevel="1" x14ac:dyDescent="0.25">
      <c r="A245" s="92"/>
      <c r="B245" s="91" t="s">
        <v>273</v>
      </c>
      <c r="C245" s="31" t="s">
        <v>0</v>
      </c>
      <c r="D245" s="37">
        <f>(D244*F242)/$D$8</f>
        <v>1845</v>
      </c>
    </row>
    <row r="246" spans="1:6" outlineLevel="1" x14ac:dyDescent="0.25">
      <c r="A246" s="92"/>
      <c r="B246" s="91"/>
      <c r="C246" s="31"/>
      <c r="D246" s="57"/>
    </row>
    <row r="247" spans="1:6" outlineLevel="1" x14ac:dyDescent="0.25">
      <c r="A247" s="92"/>
      <c r="B247" s="91" t="s">
        <v>274</v>
      </c>
      <c r="C247" s="31" t="s">
        <v>0</v>
      </c>
      <c r="D247" s="97">
        <v>120</v>
      </c>
    </row>
    <row r="248" spans="1:6" outlineLevel="1" x14ac:dyDescent="0.25">
      <c r="A248" s="92"/>
      <c r="B248" s="91"/>
      <c r="C248" s="31"/>
    </row>
    <row r="249" spans="1:6" outlineLevel="1" x14ac:dyDescent="0.25">
      <c r="A249" s="92"/>
      <c r="B249" s="91" t="s">
        <v>302</v>
      </c>
      <c r="C249" s="31" t="s">
        <v>14</v>
      </c>
      <c r="D249" s="97">
        <v>10</v>
      </c>
    </row>
    <row r="250" spans="1:6" outlineLevel="1" x14ac:dyDescent="0.25">
      <c r="A250" s="92"/>
      <c r="B250" s="91"/>
      <c r="C250" s="31"/>
    </row>
    <row r="251" spans="1:6" outlineLevel="1" x14ac:dyDescent="0.25">
      <c r="A251" s="92"/>
      <c r="B251" s="91" t="s">
        <v>276</v>
      </c>
      <c r="C251" s="31" t="s">
        <v>0</v>
      </c>
      <c r="D251" s="37">
        <f>(D245+D247)*((100+D249)/100)</f>
        <v>2161.5</v>
      </c>
    </row>
    <row r="252" spans="1:6" outlineLevel="1" x14ac:dyDescent="0.25">
      <c r="A252" s="92"/>
      <c r="B252" s="91"/>
      <c r="C252" s="31"/>
    </row>
    <row r="253" spans="1:6" outlineLevel="1" x14ac:dyDescent="0.25"/>
    <row r="254" spans="1:6" outlineLevel="1" x14ac:dyDescent="0.25">
      <c r="A254" s="63" t="s">
        <v>251</v>
      </c>
      <c r="B254" s="41" t="s">
        <v>62</v>
      </c>
      <c r="C254" s="31"/>
      <c r="D254" s="42"/>
    </row>
    <row r="255" spans="1:6" outlineLevel="1" x14ac:dyDescent="0.25">
      <c r="A255" s="92"/>
      <c r="B255" s="41"/>
      <c r="C255" s="31"/>
      <c r="D255" s="42"/>
    </row>
    <row r="256" spans="1:6" outlineLevel="1" x14ac:dyDescent="0.25">
      <c r="A256" s="92" t="s">
        <v>41</v>
      </c>
      <c r="B256" s="41" t="s">
        <v>294</v>
      </c>
      <c r="C256" s="31" t="s">
        <v>0</v>
      </c>
      <c r="D256" s="27">
        <f>IF(Input!C58="Yes",400,"")</f>
        <v>400</v>
      </c>
    </row>
    <row r="257" spans="1:8" outlineLevel="1" x14ac:dyDescent="0.25">
      <c r="A257" s="92"/>
      <c r="B257" s="41"/>
      <c r="C257" s="31"/>
    </row>
    <row r="258" spans="1:8" outlineLevel="1" x14ac:dyDescent="0.25">
      <c r="A258" s="92" t="s">
        <v>41</v>
      </c>
      <c r="B258" s="41" t="s">
        <v>281</v>
      </c>
      <c r="C258" s="31"/>
      <c r="D258" s="36" t="s">
        <v>269</v>
      </c>
      <c r="E258" s="36" t="s">
        <v>278</v>
      </c>
    </row>
    <row r="259" spans="1:8" outlineLevel="1" x14ac:dyDescent="0.25">
      <c r="A259" s="92" t="s">
        <v>30</v>
      </c>
      <c r="B259" s="8" t="s">
        <v>279</v>
      </c>
      <c r="D259" s="38">
        <f>Input!D63</f>
        <v>0.8</v>
      </c>
      <c r="E259" s="37">
        <v>30</v>
      </c>
    </row>
    <row r="260" spans="1:8" outlineLevel="1" x14ac:dyDescent="0.25">
      <c r="A260" s="92" t="s">
        <v>31</v>
      </c>
      <c r="B260" s="91" t="s">
        <v>280</v>
      </c>
      <c r="C260" s="31"/>
      <c r="D260" s="38">
        <f>Input!D64</f>
        <v>0.2</v>
      </c>
      <c r="E260" s="37">
        <v>40</v>
      </c>
    </row>
    <row r="261" spans="1:8" outlineLevel="1" x14ac:dyDescent="0.25">
      <c r="A261" s="92"/>
      <c r="B261" s="91" t="s">
        <v>282</v>
      </c>
      <c r="C261" s="31" t="s">
        <v>278</v>
      </c>
      <c r="E261" s="37">
        <f>SUMPRODUCT(E259:E260,D259:D260)</f>
        <v>32</v>
      </c>
    </row>
    <row r="262" spans="1:8" outlineLevel="1" x14ac:dyDescent="0.25">
      <c r="A262" s="92"/>
      <c r="B262" s="41"/>
      <c r="C262" s="31"/>
      <c r="D262" s="42"/>
    </row>
    <row r="263" spans="1:8" outlineLevel="1" x14ac:dyDescent="0.25">
      <c r="A263" s="92" t="s">
        <v>41</v>
      </c>
      <c r="B263" s="41" t="s">
        <v>283</v>
      </c>
      <c r="C263" s="31"/>
      <c r="D263" s="36" t="s">
        <v>363</v>
      </c>
      <c r="E263" s="36" t="s">
        <v>284</v>
      </c>
      <c r="F263" s="36" t="s">
        <v>365</v>
      </c>
      <c r="G263" s="36" t="s">
        <v>364</v>
      </c>
    </row>
    <row r="264" spans="1:8" outlineLevel="1" x14ac:dyDescent="0.25">
      <c r="A264" s="92"/>
      <c r="B264" s="91" t="s">
        <v>361</v>
      </c>
      <c r="C264" s="31"/>
      <c r="D264" s="38" t="str">
        <f>Input!D69</f>
        <v>Yes</v>
      </c>
      <c r="E264" s="27">
        <f>IF($D264="No","",Input!E69)</f>
        <v>1</v>
      </c>
      <c r="F264" s="27">
        <f>IF($D264="No","",Input!F69)</f>
        <v>30</v>
      </c>
      <c r="G264" s="100">
        <f>IF($D264="No","",Input!G69)</f>
        <v>30</v>
      </c>
    </row>
    <row r="265" spans="1:8" outlineLevel="1" x14ac:dyDescent="0.25">
      <c r="A265" s="92"/>
      <c r="B265" s="91" t="s">
        <v>359</v>
      </c>
      <c r="C265" s="31"/>
      <c r="D265" s="38" t="str">
        <f>Input!D70</f>
        <v>Yes</v>
      </c>
      <c r="E265" s="27">
        <f>IF($D265="No","",Input!E70)</f>
        <v>1</v>
      </c>
      <c r="F265" s="27">
        <f>IF($D265="No","",Input!F70)</f>
        <v>50</v>
      </c>
      <c r="G265" s="100">
        <f>IF($D265="No","",Input!G70)</f>
        <v>50</v>
      </c>
    </row>
    <row r="266" spans="1:8" outlineLevel="1" x14ac:dyDescent="0.25">
      <c r="A266" s="92"/>
      <c r="B266" s="91" t="s">
        <v>360</v>
      </c>
      <c r="C266" s="31"/>
      <c r="D266" s="38" t="str">
        <f>Input!D71</f>
        <v>Yes</v>
      </c>
      <c r="E266" s="27">
        <f>IF($D266="No","",Input!E71)</f>
        <v>1</v>
      </c>
      <c r="F266" s="27">
        <f>IF($D266="No","",Input!F71)</f>
        <v>50</v>
      </c>
      <c r="G266" s="100">
        <f>IF($D266="No","",Input!G71)</f>
        <v>50</v>
      </c>
    </row>
    <row r="267" spans="1:8" outlineLevel="1" x14ac:dyDescent="0.25">
      <c r="A267" s="92"/>
      <c r="B267" s="41"/>
      <c r="C267" s="31"/>
      <c r="D267" s="99"/>
      <c r="F267" s="100">
        <f>SUM(F264:F266)</f>
        <v>130</v>
      </c>
      <c r="G267" s="100">
        <f>SUM(G264:G266)</f>
        <v>130</v>
      </c>
    </row>
    <row r="268" spans="1:8" outlineLevel="1" x14ac:dyDescent="0.25">
      <c r="A268" s="92"/>
      <c r="B268" s="41"/>
      <c r="C268" s="31"/>
      <c r="D268" s="99"/>
      <c r="H268" s="36" t="s">
        <v>288</v>
      </c>
    </row>
    <row r="269" spans="1:8" outlineLevel="1" x14ac:dyDescent="0.25">
      <c r="A269" s="92" t="s">
        <v>41</v>
      </c>
      <c r="B269" s="17" t="s">
        <v>285</v>
      </c>
      <c r="C269" s="31"/>
      <c r="D269" s="42"/>
      <c r="G269" s="52" t="s">
        <v>287</v>
      </c>
      <c r="H269" s="27">
        <v>65</v>
      </c>
    </row>
    <row r="270" spans="1:8" outlineLevel="1" x14ac:dyDescent="0.25">
      <c r="A270" s="92"/>
      <c r="B270" s="17"/>
      <c r="C270" s="31"/>
      <c r="D270" s="42"/>
      <c r="G270" s="52"/>
    </row>
    <row r="271" spans="1:8" outlineLevel="1" x14ac:dyDescent="0.25">
      <c r="A271" s="92"/>
      <c r="F271" s="36" t="s">
        <v>357</v>
      </c>
    </row>
    <row r="272" spans="1:8" outlineLevel="1" x14ac:dyDescent="0.25">
      <c r="A272" s="92"/>
      <c r="B272" s="41" t="s">
        <v>289</v>
      </c>
      <c r="D272" s="36" t="s">
        <v>286</v>
      </c>
      <c r="E272" s="36" t="s">
        <v>290</v>
      </c>
      <c r="F272" s="36" t="s">
        <v>291</v>
      </c>
      <c r="G272" s="36" t="s">
        <v>0</v>
      </c>
    </row>
    <row r="273" spans="1:11" outlineLevel="1" x14ac:dyDescent="0.25">
      <c r="A273" s="92"/>
      <c r="B273" s="91" t="s">
        <v>361</v>
      </c>
      <c r="C273" s="31" t="s">
        <v>286</v>
      </c>
      <c r="D273" s="124">
        <f>IFERROR(G264/(10*$H$269),"")</f>
        <v>4.6153846153846156E-2</v>
      </c>
      <c r="E273" s="124">
        <f>IFERROR(D273*$E$261,"")</f>
        <v>1.476923076923077</v>
      </c>
      <c r="F273" s="27">
        <v>135</v>
      </c>
      <c r="G273" s="100">
        <f>IFERROR(E273*F273,"")</f>
        <v>199.38461538461539</v>
      </c>
    </row>
    <row r="274" spans="1:11" outlineLevel="1" x14ac:dyDescent="0.25">
      <c r="A274" s="92"/>
      <c r="B274" s="91" t="s">
        <v>358</v>
      </c>
      <c r="C274" s="31" t="s">
        <v>286</v>
      </c>
      <c r="D274" s="124">
        <f t="shared" ref="D274:D275" si="120">IFERROR(G265/(10*$H$269),"")</f>
        <v>7.6923076923076927E-2</v>
      </c>
      <c r="E274" s="124">
        <f t="shared" ref="E274:E275" si="121">IFERROR(D274*$E$261,"")</f>
        <v>2.4615384615384617</v>
      </c>
      <c r="F274" s="27">
        <v>215</v>
      </c>
      <c r="G274" s="100">
        <f t="shared" ref="G274:G275" si="122">IFERROR(E274*F274,"")</f>
        <v>529.23076923076928</v>
      </c>
    </row>
    <row r="275" spans="1:11" outlineLevel="1" x14ac:dyDescent="0.25">
      <c r="A275" s="92"/>
      <c r="B275" s="91" t="s">
        <v>360</v>
      </c>
      <c r="C275" s="31" t="s">
        <v>286</v>
      </c>
      <c r="D275" s="124">
        <f t="shared" si="120"/>
        <v>7.6923076923076927E-2</v>
      </c>
      <c r="E275" s="124">
        <f t="shared" si="121"/>
        <v>2.4615384615384617</v>
      </c>
      <c r="F275" s="27">
        <v>350</v>
      </c>
      <c r="G275" s="100">
        <f t="shared" si="122"/>
        <v>861.53846153846155</v>
      </c>
    </row>
    <row r="276" spans="1:11" outlineLevel="1" x14ac:dyDescent="0.25">
      <c r="A276" s="92"/>
      <c r="B276" s="91"/>
      <c r="C276" s="31"/>
      <c r="D276" s="125"/>
      <c r="G276" s="37">
        <f>SUM(G273:G275)</f>
        <v>1590.1538461538462</v>
      </c>
    </row>
    <row r="277" spans="1:11" outlineLevel="1" x14ac:dyDescent="0.25">
      <c r="A277" s="92"/>
      <c r="B277" s="41"/>
      <c r="C277" s="31"/>
      <c r="D277" s="28"/>
      <c r="E277" s="28"/>
    </row>
    <row r="278" spans="1:11" outlineLevel="1" x14ac:dyDescent="0.25">
      <c r="A278" s="92" t="s">
        <v>41</v>
      </c>
      <c r="B278" s="41" t="s">
        <v>292</v>
      </c>
      <c r="C278" s="31" t="s">
        <v>0</v>
      </c>
      <c r="D278" s="37">
        <f>G276</f>
        <v>1590.1538461538462</v>
      </c>
    </row>
    <row r="279" spans="1:11" outlineLevel="1" x14ac:dyDescent="0.25">
      <c r="A279" s="92"/>
      <c r="B279" s="41"/>
      <c r="C279" s="31"/>
      <c r="D279" s="42"/>
    </row>
    <row r="280" spans="1:11" outlineLevel="1" x14ac:dyDescent="0.25">
      <c r="A280" s="92" t="s">
        <v>41</v>
      </c>
      <c r="B280" s="41" t="s">
        <v>293</v>
      </c>
      <c r="C280" s="31" t="s">
        <v>14</v>
      </c>
      <c r="D280" s="27">
        <v>10</v>
      </c>
    </row>
    <row r="281" spans="1:11" outlineLevel="1" x14ac:dyDescent="0.25">
      <c r="A281" s="92"/>
    </row>
    <row r="282" spans="1:11" outlineLevel="1" x14ac:dyDescent="0.25">
      <c r="A282" s="92"/>
      <c r="B282" s="41" t="s">
        <v>295</v>
      </c>
      <c r="C282" s="31" t="s">
        <v>0</v>
      </c>
      <c r="D282" s="37">
        <f>D278*((100+D280)/100)+IF(D256="",0,D256)</f>
        <v>2149.169230769231</v>
      </c>
    </row>
    <row r="283" spans="1:11" outlineLevel="1" x14ac:dyDescent="0.25">
      <c r="A283" s="92"/>
      <c r="B283" s="41"/>
      <c r="C283" s="31"/>
      <c r="D283" s="42"/>
    </row>
    <row r="284" spans="1:11" outlineLevel="1" x14ac:dyDescent="0.25">
      <c r="A284" s="63" t="s">
        <v>296</v>
      </c>
      <c r="B284" s="41" t="s">
        <v>301</v>
      </c>
      <c r="C284" s="31" t="s">
        <v>0</v>
      </c>
      <c r="D284" s="27">
        <v>300</v>
      </c>
    </row>
    <row r="285" spans="1:11" outlineLevel="1" x14ac:dyDescent="0.25">
      <c r="B285" s="65"/>
      <c r="D285" s="28"/>
      <c r="E285" s="28"/>
    </row>
    <row r="287" spans="1:11" x14ac:dyDescent="0.25">
      <c r="A287" s="62">
        <v>5</v>
      </c>
      <c r="B287" s="24" t="s">
        <v>19</v>
      </c>
      <c r="C287" s="25"/>
      <c r="D287" s="25"/>
      <c r="E287" s="25"/>
      <c r="F287" s="25"/>
      <c r="G287" s="26"/>
      <c r="H287" s="26"/>
      <c r="I287" s="25"/>
      <c r="J287" s="25"/>
      <c r="K287" s="25"/>
    </row>
    <row r="289" spans="1:11" outlineLevel="1" x14ac:dyDescent="0.25">
      <c r="B289" s="8" t="s">
        <v>20</v>
      </c>
      <c r="C289" s="8" t="s">
        <v>14</v>
      </c>
      <c r="D289" s="89">
        <f>Input!D79</f>
        <v>0.02</v>
      </c>
    </row>
    <row r="290" spans="1:11" outlineLevel="1" x14ac:dyDescent="0.25">
      <c r="B290" s="8" t="s">
        <v>21</v>
      </c>
      <c r="C290" s="8" t="s">
        <v>14</v>
      </c>
      <c r="D290" s="89">
        <f>Input!D80</f>
        <v>0.02</v>
      </c>
    </row>
    <row r="291" spans="1:11" outlineLevel="1" x14ac:dyDescent="0.25">
      <c r="B291" s="46" t="s">
        <v>22</v>
      </c>
      <c r="C291" s="47" t="s">
        <v>14</v>
      </c>
      <c r="D291" s="51">
        <f>D289+D290</f>
        <v>0.04</v>
      </c>
      <c r="E291" s="79"/>
    </row>
    <row r="292" spans="1:11" outlineLevel="1" x14ac:dyDescent="0.25"/>
    <row r="293" spans="1:11" outlineLevel="1" x14ac:dyDescent="0.25"/>
    <row r="294" spans="1:11" x14ac:dyDescent="0.25">
      <c r="A294" s="62">
        <v>6</v>
      </c>
      <c r="B294" s="24" t="s">
        <v>159</v>
      </c>
      <c r="C294" s="25"/>
      <c r="D294" s="25"/>
      <c r="E294" s="25"/>
      <c r="F294" s="25"/>
      <c r="G294" s="26"/>
      <c r="H294" s="26"/>
      <c r="I294" s="25"/>
      <c r="J294" s="25"/>
      <c r="K294" s="25"/>
    </row>
    <row r="295" spans="1:11" outlineLevel="1" x14ac:dyDescent="0.25"/>
    <row r="296" spans="1:11" outlineLevel="1" x14ac:dyDescent="0.25">
      <c r="B296" s="8" t="s">
        <v>44</v>
      </c>
      <c r="C296" s="8" t="s">
        <v>1</v>
      </c>
      <c r="D296" s="37">
        <f>D6</f>
        <v>37000</v>
      </c>
    </row>
    <row r="297" spans="1:11" outlineLevel="1" x14ac:dyDescent="0.25">
      <c r="B297" s="110" t="s">
        <v>303</v>
      </c>
      <c r="C297" s="8" t="s">
        <v>1</v>
      </c>
      <c r="D297" s="27">
        <f>Input!D87</f>
        <v>5000</v>
      </c>
    </row>
    <row r="298" spans="1:11" outlineLevel="1" x14ac:dyDescent="0.25">
      <c r="B298" s="110" t="s">
        <v>304</v>
      </c>
      <c r="C298" s="8" t="s">
        <v>1</v>
      </c>
      <c r="D298" s="27">
        <f>Input!D88</f>
        <v>0</v>
      </c>
    </row>
    <row r="299" spans="1:11" outlineLevel="1" x14ac:dyDescent="0.25">
      <c r="B299" s="110"/>
    </row>
    <row r="300" spans="1:11" outlineLevel="1" x14ac:dyDescent="0.25">
      <c r="B300" s="8" t="s">
        <v>63</v>
      </c>
      <c r="C300" s="31" t="s">
        <v>64</v>
      </c>
      <c r="D300" s="27">
        <f>Input!D90</f>
        <v>500</v>
      </c>
    </row>
    <row r="301" spans="1:11" outlineLevel="1" x14ac:dyDescent="0.25">
      <c r="B301" s="8" t="s">
        <v>65</v>
      </c>
      <c r="C301" s="31" t="s">
        <v>14</v>
      </c>
      <c r="D301" s="95">
        <f>SUMPRODUCT(D297:D298,D302:D303)/SUM(D297:D298)</f>
        <v>0.5</v>
      </c>
    </row>
    <row r="302" spans="1:11" outlineLevel="1" x14ac:dyDescent="0.25">
      <c r="B302" s="66" t="s">
        <v>328</v>
      </c>
      <c r="C302" s="31" t="s">
        <v>14</v>
      </c>
      <c r="D302" s="67">
        <v>0.5</v>
      </c>
      <c r="F302" s="8" t="s">
        <v>372</v>
      </c>
    </row>
    <row r="303" spans="1:11" outlineLevel="1" x14ac:dyDescent="0.25">
      <c r="B303" s="66" t="s">
        <v>329</v>
      </c>
      <c r="C303" s="31" t="s">
        <v>14</v>
      </c>
      <c r="D303" s="67">
        <v>0.7</v>
      </c>
      <c r="F303" s="53" t="s">
        <v>369</v>
      </c>
      <c r="G303" s="53" t="s">
        <v>370</v>
      </c>
      <c r="H303" s="53" t="s">
        <v>371</v>
      </c>
    </row>
    <row r="304" spans="1:11" outlineLevel="1" x14ac:dyDescent="0.25">
      <c r="B304" s="8" t="s">
        <v>157</v>
      </c>
      <c r="C304" s="31" t="s">
        <v>156</v>
      </c>
      <c r="D304" s="27">
        <f>IFERROR(IF(D300&gt;500,H304,IF(D300&gt;200,G304,F304)),"")</f>
        <v>4.5</v>
      </c>
      <c r="F304" s="67">
        <v>5</v>
      </c>
      <c r="G304" s="67">
        <v>4.5</v>
      </c>
      <c r="H304" s="67">
        <v>4</v>
      </c>
    </row>
    <row r="305" spans="1:13" outlineLevel="1" x14ac:dyDescent="0.25">
      <c r="C305" s="31"/>
    </row>
    <row r="306" spans="1:13" outlineLevel="1" x14ac:dyDescent="0.25">
      <c r="B306" s="8" t="s">
        <v>317</v>
      </c>
      <c r="C306" s="31" t="s">
        <v>156</v>
      </c>
      <c r="D306" s="67">
        <f>$D$304/D301</f>
        <v>9</v>
      </c>
    </row>
    <row r="307" spans="1:13" outlineLevel="1" x14ac:dyDescent="0.25">
      <c r="B307" s="66" t="s">
        <v>328</v>
      </c>
      <c r="C307" s="31" t="s">
        <v>156</v>
      </c>
      <c r="D307" s="67">
        <f>$D$304/D302</f>
        <v>9</v>
      </c>
    </row>
    <row r="308" spans="1:13" outlineLevel="1" x14ac:dyDescent="0.25">
      <c r="B308" s="66" t="s">
        <v>329</v>
      </c>
      <c r="C308" s="31" t="s">
        <v>156</v>
      </c>
      <c r="D308" s="67">
        <f>$D$304/D303</f>
        <v>6.4285714285714288</v>
      </c>
    </row>
    <row r="309" spans="1:13" outlineLevel="1" x14ac:dyDescent="0.25">
      <c r="C309" s="31"/>
    </row>
    <row r="310" spans="1:13" outlineLevel="1" x14ac:dyDescent="0.25">
      <c r="B310" s="8" t="s">
        <v>158</v>
      </c>
      <c r="C310" s="31" t="s">
        <v>0</v>
      </c>
      <c r="D310" s="27">
        <f>D306*$D$300</f>
        <v>4500</v>
      </c>
    </row>
    <row r="311" spans="1:13" outlineLevel="1" x14ac:dyDescent="0.25">
      <c r="B311" s="66" t="s">
        <v>328</v>
      </c>
      <c r="C311" s="31" t="s">
        <v>0</v>
      </c>
      <c r="D311" s="27">
        <f t="shared" ref="D311:D312" si="123">D307*$D$300</f>
        <v>4500</v>
      </c>
    </row>
    <row r="312" spans="1:13" outlineLevel="1" x14ac:dyDescent="0.25">
      <c r="B312" s="66" t="s">
        <v>329</v>
      </c>
      <c r="C312" s="31" t="s">
        <v>0</v>
      </c>
      <c r="D312" s="27">
        <f t="shared" si="123"/>
        <v>3214.2857142857142</v>
      </c>
    </row>
    <row r="313" spans="1:13" x14ac:dyDescent="0.25">
      <c r="A313" s="31"/>
    </row>
    <row r="314" spans="1:13" x14ac:dyDescent="0.25">
      <c r="A314" s="62">
        <v>7</v>
      </c>
      <c r="B314" s="24" t="s">
        <v>56</v>
      </c>
      <c r="C314" s="25"/>
      <c r="D314" s="25"/>
      <c r="E314" s="25"/>
      <c r="F314" s="25"/>
      <c r="G314" s="25"/>
      <c r="H314" s="25"/>
      <c r="I314" s="26"/>
      <c r="J314" s="26"/>
      <c r="K314" s="25"/>
      <c r="L314" s="25"/>
      <c r="M314" s="25"/>
    </row>
    <row r="315" spans="1:13" outlineLevel="1" x14ac:dyDescent="0.25">
      <c r="D315" s="53" t="s">
        <v>325</v>
      </c>
      <c r="E315" s="53" t="s">
        <v>323</v>
      </c>
      <c r="F315" s="53" t="s">
        <v>324</v>
      </c>
      <c r="G315" s="53" t="s">
        <v>68</v>
      </c>
    </row>
    <row r="316" spans="1:13" outlineLevel="1" x14ac:dyDescent="0.25">
      <c r="B316" s="8" t="s">
        <v>141</v>
      </c>
      <c r="C316" s="8" t="s">
        <v>2</v>
      </c>
      <c r="D316" s="37" t="str">
        <f>C29</f>
        <v>Yes</v>
      </c>
      <c r="E316" s="37">
        <v>10000000</v>
      </c>
      <c r="F316" s="27">
        <f>IF(D316="yes",E316,"")</f>
        <v>10000000</v>
      </c>
      <c r="G316" s="37">
        <f>F29</f>
        <v>1500</v>
      </c>
    </row>
    <row r="317" spans="1:13" outlineLevel="1" x14ac:dyDescent="0.25">
      <c r="B317" s="8" t="s">
        <v>143</v>
      </c>
      <c r="C317" s="8" t="s">
        <v>2</v>
      </c>
      <c r="D317" s="37" t="str">
        <f>C30</f>
        <v>No</v>
      </c>
      <c r="E317" s="37">
        <v>10000000</v>
      </c>
      <c r="F317" s="27" t="str">
        <f t="shared" ref="F317:F319" si="124">IF(D317="yes",E317,"")</f>
        <v/>
      </c>
      <c r="G317" s="37">
        <f>F30</f>
        <v>1000</v>
      </c>
    </row>
    <row r="318" spans="1:13" outlineLevel="1" x14ac:dyDescent="0.25">
      <c r="B318" s="8" t="s">
        <v>144</v>
      </c>
      <c r="C318" s="8" t="s">
        <v>2</v>
      </c>
      <c r="D318" s="37" t="str">
        <f>C31</f>
        <v>Yes</v>
      </c>
      <c r="E318" s="37">
        <v>10000000</v>
      </c>
      <c r="F318" s="27">
        <f t="shared" si="124"/>
        <v>10000000</v>
      </c>
      <c r="G318" s="37">
        <f>F31</f>
        <v>750</v>
      </c>
    </row>
    <row r="319" spans="1:13" outlineLevel="1" x14ac:dyDescent="0.25">
      <c r="B319" s="8" t="s">
        <v>233</v>
      </c>
      <c r="C319" s="8" t="s">
        <v>2</v>
      </c>
      <c r="D319" s="37" t="str">
        <f>C32</f>
        <v>Yes</v>
      </c>
      <c r="E319" s="37">
        <v>5000000</v>
      </c>
      <c r="F319" s="27">
        <f t="shared" si="124"/>
        <v>5000000</v>
      </c>
      <c r="G319" s="37">
        <f>F32</f>
        <v>1500</v>
      </c>
    </row>
    <row r="320" spans="1:13" outlineLevel="1" x14ac:dyDescent="0.25">
      <c r="F320" s="60">
        <f>SUM(F316:F319)</f>
        <v>25000000</v>
      </c>
      <c r="G320" s="80"/>
      <c r="I320" s="56"/>
    </row>
    <row r="321" spans="1:13" outlineLevel="1" x14ac:dyDescent="0.25"/>
    <row r="322" spans="1:13" outlineLevel="1" x14ac:dyDescent="0.25">
      <c r="B322" s="8" t="s">
        <v>67</v>
      </c>
      <c r="C322" s="8" t="s">
        <v>66</v>
      </c>
      <c r="D322" s="27">
        <v>15</v>
      </c>
    </row>
    <row r="323" spans="1:13" outlineLevel="1" x14ac:dyDescent="0.25"/>
    <row r="324" spans="1:13" outlineLevel="1" x14ac:dyDescent="0.25">
      <c r="B324" s="59" t="s">
        <v>69</v>
      </c>
    </row>
    <row r="325" spans="1:13" outlineLevel="1" x14ac:dyDescent="0.25">
      <c r="B325" s="8" t="s">
        <v>141</v>
      </c>
      <c r="C325" s="8" t="s">
        <v>0</v>
      </c>
      <c r="D325" s="37">
        <f>IFERROR(F316/$D$322/(G316*12*$H$325),"")</f>
        <v>49.382716049382715</v>
      </c>
      <c r="E325" s="57"/>
      <c r="G325" s="8" t="s">
        <v>244</v>
      </c>
      <c r="H325" s="88">
        <f>G27</f>
        <v>0.75</v>
      </c>
    </row>
    <row r="326" spans="1:13" outlineLevel="1" x14ac:dyDescent="0.25">
      <c r="B326" s="8" t="s">
        <v>143</v>
      </c>
      <c r="C326" s="8" t="s">
        <v>0</v>
      </c>
      <c r="D326" s="37" t="str">
        <f>IFERROR(F317/$D$322/(G317*12*$H$325),"")</f>
        <v/>
      </c>
      <c r="E326" s="57"/>
    </row>
    <row r="327" spans="1:13" outlineLevel="1" x14ac:dyDescent="0.25">
      <c r="B327" s="8" t="s">
        <v>144</v>
      </c>
      <c r="C327" s="8" t="s">
        <v>0</v>
      </c>
      <c r="D327" s="37">
        <f>IFERROR(F318/$D$322/(G318*12*$H$325),"")</f>
        <v>98.76543209876543</v>
      </c>
      <c r="E327" s="57"/>
    </row>
    <row r="328" spans="1:13" outlineLevel="1" x14ac:dyDescent="0.25">
      <c r="B328" s="8" t="s">
        <v>145</v>
      </c>
      <c r="C328" s="8" t="s">
        <v>0</v>
      </c>
      <c r="D328" s="37">
        <f>IFERROR(F319/$D$322/(G319*12*$H$325),"")</f>
        <v>24.691358024691358</v>
      </c>
      <c r="E328" s="57"/>
    </row>
    <row r="329" spans="1:13" outlineLevel="1" x14ac:dyDescent="0.25"/>
    <row r="331" spans="1:13" x14ac:dyDescent="0.25">
      <c r="A331" s="62">
        <v>8</v>
      </c>
      <c r="B331" s="24" t="s">
        <v>4</v>
      </c>
      <c r="C331" s="25"/>
      <c r="D331" s="25"/>
      <c r="E331" s="25"/>
      <c r="F331" s="25"/>
      <c r="G331" s="25"/>
      <c r="H331" s="25"/>
      <c r="I331" s="26"/>
      <c r="J331" s="26"/>
      <c r="K331" s="25"/>
      <c r="L331" s="25"/>
      <c r="M331" s="25"/>
    </row>
    <row r="333" spans="1:13" outlineLevel="1" x14ac:dyDescent="0.25">
      <c r="D333" s="53" t="s">
        <v>325</v>
      </c>
      <c r="E333" s="53" t="s">
        <v>323</v>
      </c>
      <c r="F333" s="53" t="s">
        <v>324</v>
      </c>
      <c r="G333" s="53" t="s">
        <v>68</v>
      </c>
      <c r="H333" s="37">
        <f>SUM(G316:G318)</f>
        <v>3250</v>
      </c>
    </row>
    <row r="334" spans="1:13" outlineLevel="1" x14ac:dyDescent="0.25">
      <c r="B334" s="8" t="s">
        <v>146</v>
      </c>
      <c r="C334" s="31" t="s">
        <v>2</v>
      </c>
      <c r="D334" s="37" t="str">
        <f>C29</f>
        <v>Yes</v>
      </c>
      <c r="E334" s="37">
        <f>3.75*10000000</f>
        <v>37500000</v>
      </c>
      <c r="F334" s="37">
        <f>IF(D334="yes",E334,"")</f>
        <v>37500000</v>
      </c>
      <c r="G334" s="53" t="s">
        <v>322</v>
      </c>
      <c r="H334" s="37">
        <f>H333*H325</f>
        <v>2437.5</v>
      </c>
    </row>
    <row r="335" spans="1:13" outlineLevel="1" x14ac:dyDescent="0.25">
      <c r="B335" s="8" t="s">
        <v>147</v>
      </c>
      <c r="C335" s="31" t="s">
        <v>2</v>
      </c>
      <c r="D335" s="37" t="str">
        <f>C30</f>
        <v>No</v>
      </c>
      <c r="E335" s="37">
        <f>3.75*10000000</f>
        <v>37500000</v>
      </c>
      <c r="F335" s="37" t="str">
        <f>IF(D335="yes",E335,"")</f>
        <v/>
      </c>
      <c r="G335" s="53"/>
      <c r="H335" s="57"/>
    </row>
    <row r="336" spans="1:13" outlineLevel="1" x14ac:dyDescent="0.25">
      <c r="B336" s="8" t="s">
        <v>148</v>
      </c>
      <c r="C336" s="31" t="s">
        <v>2</v>
      </c>
      <c r="D336" s="37" t="str">
        <f>C31</f>
        <v>Yes</v>
      </c>
      <c r="E336" s="37">
        <f>3.75*10000000</f>
        <v>37500000</v>
      </c>
      <c r="F336" s="37">
        <f t="shared" ref="F336:F349" si="125">IF(D336="yes",E336,"")</f>
        <v>37500000</v>
      </c>
      <c r="G336" s="53"/>
      <c r="H336" s="57"/>
    </row>
    <row r="337" spans="2:8" outlineLevel="1" x14ac:dyDescent="0.25">
      <c r="B337" s="8" t="s">
        <v>149</v>
      </c>
      <c r="C337" s="31" t="s">
        <v>2</v>
      </c>
      <c r="D337" s="37" t="str">
        <f>C32</f>
        <v>Yes</v>
      </c>
      <c r="E337" s="37">
        <f>E336*0.5</f>
        <v>18750000</v>
      </c>
      <c r="F337" s="37">
        <f t="shared" si="125"/>
        <v>18750000</v>
      </c>
      <c r="G337" s="53" t="s">
        <v>326</v>
      </c>
      <c r="H337" s="57" t="s">
        <v>327</v>
      </c>
    </row>
    <row r="338" spans="2:8" outlineLevel="1" x14ac:dyDescent="0.25">
      <c r="B338" s="8" t="s">
        <v>150</v>
      </c>
      <c r="C338" s="31" t="s">
        <v>2</v>
      </c>
      <c r="D338" s="37" t="str">
        <f>C29</f>
        <v>Yes</v>
      </c>
      <c r="E338" s="37">
        <f>G338*$H$338</f>
        <v>17550000</v>
      </c>
      <c r="F338" s="37">
        <f t="shared" si="125"/>
        <v>17550000</v>
      </c>
      <c r="G338" s="37">
        <v>1350</v>
      </c>
      <c r="H338" s="37">
        <v>13000</v>
      </c>
    </row>
    <row r="339" spans="2:8" outlineLevel="1" x14ac:dyDescent="0.25">
      <c r="B339" s="8" t="s">
        <v>152</v>
      </c>
      <c r="C339" s="31" t="s">
        <v>2</v>
      </c>
      <c r="D339" s="37" t="str">
        <f>C30</f>
        <v>No</v>
      </c>
      <c r="E339" s="37">
        <f>G339*$H$338</f>
        <v>9100000</v>
      </c>
      <c r="F339" s="37" t="str">
        <f t="shared" si="125"/>
        <v/>
      </c>
      <c r="G339" s="37">
        <v>700</v>
      </c>
      <c r="H339" s="57"/>
    </row>
    <row r="340" spans="2:8" outlineLevel="1" x14ac:dyDescent="0.25">
      <c r="B340" s="8" t="s">
        <v>151</v>
      </c>
      <c r="C340" s="31" t="s">
        <v>2</v>
      </c>
      <c r="D340" s="37" t="str">
        <f>C31</f>
        <v>Yes</v>
      </c>
      <c r="E340" s="37">
        <f>G340*$H$338</f>
        <v>7800000</v>
      </c>
      <c r="F340" s="37">
        <f t="shared" si="125"/>
        <v>7800000</v>
      </c>
      <c r="G340" s="37">
        <v>600</v>
      </c>
      <c r="H340" s="57"/>
    </row>
    <row r="341" spans="2:8" outlineLevel="1" x14ac:dyDescent="0.25">
      <c r="B341" s="8" t="s">
        <v>153</v>
      </c>
      <c r="C341" s="31" t="s">
        <v>2</v>
      </c>
      <c r="D341" s="37" t="str">
        <f>C32</f>
        <v>Yes</v>
      </c>
      <c r="E341" s="37">
        <f>G341*$H$338</f>
        <v>6500000</v>
      </c>
      <c r="F341" s="37">
        <f t="shared" si="125"/>
        <v>6500000</v>
      </c>
      <c r="G341" s="37">
        <v>500</v>
      </c>
      <c r="H341" s="57"/>
    </row>
    <row r="342" spans="2:8" outlineLevel="1" x14ac:dyDescent="0.25">
      <c r="B342" s="8" t="s">
        <v>154</v>
      </c>
      <c r="C342" s="31" t="s">
        <v>2</v>
      </c>
      <c r="D342" s="27" t="s">
        <v>223</v>
      </c>
      <c r="E342" s="37">
        <v>5000000</v>
      </c>
      <c r="F342" s="37">
        <f t="shared" si="125"/>
        <v>5000000</v>
      </c>
      <c r="G342" s="53"/>
      <c r="H342" s="57"/>
    </row>
    <row r="343" spans="2:8" outlineLevel="1" x14ac:dyDescent="0.25">
      <c r="B343" s="8" t="s">
        <v>155</v>
      </c>
      <c r="C343" s="31" t="s">
        <v>2</v>
      </c>
      <c r="D343" s="27" t="s">
        <v>223</v>
      </c>
      <c r="E343" s="37">
        <v>5000000</v>
      </c>
      <c r="F343" s="37">
        <f t="shared" si="125"/>
        <v>5000000</v>
      </c>
      <c r="G343" s="53"/>
      <c r="H343" s="57"/>
    </row>
    <row r="344" spans="2:8" outlineLevel="1" x14ac:dyDescent="0.25">
      <c r="B344" s="31" t="s">
        <v>10</v>
      </c>
      <c r="C344" s="31" t="s">
        <v>2</v>
      </c>
      <c r="D344" s="27" t="s">
        <v>223</v>
      </c>
      <c r="E344" s="37">
        <v>4000000</v>
      </c>
      <c r="F344" s="37">
        <f t="shared" si="125"/>
        <v>4000000</v>
      </c>
      <c r="G344" s="53"/>
      <c r="H344" s="57"/>
    </row>
    <row r="345" spans="2:8" outlineLevel="1" x14ac:dyDescent="0.25">
      <c r="B345" s="31" t="s">
        <v>70</v>
      </c>
      <c r="C345" s="31" t="s">
        <v>2</v>
      </c>
      <c r="D345" s="27" t="s">
        <v>223</v>
      </c>
      <c r="E345" s="37">
        <v>1500000</v>
      </c>
      <c r="F345" s="37">
        <f t="shared" si="125"/>
        <v>1500000</v>
      </c>
    </row>
    <row r="346" spans="2:8" outlineLevel="1" x14ac:dyDescent="0.25">
      <c r="B346" s="31" t="s">
        <v>11</v>
      </c>
      <c r="C346" s="31" t="s">
        <v>2</v>
      </c>
      <c r="D346" s="27" t="s">
        <v>223</v>
      </c>
      <c r="E346" s="37">
        <v>4000000</v>
      </c>
      <c r="F346" s="37">
        <f t="shared" si="125"/>
        <v>4000000</v>
      </c>
    </row>
    <row r="347" spans="2:8" outlineLevel="1" x14ac:dyDescent="0.25">
      <c r="B347" s="31" t="s">
        <v>36</v>
      </c>
      <c r="C347" s="31" t="s">
        <v>2</v>
      </c>
      <c r="D347" s="27" t="s">
        <v>223</v>
      </c>
      <c r="E347" s="37">
        <v>1500000</v>
      </c>
      <c r="F347" s="37">
        <f t="shared" si="125"/>
        <v>1500000</v>
      </c>
    </row>
    <row r="348" spans="2:8" outlineLevel="1" x14ac:dyDescent="0.25">
      <c r="B348" s="31" t="s">
        <v>27</v>
      </c>
      <c r="C348" s="31" t="s">
        <v>2</v>
      </c>
      <c r="D348" s="27" t="s">
        <v>223</v>
      </c>
      <c r="E348" s="37">
        <v>1500000</v>
      </c>
      <c r="F348" s="37">
        <f t="shared" si="125"/>
        <v>1500000</v>
      </c>
    </row>
    <row r="349" spans="2:8" outlineLevel="1" x14ac:dyDescent="0.25">
      <c r="B349" s="31" t="s">
        <v>12</v>
      </c>
      <c r="C349" s="31" t="s">
        <v>2</v>
      </c>
      <c r="D349" s="27" t="s">
        <v>223</v>
      </c>
      <c r="E349" s="37">
        <v>1500000</v>
      </c>
      <c r="F349" s="37">
        <f t="shared" si="125"/>
        <v>1500000</v>
      </c>
    </row>
    <row r="350" spans="2:8" outlineLevel="1" x14ac:dyDescent="0.25">
      <c r="B350" s="29" t="s">
        <v>13</v>
      </c>
      <c r="C350" s="29" t="s">
        <v>2</v>
      </c>
      <c r="F350" s="30">
        <f>SUM(F334:F349)</f>
        <v>149600000</v>
      </c>
    </row>
    <row r="351" spans="2:8" outlineLevel="1" x14ac:dyDescent="0.25"/>
    <row r="352" spans="2:8" outlineLevel="1" x14ac:dyDescent="0.25">
      <c r="B352" s="8" t="s">
        <v>67</v>
      </c>
      <c r="C352" s="8" t="s">
        <v>66</v>
      </c>
      <c r="D352" s="37">
        <f>D322</f>
        <v>15</v>
      </c>
      <c r="E352" s="57"/>
    </row>
    <row r="353" spans="2:5" outlineLevel="1" x14ac:dyDescent="0.25"/>
    <row r="354" spans="2:5" outlineLevel="1" x14ac:dyDescent="0.25">
      <c r="B354" s="59" t="s">
        <v>69</v>
      </c>
    </row>
    <row r="355" spans="2:5" outlineLevel="1" x14ac:dyDescent="0.25">
      <c r="B355" s="31" t="s">
        <v>246</v>
      </c>
      <c r="C355" s="8" t="s">
        <v>0</v>
      </c>
      <c r="D355" s="37">
        <f>SUM(D359,D363)</f>
        <v>271.85185185185185</v>
      </c>
    </row>
    <row r="356" spans="2:5" outlineLevel="1" x14ac:dyDescent="0.25">
      <c r="B356" s="31" t="s">
        <v>247</v>
      </c>
      <c r="C356" s="8" t="s">
        <v>0</v>
      </c>
      <c r="D356" s="37">
        <f t="shared" ref="D356:D358" si="126">SUM(D360,D364)</f>
        <v>0</v>
      </c>
    </row>
    <row r="357" spans="2:5" outlineLevel="1" x14ac:dyDescent="0.25">
      <c r="B357" s="31" t="s">
        <v>248</v>
      </c>
      <c r="C357" s="8" t="s">
        <v>0</v>
      </c>
      <c r="D357" s="37">
        <f t="shared" si="126"/>
        <v>447.40740740740739</v>
      </c>
    </row>
    <row r="358" spans="2:5" outlineLevel="1" x14ac:dyDescent="0.25">
      <c r="B358" s="31" t="s">
        <v>249</v>
      </c>
      <c r="C358" s="8" t="s">
        <v>0</v>
      </c>
      <c r="D358" s="37">
        <f t="shared" si="126"/>
        <v>124.69135802469137</v>
      </c>
    </row>
    <row r="359" spans="2:5" outlineLevel="1" x14ac:dyDescent="0.25">
      <c r="B359" s="90" t="s">
        <v>146</v>
      </c>
      <c r="C359" s="8" t="s">
        <v>0</v>
      </c>
      <c r="D359" s="37">
        <f>IFERROR(F334/$D$352/(G316*$H$325*12),"")</f>
        <v>185.18518518518519</v>
      </c>
      <c r="E359" s="57"/>
    </row>
    <row r="360" spans="2:5" outlineLevel="1" x14ac:dyDescent="0.25">
      <c r="B360" s="90" t="s">
        <v>147</v>
      </c>
      <c r="C360" s="8" t="s">
        <v>0</v>
      </c>
      <c r="D360" s="37" t="str">
        <f t="shared" ref="D360:D362" si="127">IFERROR(F335/$D$352/(G317*$H$325*12),"")</f>
        <v/>
      </c>
      <c r="E360" s="57"/>
    </row>
    <row r="361" spans="2:5" outlineLevel="1" x14ac:dyDescent="0.25">
      <c r="B361" s="90" t="s">
        <v>148</v>
      </c>
      <c r="C361" s="8" t="s">
        <v>0</v>
      </c>
      <c r="D361" s="37">
        <f t="shared" si="127"/>
        <v>370.37037037037038</v>
      </c>
      <c r="E361" s="57"/>
    </row>
    <row r="362" spans="2:5" outlineLevel="1" x14ac:dyDescent="0.25">
      <c r="B362" s="90" t="s">
        <v>149</v>
      </c>
      <c r="C362" s="8" t="s">
        <v>0</v>
      </c>
      <c r="D362" s="37">
        <f t="shared" si="127"/>
        <v>92.592592592592595</v>
      </c>
      <c r="E362" s="57"/>
    </row>
    <row r="363" spans="2:5" outlineLevel="1" x14ac:dyDescent="0.25">
      <c r="B363" s="90" t="s">
        <v>150</v>
      </c>
      <c r="C363" s="8" t="s">
        <v>0</v>
      </c>
      <c r="D363" s="37">
        <f>IFERROR(F338/$D$352/(G316*$H$325*12),"")</f>
        <v>86.666666666666671</v>
      </c>
      <c r="E363" s="57"/>
    </row>
    <row r="364" spans="2:5" outlineLevel="1" x14ac:dyDescent="0.25">
      <c r="B364" s="90" t="s">
        <v>152</v>
      </c>
      <c r="C364" s="8" t="s">
        <v>0</v>
      </c>
      <c r="D364" s="37" t="str">
        <f>IFERROR(F339/$D$352/(G317*$H$325*12),"")</f>
        <v/>
      </c>
      <c r="E364" s="57"/>
    </row>
    <row r="365" spans="2:5" outlineLevel="1" x14ac:dyDescent="0.25">
      <c r="B365" s="90" t="s">
        <v>151</v>
      </c>
      <c r="C365" s="8" t="s">
        <v>0</v>
      </c>
      <c r="D365" s="37">
        <f>IFERROR(F340/$D$352/(G318*$H$325*12),"")</f>
        <v>77.037037037037038</v>
      </c>
      <c r="E365" s="57"/>
    </row>
    <row r="366" spans="2:5" outlineLevel="1" x14ac:dyDescent="0.25">
      <c r="B366" s="90" t="s">
        <v>153</v>
      </c>
      <c r="C366" s="8" t="s">
        <v>0</v>
      </c>
      <c r="D366" s="37">
        <f>IFERROR(F341/$D$352/(G319*$H$325*12),"")</f>
        <v>32.098765432098766</v>
      </c>
      <c r="E366" s="57"/>
    </row>
    <row r="367" spans="2:5" outlineLevel="1" x14ac:dyDescent="0.25">
      <c r="B367" s="31" t="s">
        <v>154</v>
      </c>
      <c r="C367" s="8" t="s">
        <v>0</v>
      </c>
      <c r="D367" s="37">
        <f>IFERROR(F342/$D$352/($H$333*$H$325*12),"")</f>
        <v>11.396011396011396</v>
      </c>
      <c r="E367" s="57"/>
    </row>
    <row r="368" spans="2:5" outlineLevel="1" x14ac:dyDescent="0.25">
      <c r="B368" s="31" t="s">
        <v>155</v>
      </c>
      <c r="C368" s="8" t="s">
        <v>0</v>
      </c>
      <c r="D368" s="37">
        <f t="shared" ref="D368:D374" si="128">IFERROR(F343/$D$352/($H$333*$H$325*12),"")</f>
        <v>11.396011396011396</v>
      </c>
      <c r="E368" s="57"/>
    </row>
    <row r="369" spans="1:5" outlineLevel="1" x14ac:dyDescent="0.25">
      <c r="B369" s="31" t="s">
        <v>10</v>
      </c>
      <c r="C369" s="8" t="s">
        <v>0</v>
      </c>
      <c r="D369" s="37">
        <f t="shared" si="128"/>
        <v>9.116809116809117</v>
      </c>
      <c r="E369" s="57"/>
    </row>
    <row r="370" spans="1:5" outlineLevel="1" x14ac:dyDescent="0.25">
      <c r="B370" s="31" t="s">
        <v>70</v>
      </c>
      <c r="C370" s="8" t="s">
        <v>0</v>
      </c>
      <c r="D370" s="37">
        <f t="shared" si="128"/>
        <v>3.4188034188034186</v>
      </c>
      <c r="E370" s="57"/>
    </row>
    <row r="371" spans="1:5" outlineLevel="1" x14ac:dyDescent="0.25">
      <c r="B371" s="31" t="s">
        <v>11</v>
      </c>
      <c r="C371" s="8" t="s">
        <v>0</v>
      </c>
      <c r="D371" s="37">
        <f t="shared" si="128"/>
        <v>9.116809116809117</v>
      </c>
      <c r="E371" s="57"/>
    </row>
    <row r="372" spans="1:5" outlineLevel="1" x14ac:dyDescent="0.25">
      <c r="B372" s="31" t="s">
        <v>36</v>
      </c>
      <c r="C372" s="8" t="s">
        <v>0</v>
      </c>
      <c r="D372" s="37">
        <f t="shared" si="128"/>
        <v>3.4188034188034186</v>
      </c>
      <c r="E372" s="57"/>
    </row>
    <row r="373" spans="1:5" outlineLevel="1" x14ac:dyDescent="0.25">
      <c r="B373" s="31" t="s">
        <v>27</v>
      </c>
      <c r="C373" s="8" t="s">
        <v>0</v>
      </c>
      <c r="D373" s="37">
        <f t="shared" si="128"/>
        <v>3.4188034188034186</v>
      </c>
      <c r="E373" s="57"/>
    </row>
    <row r="374" spans="1:5" outlineLevel="1" x14ac:dyDescent="0.25">
      <c r="B374" s="31" t="s">
        <v>12</v>
      </c>
      <c r="C374" s="8" t="s">
        <v>0</v>
      </c>
      <c r="D374" s="37">
        <f t="shared" si="128"/>
        <v>3.4188034188034186</v>
      </c>
      <c r="E374" s="57"/>
    </row>
    <row r="375" spans="1:5" outlineLevel="1" x14ac:dyDescent="0.25">
      <c r="D375" s="57"/>
      <c r="E375" s="57"/>
    </row>
    <row r="376" spans="1:5" outlineLevel="1" x14ac:dyDescent="0.25">
      <c r="A376" s="63">
        <f>MAX($A$1:A375)+0.1</f>
        <v>8.1</v>
      </c>
      <c r="B376" s="41" t="s">
        <v>414</v>
      </c>
    </row>
    <row r="378" spans="1:5" outlineLevel="1" x14ac:dyDescent="0.25">
      <c r="B378" s="109" t="s">
        <v>419</v>
      </c>
      <c r="C378" s="31" t="s">
        <v>14</v>
      </c>
      <c r="D378" s="38">
        <f>Input!D99</f>
        <v>0.03</v>
      </c>
    </row>
    <row r="379" spans="1:5" outlineLevel="1" x14ac:dyDescent="0.25">
      <c r="B379" s="91" t="s">
        <v>420</v>
      </c>
      <c r="C379" s="31" t="s">
        <v>421</v>
      </c>
      <c r="D379" s="37">
        <f>D378*$D$8*1000</f>
        <v>1143300</v>
      </c>
    </row>
    <row r="380" spans="1:5" outlineLevel="1" x14ac:dyDescent="0.25">
      <c r="B380" s="91" t="s">
        <v>413</v>
      </c>
      <c r="C380" s="31" t="s">
        <v>271</v>
      </c>
      <c r="D380" s="37">
        <f>Input!D100</f>
        <v>180</v>
      </c>
    </row>
    <row r="381" spans="1:5" outlineLevel="1" x14ac:dyDescent="0.25">
      <c r="B381" s="91" t="s">
        <v>422</v>
      </c>
      <c r="C381" s="31" t="s">
        <v>0</v>
      </c>
      <c r="D381" s="37">
        <f>(D379*D380)/$D$8</f>
        <v>5400</v>
      </c>
    </row>
  </sheetData>
  <mergeCells count="2">
    <mergeCell ref="I54:I55"/>
    <mergeCell ref="I130:I131"/>
  </mergeCells>
  <dataValidations count="1">
    <dataValidation type="list" allowBlank="1" showInputMessage="1" showErrorMessage="1" sqref="C29:C33 C147" xr:uid="{1B968BDB-52F8-4DE9-A854-73BC63947DA3}">
      <formula1>"Yes,No"</formula1>
    </dataValidation>
  </dataValidations>
  <pageMargins left="0.7" right="0.7" top="0.75" bottom="0.75" header="0.3" footer="0.3"/>
  <pageSetup paperSize="9" orientation="portrait" horizontalDpi="4294967293" verticalDpi="0" r:id="rId1"/>
  <ignoredErrors>
    <ignoredError sqref="D42" unlockedFormula="1"/>
  </ignoredError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0FA7D-8DB6-464C-90FA-554895842304}">
  <dimension ref="A1"/>
  <sheetViews>
    <sheetView showGridLines="0" workbookViewId="0">
      <selection activeCell="P16" sqref="P16"/>
    </sheetView>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E4294-BF49-4C1D-BFAC-6B8D1312A009}">
  <dimension ref="C5:F22"/>
  <sheetViews>
    <sheetView workbookViewId="0">
      <selection activeCell="C30" sqref="C30"/>
    </sheetView>
  </sheetViews>
  <sheetFormatPr defaultRowHeight="15" x14ac:dyDescent="0.25"/>
  <cols>
    <col min="3" max="3" width="35.5703125" bestFit="1" customWidth="1"/>
    <col min="4" max="4" width="14.7109375" bestFit="1" customWidth="1"/>
    <col min="5" max="5" width="16.5703125" bestFit="1" customWidth="1"/>
    <col min="6" max="6" width="66.5703125" bestFit="1" customWidth="1"/>
  </cols>
  <sheetData>
    <row r="5" spans="3:6" x14ac:dyDescent="0.25">
      <c r="C5" t="s">
        <v>389</v>
      </c>
    </row>
    <row r="6" spans="3:6" x14ac:dyDescent="0.25">
      <c r="C6" t="s">
        <v>390</v>
      </c>
    </row>
    <row r="7" spans="3:6" x14ac:dyDescent="0.25">
      <c r="C7" t="s">
        <v>391</v>
      </c>
      <c r="D7">
        <v>5.5</v>
      </c>
    </row>
    <row r="13" spans="3:6" x14ac:dyDescent="0.25">
      <c r="C13" s="143" t="s">
        <v>392</v>
      </c>
      <c r="D13" s="143" t="s">
        <v>393</v>
      </c>
      <c r="E13" s="143" t="s">
        <v>394</v>
      </c>
      <c r="F13" s="143" t="s">
        <v>395</v>
      </c>
    </row>
    <row r="14" spans="3:6" x14ac:dyDescent="0.25">
      <c r="C14" s="143" t="s">
        <v>396</v>
      </c>
      <c r="D14" s="143" t="s">
        <v>397</v>
      </c>
      <c r="E14" s="143">
        <v>135</v>
      </c>
      <c r="F14" s="143" t="s">
        <v>398</v>
      </c>
    </row>
    <row r="15" spans="3:6" x14ac:dyDescent="0.25">
      <c r="C15" s="143" t="s">
        <v>399</v>
      </c>
      <c r="D15" s="143" t="s">
        <v>397</v>
      </c>
      <c r="E15" s="143">
        <v>175</v>
      </c>
      <c r="F15" s="143" t="s">
        <v>398</v>
      </c>
    </row>
    <row r="16" spans="3:6" x14ac:dyDescent="0.25">
      <c r="C16" s="143" t="s">
        <v>400</v>
      </c>
      <c r="D16" s="143" t="s">
        <v>397</v>
      </c>
      <c r="E16" s="143">
        <v>180</v>
      </c>
      <c r="F16" s="143" t="s">
        <v>401</v>
      </c>
    </row>
    <row r="17" spans="3:6" x14ac:dyDescent="0.25">
      <c r="C17" s="143" t="s">
        <v>402</v>
      </c>
      <c r="D17" s="143" t="s">
        <v>397</v>
      </c>
      <c r="E17" s="143">
        <v>220</v>
      </c>
      <c r="F17" s="143" t="s">
        <v>403</v>
      </c>
    </row>
    <row r="18" spans="3:6" x14ac:dyDescent="0.25">
      <c r="C18" s="143" t="s">
        <v>404</v>
      </c>
      <c r="D18" s="143" t="s">
        <v>397</v>
      </c>
      <c r="E18" s="143">
        <v>265</v>
      </c>
      <c r="F18" s="143" t="s">
        <v>398</v>
      </c>
    </row>
    <row r="19" spans="3:6" x14ac:dyDescent="0.25">
      <c r="C19" s="143" t="s">
        <v>405</v>
      </c>
      <c r="D19" s="143" t="s">
        <v>406</v>
      </c>
      <c r="E19" s="143">
        <v>215</v>
      </c>
      <c r="F19" s="143" t="s">
        <v>407</v>
      </c>
    </row>
    <row r="20" spans="3:6" x14ac:dyDescent="0.25">
      <c r="C20" s="143" t="s">
        <v>408</v>
      </c>
      <c r="D20" s="143" t="s">
        <v>406</v>
      </c>
      <c r="E20" s="143">
        <v>295</v>
      </c>
      <c r="F20" s="143" t="s">
        <v>398</v>
      </c>
    </row>
    <row r="21" spans="3:6" x14ac:dyDescent="0.25">
      <c r="C21" s="143" t="s">
        <v>409</v>
      </c>
      <c r="D21" s="143" t="s">
        <v>410</v>
      </c>
      <c r="E21" s="143">
        <v>279</v>
      </c>
      <c r="F21" s="143" t="s">
        <v>403</v>
      </c>
    </row>
    <row r="22" spans="3:6" x14ac:dyDescent="0.25">
      <c r="C22" s="143" t="s">
        <v>411</v>
      </c>
      <c r="D22" s="143" t="s">
        <v>410</v>
      </c>
      <c r="E22" s="143">
        <v>330</v>
      </c>
      <c r="F22" s="143" t="s">
        <v>407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D537FC6EEFA3469C67318615635BCD" ma:contentTypeVersion="15" ma:contentTypeDescription="Create a new document." ma:contentTypeScope="" ma:versionID="477fc19a782d09aa75c3c7510055fafc">
  <xsd:schema xmlns:xsd="http://www.w3.org/2001/XMLSchema" xmlns:xs="http://www.w3.org/2001/XMLSchema" xmlns:p="http://schemas.microsoft.com/office/2006/metadata/properties" xmlns:ns2="937d96c5-689a-445c-b497-c26898801115" xmlns:ns3="66e154ca-c873-43d1-adfc-28c8beb208b8" targetNamespace="http://schemas.microsoft.com/office/2006/metadata/properties" ma:root="true" ma:fieldsID="aa484b9a09f85fc0eec517f46bbdb829" ns2:_="" ns3:_="">
    <xsd:import namespace="937d96c5-689a-445c-b497-c26898801115"/>
    <xsd:import namespace="66e154ca-c873-43d1-adfc-28c8beb208b8"/>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7d96c5-689a-445c-b497-c26898801115"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89be9f9-5296-4597-8f73-1ef66ab7830e"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6e154ca-c873-43d1-adfc-28c8beb208b8"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b9c3baa-e231-45e7-b610-86feff5dadb7}" ma:internalName="TaxCatchAll" ma:showField="CatchAllData" ma:web="66e154ca-c873-43d1-adfc-28c8beb208b8">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37d96c5-689a-445c-b497-c26898801115">
      <Terms xmlns="http://schemas.microsoft.com/office/infopath/2007/PartnerControls"/>
    </lcf76f155ced4ddcb4097134ff3c332f>
    <TaxCatchAll xmlns="66e154ca-c873-43d1-adfc-28c8beb208b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91F639-5399-483D-B480-BF1B35B6DA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7d96c5-689a-445c-b497-c26898801115"/>
    <ds:schemaRef ds:uri="66e154ca-c873-43d1-adfc-28c8beb208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AE74BF-8B3E-41E6-A6D1-68AA72E07935}">
  <ds:schemaRefs>
    <ds:schemaRef ds:uri="http://schemas.microsoft.com/office/2006/metadata/properties"/>
    <ds:schemaRef ds:uri="http://schemas.microsoft.com/office/infopath/2007/PartnerControls"/>
    <ds:schemaRef ds:uri="937d96c5-689a-445c-b497-c26898801115"/>
    <ds:schemaRef ds:uri="66e154ca-c873-43d1-adfc-28c8beb208b8"/>
  </ds:schemaRefs>
</ds:datastoreItem>
</file>

<file path=customXml/itemProps3.xml><?xml version="1.0" encoding="utf-8"?>
<ds:datastoreItem xmlns:ds="http://schemas.openxmlformats.org/officeDocument/2006/customXml" ds:itemID="{D70EF783-688D-40A5-B8B3-5A8F796A6BA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Input</vt:lpstr>
      <vt:lpstr>Output</vt:lpstr>
      <vt:lpstr>Calculation Sheet</vt:lpstr>
      <vt:lpstr>&gt;&gt; Backups</vt:lpstr>
      <vt:lpstr>Painting Inputs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Kumar Chandra</dc:creator>
  <cp:lastModifiedBy>Ketan Katkar</cp:lastModifiedBy>
  <dcterms:created xsi:type="dcterms:W3CDTF">2024-11-15T08:54:44Z</dcterms:created>
  <dcterms:modified xsi:type="dcterms:W3CDTF">2026-09-28T08:38:45Z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0x010100DAD537FC6EEFA3469C67318615635BCD</vt:lpwstr>
  </property>
  <property fmtid="{D5CDD505-2E9C-101B-9397-08002B2CF9AE}" pid="3" name="MediaServiceImageTags">
    <vt:lpwstr/>
  </property>
  <property fmtid="{D5CDD505-2E9C-101B-9397-08002B2CF9AE}" pid="4" name="MSIP_Label_950a0aea-e2df-4107-a6d1-9debf081f9fd_Enabled">
    <vt:lpwstr>true</vt:lpwstr>
  </property>
  <property fmtid="{D5CDD505-2E9C-101B-9397-08002B2CF9AE}" pid="5" name="MSIP_Label_950a0aea-e2df-4107-a6d1-9debf081f9fd_SetDate">
    <vt:lpwstr>2026-06-08T07:01:05Z</vt:lpwstr>
  </property>
  <property fmtid="{D5CDD505-2E9C-101B-9397-08002B2CF9AE}" pid="6" name="MSIP_Label_950a0aea-e2df-4107-a6d1-9debf081f9fd_Method">
    <vt:lpwstr>Standard</vt:lpwstr>
  </property>
  <property fmtid="{D5CDD505-2E9C-101B-9397-08002B2CF9AE}" pid="7" name="MSIP_Label_950a0aea-e2df-4107-a6d1-9debf081f9fd_Name">
    <vt:lpwstr>Confidential</vt:lpwstr>
  </property>
  <property fmtid="{D5CDD505-2E9C-101B-9397-08002B2CF9AE}" pid="8" name="MSIP_Label_950a0aea-e2df-4107-a6d1-9debf081f9fd_SiteId">
    <vt:lpwstr>133a87f2-d3d7-47b2-af96-67b2b21bd714</vt:lpwstr>
  </property>
  <property fmtid="{D5CDD505-2E9C-101B-9397-08002B2CF9AE}" pid="9" name="MSIP_Label_950a0aea-e2df-4107-a6d1-9debf081f9fd_ActionId">
    <vt:lpwstr>96c574d9-7320-45b8-94a2-48d2fc1d5e2c</vt:lpwstr>
  </property>
  <property fmtid="{D5CDD505-2E9C-101B-9397-08002B2CF9AE}" pid="10" name="MSIP_Label_950a0aea-e2df-4107-a6d1-9debf081f9fd_ContentBits">
    <vt:lpwstr>0</vt:lpwstr>
  </property>
  <property fmtid="{D5CDD505-2E9C-101B-9397-08002B2CF9AE}" pid="11" name="MSIP_Label_950a0aea-e2df-4107-a6d1-9debf081f9fd_Tag">
    <vt:lpwstr>10, 3, 0, 1</vt:lpwstr>
  </property>
</Properties>
</file>